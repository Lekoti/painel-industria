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EstaPasta_de_trabalho" defaultThemeVersion="124226"/>
  <xr:revisionPtr revIDLastSave="0" documentId="13_ncr:1_{A6A94CE4-3BA4-43BB-9954-C7E184CD0C6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Plan1" sheetId="1" r:id="rId1"/>
    <sheet name="Planilha1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L52" i="1" l="1"/>
  <c r="M52" i="1" s="1"/>
  <c r="J52" i="1"/>
  <c r="L48" i="1"/>
  <c r="M48" i="1" s="1"/>
  <c r="J48" i="1"/>
  <c r="L47" i="1"/>
  <c r="M47" i="1" s="1"/>
  <c r="J47" i="1"/>
  <c r="L35" i="1"/>
  <c r="M35" i="1" s="1"/>
  <c r="L80" i="1" l="1"/>
  <c r="L81" i="1"/>
  <c r="L82" i="1"/>
  <c r="L42" i="1"/>
  <c r="M42" i="1" s="1"/>
  <c r="J42" i="1"/>
  <c r="L74" i="1"/>
  <c r="M74" i="1" s="1"/>
  <c r="J74" i="1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L95" i="1" l="1"/>
  <c r="M95" i="1" s="1"/>
  <c r="J95" i="1"/>
  <c r="L94" i="1"/>
  <c r="M94" i="1" s="1"/>
  <c r="J94" i="1"/>
  <c r="L68" i="1"/>
  <c r="M68" i="1" s="1"/>
  <c r="L67" i="1"/>
  <c r="M67" i="1" s="1"/>
  <c r="J68" i="1"/>
  <c r="J67" i="1"/>
  <c r="L62" i="1"/>
  <c r="M62" i="1" s="1"/>
  <c r="J62" i="1"/>
  <c r="L49" i="1"/>
  <c r="M49" i="1" s="1"/>
  <c r="J49" i="1"/>
  <c r="L41" i="1"/>
  <c r="M41" i="1" s="1"/>
  <c r="L40" i="1"/>
  <c r="M40" i="1" s="1"/>
  <c r="J41" i="1"/>
  <c r="J40" i="1"/>
  <c r="L32" i="1"/>
  <c r="M32" i="1" s="1"/>
  <c r="J32" i="1"/>
  <c r="L31" i="1"/>
  <c r="M31" i="1" s="1"/>
  <c r="J31" i="1"/>
  <c r="L17" i="1"/>
  <c r="M17" i="1" s="1"/>
  <c r="J17" i="1"/>
  <c r="L16" i="1"/>
  <c r="M16" i="1" s="1"/>
  <c r="J16" i="1"/>
  <c r="L15" i="1"/>
  <c r="M15" i="1" s="1"/>
  <c r="J15" i="1"/>
  <c r="L10" i="1"/>
  <c r="M10" i="1" s="1"/>
  <c r="J10" i="1"/>
  <c r="L7" i="1"/>
  <c r="M7" i="1" s="1"/>
  <c r="J7" i="1"/>
  <c r="L63" i="1"/>
  <c r="M63" i="1" s="1"/>
  <c r="J63" i="1"/>
  <c r="L76" i="1"/>
  <c r="M76" i="1" s="1"/>
  <c r="J76" i="1"/>
  <c r="L89" i="1"/>
  <c r="M89" i="1" s="1"/>
  <c r="J89" i="1"/>
  <c r="L64" i="1"/>
  <c r="M64" i="1" s="1"/>
  <c r="J64" i="1"/>
  <c r="M82" i="1"/>
  <c r="M81" i="1"/>
  <c r="M80" i="1"/>
  <c r="J82" i="1"/>
  <c r="J81" i="1"/>
  <c r="J80" i="1"/>
  <c r="L54" i="1" l="1"/>
  <c r="M54" i="1" s="1"/>
  <c r="J54" i="1"/>
  <c r="L57" i="1" l="1"/>
  <c r="M57" i="1" s="1"/>
  <c r="J57" i="1"/>
  <c r="L56" i="1"/>
  <c r="M56" i="1" s="1"/>
  <c r="J56" i="1"/>
  <c r="L24" i="1"/>
  <c r="M24" i="1" s="1"/>
  <c r="J24" i="1"/>
  <c r="L22" i="1"/>
  <c r="M22" i="1" s="1"/>
  <c r="J22" i="1"/>
  <c r="L98" i="1" l="1"/>
  <c r="M98" i="1" s="1"/>
  <c r="L97" i="1"/>
  <c r="M97" i="1" s="1"/>
  <c r="J98" i="1"/>
  <c r="J97" i="1"/>
  <c r="L61" i="1"/>
  <c r="M61" i="1" s="1"/>
  <c r="J61" i="1"/>
  <c r="L46" i="1"/>
  <c r="M46" i="1" s="1"/>
  <c r="J46" i="1"/>
  <c r="L93" i="1" l="1"/>
  <c r="M93" i="1" s="1"/>
  <c r="J93" i="1"/>
  <c r="L66" i="1" l="1"/>
  <c r="M66" i="1" s="1"/>
  <c r="J66" i="1"/>
  <c r="J6" i="1" l="1"/>
  <c r="J8" i="1"/>
  <c r="J9" i="1"/>
  <c r="J11" i="1"/>
  <c r="J12" i="1"/>
  <c r="J13" i="1"/>
  <c r="J14" i="1"/>
  <c r="J18" i="1"/>
  <c r="J19" i="1"/>
  <c r="J20" i="1"/>
  <c r="J21" i="1"/>
  <c r="J23" i="1"/>
  <c r="J25" i="1"/>
  <c r="J26" i="1"/>
  <c r="J27" i="1"/>
  <c r="J28" i="1"/>
  <c r="J29" i="1"/>
  <c r="J30" i="1"/>
  <c r="J33" i="1"/>
  <c r="J34" i="1"/>
  <c r="J36" i="1"/>
  <c r="J37" i="1"/>
  <c r="J38" i="1"/>
  <c r="J39" i="1"/>
  <c r="J43" i="1"/>
  <c r="J44" i="1"/>
  <c r="J45" i="1"/>
  <c r="J50" i="1"/>
  <c r="J51" i="1"/>
  <c r="J53" i="1"/>
  <c r="J55" i="1"/>
  <c r="J58" i="1"/>
  <c r="J59" i="1"/>
  <c r="J60" i="1"/>
  <c r="J65" i="1"/>
  <c r="J69" i="1"/>
  <c r="J70" i="1"/>
  <c r="J71" i="1"/>
  <c r="J72" i="1"/>
  <c r="J73" i="1"/>
  <c r="J75" i="1"/>
  <c r="J77" i="1"/>
  <c r="J78" i="1"/>
  <c r="J79" i="1"/>
  <c r="J83" i="1"/>
  <c r="J84" i="1"/>
  <c r="J85" i="1"/>
  <c r="J86" i="1"/>
  <c r="J87" i="1"/>
  <c r="J88" i="1"/>
  <c r="J90" i="1"/>
  <c r="J91" i="1"/>
  <c r="J92" i="1"/>
  <c r="J96" i="1"/>
  <c r="J99" i="1"/>
  <c r="J100" i="1"/>
  <c r="J101" i="1"/>
  <c r="J102" i="1"/>
  <c r="L72" i="1" l="1"/>
  <c r="M72" i="1" s="1"/>
  <c r="L71" i="1"/>
  <c r="M71" i="1" s="1"/>
  <c r="L59" i="1" l="1"/>
  <c r="M59" i="1" s="1"/>
  <c r="L58" i="1"/>
  <c r="M58" i="1" s="1"/>
  <c r="L55" i="1"/>
  <c r="M55" i="1" s="1"/>
  <c r="L34" i="1" l="1"/>
  <c r="M34" i="1" s="1"/>
  <c r="L87" i="1" l="1"/>
  <c r="M87" i="1" s="1"/>
  <c r="L86" i="1"/>
  <c r="M86" i="1" s="1"/>
  <c r="L53" i="1" l="1"/>
  <c r="M53" i="1" s="1"/>
  <c r="L65" i="1" l="1"/>
  <c r="M65" i="1" s="1"/>
  <c r="L45" i="1"/>
  <c r="M45" i="1" s="1"/>
  <c r="L6" i="1" l="1"/>
  <c r="L8" i="1"/>
  <c r="L9" i="1"/>
  <c r="L11" i="1"/>
  <c r="L12" i="1"/>
  <c r="L13" i="1"/>
  <c r="L14" i="1"/>
  <c r="L18" i="1"/>
  <c r="L19" i="1"/>
  <c r="L20" i="1"/>
  <c r="L21" i="1"/>
  <c r="L23" i="1"/>
  <c r="L25" i="1"/>
  <c r="L26" i="1"/>
  <c r="L27" i="1"/>
  <c r="L28" i="1"/>
  <c r="L29" i="1"/>
  <c r="L30" i="1"/>
  <c r="L33" i="1"/>
  <c r="L36" i="1"/>
  <c r="L37" i="1"/>
  <c r="L38" i="1"/>
  <c r="L39" i="1"/>
  <c r="L43" i="1"/>
  <c r="L44" i="1"/>
  <c r="L50" i="1"/>
  <c r="L51" i="1"/>
  <c r="L60" i="1"/>
  <c r="L69" i="1"/>
  <c r="L70" i="1"/>
  <c r="L73" i="1"/>
  <c r="L75" i="1"/>
  <c r="L77" i="1"/>
  <c r="L78" i="1"/>
  <c r="L79" i="1"/>
  <c r="L83" i="1"/>
  <c r="L84" i="1"/>
  <c r="L85" i="1"/>
  <c r="L88" i="1"/>
  <c r="L90" i="1"/>
  <c r="L91" i="1"/>
  <c r="L92" i="1"/>
  <c r="L96" i="1"/>
  <c r="L99" i="1"/>
  <c r="L100" i="1"/>
  <c r="L101" i="1"/>
  <c r="L102" i="1"/>
  <c r="M90" i="1" l="1"/>
  <c r="M73" i="1"/>
  <c r="J5" i="1" l="1"/>
  <c r="M96" i="1"/>
  <c r="M75" i="1"/>
  <c r="M19" i="1" l="1"/>
  <c r="M20" i="1"/>
  <c r="M37" i="1" l="1"/>
  <c r="M43" i="1"/>
  <c r="M91" i="1" l="1"/>
  <c r="M99" i="1"/>
  <c r="M100" i="1"/>
  <c r="M33" i="1" l="1"/>
  <c r="M102" i="1" l="1"/>
  <c r="M28" i="1" l="1"/>
  <c r="M101" i="1"/>
  <c r="M92" i="1" l="1"/>
  <c r="M50" i="1" l="1"/>
  <c r="M51" i="1" l="1"/>
  <c r="M60" i="1"/>
  <c r="M69" i="1"/>
  <c r="M70" i="1"/>
  <c r="M77" i="1"/>
  <c r="M78" i="1"/>
  <c r="M79" i="1"/>
  <c r="M83" i="1"/>
  <c r="M84" i="1"/>
  <c r="M85" i="1"/>
  <c r="M88" i="1"/>
  <c r="M6" i="1"/>
  <c r="M8" i="1"/>
  <c r="M9" i="1"/>
  <c r="M11" i="1"/>
  <c r="M12" i="1"/>
  <c r="M13" i="1"/>
  <c r="M14" i="1"/>
  <c r="M18" i="1"/>
  <c r="M21" i="1"/>
  <c r="M23" i="1"/>
  <c r="M25" i="1"/>
  <c r="M26" i="1"/>
  <c r="M27" i="1"/>
  <c r="M29" i="1"/>
  <c r="M30" i="1"/>
  <c r="M36" i="1"/>
  <c r="M38" i="1"/>
  <c r="M39" i="1"/>
  <c r="M44" i="1"/>
  <c r="L5" i="1"/>
  <c r="M5" i="1" s="1"/>
  <c r="M111" i="1" l="1"/>
</calcChain>
</file>

<file path=xl/sharedStrings.xml><?xml version="1.0" encoding="utf-8"?>
<sst xmlns="http://schemas.openxmlformats.org/spreadsheetml/2006/main" count="326" uniqueCount="217">
  <si>
    <t>FINAL</t>
  </si>
  <si>
    <t xml:space="preserve">PREÇO </t>
  </si>
  <si>
    <t>CAIXA</t>
  </si>
  <si>
    <t>DESCRIÇÃO</t>
  </si>
  <si>
    <t>CÓD.</t>
  </si>
  <si>
    <t>Guara Ação pó 50g (Guaraná em Pó)</t>
  </si>
  <si>
    <t>Sabonete Aroeira 100g</t>
  </si>
  <si>
    <t>Sabonete Côco 100g</t>
  </si>
  <si>
    <t>Sabonete de Glicerina 100g</t>
  </si>
  <si>
    <t>Extrato de Própolis 20ml</t>
  </si>
  <si>
    <t>Ademil gotas 20ml (Suplemento de Vitamina A  e D)</t>
  </si>
  <si>
    <t xml:space="preserve">VALOR </t>
  </si>
  <si>
    <t>TOTAL</t>
  </si>
  <si>
    <t>PEDIDO</t>
  </si>
  <si>
    <t>QTDE.</t>
  </si>
  <si>
    <t>PRAZO:</t>
  </si>
  <si>
    <t>EMB.</t>
  </si>
  <si>
    <t>Pantovit Abacaxi 10ml c/ 60 Flac.</t>
  </si>
  <si>
    <t>Pró-Calcio D3 500mg c/ 60 (Cálcio de Ostra)</t>
  </si>
  <si>
    <t>Guara Ação 500mg c/ 30 (Cáp.Guaraná em Pó)</t>
  </si>
  <si>
    <t>PlantaGold c/ 10 sachês 5gr (Plantago Ovata 3,5gr)</t>
  </si>
  <si>
    <t>PlantaGold c/ 30 sachês 5gr (Plantago Ovata 3,5gr)</t>
  </si>
  <si>
    <t>Apisfresh Spray Mel Próp. Gengi. 35ml Disp. c/12 Un.</t>
  </si>
  <si>
    <t>Apisfresh Spray mel Próp. Romã 35ml Disp. c/12 Un.</t>
  </si>
  <si>
    <t>Apisfresh Spray Mel Próp.  Menta 35ml Disp. c/12 Un.</t>
  </si>
  <si>
    <t>Apisfresh Spray Extra Forte 35ml Disp. c/ 12 Un.</t>
  </si>
  <si>
    <t>Apisfresh Spray Mel Próp. 35ml  Disp. c/12 Un.</t>
  </si>
  <si>
    <t>Pedido:</t>
  </si>
  <si>
    <t>Norifer gotas 30ml (Ferro Polimaltosado)</t>
  </si>
  <si>
    <t>Complexo B c/ 50 Comprimidos</t>
  </si>
  <si>
    <t>Complexo B c/ 100 Comprimidos</t>
  </si>
  <si>
    <t>Complexo B Gotas c/ 30ml</t>
  </si>
  <si>
    <t>PREÇO</t>
  </si>
  <si>
    <t>FABR.</t>
  </si>
  <si>
    <t>DESC.</t>
  </si>
  <si>
    <t>40/50/60</t>
  </si>
  <si>
    <t>Obs:</t>
  </si>
  <si>
    <t>Aft Rub 30ml (Rosa Rubra)</t>
  </si>
  <si>
    <t>Neorub 40g Display C/ 30 Potes</t>
  </si>
  <si>
    <t>Neorub 12G Display C/ 12 Frascos</t>
  </si>
  <si>
    <t>Sulfato Ferroso Solução Oral 100ml</t>
  </si>
  <si>
    <t>TurboVit Tradicional 10ml c/ 60 Flaconetes</t>
  </si>
  <si>
    <t>MELLODIA DSTR. PERFUMARIA LTDA</t>
  </si>
  <si>
    <t>Complexo B Líquido c/100 ml</t>
  </si>
  <si>
    <t>Ossovit 600 Mg + D3 c/ 60 comp. (Carbonato de Cálcio)</t>
  </si>
  <si>
    <t>Vitamina C  Gôtas 20 ml</t>
  </si>
  <si>
    <t>Tongivit A-Z c/60 Comp. (Suplemento de A a Z )</t>
  </si>
  <si>
    <t>Tongivit Mulher c/60 Comp. (Suplemento de A a Z)</t>
  </si>
  <si>
    <t>Tongivit Sênior c/60 Comp. (Suplemento de A a Z )</t>
  </si>
  <si>
    <t>Proposep Pomada de Própolis 60 gramas</t>
  </si>
  <si>
    <t>Proposep Xarope de Mel / Própolis + Vitaminas com 150 ml</t>
  </si>
  <si>
    <t>Tongivit Hair com 30 Cápsulas</t>
  </si>
  <si>
    <t xml:space="preserve">Extrato de Própolis Aquoso 20ml </t>
  </si>
  <si>
    <t>Sulfato Ferroso Gotas 30ml</t>
  </si>
  <si>
    <t>Pomada de Basilicao 12 Gr - Display c/12</t>
  </si>
  <si>
    <t>Sulfato Ferroso com 60 Comprimidos</t>
  </si>
  <si>
    <t>Desupre 1.000mg c/ 40 Comp. (Suplemento de Vitamina D)</t>
  </si>
  <si>
    <t>Desupre 2.000mg c/ 40 Comp. (Suplemento de Vitamina D)</t>
  </si>
  <si>
    <t>Desupre gotas 200 UI 20ml (Suplemento de Vitamina D)</t>
  </si>
  <si>
    <t xml:space="preserve">Pedianutre  Solução Oral 120 ml </t>
  </si>
  <si>
    <t>Pedianutre  Gôtas com 20 ml</t>
  </si>
  <si>
    <t>Perilac Lactitol Solução Oral 120 ml</t>
  </si>
  <si>
    <t>Lactugold Sem Sabor 120 ml (Lactulose 667 mg/ml)</t>
  </si>
  <si>
    <t>Ossovit 600 + D3 400 UI c/60 Comprimidos</t>
  </si>
  <si>
    <t>Sabonete de Enxofre 90 g</t>
  </si>
  <si>
    <t>Sabonete de Enxofre Sulfuroso 90 g</t>
  </si>
  <si>
    <t>Desupre D3 Gotas 2.000 UI 20 ml (Suplemento Vitamina D)</t>
  </si>
  <si>
    <t>Apetifer 240ml Morango (Citrato de Ferro + Vitaminas)</t>
  </si>
  <si>
    <t>Pedhidrate Mais (Sabor Morango 450 ml)</t>
  </si>
  <si>
    <t>Pedhidrate Mais (Sabor Natural 450 ml)</t>
  </si>
  <si>
    <t>Pedhidrate Mais (Sabor Uva 450 ml)</t>
  </si>
  <si>
    <t>PlantaGold c/ 10 sachês 5gr Sem Sabor</t>
  </si>
  <si>
    <t>PlantaGold c/ 30 sachês 5gr Sem Sabor</t>
  </si>
  <si>
    <t>Sabonete Aroeira Líquido 200 ml.</t>
  </si>
  <si>
    <t>Apetifer 240ml Uva</t>
  </si>
  <si>
    <t>Benetônico 500ml</t>
  </si>
  <si>
    <t>Bioforzan 400ml Morango</t>
  </si>
  <si>
    <t>Bioforzan 400ml Uva</t>
  </si>
  <si>
    <t>BioPantovit Boldo 10ml c/ 60 Flac.</t>
  </si>
  <si>
    <t>BioPantovit Boldo 150ml.</t>
  </si>
  <si>
    <t>Calciviron 600 + Vit. D c/ 60 Comp.</t>
  </si>
  <si>
    <t>Creme de Arnica 60gr</t>
  </si>
  <si>
    <t>Creme de Castanha da Índia 60gr</t>
  </si>
  <si>
    <t>Lactugold Ameixa 120ml</t>
  </si>
  <si>
    <t xml:space="preserve">Lactugold Frutas Vermelhas 120ml </t>
  </si>
  <si>
    <t>Perilac Lactitol Solução Oral 240 ml</t>
  </si>
  <si>
    <t>Tamarinat Fibras KD Sabor Morango 240 ml</t>
  </si>
  <si>
    <t>Complexo B Concentrado com 20 Comprimidos</t>
  </si>
  <si>
    <t>Melatonina Gotas 20 ml</t>
  </si>
  <si>
    <t>Peptinon com 30 Comprimidos</t>
  </si>
  <si>
    <t>Tongivit Premium com 60 Comprimidos</t>
  </si>
  <si>
    <t>Tongivit Homem com 60 Comprimidos</t>
  </si>
  <si>
    <t>Tongivit Memoria com 60 Comprimidos</t>
  </si>
  <si>
    <t>INKAFARMA</t>
  </si>
  <si>
    <t>Sabonete Acnol Carvão Ativado 90 Gramas</t>
  </si>
  <si>
    <t>Sabonete Acnol Cremoso 90 Gramas</t>
  </si>
  <si>
    <t>Sabonete Acnol Esfoliante 90 Gramas</t>
  </si>
  <si>
    <t xml:space="preserve">Peptinon Solução Oral - 60 Flaconetes de 10 Ml </t>
  </si>
  <si>
    <t xml:space="preserve">Peptinon Solução Oral 100 Ml </t>
  </si>
  <si>
    <t>Shampoo de Cetoconazol Clean Hair 100 ml</t>
  </si>
  <si>
    <t>Sabonete Acnol 90g (Sabonete de Anti-Acne)</t>
  </si>
  <si>
    <t>Pró-Cálcio D3 500 mg c/120 Cápsulas</t>
  </si>
  <si>
    <t>Peptinon Solução Oral - 12 Flaconetes de 10 Ml</t>
  </si>
  <si>
    <t>Camomine Mais + Vitaminas  c/ 20 Caps.</t>
  </si>
  <si>
    <t>Biotina 45 mcg c/60 Comprimidos</t>
  </si>
  <si>
    <t>Halinat Antisseptico Bucal Cool Mint 500 Ml</t>
  </si>
  <si>
    <t>Halinat Antisseptico Bucal Menta Suave 500 Ml</t>
  </si>
  <si>
    <t xml:space="preserve">Perionat Solução Bucal c/Alcool 250 Ml </t>
  </si>
  <si>
    <t xml:space="preserve">Perionat Solução Bucal S/Alcool 250 Ml </t>
  </si>
  <si>
    <t>CONSULTA CÓDIGO DE BARRA</t>
  </si>
  <si>
    <t>CÓDIGO</t>
  </si>
  <si>
    <t>PRODUTO</t>
  </si>
  <si>
    <t>EAN UNIT.</t>
  </si>
  <si>
    <t>EAN DISPLAY</t>
  </si>
  <si>
    <t>DUM 14</t>
  </si>
  <si>
    <t>7789827771314 1</t>
  </si>
  <si>
    <t>7 789827771373 8</t>
  </si>
  <si>
    <t>3 789827771104 0</t>
  </si>
  <si>
    <t>4 789827771441 3</t>
  </si>
  <si>
    <t>4 789827771249 5</t>
  </si>
  <si>
    <t>3 789827771291 7</t>
  </si>
  <si>
    <t>7 89827771528 3</t>
  </si>
  <si>
    <t>7 789827771528 2</t>
  </si>
  <si>
    <t>4 789827771271 6</t>
  </si>
  <si>
    <t>3 789827771417 1</t>
  </si>
  <si>
    <t>3 789827771302 0</t>
  </si>
  <si>
    <t>6 789827771489 9</t>
  </si>
  <si>
    <t>3 789827771321 1</t>
  </si>
  <si>
    <t>7 789827771488 9</t>
  </si>
  <si>
    <t>7 789827771326 4</t>
  </si>
  <si>
    <t>7 789827771325 7</t>
  </si>
  <si>
    <t>7 789827771327 1</t>
  </si>
  <si>
    <t>4 789827771333 1</t>
  </si>
  <si>
    <t>6 789827771269 7</t>
  </si>
  <si>
    <t>6 78982777268 0</t>
  </si>
  <si>
    <t>3 789827771435 5</t>
  </si>
  <si>
    <t>3 789827771424 9</t>
  </si>
  <si>
    <t>7 789827771306 6</t>
  </si>
  <si>
    <t>7 789827771377 6</t>
  </si>
  <si>
    <t>7 789827771442 1</t>
  </si>
  <si>
    <t>7 789827771108 6</t>
  </si>
  <si>
    <t>7 789827771400 1</t>
  </si>
  <si>
    <t>4 789827771247 1</t>
  </si>
  <si>
    <t>4 789827771248 8</t>
  </si>
  <si>
    <t>4 789827771440 6</t>
  </si>
  <si>
    <t>789827771 5085</t>
  </si>
  <si>
    <t>7 789827771508 4</t>
  </si>
  <si>
    <t>7 789827771317 2</t>
  </si>
  <si>
    <t>3 789827771430 0</t>
  </si>
  <si>
    <t>3 789827771359 4</t>
  </si>
  <si>
    <t>7 789827771436 0</t>
  </si>
  <si>
    <t>0 789827771437 8</t>
  </si>
  <si>
    <t>3 789827771382 2</t>
  </si>
  <si>
    <t>3 789827771381 5</t>
  </si>
  <si>
    <t>3 789827771380 8</t>
  </si>
  <si>
    <t>789827771 4842</t>
  </si>
  <si>
    <t>3 789827771484 3</t>
  </si>
  <si>
    <t>7 898277715115</t>
  </si>
  <si>
    <t>7 89827771511 5</t>
  </si>
  <si>
    <t>789827771512 2</t>
  </si>
  <si>
    <t>9789827771512 5</t>
  </si>
  <si>
    <t>4 789827771510 6</t>
  </si>
  <si>
    <t>7 789827771383 7</t>
  </si>
  <si>
    <t>4 789827771384 3</t>
  </si>
  <si>
    <t>5 789827771287 4</t>
  </si>
  <si>
    <t>3 789827771288 7</t>
  </si>
  <si>
    <t>3 789827771453 9</t>
  </si>
  <si>
    <t>5 789827771446 5</t>
  </si>
  <si>
    <t>3 789827771288 8</t>
  </si>
  <si>
    <t>3 789827771452 2</t>
  </si>
  <si>
    <t>6 789827771411 0</t>
  </si>
  <si>
    <t>4 789827771431 4</t>
  </si>
  <si>
    <t>6 789827771033 4</t>
  </si>
  <si>
    <t>6 789827771485 1</t>
  </si>
  <si>
    <t>6 789827771486 8</t>
  </si>
  <si>
    <t>6 789827771487 5</t>
  </si>
  <si>
    <t>6 789827771095 2</t>
  </si>
  <si>
    <t>3 789827771289 1</t>
  </si>
  <si>
    <t>6 789827771142 3</t>
  </si>
  <si>
    <t>6 789827771444 8</t>
  </si>
  <si>
    <t>6 789827771445 5</t>
  </si>
  <si>
    <t>6 789827771124 9</t>
  </si>
  <si>
    <t>4 789827771527 4</t>
  </si>
  <si>
    <t>3 789827771429 4</t>
  </si>
  <si>
    <t>7 789827771330 1</t>
  </si>
  <si>
    <t>4 789827771331 7</t>
  </si>
  <si>
    <t>4 789827771449 9</t>
  </si>
  <si>
    <t>0 789827771476 7</t>
  </si>
  <si>
    <t>3 789827771370 9</t>
  </si>
  <si>
    <t>3 789827771376 1</t>
  </si>
  <si>
    <t>3 789827771450 8</t>
  </si>
  <si>
    <t>3 789827771451 5</t>
  </si>
  <si>
    <t>3 789827771371 6</t>
  </si>
  <si>
    <t>3 789827771413 3</t>
  </si>
  <si>
    <t>3 789827771372 3</t>
  </si>
  <si>
    <t>7898277713166</t>
  </si>
  <si>
    <t>7 789827771332 5</t>
  </si>
  <si>
    <t>04109000</t>
  </si>
  <si>
    <t>21069030</t>
  </si>
  <si>
    <t>CLASSIFICAÇÃO FISCAL</t>
  </si>
  <si>
    <t>ICMS</t>
  </si>
  <si>
    <t>IPI</t>
  </si>
  <si>
    <t>MVA</t>
  </si>
  <si>
    <t>INTERESTADUAL</t>
  </si>
  <si>
    <t>d/c</t>
  </si>
  <si>
    <t xml:space="preserve">PRÓ-ENTERIN FLACONETE 10 ML </t>
  </si>
  <si>
    <t>KALFIRM SUSPENSAO ORAL 250 ML</t>
  </si>
  <si>
    <t xml:space="preserve">EAN </t>
  </si>
  <si>
    <t xml:space="preserve">
7898277715122 </t>
  </si>
  <si>
    <t>7898277712 459</t>
  </si>
  <si>
    <t>789827771 4767</t>
  </si>
  <si>
    <t>Calnativa com 20 Comprimidos</t>
  </si>
  <si>
    <t>Bioforzan Tradicional  400ml</t>
  </si>
  <si>
    <t xml:space="preserve">DESUPRE KIDS D3 200 UI GOTAS 20 ML </t>
  </si>
  <si>
    <t>B 12 - METILCOBALAMINA S/ FRUTAS GOTAS 20 ML</t>
  </si>
  <si>
    <t xml:space="preserve">B 9 METILFOLATO SABOR LARANJA GOTAS 20 ML </t>
  </si>
  <si>
    <t>OSSOVIT GESTANTE 500 MG COM 60 COMPRIMIDOS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</si>
</sst>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"/>
    <numFmt numFmtId="165" formatCode="dd/mm/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color theme="6" tint="-0.49998474074526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9"/>
      <color rgb="FFFF0000"/>
      <name val="Arial"/>
      <family val="2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9"/>
      <color indexed="8"/>
      <name val="Arial"/>
      <family val="1"/>
    </font>
    <font>
      <b/>
      <sz val="9"/>
      <color rgb="FFFF0000"/>
      <name val="Arial"/>
      <family val="1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name val="Arial"/>
      <family val="2"/>
    </font>
    <font>
      <b/>
      <sz val="6"/>
      <name val="Arial"/>
      <family val="2"/>
    </font>
    <font>
      <b/>
      <sz val="10"/>
      <name val="Calibri"/>
      <family val="2"/>
      <scheme val="minor"/>
    </font>
    <font>
      <b/>
      <sz val="14"/>
      <color theme="1"/>
      <name val="Arial"/>
      <family val="2"/>
    </font>
    <font>
      <sz val="9"/>
      <color rgb="FF000000"/>
      <name val="Arial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31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644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2" fontId="2" fillId="0" borderId="0"/>
    <xf numFmtId="0" fontId="1" fillId="0" borderId="0"/>
  </cellStyleXfs>
  <cellXfs count="103">
    <xf numFmtId="0" fontId="0" fillId="0" borderId="0" xfId="0"/>
    <xf numFmtId="4" fontId="6" fillId="3" borderId="12" xfId="0" applyNumberFormat="1" applyFont="1" applyFill="1" applyBorder="1" applyAlignment="1">
      <alignment horizontal="center" vertical="center"/>
    </xf>
    <xf numFmtId="4" fontId="7" fillId="3" borderId="12" xfId="0" applyNumberFormat="1" applyFont="1" applyFill="1" applyBorder="1" applyAlignment="1">
      <alignment horizontal="center" vertical="center"/>
    </xf>
    <xf numFmtId="4" fontId="6" fillId="3" borderId="11" xfId="0" applyNumberFormat="1" applyFont="1" applyFill="1" applyBorder="1" applyAlignment="1">
      <alignment horizontal="center" vertical="center"/>
    </xf>
    <xf numFmtId="4" fontId="7" fillId="3" borderId="11" xfId="0" applyNumberFormat="1" applyFont="1" applyFill="1" applyBorder="1" applyAlignment="1">
      <alignment horizontal="center" vertical="center"/>
    </xf>
    <xf numFmtId="0" fontId="8" fillId="0" borderId="2" xfId="0" applyFont="1" applyBorder="1" applyProtection="1">
      <protection locked="0"/>
    </xf>
    <xf numFmtId="2" fontId="9" fillId="0" borderId="1" xfId="2" applyFont="1" applyBorder="1"/>
    <xf numFmtId="0" fontId="9" fillId="0" borderId="2" xfId="2" applyNumberFormat="1" applyFont="1" applyBorder="1" applyAlignment="1">
      <alignment horizontal="center"/>
    </xf>
    <xf numFmtId="44" fontId="5" fillId="0" borderId="2" xfId="1" applyFont="1" applyBorder="1" applyAlignment="1">
      <alignment horizontal="center" vertical="center"/>
    </xf>
    <xf numFmtId="1" fontId="9" fillId="0" borderId="2" xfId="2" applyNumberFormat="1" applyFont="1" applyBorder="1" applyAlignment="1">
      <alignment horizontal="center"/>
    </xf>
    <xf numFmtId="0" fontId="9" fillId="0" borderId="1" xfId="0" applyFont="1" applyBorder="1"/>
    <xf numFmtId="2" fontId="10" fillId="0" borderId="1" xfId="2" applyFont="1" applyBorder="1" applyAlignment="1">
      <alignment horizontal="left"/>
    </xf>
    <xf numFmtId="1" fontId="10" fillId="0" borderId="2" xfId="2" applyNumberFormat="1" applyFont="1" applyBorder="1" applyAlignment="1">
      <alignment horizontal="center"/>
    </xf>
    <xf numFmtId="2" fontId="10" fillId="0" borderId="1" xfId="2" applyFont="1" applyBorder="1"/>
    <xf numFmtId="164" fontId="11" fillId="4" borderId="2" xfId="0" applyNumberFormat="1" applyFont="1" applyFill="1" applyBorder="1" applyAlignment="1">
      <alignment horizontal="center" vertical="center"/>
    </xf>
    <xf numFmtId="164" fontId="11" fillId="4" borderId="1" xfId="0" applyNumberFormat="1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vertical="center" wrapText="1"/>
    </xf>
    <xf numFmtId="0" fontId="13" fillId="4" borderId="2" xfId="0" applyFont="1" applyFill="1" applyBorder="1" applyAlignment="1">
      <alignment horizontal="center" vertical="center"/>
    </xf>
    <xf numFmtId="0" fontId="8" fillId="0" borderId="0" xfId="0" applyFont="1"/>
    <xf numFmtId="0" fontId="6" fillId="2" borderId="2" xfId="0" applyFont="1" applyFill="1" applyBorder="1" applyAlignment="1">
      <alignment horizontal="center"/>
    </xf>
    <xf numFmtId="3" fontId="13" fillId="4" borderId="2" xfId="0" applyNumberFormat="1" applyFont="1" applyFill="1" applyBorder="1" applyAlignment="1">
      <alignment horizontal="center" vertical="center"/>
    </xf>
    <xf numFmtId="3" fontId="8" fillId="0" borderId="0" xfId="0" applyNumberFormat="1" applyFont="1"/>
    <xf numFmtId="0" fontId="5" fillId="2" borderId="2" xfId="0" applyFont="1" applyFill="1" applyBorder="1" applyAlignment="1">
      <alignment horizontal="left"/>
    </xf>
    <xf numFmtId="165" fontId="5" fillId="2" borderId="2" xfId="0" applyNumberFormat="1" applyFont="1" applyFill="1" applyBorder="1" applyAlignment="1">
      <alignment horizontal="left" vertical="center"/>
    </xf>
    <xf numFmtId="44" fontId="7" fillId="4" borderId="2" xfId="1" applyFont="1" applyFill="1" applyBorder="1" applyAlignment="1">
      <alignment horizontal="center" vertical="center"/>
    </xf>
    <xf numFmtId="3" fontId="7" fillId="0" borderId="2" xfId="0" applyNumberFormat="1" applyFont="1" applyBorder="1" applyAlignment="1" applyProtection="1">
      <alignment horizontal="center" vertical="center"/>
      <protection locked="0"/>
    </xf>
    <xf numFmtId="44" fontId="8" fillId="0" borderId="2" xfId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left"/>
      <protection locked="0"/>
    </xf>
    <xf numFmtId="2" fontId="9" fillId="0" borderId="0" xfId="2" applyFont="1"/>
    <xf numFmtId="0" fontId="7" fillId="3" borderId="3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44" fontId="7" fillId="0" borderId="2" xfId="1" applyFont="1" applyBorder="1" applyAlignment="1" applyProtection="1">
      <alignment horizontal="center" vertical="center"/>
      <protection locked="0"/>
    </xf>
    <xf numFmtId="10" fontId="7" fillId="0" borderId="2" xfId="0" applyNumberFormat="1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10" fillId="2" borderId="2" xfId="0" applyFont="1" applyFill="1" applyBorder="1" applyProtection="1">
      <protection locked="0"/>
    </xf>
    <xf numFmtId="2" fontId="9" fillId="0" borderId="17" xfId="2" applyFont="1" applyBorder="1"/>
    <xf numFmtId="0" fontId="10" fillId="0" borderId="0" xfId="0" applyFont="1"/>
    <xf numFmtId="0" fontId="0" fillId="0" borderId="2" xfId="0" applyBorder="1" applyAlignment="1">
      <alignment horizontal="left"/>
    </xf>
    <xf numFmtId="0" fontId="15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2" fontId="5" fillId="0" borderId="1" xfId="2" applyFont="1" applyBorder="1"/>
    <xf numFmtId="2" fontId="5" fillId="0" borderId="0" xfId="2" applyFont="1"/>
    <xf numFmtId="0" fontId="14" fillId="0" borderId="2" xfId="0" applyFont="1" applyBorder="1" applyProtection="1">
      <protection locked="0"/>
    </xf>
    <xf numFmtId="0" fontId="5" fillId="0" borderId="1" xfId="0" applyFont="1" applyBorder="1"/>
    <xf numFmtId="0" fontId="5" fillId="0" borderId="2" xfId="2" applyNumberFormat="1" applyFont="1" applyBorder="1" applyAlignment="1">
      <alignment horizontal="center"/>
    </xf>
    <xf numFmtId="0" fontId="16" fillId="0" borderId="2" xfId="0" applyFont="1" applyBorder="1" applyAlignment="1">
      <alignment vertical="center"/>
    </xf>
    <xf numFmtId="2" fontId="9" fillId="2" borderId="1" xfId="2" applyFont="1" applyFill="1" applyBorder="1"/>
    <xf numFmtId="0" fontId="0" fillId="0" borderId="6" xfId="0" applyBorder="1" applyAlignment="1">
      <alignment horizontal="left" indent="1"/>
    </xf>
    <xf numFmtId="1" fontId="16" fillId="2" borderId="2" xfId="0" applyNumberFormat="1" applyFont="1" applyFill="1" applyBorder="1" applyAlignment="1">
      <alignment horizontal="right" vertical="center"/>
    </xf>
    <xf numFmtId="0" fontId="16" fillId="2" borderId="7" xfId="0" applyFont="1" applyFill="1" applyBorder="1" applyAlignment="1">
      <alignment horizontal="right" vertical="center"/>
    </xf>
    <xf numFmtId="0" fontId="0" fillId="0" borderId="2" xfId="0" applyBorder="1"/>
    <xf numFmtId="0" fontId="0" fillId="0" borderId="2" xfId="0" applyBorder="1" applyAlignment="1">
      <alignment horizontal="left" indent="1"/>
    </xf>
    <xf numFmtId="1" fontId="16" fillId="2" borderId="17" xfId="0" applyNumberFormat="1" applyFont="1" applyFill="1" applyBorder="1" applyAlignment="1">
      <alignment horizontal="right" vertical="center" wrapText="1"/>
    </xf>
    <xf numFmtId="1" fontId="16" fillId="2" borderId="18" xfId="0" applyNumberFormat="1" applyFont="1" applyFill="1" applyBorder="1" applyAlignment="1">
      <alignment horizontal="right" vertical="center" wrapText="1"/>
    </xf>
    <xf numFmtId="1" fontId="16" fillId="2" borderId="2" xfId="0" applyNumberFormat="1" applyFont="1" applyFill="1" applyBorder="1" applyAlignment="1">
      <alignment horizontal="right" vertical="center" wrapText="1"/>
    </xf>
    <xf numFmtId="1" fontId="16" fillId="2" borderId="0" xfId="0" applyNumberFormat="1" applyFont="1" applyFill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0" fillId="2" borderId="2" xfId="0" applyFill="1" applyBorder="1" applyProtection="1">
      <protection locked="0"/>
    </xf>
    <xf numFmtId="0" fontId="0" fillId="0" borderId="2" xfId="0" applyBorder="1" applyAlignment="1" applyProtection="1">
      <alignment horizontal="left" indent="1"/>
      <protection locked="0"/>
    </xf>
    <xf numFmtId="1" fontId="16" fillId="2" borderId="7" xfId="0" applyNumberFormat="1" applyFont="1" applyFill="1" applyBorder="1" applyAlignment="1">
      <alignment horizontal="right" vertical="center"/>
    </xf>
    <xf numFmtId="0" fontId="0" fillId="0" borderId="7" xfId="0" applyBorder="1"/>
    <xf numFmtId="0" fontId="0" fillId="0" borderId="2" xfId="0" applyBorder="1" applyAlignment="1">
      <alignment horizontal="right"/>
    </xf>
    <xf numFmtId="2" fontId="0" fillId="0" borderId="2" xfId="0" applyNumberFormat="1" applyBorder="1"/>
    <xf numFmtId="0" fontId="16" fillId="0" borderId="0" xfId="0" applyFont="1"/>
    <xf numFmtId="0" fontId="17" fillId="5" borderId="2" xfId="0" applyFont="1" applyFill="1" applyBorder="1" applyAlignment="1" applyProtection="1">
      <alignment horizontal="center" vertical="center"/>
      <protection locked="0"/>
    </xf>
    <xf numFmtId="0" fontId="17" fillId="6" borderId="2" xfId="0" applyFont="1" applyFill="1" applyBorder="1"/>
    <xf numFmtId="0" fontId="17" fillId="6" borderId="7" xfId="0" applyFont="1" applyFill="1" applyBorder="1"/>
    <xf numFmtId="0" fontId="16" fillId="0" borderId="2" xfId="0" applyFont="1" applyBorder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0" fontId="9" fillId="7" borderId="2" xfId="1" applyNumberFormat="1" applyFont="1" applyFill="1" applyBorder="1" applyAlignment="1" applyProtection="1">
      <alignment horizontal="center" vertical="center"/>
      <protection locked="0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2" fontId="6" fillId="0" borderId="1" xfId="2" applyFont="1" applyBorder="1"/>
    <xf numFmtId="1" fontId="20" fillId="2" borderId="16" xfId="0" applyNumberFormat="1" applyFont="1" applyFill="1" applyBorder="1" applyAlignment="1" applyProtection="1">
      <alignment horizontal="center" vertical="center"/>
      <protection locked="0"/>
    </xf>
    <xf numFmtId="1" fontId="21" fillId="0" borderId="2" xfId="0" applyNumberFormat="1" applyFont="1" applyBorder="1" applyAlignment="1" applyProtection="1">
      <alignment horizontal="center" vertical="center"/>
      <protection locked="0"/>
    </xf>
    <xf numFmtId="1" fontId="10" fillId="7" borderId="2" xfId="0" applyNumberFormat="1" applyFont="1" applyFill="1" applyBorder="1" applyAlignment="1" applyProtection="1">
      <alignment horizontal="center" vertical="center"/>
      <protection locked="0"/>
    </xf>
    <xf numFmtId="1" fontId="22" fillId="7" borderId="2" xfId="0" applyNumberFormat="1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 applyProtection="1">
      <alignment horizontal="center" vertical="center"/>
      <protection locked="0"/>
    </xf>
    <xf numFmtId="1" fontId="10" fillId="7" borderId="0" xfId="0" applyNumberFormat="1" applyFont="1" applyFill="1" applyAlignment="1">
      <alignment horizontal="center"/>
    </xf>
    <xf numFmtId="1" fontId="22" fillId="7" borderId="2" xfId="0" applyNumberFormat="1" applyFont="1" applyFill="1" applyBorder="1" applyAlignment="1">
      <alignment horizontal="center" wrapText="1"/>
    </xf>
    <xf numFmtId="0" fontId="14" fillId="0" borderId="12" xfId="0" applyFont="1" applyBorder="1" applyAlignment="1" applyProtection="1">
      <alignment horizontal="left" vertical="top"/>
      <protection locked="0"/>
    </xf>
    <xf numFmtId="0" fontId="14" fillId="0" borderId="13" xfId="0" applyFont="1" applyBorder="1" applyAlignment="1" applyProtection="1">
      <alignment horizontal="left" vertical="top"/>
      <protection locked="0"/>
    </xf>
    <xf numFmtId="0" fontId="14" fillId="0" borderId="4" xfId="0" applyFont="1" applyBorder="1" applyAlignment="1" applyProtection="1">
      <alignment horizontal="left" vertical="top"/>
      <protection locked="0"/>
    </xf>
    <xf numFmtId="0" fontId="14" fillId="0" borderId="14" xfId="0" applyFont="1" applyBorder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left" vertical="top"/>
      <protection locked="0"/>
    </xf>
    <xf numFmtId="0" fontId="14" fillId="0" borderId="15" xfId="0" applyFont="1" applyBorder="1" applyAlignment="1" applyProtection="1">
      <alignment horizontal="left" vertical="top"/>
      <protection locked="0"/>
    </xf>
    <xf numFmtId="0" fontId="14" fillId="0" borderId="11" xfId="0" applyFont="1" applyBorder="1" applyAlignment="1" applyProtection="1">
      <alignment horizontal="left" vertical="top"/>
      <protection locked="0"/>
    </xf>
    <xf numFmtId="0" fontId="14" fillId="0" borderId="16" xfId="0" applyFont="1" applyBorder="1" applyAlignment="1" applyProtection="1">
      <alignment horizontal="left" vertical="top"/>
      <protection locked="0"/>
    </xf>
    <xf numFmtId="0" fontId="14" fillId="0" borderId="10" xfId="0" applyFont="1" applyBorder="1" applyAlignment="1" applyProtection="1">
      <alignment horizontal="left" vertical="top"/>
      <protection locked="0"/>
    </xf>
    <xf numFmtId="0" fontId="7" fillId="3" borderId="3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7" xfId="0" applyFont="1" applyBorder="1" applyAlignment="1" applyProtection="1">
      <alignment horizontal="left"/>
      <protection locked="0"/>
    </xf>
    <xf numFmtId="0" fontId="4" fillId="0" borderId="5" xfId="0" applyFont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0" fillId="0" borderId="16" xfId="0" applyBorder="1" applyAlignment="1">
      <alignment horizontal="center"/>
    </xf>
  </cellXfs>
  <cellStyles count="4">
    <cellStyle name="Moeda" xfId="1" builtinId="4"/>
    <cellStyle name="Normal" xfId="0" builtinId="0"/>
    <cellStyle name="Normal 2" xfId="3" xr:uid="{00000000-0005-0000-0000-000002000000}"/>
    <cellStyle name="Normal_Plan1" xfId="2" xr:uid="{00000000-0005-0000-0000-000003000000}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hair">
          <color indexed="64"/>
        </bottom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:\A%20VELTOFARMA%20ERIVELTO\Arte%20Nativa\PEDIDOS\PEDIDOS%202.024\PLANILHA%20ARTE%20NATIVA%20-%205.1.xlsm" TargetMode="External"/><Relationship Id="rId1" Type="http://schemas.openxmlformats.org/officeDocument/2006/relationships/externalLinkPath" Target="/Users/FAT005/AppData/Local/Microsoft/Windows/INetCache/Content.Outlook/DEO2FJRS/PLANILHA%20ARTE%20NATIVA%20-%205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edido"/>
      <sheetName val="Consulta"/>
      <sheetName val="CODIGO DE BARRA E DUM 14"/>
      <sheetName val="Prazos Pagto"/>
      <sheetName val="IMPRESSÃO"/>
      <sheetName val="TABELAS ATUALIZADAS"/>
      <sheetName val="Livre"/>
      <sheetName val="Tabelas 1 2 3"/>
      <sheetName val="Custo"/>
      <sheetName val="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>
            <v>2416</v>
          </cell>
          <cell r="B2" t="str">
            <v>ADEMIL GOTAS 20ML</v>
          </cell>
          <cell r="C2">
            <v>2.0499999999999998</v>
          </cell>
        </row>
        <row r="3">
          <cell r="A3">
            <v>3924</v>
          </cell>
          <cell r="B3" t="str">
            <v>AFT RUB SPRAY ROSA RUBRA  30ML</v>
          </cell>
          <cell r="C3">
            <v>2.2395</v>
          </cell>
        </row>
        <row r="4">
          <cell r="A4">
            <v>3</v>
          </cell>
          <cell r="B4" t="str">
            <v>ALHONAT 250MG</v>
          </cell>
          <cell r="C4">
            <v>1.96</v>
          </cell>
        </row>
        <row r="5">
          <cell r="A5">
            <v>5017</v>
          </cell>
          <cell r="B5" t="str">
            <v>APETIFERR B+C MORANGO 240ML</v>
          </cell>
          <cell r="C5">
            <v>1.75</v>
          </cell>
        </row>
        <row r="6">
          <cell r="A6">
            <v>936</v>
          </cell>
          <cell r="B6" t="str">
            <v>APETIFERR B+C UVA 240ML</v>
          </cell>
          <cell r="C6">
            <v>1.75</v>
          </cell>
        </row>
        <row r="7">
          <cell r="A7">
            <v>2171</v>
          </cell>
          <cell r="B7" t="str">
            <v xml:space="preserve">APIS FRESH SPRAY EXTRA FORTE </v>
          </cell>
          <cell r="C7">
            <v>1.70564</v>
          </cell>
        </row>
        <row r="8">
          <cell r="A8">
            <v>53</v>
          </cell>
          <cell r="B8" t="str">
            <v>APIS FRESH SPRAY MEL C/ PROPOLIS</v>
          </cell>
          <cell r="C8">
            <v>1.37</v>
          </cell>
        </row>
        <row r="9">
          <cell r="A9">
            <v>55</v>
          </cell>
          <cell r="B9" t="str">
            <v>APIS FRESH SPRAY MEL C/ PROPOLIS  MENTA</v>
          </cell>
          <cell r="C9">
            <v>1.4</v>
          </cell>
        </row>
        <row r="10">
          <cell r="A10">
            <v>54</v>
          </cell>
          <cell r="B10" t="str">
            <v>APIS FRESH SPRAY MEL C/ PROPOLIS GENGIBRE</v>
          </cell>
          <cell r="C10">
            <v>1.4</v>
          </cell>
        </row>
        <row r="11">
          <cell r="A11">
            <v>56</v>
          </cell>
          <cell r="B11" t="str">
            <v>APIS FRESH SPRAY MEL C/ PROPOLIS ROMÃ</v>
          </cell>
          <cell r="C11">
            <v>1.4</v>
          </cell>
        </row>
        <row r="12">
          <cell r="A12">
            <v>2169</v>
          </cell>
          <cell r="B12" t="str">
            <v>BENETONICO 500ML</v>
          </cell>
          <cell r="C12">
            <v>2.49112</v>
          </cell>
        </row>
        <row r="13">
          <cell r="A13">
            <v>6396</v>
          </cell>
          <cell r="B13" t="str">
            <v>BIOTINA 45mcg 60 COMPRIMIDOS</v>
          </cell>
          <cell r="C13">
            <v>1.75</v>
          </cell>
        </row>
        <row r="14">
          <cell r="A14">
            <v>1180</v>
          </cell>
          <cell r="B14" t="str">
            <v>BIO PANTOVIT 10ML</v>
          </cell>
          <cell r="C14">
            <v>13.35</v>
          </cell>
        </row>
        <row r="15">
          <cell r="A15">
            <v>1272</v>
          </cell>
          <cell r="B15" t="str">
            <v>BIO PANTOVIT 150ML</v>
          </cell>
          <cell r="C15">
            <v>1.98</v>
          </cell>
        </row>
        <row r="16">
          <cell r="A16">
            <v>981</v>
          </cell>
          <cell r="B16" t="str">
            <v>BIOFORZAN 400ML</v>
          </cell>
          <cell r="C16">
            <v>1.4</v>
          </cell>
        </row>
        <row r="17">
          <cell r="A17">
            <v>4458</v>
          </cell>
          <cell r="B17" t="str">
            <v>BIOFORZAN MORANGO 400ML</v>
          </cell>
          <cell r="C17">
            <v>1.36</v>
          </cell>
        </row>
        <row r="18">
          <cell r="A18">
            <v>4506</v>
          </cell>
          <cell r="B18" t="str">
            <v>BIOFORZAN UVA 400ML</v>
          </cell>
          <cell r="C18">
            <v>1.36</v>
          </cell>
        </row>
        <row r="19">
          <cell r="A19">
            <v>2084</v>
          </cell>
          <cell r="B19" t="str">
            <v xml:space="preserve">CALCIVIRON 600 + VIT D C/ 60 </v>
          </cell>
          <cell r="C19">
            <v>4.87</v>
          </cell>
        </row>
        <row r="20">
          <cell r="A20">
            <v>5885</v>
          </cell>
          <cell r="B20" t="str">
            <v>CALMATIVA 20 COMPRIMIDOS</v>
          </cell>
          <cell r="C20">
            <v>2</v>
          </cell>
        </row>
        <row r="21">
          <cell r="A21">
            <v>2585</v>
          </cell>
          <cell r="B21" t="str">
            <v>CAMOMINE C 20 MAIS CAPSULAS</v>
          </cell>
          <cell r="C21">
            <v>1.9600599999999999</v>
          </cell>
        </row>
        <row r="22">
          <cell r="A22">
            <v>5714</v>
          </cell>
          <cell r="B22" t="str">
            <v>COMPLEXO B CONCENTRADO 20 COMPRIMIDOS</v>
          </cell>
          <cell r="C22">
            <v>1.68574</v>
          </cell>
        </row>
        <row r="23">
          <cell r="A23">
            <v>2813</v>
          </cell>
          <cell r="B23" t="str">
            <v>COMPLEXO B - 100 COMPRIMIDOS</v>
          </cell>
          <cell r="C23">
            <v>2.65</v>
          </cell>
        </row>
        <row r="24">
          <cell r="A24">
            <v>2814</v>
          </cell>
          <cell r="B24" t="str">
            <v>COMPLEXO B - 50 COMPRIMIDOS</v>
          </cell>
          <cell r="C24">
            <v>1.55</v>
          </cell>
        </row>
        <row r="25">
          <cell r="A25">
            <v>2977</v>
          </cell>
          <cell r="B25" t="str">
            <v>COMPLEXO B GOTAS 30ML</v>
          </cell>
          <cell r="C25">
            <v>0.90178000000000003</v>
          </cell>
        </row>
        <row r="26">
          <cell r="A26">
            <v>3950</v>
          </cell>
          <cell r="B26" t="str">
            <v>COMPLEXO B SOLUÇÃO ORAL 100ML</v>
          </cell>
          <cell r="C26">
            <v>1.1100000000000001</v>
          </cell>
        </row>
        <row r="27">
          <cell r="A27">
            <v>2076</v>
          </cell>
          <cell r="B27" t="str">
            <v>CREME DE ARNICA 60GR</v>
          </cell>
          <cell r="C27">
            <v>1.6</v>
          </cell>
        </row>
        <row r="28">
          <cell r="A28">
            <v>2077</v>
          </cell>
          <cell r="B28" t="str">
            <v xml:space="preserve">CREME DE CASTANHA DA INDIA </v>
          </cell>
          <cell r="C28">
            <v>1.6</v>
          </cell>
        </row>
        <row r="29">
          <cell r="A29">
            <v>4812</v>
          </cell>
          <cell r="B29" t="str">
            <v>DESUPRE 1.000UI 40 COMPRIMIDOS</v>
          </cell>
          <cell r="C29">
            <v>1.20784</v>
          </cell>
        </row>
        <row r="30">
          <cell r="A30">
            <v>4811</v>
          </cell>
          <cell r="B30" t="str">
            <v>DESUPRE 2.000UI 40 COMPRIMIDOS</v>
          </cell>
          <cell r="C30">
            <v>1.58</v>
          </cell>
        </row>
        <row r="31">
          <cell r="A31">
            <v>2407</v>
          </cell>
          <cell r="B31" t="str">
            <v>DESUPRE 200UI / GOTAS 20ML</v>
          </cell>
          <cell r="C31">
            <v>2.1</v>
          </cell>
        </row>
        <row r="32">
          <cell r="A32">
            <v>4798</v>
          </cell>
          <cell r="B32" t="str">
            <v>DESUPRE 500UI / GOTAS 20ML</v>
          </cell>
          <cell r="C32">
            <v>2.2400000000000002</v>
          </cell>
        </row>
        <row r="33">
          <cell r="A33">
            <v>5140</v>
          </cell>
          <cell r="B33" t="str">
            <v>DESUPRE 2.000UI / GOTAS 20ML</v>
          </cell>
          <cell r="C33">
            <v>3.25</v>
          </cell>
        </row>
        <row r="34">
          <cell r="A34">
            <v>3922</v>
          </cell>
          <cell r="B34" t="str">
            <v>EXTRATO DE PROPOLIS 20ML</v>
          </cell>
          <cell r="C34">
            <v>3.4</v>
          </cell>
        </row>
        <row r="35">
          <cell r="A35">
            <v>4445</v>
          </cell>
          <cell r="B35" t="str">
            <v>EXTRATO DE PROPOLIS AQUOSO 20ML</v>
          </cell>
          <cell r="C35">
            <v>4.45</v>
          </cell>
        </row>
        <row r="36">
          <cell r="A36">
            <v>10</v>
          </cell>
          <cell r="B36" t="str">
            <v>GUARACAO 500MG</v>
          </cell>
          <cell r="C36">
            <v>2.53579</v>
          </cell>
        </row>
        <row r="37">
          <cell r="A37">
            <v>12</v>
          </cell>
          <cell r="B37" t="str">
            <v>GUARACAO PO 50G</v>
          </cell>
          <cell r="C37">
            <v>4.1500000000000004</v>
          </cell>
        </row>
        <row r="38">
          <cell r="A38">
            <v>6489</v>
          </cell>
          <cell r="B38" t="str">
            <v>HALINAT ANTISSEPTICO BUCAL COOL MINT 500ML</v>
          </cell>
          <cell r="C38">
            <v>3.3</v>
          </cell>
        </row>
        <row r="39">
          <cell r="A39">
            <v>6490</v>
          </cell>
          <cell r="B39" t="str">
            <v>HALINAT ANTISSEPTICO BUCAL MENTA SUAVE 500ML</v>
          </cell>
          <cell r="C39">
            <v>2.7</v>
          </cell>
        </row>
        <row r="40">
          <cell r="A40">
            <v>940</v>
          </cell>
          <cell r="B40" t="str">
            <v>LACTUGOLD AMEIXA 120ML</v>
          </cell>
          <cell r="C40">
            <v>3.59884</v>
          </cell>
        </row>
        <row r="41">
          <cell r="A41">
            <v>941</v>
          </cell>
          <cell r="B41" t="str">
            <v>LACTUGOLD FRUTAS VERMELHAS  120ML</v>
          </cell>
          <cell r="C41">
            <v>3.6</v>
          </cell>
        </row>
        <row r="42">
          <cell r="A42">
            <v>4974</v>
          </cell>
          <cell r="B42" t="str">
            <v>LACTUGOLD SEM SABOR 120ML</v>
          </cell>
          <cell r="C42">
            <v>3.6379199999999998</v>
          </cell>
        </row>
        <row r="43">
          <cell r="A43">
            <v>5764</v>
          </cell>
          <cell r="B43" t="str">
            <v>MELATONINA GOTAS 20ML</v>
          </cell>
          <cell r="C43">
            <v>1.7</v>
          </cell>
        </row>
        <row r="44">
          <cell r="A44">
            <v>3912</v>
          </cell>
          <cell r="B44" t="str">
            <v>NEORUB 12G DISPLAY COM 12 FRASCOS</v>
          </cell>
          <cell r="C44">
            <v>13.56</v>
          </cell>
        </row>
        <row r="45">
          <cell r="A45">
            <v>3923</v>
          </cell>
          <cell r="B45" t="str">
            <v>NEORUB 40G DISPLAY COM 30 POTES</v>
          </cell>
          <cell r="C45">
            <v>56.1</v>
          </cell>
        </row>
        <row r="46">
          <cell r="A46">
            <v>2714</v>
          </cell>
          <cell r="B46" t="str">
            <v>NORIFER GOTAS 30 ML</v>
          </cell>
          <cell r="C46">
            <v>1.75</v>
          </cell>
        </row>
        <row r="47">
          <cell r="A47">
            <v>4801</v>
          </cell>
          <cell r="B47" t="str">
            <v>OSSOVIT 600+D3 400UI C/ 60 COMPRIMIDOS</v>
          </cell>
          <cell r="C47">
            <v>4.95</v>
          </cell>
        </row>
        <row r="48">
          <cell r="A48">
            <v>3762</v>
          </cell>
          <cell r="B48" t="str">
            <v>OSSOVIT 600+D3 200UI C/ 60 COMPRIMIDOS</v>
          </cell>
          <cell r="C48">
            <v>4.87</v>
          </cell>
        </row>
        <row r="49">
          <cell r="A49">
            <v>1179</v>
          </cell>
          <cell r="B49" t="str">
            <v>PANTOVIT 10ML ABACAXI</v>
          </cell>
          <cell r="C49">
            <v>9.8000000000000007</v>
          </cell>
        </row>
        <row r="50">
          <cell r="A50">
            <v>4949</v>
          </cell>
          <cell r="B50" t="str">
            <v>PEDIANUTRI GOTAS 20ML</v>
          </cell>
          <cell r="C50">
            <v>1.6087899999999999</v>
          </cell>
        </row>
        <row r="51">
          <cell r="A51">
            <v>4965</v>
          </cell>
          <cell r="B51" t="str">
            <v>PEDIANUTRI SOLUCAO ORAL 120ML</v>
          </cell>
          <cell r="C51">
            <v>3.1</v>
          </cell>
        </row>
        <row r="52">
          <cell r="A52">
            <v>5136</v>
          </cell>
          <cell r="B52" t="str">
            <v>PEDHIDRATE MAIS SABOR MORANGO 450ML</v>
          </cell>
          <cell r="C52">
            <v>1.85</v>
          </cell>
        </row>
        <row r="53">
          <cell r="A53">
            <v>5137</v>
          </cell>
          <cell r="B53" t="str">
            <v>PEDHIDRATE MAIS SABOR NATURAL 450ML</v>
          </cell>
          <cell r="C53">
            <v>1.85</v>
          </cell>
        </row>
        <row r="54">
          <cell r="A54">
            <v>5103</v>
          </cell>
          <cell r="B54" t="str">
            <v>PEDHIDRATE MAIS SABOR UVA 450ML</v>
          </cell>
          <cell r="C54">
            <v>1.85</v>
          </cell>
        </row>
        <row r="55">
          <cell r="A55">
            <v>5715</v>
          </cell>
          <cell r="B55" t="str">
            <v>PEPTINON 30 COMPRIMIDOS</v>
          </cell>
          <cell r="C55">
            <v>2.0499999999999998</v>
          </cell>
        </row>
        <row r="56">
          <cell r="A56">
            <v>6152</v>
          </cell>
          <cell r="B56" t="str">
            <v>PEPTINON SOLUCAO ORAL 60 FLACONETES 10ML</v>
          </cell>
          <cell r="C56">
            <v>13.72381</v>
          </cell>
        </row>
        <row r="57">
          <cell r="A57">
            <v>6151</v>
          </cell>
          <cell r="B57" t="str">
            <v>PEPTINON SOLUCAO ORAL 12 FLACONETES 10ML</v>
          </cell>
          <cell r="C57">
            <v>3.06</v>
          </cell>
        </row>
        <row r="58">
          <cell r="A58">
            <v>6150</v>
          </cell>
          <cell r="B58" t="str">
            <v>PEPTINON SOLUCAO ORAL 100ML</v>
          </cell>
          <cell r="C58">
            <v>1.65</v>
          </cell>
        </row>
        <row r="59">
          <cell r="A59">
            <v>4898</v>
          </cell>
          <cell r="B59" t="str">
            <v>PERILAC LACTITOL SOLUÇÃO ORAL 120ML</v>
          </cell>
          <cell r="C59">
            <v>3.85</v>
          </cell>
        </row>
        <row r="60">
          <cell r="A60">
            <v>4897</v>
          </cell>
          <cell r="B60" t="str">
            <v>PERILAC LACTITOL SOLUÇÃO ORAL 240ML</v>
          </cell>
          <cell r="C60">
            <v>7.6627799999999997</v>
          </cell>
        </row>
        <row r="61">
          <cell r="A61">
            <v>6492</v>
          </cell>
          <cell r="B61" t="str">
            <v>PERIONAT SOLUCAO BUCAL C/ ALCOOL 250ML</v>
          </cell>
          <cell r="C61">
            <v>2.15</v>
          </cell>
        </row>
        <row r="62">
          <cell r="A62">
            <v>6491</v>
          </cell>
          <cell r="B62" t="str">
            <v>PERIONAT SOLUCAO BUCAL S/ ALCOOL 250ML</v>
          </cell>
          <cell r="C62">
            <v>2.15</v>
          </cell>
        </row>
        <row r="63">
          <cell r="A63">
            <v>1807</v>
          </cell>
          <cell r="B63" t="str">
            <v>PLANTA GOLD 5G C/ 10 SACHES</v>
          </cell>
          <cell r="C63">
            <v>4.8448000000000002</v>
          </cell>
        </row>
        <row r="64">
          <cell r="A64">
            <v>1808</v>
          </cell>
          <cell r="B64" t="str">
            <v>PLANTA GOLD 5G C/ 30 SACHES</v>
          </cell>
          <cell r="C64">
            <v>13.8</v>
          </cell>
        </row>
        <row r="65">
          <cell r="A65">
            <v>5230</v>
          </cell>
          <cell r="B65" t="str">
            <v>PLANTA GOLD SABOR LARANJA 180G</v>
          </cell>
          <cell r="C65">
            <v>12.75</v>
          </cell>
        </row>
        <row r="66">
          <cell r="A66">
            <v>5138</v>
          </cell>
          <cell r="B66" t="str">
            <v>PLANTA GOLD SEM SABOR 10 SACHES 3,5G</v>
          </cell>
          <cell r="C66">
            <v>4.7</v>
          </cell>
        </row>
        <row r="67">
          <cell r="A67">
            <v>5139</v>
          </cell>
          <cell r="B67" t="str">
            <v>PLANTA GOLD SEM SABOR 30 SACHES 3,5G</v>
          </cell>
          <cell r="C67">
            <v>11.303890000000001</v>
          </cell>
        </row>
        <row r="68">
          <cell r="A68">
            <v>5229</v>
          </cell>
          <cell r="B68" t="str">
            <v>PLANTA GOLD SEM SABOR 140G</v>
          </cell>
          <cell r="C68">
            <v>11.4</v>
          </cell>
        </row>
        <row r="69">
          <cell r="A69">
            <v>4550</v>
          </cell>
          <cell r="B69" t="str">
            <v>POMADA BASILICAO 12G - DISPLAY C/ 12</v>
          </cell>
          <cell r="C69">
            <v>16</v>
          </cell>
        </row>
        <row r="70">
          <cell r="A70">
            <v>60</v>
          </cell>
          <cell r="B70" t="str">
            <v>PRO-CALCIO D3 500MG 30 CAPS.</v>
          </cell>
          <cell r="C70">
            <v>1.85</v>
          </cell>
        </row>
        <row r="71">
          <cell r="A71">
            <v>895</v>
          </cell>
          <cell r="B71" t="str">
            <v xml:space="preserve">PRO-CALCIO D3 500MG 60 CAPS. </v>
          </cell>
          <cell r="C71">
            <v>2.4</v>
          </cell>
        </row>
        <row r="72">
          <cell r="A72">
            <v>6388</v>
          </cell>
          <cell r="B72" t="str">
            <v>PRO-CALCIO D3 500MG 120 CAPS.</v>
          </cell>
          <cell r="C72">
            <v>3.9</v>
          </cell>
        </row>
        <row r="73">
          <cell r="A73">
            <v>4327</v>
          </cell>
          <cell r="B73" t="str">
            <v>PROPOSEP POMADA DE PROPOLIS 60G</v>
          </cell>
          <cell r="C73">
            <v>2.25</v>
          </cell>
        </row>
        <row r="74">
          <cell r="A74">
            <v>4687</v>
          </cell>
          <cell r="B74" t="str">
            <v>PROPOSEP XAROPE 150ML</v>
          </cell>
          <cell r="C74">
            <v>2.5876199999999998</v>
          </cell>
        </row>
        <row r="75">
          <cell r="A75">
            <v>49</v>
          </cell>
          <cell r="B75" t="str">
            <v>SABONETE ACNOL 90G</v>
          </cell>
          <cell r="C75">
            <v>1.6</v>
          </cell>
        </row>
        <row r="76">
          <cell r="A76">
            <v>5884</v>
          </cell>
          <cell r="B76" t="str">
            <v>SABONETE ACNOL CARVAO ATIVADO 90G</v>
          </cell>
          <cell r="C76">
            <v>1.75</v>
          </cell>
        </row>
        <row r="77">
          <cell r="A77">
            <v>5883</v>
          </cell>
          <cell r="B77" t="str">
            <v>SABONETE ACNOL CREMOSO 90G</v>
          </cell>
          <cell r="C77">
            <v>1.75</v>
          </cell>
        </row>
        <row r="78">
          <cell r="A78">
            <v>5882</v>
          </cell>
          <cell r="B78" t="str">
            <v>SABONETE ACNOL ESFOLIANTE 90G</v>
          </cell>
          <cell r="C78">
            <v>1.75</v>
          </cell>
        </row>
        <row r="79">
          <cell r="A79">
            <v>47</v>
          </cell>
          <cell r="B79" t="str">
            <v xml:space="preserve">SABONETE DE AROEIRA 100G </v>
          </cell>
          <cell r="C79">
            <v>1.6</v>
          </cell>
        </row>
        <row r="80">
          <cell r="A80">
            <v>1840</v>
          </cell>
          <cell r="B80" t="str">
            <v xml:space="preserve">SABONETE DE AROEIRA LIQUIDO </v>
          </cell>
          <cell r="C80">
            <v>1.8751</v>
          </cell>
        </row>
        <row r="81">
          <cell r="A81">
            <v>1237</v>
          </cell>
          <cell r="B81" t="str">
            <v>SABONETE DE COCO 100G</v>
          </cell>
          <cell r="C81">
            <v>1.55</v>
          </cell>
        </row>
        <row r="82">
          <cell r="A82">
            <v>5101</v>
          </cell>
          <cell r="B82" t="str">
            <v>SABONETE DE ENXOFRE 90G</v>
          </cell>
          <cell r="C82">
            <v>1.4</v>
          </cell>
        </row>
        <row r="83">
          <cell r="A83">
            <v>5102</v>
          </cell>
          <cell r="B83" t="str">
            <v>SABONETE DE ENXOFRE SULFUROSO 90G</v>
          </cell>
          <cell r="C83">
            <v>1.4</v>
          </cell>
        </row>
        <row r="84">
          <cell r="A84">
            <v>52</v>
          </cell>
          <cell r="B84" t="str">
            <v>SABONETE DE GLICERINA 100G</v>
          </cell>
          <cell r="C84">
            <v>0.99139999999999995</v>
          </cell>
        </row>
        <row r="85">
          <cell r="A85">
            <v>6348</v>
          </cell>
          <cell r="B85" t="str">
            <v>SHAMPOO DE CETOCONAZOL CLEAN HAIR 100ML</v>
          </cell>
          <cell r="C85">
            <v>2.6</v>
          </cell>
        </row>
        <row r="86">
          <cell r="A86">
            <v>4686</v>
          </cell>
          <cell r="B86" t="str">
            <v>SULFATO FERROSO 60 COMPRIMIDOS</v>
          </cell>
          <cell r="C86">
            <v>1.46</v>
          </cell>
        </row>
        <row r="87">
          <cell r="A87">
            <v>3808</v>
          </cell>
          <cell r="B87" t="str">
            <v>SULFATO FERROSO GOTAS 30ML</v>
          </cell>
          <cell r="C87">
            <v>0.80108000000000001</v>
          </cell>
        </row>
        <row r="88">
          <cell r="A88">
            <v>3949</v>
          </cell>
          <cell r="B88" t="str">
            <v>SULFATO FERROSO SOLUÇÃO ORAL 100ML</v>
          </cell>
          <cell r="C88">
            <v>1.1000000000000001</v>
          </cell>
        </row>
        <row r="89">
          <cell r="A89">
            <v>5276</v>
          </cell>
          <cell r="B89" t="str">
            <v>TAMARINAT FIBRAS KD SABOR MORANGO 240ML</v>
          </cell>
          <cell r="C89">
            <v>4.99</v>
          </cell>
        </row>
        <row r="90">
          <cell r="A90">
            <v>5713</v>
          </cell>
          <cell r="B90" t="str">
            <v>TONGIVIT PREMIUM 60 COMPRIMIDOS</v>
          </cell>
          <cell r="C90">
            <v>5.55</v>
          </cell>
        </row>
        <row r="91">
          <cell r="A91">
            <v>4516</v>
          </cell>
          <cell r="B91" t="str">
            <v>TONGIVIT A-Z 60 COMPRIMIDOS</v>
          </cell>
          <cell r="C91">
            <v>3.85</v>
          </cell>
        </row>
        <row r="92">
          <cell r="A92">
            <v>4507</v>
          </cell>
          <cell r="B92" t="str">
            <v>TONGIVIT HAIR C/ 30 CAPSULAS</v>
          </cell>
          <cell r="C92">
            <v>1.85</v>
          </cell>
        </row>
        <row r="93">
          <cell r="A93">
            <v>5228</v>
          </cell>
          <cell r="B93" t="str">
            <v>TONGIVIT HOMEM 60 COMPRIMIDOS</v>
          </cell>
          <cell r="C93">
            <v>4.0999999999999996</v>
          </cell>
        </row>
        <row r="94">
          <cell r="A94">
            <v>5227</v>
          </cell>
          <cell r="B94" t="str">
            <v>TONGIVIT MEMORIA 60 COMPRIMIDOS</v>
          </cell>
          <cell r="C94">
            <v>4.4000000000000004</v>
          </cell>
        </row>
        <row r="95">
          <cell r="A95">
            <v>4518</v>
          </cell>
          <cell r="B95" t="str">
            <v>TONGIVIT MULHER 60 COMPRIMIDOS</v>
          </cell>
          <cell r="C95">
            <v>3.75</v>
          </cell>
        </row>
        <row r="96">
          <cell r="A96">
            <v>4517</v>
          </cell>
          <cell r="B96" t="str">
            <v>TONGIVIT OMEGA 3 C/ 60 CAPSULAS</v>
          </cell>
          <cell r="C96">
            <v>8.1</v>
          </cell>
        </row>
        <row r="97">
          <cell r="A97">
            <v>4519</v>
          </cell>
          <cell r="B97" t="str">
            <v>TONGIVIT SENIOR 60 COMPRIMIDOS</v>
          </cell>
          <cell r="C97">
            <v>3.85</v>
          </cell>
        </row>
        <row r="98">
          <cell r="A98">
            <v>2459</v>
          </cell>
          <cell r="B98" t="str">
            <v xml:space="preserve">TURBOVIT 10ML  COM 60 </v>
          </cell>
          <cell r="C98">
            <v>10.94415</v>
          </cell>
        </row>
        <row r="99">
          <cell r="A99">
            <v>3961</v>
          </cell>
          <cell r="B99" t="str">
            <v>VITAMINA C GOTAS 20ML</v>
          </cell>
          <cell r="C99">
            <v>0.8</v>
          </cell>
        </row>
        <row r="100">
          <cell r="A100"/>
          <cell r="B100"/>
          <cell r="C100"/>
        </row>
        <row r="102">
          <cell r="A102" t="str">
            <v>BONIFICAÇÃO</v>
          </cell>
          <cell r="B102"/>
          <cell r="C102"/>
        </row>
        <row r="103">
          <cell r="A103" t="str">
            <v>CÓDIGO</v>
          </cell>
          <cell r="B103" t="str">
            <v>PRODUTO</v>
          </cell>
          <cell r="C103" t="str">
            <v>CUSTO</v>
          </cell>
        </row>
        <row r="104">
          <cell r="A104">
            <v>0</v>
          </cell>
          <cell r="B104" t="str">
            <v/>
          </cell>
          <cell r="C104" t="str">
            <v/>
          </cell>
        </row>
        <row r="105">
          <cell r="A105">
            <v>0</v>
          </cell>
          <cell r="B105" t="str">
            <v/>
          </cell>
          <cell r="C105" t="str">
            <v/>
          </cell>
        </row>
        <row r="106">
          <cell r="A106">
            <v>0</v>
          </cell>
          <cell r="B106" t="str">
            <v/>
          </cell>
          <cell r="C106" t="str">
            <v/>
          </cell>
        </row>
        <row r="107">
          <cell r="A107">
            <v>0</v>
          </cell>
          <cell r="B107" t="str">
            <v/>
          </cell>
          <cell r="C107" t="str">
            <v/>
          </cell>
        </row>
        <row r="108">
          <cell r="A108">
            <v>0</v>
          </cell>
          <cell r="B108" t="str">
            <v/>
          </cell>
          <cell r="C108" t="str">
            <v/>
          </cell>
        </row>
        <row r="109">
          <cell r="A109">
            <v>0</v>
          </cell>
          <cell r="B109" t="str">
            <v/>
          </cell>
          <cell r="C109" t="str">
            <v/>
          </cell>
        </row>
        <row r="110">
          <cell r="A110">
            <v>0</v>
          </cell>
          <cell r="B110" t="str">
            <v/>
          </cell>
          <cell r="C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</row>
        <row r="118">
          <cell r="B118" t="str">
            <v>Tabela revista em 03-03-2021</v>
          </cell>
          <cell r="C118" t="str">
            <v>DÓLAR: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E112"/>
  <sheetViews>
    <sheetView tabSelected="1" topLeftCell="C1" zoomScale="115" zoomScaleNormal="115" workbookViewId="0">
      <selection activeCell="K10" sqref="K10"/>
    </sheetView>
  </sheetViews>
  <sheetFormatPr defaultRowHeight="14.6" x14ac:dyDescent="0.4"/>
  <cols>
    <col min="1" max="1" width="10.84375" customWidth="1"/>
    <col min="2" max="2" width="46.53515625" bestFit="1" customWidth="1"/>
    <col min="3" max="3" width="18.84375" customWidth="1"/>
    <col min="4" max="4" width="20.3046875" bestFit="1" customWidth="1"/>
    <col min="5" max="7" width="10.3828125" customWidth="1"/>
    <col min="8" max="8" width="8.69140625" bestFit="1" customWidth="1"/>
    <col min="9" max="9" width="5.84375" customWidth="1"/>
    <col min="10" max="10" width="10.15234375" customWidth="1"/>
    <col min="11" max="11" width="8.3828125" customWidth="1"/>
    <col min="12" max="12" width="9.69140625" customWidth="1"/>
    <col min="13" max="13" width="14.3046875" customWidth="1"/>
    <col min="14" max="14" width="0.4609375" customWidth="1"/>
    <col min="15" max="15" width="13.3828125" customWidth="1"/>
    <col min="16" max="16" width="23.69140625" customWidth="1"/>
    <col min="30" max="30" width="6.53515625" customWidth="1"/>
  </cols>
  <sheetData>
    <row r="1" spans="1:14" ht="17.600000000000001" x14ac:dyDescent="0.4">
      <c r="A1" s="94" t="s">
        <v>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</row>
    <row r="2" spans="1:14" ht="15" customHeight="1" x14ac:dyDescent="0.4">
      <c r="A2" s="22" t="s">
        <v>27</v>
      </c>
      <c r="B2" s="27"/>
      <c r="C2" s="27"/>
      <c r="D2" s="27"/>
      <c r="E2" s="27"/>
      <c r="F2" s="27"/>
      <c r="G2" s="27"/>
      <c r="H2" s="23" t="s">
        <v>15</v>
      </c>
      <c r="I2" s="99" t="s">
        <v>35</v>
      </c>
      <c r="J2" s="100"/>
      <c r="K2" s="100"/>
      <c r="L2" s="100"/>
      <c r="M2" s="101"/>
    </row>
    <row r="3" spans="1:14" ht="17.600000000000001" x14ac:dyDescent="0.4">
      <c r="A3" s="96" t="s">
        <v>4</v>
      </c>
      <c r="B3" s="97" t="s">
        <v>3</v>
      </c>
      <c r="C3" s="69"/>
      <c r="D3" s="77"/>
      <c r="E3" s="74" t="s">
        <v>200</v>
      </c>
      <c r="F3" s="69"/>
      <c r="G3" s="69"/>
      <c r="H3" s="1" t="s">
        <v>2</v>
      </c>
      <c r="I3" s="92" t="s">
        <v>14</v>
      </c>
      <c r="J3" s="29" t="s">
        <v>32</v>
      </c>
      <c r="K3" s="92" t="s">
        <v>34</v>
      </c>
      <c r="L3" s="2" t="s">
        <v>1</v>
      </c>
      <c r="M3" s="19" t="s">
        <v>11</v>
      </c>
    </row>
    <row r="4" spans="1:14" x14ac:dyDescent="0.4">
      <c r="A4" s="96"/>
      <c r="B4" s="98"/>
      <c r="C4" s="73" t="s">
        <v>199</v>
      </c>
      <c r="D4" s="76" t="s">
        <v>207</v>
      </c>
      <c r="E4" s="74" t="s">
        <v>203</v>
      </c>
      <c r="F4" s="73" t="s">
        <v>201</v>
      </c>
      <c r="G4" s="73" t="s">
        <v>202</v>
      </c>
      <c r="H4" s="3" t="s">
        <v>16</v>
      </c>
      <c r="I4" s="93"/>
      <c r="J4" s="30" t="s">
        <v>33</v>
      </c>
      <c r="K4" s="93"/>
      <c r="L4" s="4" t="s">
        <v>0</v>
      </c>
      <c r="M4" s="19" t="s">
        <v>12</v>
      </c>
    </row>
    <row r="5" spans="1:14" x14ac:dyDescent="0.4">
      <c r="A5" s="5">
        <v>2416</v>
      </c>
      <c r="B5" s="10" t="s">
        <v>10</v>
      </c>
      <c r="C5" s="71">
        <v>21069030</v>
      </c>
      <c r="D5" s="78">
        <v>7898277713142</v>
      </c>
      <c r="E5" s="71">
        <v>12</v>
      </c>
      <c r="F5" s="71">
        <v>0</v>
      </c>
      <c r="G5" s="71" t="s">
        <v>204</v>
      </c>
      <c r="H5" s="9">
        <v>100</v>
      </c>
      <c r="I5" s="25"/>
      <c r="J5" s="33">
        <f>N5</f>
        <v>22.31</v>
      </c>
      <c r="K5" s="32">
        <v>0.7</v>
      </c>
      <c r="L5" s="26">
        <f>ROUND(N5*1*(100%-K5),2)</f>
        <v>6.69</v>
      </c>
      <c r="M5" s="8">
        <f>L5*I5</f>
        <v>0</v>
      </c>
      <c r="N5" s="31">
        <v>22.31</v>
      </c>
    </row>
    <row r="6" spans="1:14" x14ac:dyDescent="0.4">
      <c r="A6" s="5">
        <v>3924</v>
      </c>
      <c r="B6" s="10" t="s">
        <v>37</v>
      </c>
      <c r="C6" s="71" t="s">
        <v>197</v>
      </c>
      <c r="D6" s="78">
        <v>7898277713739</v>
      </c>
      <c r="E6" s="71">
        <v>12</v>
      </c>
      <c r="F6" s="71">
        <v>0</v>
      </c>
      <c r="G6" s="71" t="s">
        <v>204</v>
      </c>
      <c r="H6" s="7">
        <v>100</v>
      </c>
      <c r="I6" s="25"/>
      <c r="J6" s="33">
        <f t="shared" ref="J6:J86" si="0">N6</f>
        <v>26.77</v>
      </c>
      <c r="K6" s="32">
        <v>0.7</v>
      </c>
      <c r="L6" s="26">
        <f t="shared" ref="L6:L98" si="1">ROUND(N6*1*(100%-K6),2)</f>
        <v>8.0299999999999994</v>
      </c>
      <c r="M6" s="8">
        <f t="shared" ref="M6:M48" si="2">L6*I6</f>
        <v>0</v>
      </c>
      <c r="N6" s="31">
        <v>26.77</v>
      </c>
    </row>
    <row r="7" spans="1:14" x14ac:dyDescent="0.4">
      <c r="A7" s="5">
        <v>5017</v>
      </c>
      <c r="B7" s="6" t="s">
        <v>67</v>
      </c>
      <c r="C7" s="71">
        <v>21069030</v>
      </c>
      <c r="D7" s="78">
        <v>7898277714415</v>
      </c>
      <c r="E7" s="71">
        <v>12</v>
      </c>
      <c r="F7" s="71">
        <v>0</v>
      </c>
      <c r="G7" s="71" t="s">
        <v>204</v>
      </c>
      <c r="H7" s="7">
        <v>40</v>
      </c>
      <c r="I7" s="25"/>
      <c r="J7" s="33">
        <f t="shared" ref="J7" si="3">N7</f>
        <v>42.3</v>
      </c>
      <c r="K7" s="32">
        <v>0.87</v>
      </c>
      <c r="L7" s="26">
        <f t="shared" ref="L7" si="4">ROUND(N7*1*(100%-K7),2)</f>
        <v>5.5</v>
      </c>
      <c r="M7" s="8">
        <f t="shared" ref="M7" si="5">L7*I7</f>
        <v>0</v>
      </c>
      <c r="N7" s="31">
        <v>42.3</v>
      </c>
    </row>
    <row r="8" spans="1:14" x14ac:dyDescent="0.4">
      <c r="A8" s="5">
        <v>936</v>
      </c>
      <c r="B8" s="6" t="s">
        <v>74</v>
      </c>
      <c r="C8" s="71">
        <v>21069030</v>
      </c>
      <c r="D8" s="78">
        <v>7898277712497</v>
      </c>
      <c r="E8" s="71">
        <v>12</v>
      </c>
      <c r="F8" s="71">
        <v>0</v>
      </c>
      <c r="G8" s="71" t="s">
        <v>204</v>
      </c>
      <c r="H8" s="7">
        <v>40</v>
      </c>
      <c r="I8" s="25"/>
      <c r="J8" s="33">
        <f t="shared" si="0"/>
        <v>42.3</v>
      </c>
      <c r="K8" s="32">
        <v>0.87</v>
      </c>
      <c r="L8" s="26">
        <f t="shared" si="1"/>
        <v>5.5</v>
      </c>
      <c r="M8" s="8">
        <f t="shared" si="2"/>
        <v>0</v>
      </c>
      <c r="N8" s="31">
        <v>42.3</v>
      </c>
    </row>
    <row r="9" spans="1:14" x14ac:dyDescent="0.4">
      <c r="A9" s="5">
        <v>2171</v>
      </c>
      <c r="B9" s="6" t="s">
        <v>25</v>
      </c>
      <c r="C9" s="71" t="s">
        <v>197</v>
      </c>
      <c r="D9" s="78">
        <v>7898277712954</v>
      </c>
      <c r="E9" s="71">
        <v>12</v>
      </c>
      <c r="F9" s="71">
        <v>0</v>
      </c>
      <c r="G9" s="71" t="s">
        <v>204</v>
      </c>
      <c r="H9" s="9">
        <v>144</v>
      </c>
      <c r="I9" s="25"/>
      <c r="J9" s="33">
        <f t="shared" si="0"/>
        <v>11.61</v>
      </c>
      <c r="K9" s="32">
        <v>0.59345000000000003</v>
      </c>
      <c r="L9" s="26">
        <f t="shared" si="1"/>
        <v>4.72</v>
      </c>
      <c r="M9" s="8">
        <f t="shared" si="2"/>
        <v>0</v>
      </c>
      <c r="N9" s="31">
        <v>11.61</v>
      </c>
    </row>
    <row r="10" spans="1:14" x14ac:dyDescent="0.4">
      <c r="A10" s="5">
        <v>53</v>
      </c>
      <c r="B10" s="6" t="s">
        <v>26</v>
      </c>
      <c r="C10" s="71" t="s">
        <v>197</v>
      </c>
      <c r="D10" s="78">
        <v>7898277710363</v>
      </c>
      <c r="E10" s="71">
        <v>12</v>
      </c>
      <c r="F10" s="71">
        <v>0</v>
      </c>
      <c r="G10" s="71" t="s">
        <v>204</v>
      </c>
      <c r="H10" s="7">
        <v>144</v>
      </c>
      <c r="I10" s="25"/>
      <c r="J10" s="33">
        <f t="shared" ref="J10" si="6">N10</f>
        <v>10.96</v>
      </c>
      <c r="K10" s="32">
        <v>0.56899999999999995</v>
      </c>
      <c r="L10" s="26">
        <f t="shared" ref="L10" si="7">ROUND(N10*1*(100%-K10),2)</f>
        <v>4.72</v>
      </c>
      <c r="M10" s="8">
        <f t="shared" ref="M10" si="8">L10*I10</f>
        <v>0</v>
      </c>
      <c r="N10" s="31">
        <v>10.96</v>
      </c>
    </row>
    <row r="11" spans="1:14" x14ac:dyDescent="0.4">
      <c r="A11" s="5">
        <v>55</v>
      </c>
      <c r="B11" s="6" t="s">
        <v>24</v>
      </c>
      <c r="C11" s="71" t="s">
        <v>197</v>
      </c>
      <c r="D11" s="78">
        <v>7898277710387</v>
      </c>
      <c r="E11" s="71">
        <v>12</v>
      </c>
      <c r="F11" s="71">
        <v>0</v>
      </c>
      <c r="G11" s="71" t="s">
        <v>204</v>
      </c>
      <c r="H11" s="7">
        <v>144</v>
      </c>
      <c r="I11" s="25"/>
      <c r="J11" s="33">
        <f t="shared" si="0"/>
        <v>10.96</v>
      </c>
      <c r="K11" s="32">
        <v>0.56899999999999995</v>
      </c>
      <c r="L11" s="26">
        <f t="shared" si="1"/>
        <v>4.72</v>
      </c>
      <c r="M11" s="8">
        <f t="shared" si="2"/>
        <v>0</v>
      </c>
      <c r="N11" s="31">
        <v>10.96</v>
      </c>
    </row>
    <row r="12" spans="1:14" x14ac:dyDescent="0.4">
      <c r="A12" s="5">
        <v>54</v>
      </c>
      <c r="B12" s="6" t="s">
        <v>22</v>
      </c>
      <c r="C12" s="71" t="s">
        <v>197</v>
      </c>
      <c r="D12" s="78">
        <v>7898277710370</v>
      </c>
      <c r="E12" s="71">
        <v>12</v>
      </c>
      <c r="F12" s="71">
        <v>0</v>
      </c>
      <c r="G12" s="71" t="s">
        <v>204</v>
      </c>
      <c r="H12" s="7">
        <v>144</v>
      </c>
      <c r="I12" s="25"/>
      <c r="J12" s="33">
        <f t="shared" si="0"/>
        <v>10.96</v>
      </c>
      <c r="K12" s="32">
        <v>0.56899999999999995</v>
      </c>
      <c r="L12" s="26">
        <f t="shared" si="1"/>
        <v>4.72</v>
      </c>
      <c r="M12" s="8">
        <f t="shared" si="2"/>
        <v>0</v>
      </c>
      <c r="N12" s="31">
        <v>10.96</v>
      </c>
    </row>
    <row r="13" spans="1:14" x14ac:dyDescent="0.4">
      <c r="A13" s="5">
        <v>56</v>
      </c>
      <c r="B13" s="6" t="s">
        <v>23</v>
      </c>
      <c r="C13" s="71" t="s">
        <v>197</v>
      </c>
      <c r="D13" s="78">
        <v>7898277710394</v>
      </c>
      <c r="E13" s="71">
        <v>12</v>
      </c>
      <c r="F13" s="71">
        <v>0</v>
      </c>
      <c r="G13" s="71" t="s">
        <v>204</v>
      </c>
      <c r="H13" s="7">
        <v>144</v>
      </c>
      <c r="I13" s="25"/>
      <c r="J13" s="33">
        <f t="shared" si="0"/>
        <v>10.96</v>
      </c>
      <c r="K13" s="32">
        <v>0.56899999999999995</v>
      </c>
      <c r="L13" s="26">
        <f t="shared" si="1"/>
        <v>4.72</v>
      </c>
      <c r="M13" s="8">
        <f t="shared" si="2"/>
        <v>0</v>
      </c>
      <c r="N13" s="31">
        <v>10.96</v>
      </c>
    </row>
    <row r="14" spans="1:14" x14ac:dyDescent="0.4">
      <c r="A14" s="5">
        <v>2169</v>
      </c>
      <c r="B14" s="6" t="s">
        <v>75</v>
      </c>
      <c r="C14" s="71" t="s">
        <v>198</v>
      </c>
      <c r="D14" s="78">
        <v>7898277712916</v>
      </c>
      <c r="E14" s="71">
        <v>12</v>
      </c>
      <c r="F14" s="71">
        <v>0</v>
      </c>
      <c r="G14" s="71" t="s">
        <v>204</v>
      </c>
      <c r="H14" s="9">
        <v>24</v>
      </c>
      <c r="I14" s="25"/>
      <c r="J14" s="33">
        <f t="shared" si="0"/>
        <v>30.36</v>
      </c>
      <c r="K14" s="32">
        <v>0.75</v>
      </c>
      <c r="L14" s="26">
        <f t="shared" si="1"/>
        <v>7.59</v>
      </c>
      <c r="M14" s="8">
        <f t="shared" si="2"/>
        <v>0</v>
      </c>
      <c r="N14" s="31">
        <v>30.36</v>
      </c>
    </row>
    <row r="15" spans="1:14" x14ac:dyDescent="0.4">
      <c r="A15" s="5">
        <v>6396</v>
      </c>
      <c r="B15" s="41" t="s">
        <v>104</v>
      </c>
      <c r="C15" s="71" t="s">
        <v>198</v>
      </c>
      <c r="D15" s="79">
        <v>7898277715283</v>
      </c>
      <c r="E15" s="71">
        <v>12</v>
      </c>
      <c r="F15" s="71">
        <v>0</v>
      </c>
      <c r="G15" s="71" t="s">
        <v>204</v>
      </c>
      <c r="H15" s="9">
        <v>60</v>
      </c>
      <c r="I15" s="25"/>
      <c r="J15" s="33">
        <f t="shared" si="0"/>
        <v>16.059999999999999</v>
      </c>
      <c r="K15" s="32">
        <v>0.5</v>
      </c>
      <c r="L15" s="26">
        <f t="shared" si="1"/>
        <v>8.0299999999999994</v>
      </c>
      <c r="M15" s="8">
        <f t="shared" si="2"/>
        <v>0</v>
      </c>
      <c r="N15" s="31">
        <v>16.059999999999999</v>
      </c>
    </row>
    <row r="16" spans="1:14" x14ac:dyDescent="0.4">
      <c r="A16" s="5">
        <v>1180</v>
      </c>
      <c r="B16" s="6" t="s">
        <v>78</v>
      </c>
      <c r="C16" s="71" t="s">
        <v>198</v>
      </c>
      <c r="D16" s="78">
        <v>7898277712572</v>
      </c>
      <c r="E16" s="71">
        <v>12</v>
      </c>
      <c r="F16" s="71">
        <v>0</v>
      </c>
      <c r="G16" s="71" t="s">
        <v>204</v>
      </c>
      <c r="H16" s="7">
        <v>12</v>
      </c>
      <c r="I16" s="25"/>
      <c r="J16" s="33">
        <f t="shared" ref="J16:J17" si="9">N16</f>
        <v>229.86</v>
      </c>
      <c r="K16" s="32">
        <v>0.85</v>
      </c>
      <c r="L16" s="26">
        <f t="shared" ref="L16:L17" si="10">ROUND(N16*1*(100%-K16),2)</f>
        <v>34.479999999999997</v>
      </c>
      <c r="M16" s="8">
        <f t="shared" ref="M16:M17" si="11">L16*I16</f>
        <v>0</v>
      </c>
      <c r="N16" s="31">
        <v>229.86</v>
      </c>
    </row>
    <row r="17" spans="1:30" x14ac:dyDescent="0.4">
      <c r="A17" s="5">
        <v>1272</v>
      </c>
      <c r="B17" s="6" t="s">
        <v>79</v>
      </c>
      <c r="C17" s="71" t="s">
        <v>198</v>
      </c>
      <c r="D17" s="78">
        <v>7898277712718</v>
      </c>
      <c r="E17" s="71">
        <v>12</v>
      </c>
      <c r="F17" s="71">
        <v>0</v>
      </c>
      <c r="G17" s="71" t="s">
        <v>204</v>
      </c>
      <c r="H17" s="7">
        <v>40</v>
      </c>
      <c r="I17" s="25"/>
      <c r="J17" s="33">
        <f t="shared" si="9"/>
        <v>40.14</v>
      </c>
      <c r="K17" s="32">
        <v>0.8</v>
      </c>
      <c r="L17" s="26">
        <f t="shared" si="10"/>
        <v>8.0299999999999994</v>
      </c>
      <c r="M17" s="8">
        <f t="shared" si="11"/>
        <v>0</v>
      </c>
      <c r="N17" s="31">
        <v>40.14</v>
      </c>
    </row>
    <row r="18" spans="1:30" x14ac:dyDescent="0.4">
      <c r="A18" s="5">
        <v>981</v>
      </c>
      <c r="B18" s="6" t="s">
        <v>212</v>
      </c>
      <c r="C18" s="71" t="s">
        <v>198</v>
      </c>
      <c r="D18" s="78">
        <v>7898277712527</v>
      </c>
      <c r="E18" s="71">
        <v>12</v>
      </c>
      <c r="F18" s="71">
        <v>0</v>
      </c>
      <c r="G18" s="71" t="s">
        <v>204</v>
      </c>
      <c r="H18" s="7">
        <v>24</v>
      </c>
      <c r="I18" s="25"/>
      <c r="J18" s="33">
        <f t="shared" si="0"/>
        <v>26.03</v>
      </c>
      <c r="K18" s="32">
        <v>0.82</v>
      </c>
      <c r="L18" s="26">
        <f t="shared" si="1"/>
        <v>4.6900000000000004</v>
      </c>
      <c r="M18" s="8">
        <f t="shared" si="2"/>
        <v>0</v>
      </c>
      <c r="N18" s="31">
        <v>26.03</v>
      </c>
    </row>
    <row r="19" spans="1:30" x14ac:dyDescent="0.4">
      <c r="A19" s="5">
        <v>4458</v>
      </c>
      <c r="B19" s="6" t="s">
        <v>76</v>
      </c>
      <c r="C19" s="71" t="s">
        <v>198</v>
      </c>
      <c r="D19" s="78">
        <v>7898277714163</v>
      </c>
      <c r="E19" s="71">
        <v>12</v>
      </c>
      <c r="F19" s="71">
        <v>0</v>
      </c>
      <c r="G19" s="71" t="s">
        <v>204</v>
      </c>
      <c r="H19" s="7">
        <v>24</v>
      </c>
      <c r="I19" s="25"/>
      <c r="J19" s="33">
        <f t="shared" si="0"/>
        <v>27.84</v>
      </c>
      <c r="K19" s="32">
        <v>0.82</v>
      </c>
      <c r="L19" s="26">
        <f t="shared" si="1"/>
        <v>5.01</v>
      </c>
      <c r="M19" s="8">
        <f t="shared" si="2"/>
        <v>0</v>
      </c>
      <c r="N19" s="31">
        <v>27.84</v>
      </c>
      <c r="AD19" s="38"/>
    </row>
    <row r="20" spans="1:30" x14ac:dyDescent="0.4">
      <c r="A20" s="5">
        <v>4506</v>
      </c>
      <c r="B20" s="6" t="s">
        <v>77</v>
      </c>
      <c r="C20" s="71" t="s">
        <v>198</v>
      </c>
      <c r="D20" s="78">
        <v>7898277714170</v>
      </c>
      <c r="E20" s="71">
        <v>12</v>
      </c>
      <c r="F20" s="71">
        <v>0</v>
      </c>
      <c r="G20" s="71" t="s">
        <v>204</v>
      </c>
      <c r="H20" s="7">
        <v>24</v>
      </c>
      <c r="I20" s="25"/>
      <c r="J20" s="33">
        <f t="shared" si="0"/>
        <v>27.84</v>
      </c>
      <c r="K20" s="32">
        <v>0.82</v>
      </c>
      <c r="L20" s="26">
        <f t="shared" si="1"/>
        <v>5.01</v>
      </c>
      <c r="M20" s="8">
        <f t="shared" si="2"/>
        <v>0</v>
      </c>
      <c r="N20" s="31">
        <v>27.84</v>
      </c>
      <c r="AD20" s="38"/>
    </row>
    <row r="21" spans="1:30" x14ac:dyDescent="0.4">
      <c r="A21" s="5">
        <v>2084</v>
      </c>
      <c r="B21" s="6" t="s">
        <v>80</v>
      </c>
      <c r="C21" s="71" t="s">
        <v>198</v>
      </c>
      <c r="D21" s="78">
        <v>7898277713029</v>
      </c>
      <c r="E21" s="71">
        <v>12</v>
      </c>
      <c r="F21" s="71">
        <v>0</v>
      </c>
      <c r="G21" s="71" t="s">
        <v>204</v>
      </c>
      <c r="H21" s="7">
        <v>48</v>
      </c>
      <c r="I21" s="25"/>
      <c r="J21" s="33">
        <f t="shared" si="0"/>
        <v>61.83</v>
      </c>
      <c r="K21" s="32">
        <v>0.77500000000000002</v>
      </c>
      <c r="L21" s="26">
        <f t="shared" si="1"/>
        <v>13.91</v>
      </c>
      <c r="M21" s="8">
        <f t="shared" si="2"/>
        <v>0</v>
      </c>
      <c r="N21" s="31">
        <v>61.83</v>
      </c>
    </row>
    <row r="22" spans="1:30" x14ac:dyDescent="0.4">
      <c r="A22" s="5">
        <v>5885</v>
      </c>
      <c r="B22" s="47" t="s">
        <v>211</v>
      </c>
      <c r="C22" s="71" t="s">
        <v>198</v>
      </c>
      <c r="D22" s="78">
        <v>7898277714897</v>
      </c>
      <c r="E22" s="71">
        <v>12</v>
      </c>
      <c r="F22" s="71">
        <v>0</v>
      </c>
      <c r="G22" s="71" t="s">
        <v>204</v>
      </c>
      <c r="H22" s="7">
        <v>60</v>
      </c>
      <c r="I22" s="25"/>
      <c r="J22" s="33">
        <f t="shared" ref="J22" si="12">N22</f>
        <v>31.17</v>
      </c>
      <c r="K22" s="32">
        <v>0.7</v>
      </c>
      <c r="L22" s="26">
        <f t="shared" ref="L22" si="13">ROUND(N22*1*(100%-K22),2)</f>
        <v>9.35</v>
      </c>
      <c r="M22" s="8">
        <f t="shared" ref="M22" si="14">L22*I22</f>
        <v>0</v>
      </c>
      <c r="N22" s="31">
        <v>31.17</v>
      </c>
    </row>
    <row r="23" spans="1:30" x14ac:dyDescent="0.4">
      <c r="A23" s="5">
        <v>2585</v>
      </c>
      <c r="B23" s="6" t="s">
        <v>103</v>
      </c>
      <c r="C23" s="71" t="s">
        <v>198</v>
      </c>
      <c r="D23" s="78">
        <v>7898277713210</v>
      </c>
      <c r="E23" s="71">
        <v>12</v>
      </c>
      <c r="F23" s="71">
        <v>0</v>
      </c>
      <c r="G23" s="71" t="s">
        <v>204</v>
      </c>
      <c r="H23" s="7">
        <v>60</v>
      </c>
      <c r="I23" s="25"/>
      <c r="J23" s="33">
        <f t="shared" si="0"/>
        <v>27.98</v>
      </c>
      <c r="K23" s="32">
        <v>0.7</v>
      </c>
      <c r="L23" s="26">
        <f t="shared" si="1"/>
        <v>8.39</v>
      </c>
      <c r="M23" s="8">
        <f t="shared" si="2"/>
        <v>0</v>
      </c>
      <c r="N23" s="31">
        <v>27.98</v>
      </c>
    </row>
    <row r="24" spans="1:30" x14ac:dyDescent="0.4">
      <c r="A24" s="5">
        <v>5714</v>
      </c>
      <c r="B24" s="6" t="s">
        <v>87</v>
      </c>
      <c r="C24" s="71" t="s">
        <v>198</v>
      </c>
      <c r="D24" s="79">
        <v>7898277714880</v>
      </c>
      <c r="E24" s="71">
        <v>12</v>
      </c>
      <c r="F24" s="71">
        <v>0</v>
      </c>
      <c r="G24" s="71" t="s">
        <v>204</v>
      </c>
      <c r="H24" s="7">
        <v>100</v>
      </c>
      <c r="I24" s="25"/>
      <c r="J24" s="33">
        <f t="shared" ref="J24" si="15">N24</f>
        <v>17.670000000000002</v>
      </c>
      <c r="K24" s="32">
        <v>0.7</v>
      </c>
      <c r="L24" s="26">
        <f t="shared" ref="L24" si="16">ROUND(N24*1*(100%-K24),2)</f>
        <v>5.3</v>
      </c>
      <c r="M24" s="8">
        <f t="shared" ref="M24" si="17">L24*I24</f>
        <v>0</v>
      </c>
      <c r="N24" s="31">
        <v>17.670000000000002</v>
      </c>
    </row>
    <row r="25" spans="1:30" x14ac:dyDescent="0.4">
      <c r="A25" s="5">
        <v>2813</v>
      </c>
      <c r="B25" s="10" t="s">
        <v>30</v>
      </c>
      <c r="C25" s="71" t="s">
        <v>198</v>
      </c>
      <c r="D25" s="78">
        <v>7898277713265</v>
      </c>
      <c r="E25" s="71">
        <v>12</v>
      </c>
      <c r="F25" s="71">
        <v>0</v>
      </c>
      <c r="G25" s="71" t="s">
        <v>204</v>
      </c>
      <c r="H25" s="7">
        <v>100</v>
      </c>
      <c r="I25" s="25"/>
      <c r="J25" s="33">
        <f t="shared" si="0"/>
        <v>31.05</v>
      </c>
      <c r="K25" s="32">
        <v>0.7</v>
      </c>
      <c r="L25" s="26">
        <f t="shared" si="1"/>
        <v>9.32</v>
      </c>
      <c r="M25" s="8">
        <f t="shared" si="2"/>
        <v>0</v>
      </c>
      <c r="N25" s="31">
        <v>31.05</v>
      </c>
    </row>
    <row r="26" spans="1:30" x14ac:dyDescent="0.4">
      <c r="A26" s="5">
        <v>2814</v>
      </c>
      <c r="B26" s="10" t="s">
        <v>29</v>
      </c>
      <c r="C26" s="71" t="s">
        <v>198</v>
      </c>
      <c r="D26" s="78">
        <v>7898277713258</v>
      </c>
      <c r="E26" s="71">
        <v>12</v>
      </c>
      <c r="F26" s="71">
        <v>0</v>
      </c>
      <c r="G26" s="71" t="s">
        <v>204</v>
      </c>
      <c r="H26" s="7">
        <v>100</v>
      </c>
      <c r="I26" s="25"/>
      <c r="J26" s="33">
        <f t="shared" si="0"/>
        <v>18.059999999999999</v>
      </c>
      <c r="K26" s="32">
        <v>0.7</v>
      </c>
      <c r="L26" s="26">
        <f t="shared" si="1"/>
        <v>5.42</v>
      </c>
      <c r="M26" s="8">
        <f t="shared" si="2"/>
        <v>0</v>
      </c>
      <c r="N26" s="31">
        <v>18.059999999999999</v>
      </c>
    </row>
    <row r="27" spans="1:30" x14ac:dyDescent="0.4">
      <c r="A27" s="5">
        <v>2977</v>
      </c>
      <c r="B27" s="10" t="s">
        <v>31</v>
      </c>
      <c r="C27" s="71" t="s">
        <v>198</v>
      </c>
      <c r="D27" s="78">
        <v>7898277713272</v>
      </c>
      <c r="E27" s="71">
        <v>12</v>
      </c>
      <c r="F27" s="71">
        <v>0</v>
      </c>
      <c r="G27" s="71" t="s">
        <v>204</v>
      </c>
      <c r="H27" s="7">
        <v>100</v>
      </c>
      <c r="I27" s="25"/>
      <c r="J27" s="33">
        <f t="shared" si="0"/>
        <v>25.94</v>
      </c>
      <c r="K27" s="32">
        <v>0.85</v>
      </c>
      <c r="L27" s="26">
        <f t="shared" si="1"/>
        <v>3.89</v>
      </c>
      <c r="M27" s="8">
        <f t="shared" si="2"/>
        <v>0</v>
      </c>
      <c r="N27" s="31">
        <v>25.94</v>
      </c>
    </row>
    <row r="28" spans="1:30" x14ac:dyDescent="0.4">
      <c r="A28" s="5">
        <v>3950</v>
      </c>
      <c r="B28" s="10" t="s">
        <v>43</v>
      </c>
      <c r="C28" s="71" t="s">
        <v>198</v>
      </c>
      <c r="D28" s="78">
        <v>7898277713333</v>
      </c>
      <c r="E28" s="71">
        <v>12</v>
      </c>
      <c r="F28" s="71">
        <v>0</v>
      </c>
      <c r="G28" s="71" t="s">
        <v>204</v>
      </c>
      <c r="H28" s="7">
        <v>40</v>
      </c>
      <c r="I28" s="25"/>
      <c r="J28" s="33">
        <f t="shared" si="0"/>
        <v>15.01</v>
      </c>
      <c r="K28" s="32">
        <v>0.75</v>
      </c>
      <c r="L28" s="26">
        <f t="shared" si="1"/>
        <v>3.75</v>
      </c>
      <c r="M28" s="8">
        <f t="shared" si="2"/>
        <v>0</v>
      </c>
      <c r="N28" s="31">
        <v>15.01</v>
      </c>
    </row>
    <row r="29" spans="1:30" x14ac:dyDescent="0.4">
      <c r="A29" s="5">
        <v>2076</v>
      </c>
      <c r="B29" s="10" t="s">
        <v>81</v>
      </c>
      <c r="C29" s="72">
        <v>33049990</v>
      </c>
      <c r="D29" s="80">
        <v>7898277712695</v>
      </c>
      <c r="E29" s="71">
        <v>12</v>
      </c>
      <c r="F29" s="72">
        <v>14.3</v>
      </c>
      <c r="G29" s="72">
        <v>40.590000000000003</v>
      </c>
      <c r="H29" s="7">
        <v>60</v>
      </c>
      <c r="I29" s="25"/>
      <c r="J29" s="33">
        <f t="shared" si="0"/>
        <v>43.39</v>
      </c>
      <c r="K29" s="32">
        <v>0.83</v>
      </c>
      <c r="L29" s="26">
        <f t="shared" si="1"/>
        <v>7.38</v>
      </c>
      <c r="M29" s="8">
        <f t="shared" si="2"/>
        <v>0</v>
      </c>
      <c r="N29" s="31">
        <v>43.39</v>
      </c>
    </row>
    <row r="30" spans="1:30" x14ac:dyDescent="0.4">
      <c r="A30" s="5">
        <v>2077</v>
      </c>
      <c r="B30" s="10" t="s">
        <v>82</v>
      </c>
      <c r="C30" s="72">
        <v>33049990</v>
      </c>
      <c r="D30" s="80">
        <v>7898277712688</v>
      </c>
      <c r="E30" s="71">
        <v>12</v>
      </c>
      <c r="F30" s="72">
        <v>14.3</v>
      </c>
      <c r="G30" s="72">
        <v>40.590000000000003</v>
      </c>
      <c r="H30" s="7">
        <v>60</v>
      </c>
      <c r="I30" s="25"/>
      <c r="J30" s="33">
        <f t="shared" si="0"/>
        <v>48.81</v>
      </c>
      <c r="K30" s="32">
        <v>0.84889999999999999</v>
      </c>
      <c r="L30" s="26">
        <f t="shared" si="1"/>
        <v>7.38</v>
      </c>
      <c r="M30" s="8">
        <f t="shared" si="2"/>
        <v>0</v>
      </c>
      <c r="N30" s="31">
        <v>48.81</v>
      </c>
    </row>
    <row r="31" spans="1:30" x14ac:dyDescent="0.4">
      <c r="A31" s="5">
        <v>4812</v>
      </c>
      <c r="B31" s="6" t="s">
        <v>56</v>
      </c>
      <c r="C31" s="71" t="s">
        <v>198</v>
      </c>
      <c r="D31" s="78">
        <v>7898277714354</v>
      </c>
      <c r="E31" s="71">
        <v>12</v>
      </c>
      <c r="F31" s="71">
        <v>0</v>
      </c>
      <c r="G31" s="71" t="s">
        <v>204</v>
      </c>
      <c r="H31" s="9">
        <v>60</v>
      </c>
      <c r="I31" s="25"/>
      <c r="J31" s="33">
        <f t="shared" ref="J31:J32" si="18">N31</f>
        <v>53.39</v>
      </c>
      <c r="K31" s="32">
        <v>0.85</v>
      </c>
      <c r="L31" s="26">
        <f t="shared" ref="L31:L32" si="19">ROUND(N31*1*(100%-K31),2)</f>
        <v>8.01</v>
      </c>
      <c r="M31" s="8">
        <f t="shared" ref="M31:M32" si="20">L31*I31</f>
        <v>0</v>
      </c>
      <c r="N31" s="31">
        <v>53.39</v>
      </c>
    </row>
    <row r="32" spans="1:30" x14ac:dyDescent="0.4">
      <c r="A32" s="5">
        <v>4811</v>
      </c>
      <c r="B32" s="6" t="s">
        <v>57</v>
      </c>
      <c r="C32" s="71" t="s">
        <v>198</v>
      </c>
      <c r="D32" s="78">
        <v>7898277714248</v>
      </c>
      <c r="E32" s="71">
        <v>12</v>
      </c>
      <c r="F32" s="71">
        <v>0</v>
      </c>
      <c r="G32" s="71" t="s">
        <v>204</v>
      </c>
      <c r="H32" s="9">
        <v>60</v>
      </c>
      <c r="I32" s="25"/>
      <c r="J32" s="33">
        <f t="shared" si="18"/>
        <v>69.819999999999993</v>
      </c>
      <c r="K32" s="32">
        <v>0.85</v>
      </c>
      <c r="L32" s="26">
        <f t="shared" si="19"/>
        <v>10.47</v>
      </c>
      <c r="M32" s="8">
        <f t="shared" si="20"/>
        <v>0</v>
      </c>
      <c r="N32" s="31">
        <v>69.819999999999993</v>
      </c>
    </row>
    <row r="33" spans="1:30" x14ac:dyDescent="0.4">
      <c r="A33" s="5">
        <v>2407</v>
      </c>
      <c r="B33" s="6" t="s">
        <v>58</v>
      </c>
      <c r="C33" s="71" t="s">
        <v>198</v>
      </c>
      <c r="D33" s="81">
        <v>7898277713067</v>
      </c>
      <c r="E33" s="71">
        <v>12</v>
      </c>
      <c r="F33" s="71">
        <v>0</v>
      </c>
      <c r="G33" s="71" t="s">
        <v>204</v>
      </c>
      <c r="H33" s="9">
        <v>100</v>
      </c>
      <c r="I33" s="25"/>
      <c r="J33" s="33">
        <f t="shared" si="0"/>
        <v>36.83</v>
      </c>
      <c r="K33" s="32">
        <v>0.8</v>
      </c>
      <c r="L33" s="26">
        <f t="shared" si="1"/>
        <v>7.37</v>
      </c>
      <c r="M33" s="8">
        <f t="shared" si="2"/>
        <v>0</v>
      </c>
      <c r="N33" s="31">
        <v>36.83</v>
      </c>
    </row>
    <row r="34" spans="1:30" x14ac:dyDescent="0.4">
      <c r="A34" s="5">
        <v>5140</v>
      </c>
      <c r="B34" s="10" t="s">
        <v>66</v>
      </c>
      <c r="C34" s="71" t="s">
        <v>198</v>
      </c>
      <c r="D34" s="78">
        <v>7898277714422</v>
      </c>
      <c r="E34" s="71">
        <v>12</v>
      </c>
      <c r="F34" s="71">
        <v>0</v>
      </c>
      <c r="G34" s="71" t="s">
        <v>204</v>
      </c>
      <c r="H34" s="7">
        <v>100</v>
      </c>
      <c r="I34" s="25"/>
      <c r="J34" s="33">
        <f t="shared" si="0"/>
        <v>57.23</v>
      </c>
      <c r="K34" s="32">
        <v>0.78</v>
      </c>
      <c r="L34" s="26">
        <f t="shared" si="1"/>
        <v>12.59</v>
      </c>
      <c r="M34" s="8">
        <f t="shared" si="2"/>
        <v>0</v>
      </c>
      <c r="N34" s="31">
        <v>57.23</v>
      </c>
      <c r="AD34" s="40"/>
    </row>
    <row r="35" spans="1:30" x14ac:dyDescent="0.4">
      <c r="A35" s="5">
        <v>6801</v>
      </c>
      <c r="B35" s="44" t="s">
        <v>213</v>
      </c>
      <c r="C35" s="71">
        <v>21069030</v>
      </c>
      <c r="D35" s="78">
        <v>7898277715733</v>
      </c>
      <c r="E35" s="71">
        <v>12</v>
      </c>
      <c r="F35" s="71">
        <v>0</v>
      </c>
      <c r="G35" s="71" t="s">
        <v>204</v>
      </c>
      <c r="H35" s="7">
        <v>100</v>
      </c>
      <c r="I35" s="25"/>
      <c r="J35" s="33">
        <v>35.08</v>
      </c>
      <c r="K35" s="32">
        <v>0.8</v>
      </c>
      <c r="L35" s="26">
        <f t="shared" si="1"/>
        <v>7.02</v>
      </c>
      <c r="M35" s="8">
        <f t="shared" si="2"/>
        <v>0</v>
      </c>
      <c r="N35" s="31">
        <v>35.08</v>
      </c>
      <c r="AD35" s="40"/>
    </row>
    <row r="36" spans="1:30" x14ac:dyDescent="0.4">
      <c r="A36" s="5">
        <v>3922</v>
      </c>
      <c r="B36" s="6" t="s">
        <v>9</v>
      </c>
      <c r="C36" s="71" t="s">
        <v>197</v>
      </c>
      <c r="D36" s="78">
        <v>7898277711087</v>
      </c>
      <c r="E36" s="71">
        <v>12</v>
      </c>
      <c r="F36" s="71">
        <v>0</v>
      </c>
      <c r="G36" s="71" t="s">
        <v>204</v>
      </c>
      <c r="H36" s="7">
        <v>100</v>
      </c>
      <c r="I36" s="25"/>
      <c r="J36" s="33">
        <f t="shared" si="0"/>
        <v>18.22</v>
      </c>
      <c r="K36" s="32">
        <v>0.43</v>
      </c>
      <c r="L36" s="26">
        <f t="shared" si="1"/>
        <v>10.39</v>
      </c>
      <c r="M36" s="8">
        <f t="shared" si="2"/>
        <v>0</v>
      </c>
      <c r="N36" s="31">
        <v>18.22</v>
      </c>
    </row>
    <row r="37" spans="1:30" x14ac:dyDescent="0.4">
      <c r="A37" s="5">
        <v>4445</v>
      </c>
      <c r="B37" s="6" t="s">
        <v>52</v>
      </c>
      <c r="C37" s="71" t="s">
        <v>197</v>
      </c>
      <c r="D37" s="78">
        <v>7898277714002</v>
      </c>
      <c r="E37" s="71">
        <v>12</v>
      </c>
      <c r="F37" s="71">
        <v>0</v>
      </c>
      <c r="G37" s="71" t="s">
        <v>204</v>
      </c>
      <c r="H37" s="7">
        <v>100</v>
      </c>
      <c r="I37" s="25"/>
      <c r="J37" s="33">
        <f t="shared" si="0"/>
        <v>22.74</v>
      </c>
      <c r="K37" s="32">
        <v>0.45</v>
      </c>
      <c r="L37" s="26">
        <f t="shared" si="1"/>
        <v>12.51</v>
      </c>
      <c r="M37" s="8">
        <f t="shared" si="2"/>
        <v>0</v>
      </c>
      <c r="N37" s="31">
        <v>22.74</v>
      </c>
    </row>
    <row r="38" spans="1:30" x14ac:dyDescent="0.4">
      <c r="A38" s="5">
        <v>10</v>
      </c>
      <c r="B38" s="10" t="s">
        <v>19</v>
      </c>
      <c r="C38" s="71" t="s">
        <v>198</v>
      </c>
      <c r="D38" s="78">
        <v>7898277711032</v>
      </c>
      <c r="E38" s="71">
        <v>12</v>
      </c>
      <c r="F38" s="71">
        <v>0</v>
      </c>
      <c r="G38" s="71" t="s">
        <v>204</v>
      </c>
      <c r="H38" s="7">
        <v>60</v>
      </c>
      <c r="I38" s="25"/>
      <c r="J38" s="33">
        <f t="shared" si="0"/>
        <v>22.7</v>
      </c>
      <c r="K38" s="32">
        <v>0.6</v>
      </c>
      <c r="L38" s="26">
        <f t="shared" si="1"/>
        <v>9.08</v>
      </c>
      <c r="M38" s="8">
        <f t="shared" si="2"/>
        <v>0</v>
      </c>
      <c r="N38" s="31">
        <v>22.7</v>
      </c>
    </row>
    <row r="39" spans="1:30" x14ac:dyDescent="0.4">
      <c r="A39" s="5">
        <v>12</v>
      </c>
      <c r="B39" s="6" t="s">
        <v>5</v>
      </c>
      <c r="C39" s="71" t="s">
        <v>198</v>
      </c>
      <c r="D39" s="78">
        <v>7898277710059</v>
      </c>
      <c r="E39" s="71">
        <v>12</v>
      </c>
      <c r="F39" s="71">
        <v>0</v>
      </c>
      <c r="G39" s="71" t="s">
        <v>204</v>
      </c>
      <c r="H39" s="7">
        <v>24</v>
      </c>
      <c r="I39" s="25"/>
      <c r="J39" s="33">
        <f t="shared" si="0"/>
        <v>18.41</v>
      </c>
      <c r="K39" s="32">
        <v>0.34910000000000002</v>
      </c>
      <c r="L39" s="26">
        <f t="shared" si="1"/>
        <v>11.98</v>
      </c>
      <c r="M39" s="8">
        <f t="shared" si="2"/>
        <v>0</v>
      </c>
      <c r="N39" s="31">
        <v>18.41</v>
      </c>
    </row>
    <row r="40" spans="1:30" x14ac:dyDescent="0.4">
      <c r="A40" s="5">
        <v>6489</v>
      </c>
      <c r="B40" s="41" t="s">
        <v>105</v>
      </c>
      <c r="C40" s="72">
        <v>33069000</v>
      </c>
      <c r="D40" s="79">
        <v>7898277715436</v>
      </c>
      <c r="E40" s="71">
        <v>12</v>
      </c>
      <c r="F40" s="71">
        <v>0</v>
      </c>
      <c r="G40" s="72">
        <v>56.08</v>
      </c>
      <c r="H40" s="7">
        <v>12</v>
      </c>
      <c r="I40" s="25"/>
      <c r="J40" s="33">
        <f t="shared" si="0"/>
        <v>21.6</v>
      </c>
      <c r="K40" s="32">
        <v>0.5</v>
      </c>
      <c r="L40" s="26">
        <f t="shared" si="1"/>
        <v>10.8</v>
      </c>
      <c r="M40" s="8">
        <f t="shared" si="2"/>
        <v>0</v>
      </c>
      <c r="N40" s="31">
        <v>21.6</v>
      </c>
    </row>
    <row r="41" spans="1:30" x14ac:dyDescent="0.4">
      <c r="A41" s="5">
        <v>6490</v>
      </c>
      <c r="B41" s="41" t="s">
        <v>106</v>
      </c>
      <c r="C41" s="72">
        <v>33069000</v>
      </c>
      <c r="D41" s="79">
        <v>7898277715443</v>
      </c>
      <c r="E41" s="71">
        <v>12</v>
      </c>
      <c r="F41" s="72">
        <v>0</v>
      </c>
      <c r="G41" s="72">
        <v>56.08</v>
      </c>
      <c r="H41" s="7">
        <v>12</v>
      </c>
      <c r="I41" s="25"/>
      <c r="J41" s="33">
        <f t="shared" si="0"/>
        <v>21.6</v>
      </c>
      <c r="K41" s="32">
        <v>0.5</v>
      </c>
      <c r="L41" s="26">
        <f t="shared" si="1"/>
        <v>10.8</v>
      </c>
      <c r="M41" s="8">
        <f t="shared" si="2"/>
        <v>0</v>
      </c>
      <c r="N41" s="31">
        <v>21.6</v>
      </c>
    </row>
    <row r="42" spans="1:30" x14ac:dyDescent="0.4">
      <c r="A42" s="5">
        <v>6383</v>
      </c>
      <c r="B42" s="41" t="s">
        <v>206</v>
      </c>
      <c r="C42" s="72">
        <v>21069030</v>
      </c>
      <c r="D42" s="79">
        <v>7898277715481</v>
      </c>
      <c r="E42" s="71">
        <v>12</v>
      </c>
      <c r="F42" s="72">
        <v>0</v>
      </c>
      <c r="G42" s="72" t="s">
        <v>204</v>
      </c>
      <c r="H42" s="7">
        <v>24</v>
      </c>
      <c r="I42" s="25"/>
      <c r="J42" s="33">
        <f t="shared" si="0"/>
        <v>24.67</v>
      </c>
      <c r="K42" s="32">
        <v>0.5</v>
      </c>
      <c r="L42" s="26">
        <f t="shared" si="1"/>
        <v>12.34</v>
      </c>
      <c r="M42" s="8">
        <f t="shared" si="2"/>
        <v>0</v>
      </c>
      <c r="N42" s="31">
        <v>24.67</v>
      </c>
    </row>
    <row r="43" spans="1:30" x14ac:dyDescent="0.4">
      <c r="A43" s="5">
        <v>940</v>
      </c>
      <c r="B43" s="6" t="s">
        <v>83</v>
      </c>
      <c r="C43" s="71" t="s">
        <v>198</v>
      </c>
      <c r="D43" s="78">
        <v>7898277712473</v>
      </c>
      <c r="E43" s="71">
        <v>12</v>
      </c>
      <c r="F43" s="72">
        <v>0</v>
      </c>
      <c r="G43" s="71" t="s">
        <v>204</v>
      </c>
      <c r="H43" s="7">
        <v>40</v>
      </c>
      <c r="I43" s="25"/>
      <c r="J43" s="33">
        <f t="shared" si="0"/>
        <v>57.25</v>
      </c>
      <c r="K43" s="32">
        <v>0.82</v>
      </c>
      <c r="L43" s="26">
        <f t="shared" si="1"/>
        <v>10.31</v>
      </c>
      <c r="M43" s="8">
        <f t="shared" si="2"/>
        <v>0</v>
      </c>
      <c r="N43" s="31">
        <v>57.25</v>
      </c>
    </row>
    <row r="44" spans="1:30" x14ac:dyDescent="0.4">
      <c r="A44" s="5">
        <v>941</v>
      </c>
      <c r="B44" s="6" t="s">
        <v>84</v>
      </c>
      <c r="C44" s="71" t="s">
        <v>198</v>
      </c>
      <c r="D44" s="78">
        <v>7898277712480</v>
      </c>
      <c r="E44" s="71">
        <v>12</v>
      </c>
      <c r="F44" s="72">
        <v>0</v>
      </c>
      <c r="G44" s="71" t="s">
        <v>204</v>
      </c>
      <c r="H44" s="7">
        <v>40</v>
      </c>
      <c r="I44" s="25"/>
      <c r="J44" s="33">
        <f t="shared" si="0"/>
        <v>57.25</v>
      </c>
      <c r="K44" s="32">
        <v>0.82</v>
      </c>
      <c r="L44" s="26">
        <f t="shared" si="1"/>
        <v>10.31</v>
      </c>
      <c r="M44" s="8">
        <f t="shared" si="2"/>
        <v>0</v>
      </c>
      <c r="N44" s="31">
        <v>57.25</v>
      </c>
    </row>
    <row r="45" spans="1:30" x14ac:dyDescent="0.4">
      <c r="A45" s="5">
        <v>4974</v>
      </c>
      <c r="B45" s="6" t="s">
        <v>62</v>
      </c>
      <c r="C45" s="71" t="s">
        <v>198</v>
      </c>
      <c r="D45" s="78">
        <v>7898277714408</v>
      </c>
      <c r="E45" s="71">
        <v>12</v>
      </c>
      <c r="F45" s="72">
        <v>0</v>
      </c>
      <c r="G45" s="71" t="s">
        <v>204</v>
      </c>
      <c r="H45" s="7">
        <v>40</v>
      </c>
      <c r="I45" s="25"/>
      <c r="J45" s="33">
        <f t="shared" si="0"/>
        <v>57.25</v>
      </c>
      <c r="K45" s="32">
        <v>0.82</v>
      </c>
      <c r="L45" s="26">
        <f t="shared" si="1"/>
        <v>10.31</v>
      </c>
      <c r="M45" s="8">
        <f t="shared" si="2"/>
        <v>0</v>
      </c>
      <c r="N45" s="31">
        <v>57.25</v>
      </c>
    </row>
    <row r="46" spans="1:30" x14ac:dyDescent="0.4">
      <c r="A46" s="5">
        <v>5764</v>
      </c>
      <c r="B46" s="28" t="s">
        <v>88</v>
      </c>
      <c r="C46" s="71" t="s">
        <v>198</v>
      </c>
      <c r="D46" s="78">
        <v>7898277715085</v>
      </c>
      <c r="E46" s="71">
        <v>12</v>
      </c>
      <c r="F46" s="72">
        <v>0</v>
      </c>
      <c r="G46" s="71" t="s">
        <v>204</v>
      </c>
      <c r="H46" s="7">
        <v>100</v>
      </c>
      <c r="I46" s="25"/>
      <c r="J46" s="33">
        <f t="shared" si="0"/>
        <v>24.73</v>
      </c>
      <c r="K46" s="32">
        <v>0.7</v>
      </c>
      <c r="L46" s="26">
        <f t="shared" si="1"/>
        <v>7.42</v>
      </c>
      <c r="M46" s="8">
        <f t="shared" si="2"/>
        <v>0</v>
      </c>
      <c r="N46" s="31">
        <v>24.73</v>
      </c>
    </row>
    <row r="47" spans="1:30" x14ac:dyDescent="0.4">
      <c r="A47" s="5">
        <v>6799</v>
      </c>
      <c r="B47" s="42" t="s">
        <v>214</v>
      </c>
      <c r="C47" s="71">
        <v>21069030</v>
      </c>
      <c r="D47" s="78">
        <v>7898277715726</v>
      </c>
      <c r="E47" s="71">
        <v>12</v>
      </c>
      <c r="F47" s="72">
        <v>0</v>
      </c>
      <c r="G47" s="71" t="s">
        <v>204</v>
      </c>
      <c r="H47" s="7">
        <v>100</v>
      </c>
      <c r="I47" s="25"/>
      <c r="J47" s="33">
        <f t="shared" si="0"/>
        <v>26.4</v>
      </c>
      <c r="K47" s="32">
        <v>0.4</v>
      </c>
      <c r="L47" s="26">
        <f t="shared" si="1"/>
        <v>15.84</v>
      </c>
      <c r="M47" s="8">
        <f t="shared" si="2"/>
        <v>0</v>
      </c>
      <c r="N47" s="31">
        <v>26.4</v>
      </c>
    </row>
    <row r="48" spans="1:30" x14ac:dyDescent="0.4">
      <c r="A48" s="5">
        <v>6800</v>
      </c>
      <c r="B48" s="42" t="s">
        <v>215</v>
      </c>
      <c r="C48" s="71">
        <v>21069030</v>
      </c>
      <c r="D48" s="78">
        <v>7898277715719</v>
      </c>
      <c r="E48" s="71">
        <v>12</v>
      </c>
      <c r="F48" s="72">
        <v>0</v>
      </c>
      <c r="G48" s="71" t="s">
        <v>204</v>
      </c>
      <c r="H48" s="7">
        <v>100</v>
      </c>
      <c r="I48" s="25"/>
      <c r="J48" s="33">
        <f t="shared" si="0"/>
        <v>66</v>
      </c>
      <c r="K48" s="32">
        <v>0.4</v>
      </c>
      <c r="L48" s="26">
        <f t="shared" si="1"/>
        <v>39.6</v>
      </c>
      <c r="M48" s="8">
        <f t="shared" si="2"/>
        <v>0</v>
      </c>
      <c r="N48" s="31">
        <v>66</v>
      </c>
    </row>
    <row r="49" spans="1:31" x14ac:dyDescent="0.4">
      <c r="A49" s="35">
        <v>3912</v>
      </c>
      <c r="B49" s="36" t="s">
        <v>39</v>
      </c>
      <c r="C49" s="72">
        <v>33049990</v>
      </c>
      <c r="D49" s="78">
        <v>7898277713678</v>
      </c>
      <c r="E49" s="71">
        <v>12</v>
      </c>
      <c r="F49" s="72">
        <v>14.3</v>
      </c>
      <c r="G49" s="72">
        <v>40.590000000000003</v>
      </c>
      <c r="H49" s="7">
        <v>40</v>
      </c>
      <c r="I49" s="25"/>
      <c r="J49" s="33">
        <f t="shared" ref="J49" si="21">N49</f>
        <v>70.099999999999994</v>
      </c>
      <c r="K49" s="32">
        <v>0.45</v>
      </c>
      <c r="L49" s="26">
        <f t="shared" ref="L49" si="22">ROUND(N49*1*(100%-K49),2)</f>
        <v>38.56</v>
      </c>
      <c r="M49" s="8">
        <f>L49*I49</f>
        <v>0</v>
      </c>
      <c r="N49" s="31">
        <v>70.099999999999994</v>
      </c>
      <c r="O49" s="37"/>
      <c r="P49" s="39"/>
      <c r="AE49" s="38"/>
    </row>
    <row r="50" spans="1:31" x14ac:dyDescent="0.4">
      <c r="A50" s="35">
        <v>3923</v>
      </c>
      <c r="B50" s="36" t="s">
        <v>38</v>
      </c>
      <c r="C50" s="72">
        <v>33049990</v>
      </c>
      <c r="D50" s="78">
        <v>7898277713654</v>
      </c>
      <c r="E50" s="71">
        <v>12</v>
      </c>
      <c r="F50" s="72">
        <v>14.3</v>
      </c>
      <c r="G50" s="72">
        <v>40.590000000000003</v>
      </c>
      <c r="H50" s="7">
        <v>6</v>
      </c>
      <c r="I50" s="25"/>
      <c r="J50" s="33">
        <f t="shared" si="0"/>
        <v>267.58</v>
      </c>
      <c r="K50" s="32">
        <v>0.36704999999999999</v>
      </c>
      <c r="L50" s="26">
        <f t="shared" si="1"/>
        <v>169.36</v>
      </c>
      <c r="M50" s="8">
        <f>L50*I50</f>
        <v>0</v>
      </c>
      <c r="N50" s="31">
        <v>267.58</v>
      </c>
      <c r="O50" s="37"/>
      <c r="AE50" s="38"/>
    </row>
    <row r="51" spans="1:31" x14ac:dyDescent="0.4">
      <c r="A51" s="5">
        <v>2714</v>
      </c>
      <c r="B51" s="6" t="s">
        <v>28</v>
      </c>
      <c r="C51" s="72">
        <v>21069030</v>
      </c>
      <c r="D51" s="78">
        <v>7898277713173</v>
      </c>
      <c r="E51" s="71">
        <v>12</v>
      </c>
      <c r="F51" s="72">
        <v>0</v>
      </c>
      <c r="G51" s="72" t="s">
        <v>204</v>
      </c>
      <c r="H51" s="9">
        <v>100</v>
      </c>
      <c r="I51" s="25"/>
      <c r="J51" s="33">
        <f t="shared" si="0"/>
        <v>41.24</v>
      </c>
      <c r="K51" s="32">
        <v>0.75</v>
      </c>
      <c r="L51" s="26">
        <f t="shared" si="1"/>
        <v>10.31</v>
      </c>
      <c r="M51" s="8">
        <f t="shared" ref="M51:M102" si="23">L51*I51</f>
        <v>0</v>
      </c>
      <c r="N51" s="31">
        <v>41.24</v>
      </c>
    </row>
    <row r="52" spans="1:31" x14ac:dyDescent="0.4">
      <c r="A52" s="5">
        <v>6832</v>
      </c>
      <c r="B52" s="41" t="s">
        <v>216</v>
      </c>
      <c r="C52" s="72">
        <v>21069030</v>
      </c>
      <c r="D52" s="78">
        <v>7898277715801</v>
      </c>
      <c r="E52" s="71">
        <v>12</v>
      </c>
      <c r="F52" s="72">
        <v>0</v>
      </c>
      <c r="G52" s="72" t="s">
        <v>204</v>
      </c>
      <c r="H52" s="9">
        <v>48</v>
      </c>
      <c r="I52" s="25"/>
      <c r="J52" s="33">
        <f t="shared" si="0"/>
        <v>50</v>
      </c>
      <c r="K52" s="32">
        <v>0.82</v>
      </c>
      <c r="L52" s="26">
        <f t="shared" si="1"/>
        <v>9</v>
      </c>
      <c r="M52" s="8">
        <f t="shared" si="23"/>
        <v>0</v>
      </c>
      <c r="N52" s="31">
        <v>50</v>
      </c>
    </row>
    <row r="53" spans="1:31" x14ac:dyDescent="0.4">
      <c r="A53" s="5">
        <v>4801</v>
      </c>
      <c r="B53" s="6" t="s">
        <v>63</v>
      </c>
      <c r="C53" s="72">
        <v>21069030</v>
      </c>
      <c r="D53" s="78">
        <v>7898277714309</v>
      </c>
      <c r="E53" s="71">
        <v>12</v>
      </c>
      <c r="F53" s="72">
        <v>0</v>
      </c>
      <c r="G53" s="72" t="s">
        <v>204</v>
      </c>
      <c r="H53" s="9">
        <v>48</v>
      </c>
      <c r="I53" s="25"/>
      <c r="J53" s="33">
        <f t="shared" si="0"/>
        <v>65.599999999999994</v>
      </c>
      <c r="K53" s="32">
        <v>0.75</v>
      </c>
      <c r="L53" s="26">
        <f t="shared" si="1"/>
        <v>16.399999999999999</v>
      </c>
      <c r="M53" s="8">
        <f t="shared" si="23"/>
        <v>0</v>
      </c>
      <c r="N53" s="31">
        <v>65.599999999999994</v>
      </c>
    </row>
    <row r="54" spans="1:31" x14ac:dyDescent="0.4">
      <c r="A54" s="5">
        <v>3762</v>
      </c>
      <c r="B54" s="6" t="s">
        <v>44</v>
      </c>
      <c r="C54" s="72">
        <v>21069030</v>
      </c>
      <c r="D54" s="78">
        <v>7898277713593</v>
      </c>
      <c r="E54" s="71">
        <v>12</v>
      </c>
      <c r="F54" s="72">
        <v>0</v>
      </c>
      <c r="G54" s="72" t="s">
        <v>204</v>
      </c>
      <c r="H54" s="9">
        <v>48</v>
      </c>
      <c r="I54" s="25"/>
      <c r="J54" s="33">
        <f t="shared" si="0"/>
        <v>61.83</v>
      </c>
      <c r="K54" s="32">
        <v>0.8</v>
      </c>
      <c r="L54" s="26">
        <f t="shared" si="1"/>
        <v>12.37</v>
      </c>
      <c r="M54" s="8">
        <f t="shared" si="23"/>
        <v>0</v>
      </c>
      <c r="N54" s="31">
        <v>61.83</v>
      </c>
      <c r="AD54" s="38" t="s">
        <v>93</v>
      </c>
    </row>
    <row r="55" spans="1:31" x14ac:dyDescent="0.4">
      <c r="A55" s="5">
        <v>1179</v>
      </c>
      <c r="B55" s="6" t="s">
        <v>17</v>
      </c>
      <c r="C55" s="72">
        <v>21069030</v>
      </c>
      <c r="D55" s="78">
        <v>7898277712565</v>
      </c>
      <c r="E55" s="71">
        <v>12</v>
      </c>
      <c r="F55" s="72">
        <v>0</v>
      </c>
      <c r="G55" s="72" t="s">
        <v>204</v>
      </c>
      <c r="H55" s="7">
        <v>12</v>
      </c>
      <c r="I55" s="25"/>
      <c r="J55" s="33">
        <f t="shared" si="0"/>
        <v>214.76</v>
      </c>
      <c r="K55" s="32">
        <v>0.87</v>
      </c>
      <c r="L55" s="26">
        <f t="shared" si="1"/>
        <v>27.92</v>
      </c>
      <c r="M55" s="8">
        <f t="shared" si="23"/>
        <v>0</v>
      </c>
      <c r="N55" s="31">
        <v>214.76</v>
      </c>
    </row>
    <row r="56" spans="1:31" x14ac:dyDescent="0.4">
      <c r="A56" s="5">
        <v>4949</v>
      </c>
      <c r="B56" s="10" t="s">
        <v>60</v>
      </c>
      <c r="C56" s="72">
        <v>21069030</v>
      </c>
      <c r="D56" s="78">
        <v>7898277714361</v>
      </c>
      <c r="E56" s="71">
        <v>12</v>
      </c>
      <c r="F56" s="72">
        <v>0</v>
      </c>
      <c r="G56" s="72" t="s">
        <v>204</v>
      </c>
      <c r="H56" s="7">
        <v>100</v>
      </c>
      <c r="I56" s="25"/>
      <c r="J56" s="33">
        <f t="shared" si="0"/>
        <v>13.23</v>
      </c>
      <c r="K56" s="32">
        <v>0.45</v>
      </c>
      <c r="L56" s="26">
        <f t="shared" si="1"/>
        <v>7.28</v>
      </c>
      <c r="M56" s="8">
        <f t="shared" si="23"/>
        <v>0</v>
      </c>
      <c r="N56" s="31">
        <v>13.23</v>
      </c>
      <c r="AE56" s="34"/>
    </row>
    <row r="57" spans="1:31" x14ac:dyDescent="0.4">
      <c r="A57" s="5">
        <v>4965</v>
      </c>
      <c r="B57" s="10" t="s">
        <v>59</v>
      </c>
      <c r="C57" s="72">
        <v>21069030</v>
      </c>
      <c r="D57" s="78">
        <v>7898277714378</v>
      </c>
      <c r="E57" s="71">
        <v>12</v>
      </c>
      <c r="F57" s="72">
        <v>0</v>
      </c>
      <c r="G57" s="72" t="s">
        <v>204</v>
      </c>
      <c r="H57" s="7">
        <v>20</v>
      </c>
      <c r="I57" s="25"/>
      <c r="J57" s="33">
        <f t="shared" si="0"/>
        <v>25.07</v>
      </c>
      <c r="K57" s="32">
        <v>0.45</v>
      </c>
      <c r="L57" s="26">
        <f t="shared" si="1"/>
        <v>13.79</v>
      </c>
      <c r="M57" s="8">
        <f t="shared" si="23"/>
        <v>0</v>
      </c>
      <c r="N57" s="31">
        <v>25.07</v>
      </c>
      <c r="AE57" s="34"/>
    </row>
    <row r="58" spans="1:31" x14ac:dyDescent="0.4">
      <c r="A58" s="5">
        <v>5136</v>
      </c>
      <c r="B58" s="6" t="s">
        <v>68</v>
      </c>
      <c r="C58" s="72">
        <v>21069030</v>
      </c>
      <c r="D58" s="78">
        <v>7898277713821</v>
      </c>
      <c r="E58" s="71">
        <v>12</v>
      </c>
      <c r="F58" s="72">
        <v>0</v>
      </c>
      <c r="G58" s="72" t="s">
        <v>204</v>
      </c>
      <c r="H58" s="7">
        <v>24</v>
      </c>
      <c r="I58" s="25"/>
      <c r="J58" s="33">
        <f t="shared" si="0"/>
        <v>18.899999999999999</v>
      </c>
      <c r="K58" s="32">
        <v>0.7</v>
      </c>
      <c r="L58" s="26">
        <f t="shared" si="1"/>
        <v>5.67</v>
      </c>
      <c r="M58" s="8">
        <f t="shared" si="23"/>
        <v>0</v>
      </c>
      <c r="N58" s="31">
        <v>18.899999999999999</v>
      </c>
    </row>
    <row r="59" spans="1:31" x14ac:dyDescent="0.4">
      <c r="A59" s="5">
        <v>5137</v>
      </c>
      <c r="B59" s="6" t="s">
        <v>69</v>
      </c>
      <c r="C59" s="72">
        <v>21069030</v>
      </c>
      <c r="D59" s="78">
        <v>7898277713814</v>
      </c>
      <c r="E59" s="71">
        <v>12</v>
      </c>
      <c r="F59" s="72">
        <v>0</v>
      </c>
      <c r="G59" s="72" t="s">
        <v>204</v>
      </c>
      <c r="H59" s="7">
        <v>24</v>
      </c>
      <c r="I59" s="25"/>
      <c r="J59" s="33">
        <f t="shared" si="0"/>
        <v>18.899999999999999</v>
      </c>
      <c r="K59" s="32">
        <v>0.7</v>
      </c>
      <c r="L59" s="26">
        <f t="shared" si="1"/>
        <v>5.67</v>
      </c>
      <c r="M59" s="8">
        <f t="shared" si="23"/>
        <v>0</v>
      </c>
      <c r="N59" s="31">
        <v>18.899999999999999</v>
      </c>
    </row>
    <row r="60" spans="1:31" x14ac:dyDescent="0.4">
      <c r="A60" s="5">
        <v>5103</v>
      </c>
      <c r="B60" s="6" t="s">
        <v>70</v>
      </c>
      <c r="C60" s="72">
        <v>21069030</v>
      </c>
      <c r="D60" s="78">
        <v>7898277713807</v>
      </c>
      <c r="E60" s="71">
        <v>12</v>
      </c>
      <c r="F60" s="72">
        <v>0</v>
      </c>
      <c r="G60" s="72" t="s">
        <v>204</v>
      </c>
      <c r="H60" s="7">
        <v>24</v>
      </c>
      <c r="I60" s="25"/>
      <c r="J60" s="33">
        <f t="shared" si="0"/>
        <v>18.899999999999999</v>
      </c>
      <c r="K60" s="32">
        <v>0.7</v>
      </c>
      <c r="L60" s="26">
        <f t="shared" si="1"/>
        <v>5.67</v>
      </c>
      <c r="M60" s="8">
        <f t="shared" si="23"/>
        <v>0</v>
      </c>
      <c r="N60" s="31">
        <v>18.899999999999999</v>
      </c>
    </row>
    <row r="61" spans="1:31" x14ac:dyDescent="0.4">
      <c r="A61" s="5">
        <v>5715</v>
      </c>
      <c r="B61" s="6" t="s">
        <v>89</v>
      </c>
      <c r="C61" s="72">
        <v>21069030</v>
      </c>
      <c r="D61" s="78">
        <v>7898277714842</v>
      </c>
      <c r="E61" s="71">
        <v>12</v>
      </c>
      <c r="F61" s="72">
        <v>0</v>
      </c>
      <c r="G61" s="72" t="s">
        <v>204</v>
      </c>
      <c r="H61" s="7">
        <v>60</v>
      </c>
      <c r="I61" s="25"/>
      <c r="J61" s="33">
        <f t="shared" si="0"/>
        <v>19.63</v>
      </c>
      <c r="K61" s="32">
        <v>0.7</v>
      </c>
      <c r="L61" s="26">
        <f t="shared" si="1"/>
        <v>5.89</v>
      </c>
      <c r="M61" s="8">
        <f t="shared" si="23"/>
        <v>0</v>
      </c>
      <c r="N61" s="31">
        <v>19.63</v>
      </c>
    </row>
    <row r="62" spans="1:31" ht="13.2" customHeight="1" x14ac:dyDescent="0.4">
      <c r="A62" s="5">
        <v>6152</v>
      </c>
      <c r="B62" s="6" t="s">
        <v>97</v>
      </c>
      <c r="C62" s="72">
        <v>21069030</v>
      </c>
      <c r="D62" s="78">
        <v>7898277715139</v>
      </c>
      <c r="E62" s="71">
        <v>12</v>
      </c>
      <c r="F62" s="72">
        <v>0</v>
      </c>
      <c r="G62" s="72" t="s">
        <v>204</v>
      </c>
      <c r="H62" s="7">
        <v>12</v>
      </c>
      <c r="I62" s="25"/>
      <c r="J62" s="33">
        <f t="shared" ref="J62" si="24">N62</f>
        <v>153.38999999999999</v>
      </c>
      <c r="K62" s="32">
        <v>0.77</v>
      </c>
      <c r="L62" s="26">
        <f t="shared" ref="L62" si="25">ROUND(N62*1*(100%-K62),2)</f>
        <v>35.28</v>
      </c>
      <c r="M62" s="8">
        <f t="shared" ref="M62" si="26">L62*I62</f>
        <v>0</v>
      </c>
      <c r="N62" s="31">
        <v>153.38999999999999</v>
      </c>
      <c r="AD62" s="34"/>
    </row>
    <row r="63" spans="1:31" ht="15.65" customHeight="1" x14ac:dyDescent="0.4">
      <c r="A63" s="5">
        <v>6151</v>
      </c>
      <c r="B63" s="6" t="s">
        <v>102</v>
      </c>
      <c r="C63" s="72">
        <v>21069030</v>
      </c>
      <c r="D63" s="82" t="s">
        <v>208</v>
      </c>
      <c r="E63" s="71">
        <v>12</v>
      </c>
      <c r="F63" s="72">
        <v>0</v>
      </c>
      <c r="G63" s="72" t="s">
        <v>204</v>
      </c>
      <c r="H63" s="7">
        <v>48</v>
      </c>
      <c r="I63" s="25"/>
      <c r="J63" s="33">
        <f t="shared" si="0"/>
        <v>32.68</v>
      </c>
      <c r="K63" s="32">
        <v>0.75</v>
      </c>
      <c r="L63" s="26">
        <f t="shared" si="1"/>
        <v>8.17</v>
      </c>
      <c r="M63" s="8">
        <f t="shared" si="23"/>
        <v>0</v>
      </c>
      <c r="N63" s="31">
        <v>32.68</v>
      </c>
      <c r="AD63" s="46"/>
    </row>
    <row r="64" spans="1:31" x14ac:dyDescent="0.4">
      <c r="A64" s="5">
        <v>6150</v>
      </c>
      <c r="B64" s="6" t="s">
        <v>98</v>
      </c>
      <c r="C64" s="72">
        <v>21069030</v>
      </c>
      <c r="D64" s="78">
        <v>7898277715108</v>
      </c>
      <c r="E64" s="71">
        <v>12</v>
      </c>
      <c r="F64" s="72">
        <v>0</v>
      </c>
      <c r="G64" s="72" t="s">
        <v>204</v>
      </c>
      <c r="H64" s="7">
        <v>40</v>
      </c>
      <c r="I64" s="25"/>
      <c r="J64" s="33">
        <f t="shared" si="0"/>
        <v>17.18</v>
      </c>
      <c r="K64" s="32">
        <v>0.75</v>
      </c>
      <c r="L64" s="26">
        <f t="shared" si="1"/>
        <v>4.3</v>
      </c>
      <c r="M64" s="8">
        <f t="shared" si="23"/>
        <v>0</v>
      </c>
      <c r="N64" s="31">
        <v>17.18</v>
      </c>
      <c r="AD64" s="34"/>
    </row>
    <row r="65" spans="1:30" x14ac:dyDescent="0.4">
      <c r="A65" s="5">
        <v>4898</v>
      </c>
      <c r="B65" s="6" t="s">
        <v>61</v>
      </c>
      <c r="C65" s="72">
        <v>21069030</v>
      </c>
      <c r="D65" s="78">
        <v>7898277713838</v>
      </c>
      <c r="E65" s="71">
        <v>12</v>
      </c>
      <c r="F65" s="72">
        <v>0</v>
      </c>
      <c r="G65" s="72" t="s">
        <v>204</v>
      </c>
      <c r="H65" s="7">
        <v>40</v>
      </c>
      <c r="I65" s="25"/>
      <c r="J65" s="33">
        <f t="shared" si="0"/>
        <v>45.79</v>
      </c>
      <c r="K65" s="32">
        <v>0.75</v>
      </c>
      <c r="L65" s="26">
        <f t="shared" si="1"/>
        <v>11.45</v>
      </c>
      <c r="M65" s="8">
        <f t="shared" si="23"/>
        <v>0</v>
      </c>
      <c r="N65" s="31">
        <v>45.79</v>
      </c>
    </row>
    <row r="66" spans="1:30" x14ac:dyDescent="0.4">
      <c r="A66" s="5">
        <v>4897</v>
      </c>
      <c r="B66" s="6" t="s">
        <v>85</v>
      </c>
      <c r="C66" s="72">
        <v>21069030</v>
      </c>
      <c r="D66" s="81">
        <v>7898277713845</v>
      </c>
      <c r="E66" s="71">
        <v>12</v>
      </c>
      <c r="F66" s="72">
        <v>0</v>
      </c>
      <c r="G66" s="72" t="s">
        <v>204</v>
      </c>
      <c r="H66" s="7">
        <v>40</v>
      </c>
      <c r="I66" s="25"/>
      <c r="J66" s="33">
        <f t="shared" si="0"/>
        <v>82.41</v>
      </c>
      <c r="K66" s="32">
        <v>0.75</v>
      </c>
      <c r="L66" s="26">
        <f t="shared" si="1"/>
        <v>20.6</v>
      </c>
      <c r="M66" s="8">
        <f t="shared" si="23"/>
        <v>0</v>
      </c>
      <c r="N66" s="31">
        <v>82.41</v>
      </c>
    </row>
    <row r="67" spans="1:30" x14ac:dyDescent="0.4">
      <c r="A67" s="5">
        <v>6492</v>
      </c>
      <c r="B67" s="41" t="s">
        <v>107</v>
      </c>
      <c r="C67" s="72">
        <v>33069000</v>
      </c>
      <c r="D67" s="79">
        <v>7898277715450</v>
      </c>
      <c r="E67" s="71">
        <v>12</v>
      </c>
      <c r="F67" s="72">
        <v>0</v>
      </c>
      <c r="G67" s="72">
        <v>56.08</v>
      </c>
      <c r="H67" s="7">
        <v>24</v>
      </c>
      <c r="I67" s="25"/>
      <c r="J67" s="33">
        <f t="shared" si="0"/>
        <v>21.6</v>
      </c>
      <c r="K67" s="32">
        <v>0.5</v>
      </c>
      <c r="L67" s="26">
        <f t="shared" si="1"/>
        <v>10.8</v>
      </c>
      <c r="M67" s="8">
        <f t="shared" si="23"/>
        <v>0</v>
      </c>
      <c r="N67" s="31">
        <v>21.6</v>
      </c>
    </row>
    <row r="68" spans="1:30" x14ac:dyDescent="0.4">
      <c r="A68" s="5">
        <v>6491</v>
      </c>
      <c r="B68" s="41" t="s">
        <v>108</v>
      </c>
      <c r="C68" s="72">
        <v>33069000</v>
      </c>
      <c r="D68" s="79">
        <v>7898277715467</v>
      </c>
      <c r="E68" s="71">
        <v>12</v>
      </c>
      <c r="F68" s="72">
        <v>0</v>
      </c>
      <c r="G68" s="72">
        <v>56.08</v>
      </c>
      <c r="H68" s="7">
        <v>24</v>
      </c>
      <c r="I68" s="25"/>
      <c r="J68" s="33">
        <f t="shared" si="0"/>
        <v>21.6</v>
      </c>
      <c r="K68" s="32">
        <v>0.5</v>
      </c>
      <c r="L68" s="26">
        <f t="shared" si="1"/>
        <v>10.8</v>
      </c>
      <c r="M68" s="8">
        <f t="shared" si="23"/>
        <v>0</v>
      </c>
      <c r="N68" s="31">
        <v>21.6</v>
      </c>
    </row>
    <row r="69" spans="1:30" x14ac:dyDescent="0.4">
      <c r="A69" s="5">
        <v>1807</v>
      </c>
      <c r="B69" s="11" t="s">
        <v>20</v>
      </c>
      <c r="C69" s="72">
        <v>21069030</v>
      </c>
      <c r="D69" s="78">
        <v>7898277712879</v>
      </c>
      <c r="E69" s="71">
        <v>12</v>
      </c>
      <c r="F69" s="72">
        <v>0</v>
      </c>
      <c r="G69" s="72" t="s">
        <v>204</v>
      </c>
      <c r="H69" s="12">
        <v>48</v>
      </c>
      <c r="I69" s="25"/>
      <c r="J69" s="33">
        <f t="shared" si="0"/>
        <v>40.880000000000003</v>
      </c>
      <c r="K69" s="32">
        <v>0.65</v>
      </c>
      <c r="L69" s="26">
        <f t="shared" si="1"/>
        <v>14.31</v>
      </c>
      <c r="M69" s="8">
        <f t="shared" si="23"/>
        <v>0</v>
      </c>
      <c r="N69" s="31">
        <v>40.880000000000003</v>
      </c>
    </row>
    <row r="70" spans="1:30" x14ac:dyDescent="0.4">
      <c r="A70" s="5">
        <v>1808</v>
      </c>
      <c r="B70" s="13" t="s">
        <v>21</v>
      </c>
      <c r="C70" s="72">
        <v>21069030</v>
      </c>
      <c r="D70" s="78">
        <v>7898277712886</v>
      </c>
      <c r="E70" s="71">
        <v>12</v>
      </c>
      <c r="F70" s="72">
        <v>0</v>
      </c>
      <c r="G70" s="72" t="s">
        <v>204</v>
      </c>
      <c r="H70" s="12">
        <v>24</v>
      </c>
      <c r="I70" s="25"/>
      <c r="J70" s="33">
        <f t="shared" si="0"/>
        <v>110.96</v>
      </c>
      <c r="K70" s="32">
        <v>0.65</v>
      </c>
      <c r="L70" s="26">
        <f t="shared" si="1"/>
        <v>38.840000000000003</v>
      </c>
      <c r="M70" s="8">
        <f t="shared" si="23"/>
        <v>0</v>
      </c>
      <c r="N70" s="31">
        <v>110.96</v>
      </c>
    </row>
    <row r="71" spans="1:30" x14ac:dyDescent="0.4">
      <c r="A71" s="5">
        <v>5138</v>
      </c>
      <c r="B71" s="13" t="s">
        <v>71</v>
      </c>
      <c r="C71" s="72">
        <v>21069030</v>
      </c>
      <c r="D71" s="78">
        <v>7898277714460</v>
      </c>
      <c r="E71" s="71">
        <v>12</v>
      </c>
      <c r="F71" s="72">
        <v>0</v>
      </c>
      <c r="G71" s="72" t="s">
        <v>204</v>
      </c>
      <c r="H71" s="12">
        <v>48</v>
      </c>
      <c r="I71" s="25"/>
      <c r="J71" s="33">
        <f t="shared" si="0"/>
        <v>40.880000000000003</v>
      </c>
      <c r="K71" s="32">
        <v>0.65</v>
      </c>
      <c r="L71" s="26">
        <f t="shared" si="1"/>
        <v>14.31</v>
      </c>
      <c r="M71" s="8">
        <f t="shared" si="23"/>
        <v>0</v>
      </c>
      <c r="N71" s="31">
        <v>40.880000000000003</v>
      </c>
    </row>
    <row r="72" spans="1:30" x14ac:dyDescent="0.4">
      <c r="A72" s="5">
        <v>5139</v>
      </c>
      <c r="B72" s="13" t="s">
        <v>72</v>
      </c>
      <c r="C72" s="72">
        <v>21069030</v>
      </c>
      <c r="D72" s="78">
        <v>7898277714477</v>
      </c>
      <c r="E72" s="71">
        <v>12</v>
      </c>
      <c r="F72" s="72">
        <v>0</v>
      </c>
      <c r="G72" s="72" t="s">
        <v>204</v>
      </c>
      <c r="H72" s="12">
        <v>24</v>
      </c>
      <c r="I72" s="25"/>
      <c r="J72" s="33">
        <f t="shared" si="0"/>
        <v>110.96</v>
      </c>
      <c r="K72" s="32">
        <v>0.65</v>
      </c>
      <c r="L72" s="26">
        <f t="shared" si="1"/>
        <v>38.840000000000003</v>
      </c>
      <c r="M72" s="8">
        <f t="shared" si="23"/>
        <v>0</v>
      </c>
      <c r="N72" s="31">
        <v>110.96</v>
      </c>
    </row>
    <row r="73" spans="1:30" x14ac:dyDescent="0.4">
      <c r="A73" s="5">
        <v>4550</v>
      </c>
      <c r="B73" s="13" t="s">
        <v>54</v>
      </c>
      <c r="C73" s="72">
        <v>33049990</v>
      </c>
      <c r="D73" s="80">
        <v>7898277714156</v>
      </c>
      <c r="E73" s="71">
        <v>12</v>
      </c>
      <c r="F73" s="72">
        <v>14.3</v>
      </c>
      <c r="G73" s="72">
        <v>40.590000000000003</v>
      </c>
      <c r="H73" s="12">
        <v>40</v>
      </c>
      <c r="I73" s="25"/>
      <c r="J73" s="33">
        <f t="shared" si="0"/>
        <v>152.16</v>
      </c>
      <c r="K73" s="32">
        <v>0.7</v>
      </c>
      <c r="L73" s="26">
        <f t="shared" si="1"/>
        <v>45.65</v>
      </c>
      <c r="M73" s="8">
        <f t="shared" si="23"/>
        <v>0</v>
      </c>
      <c r="N73" s="31">
        <v>152.16</v>
      </c>
    </row>
    <row r="74" spans="1:30" x14ac:dyDescent="0.4">
      <c r="A74" s="5">
        <v>6570</v>
      </c>
      <c r="B74" s="75" t="s">
        <v>205</v>
      </c>
      <c r="C74" s="72">
        <v>21069030</v>
      </c>
      <c r="D74" s="79">
        <v>7898277715542</v>
      </c>
      <c r="E74" s="71">
        <v>12</v>
      </c>
      <c r="F74" s="72">
        <v>0</v>
      </c>
      <c r="G74" s="72" t="s">
        <v>204</v>
      </c>
      <c r="H74" s="12">
        <v>60</v>
      </c>
      <c r="I74" s="25"/>
      <c r="J74" s="33">
        <f t="shared" si="0"/>
        <v>22.25</v>
      </c>
      <c r="K74" s="32">
        <v>0.4</v>
      </c>
      <c r="L74" s="26">
        <f t="shared" si="1"/>
        <v>13.35</v>
      </c>
      <c r="M74" s="8">
        <f t="shared" si="23"/>
        <v>0</v>
      </c>
      <c r="N74" s="31">
        <v>22.25</v>
      </c>
    </row>
    <row r="75" spans="1:30" x14ac:dyDescent="0.4">
      <c r="A75" s="5">
        <v>895</v>
      </c>
      <c r="B75" s="10" t="s">
        <v>18</v>
      </c>
      <c r="C75" s="72">
        <v>21069030</v>
      </c>
      <c r="D75" s="79" t="s">
        <v>209</v>
      </c>
      <c r="E75" s="71">
        <v>12</v>
      </c>
      <c r="F75" s="72">
        <v>0</v>
      </c>
      <c r="G75" s="72" t="s">
        <v>204</v>
      </c>
      <c r="H75" s="7">
        <v>48</v>
      </c>
      <c r="I75" s="25"/>
      <c r="J75" s="33">
        <f t="shared" si="0"/>
        <v>40.89</v>
      </c>
      <c r="K75" s="32">
        <v>0.75</v>
      </c>
      <c r="L75" s="26">
        <f t="shared" si="1"/>
        <v>10.220000000000001</v>
      </c>
      <c r="M75" s="8">
        <f t="shared" si="23"/>
        <v>0</v>
      </c>
      <c r="N75" s="31">
        <v>40.89</v>
      </c>
      <c r="AD75" s="34"/>
    </row>
    <row r="76" spans="1:30" x14ac:dyDescent="0.4">
      <c r="A76" s="43">
        <v>6388</v>
      </c>
      <c r="B76" s="44" t="s">
        <v>101</v>
      </c>
      <c r="C76" s="72">
        <v>21069030</v>
      </c>
      <c r="D76" s="79">
        <v>7898277715313</v>
      </c>
      <c r="E76" s="71">
        <v>12</v>
      </c>
      <c r="F76" s="72">
        <v>0</v>
      </c>
      <c r="G76" s="72" t="s">
        <v>204</v>
      </c>
      <c r="H76" s="45">
        <v>48</v>
      </c>
      <c r="I76" s="25"/>
      <c r="J76" s="33">
        <f t="shared" si="0"/>
        <v>78.510000000000005</v>
      </c>
      <c r="K76" s="32">
        <v>0.82</v>
      </c>
      <c r="L76" s="26">
        <f t="shared" si="1"/>
        <v>14.13</v>
      </c>
      <c r="M76" s="8">
        <f t="shared" si="23"/>
        <v>0</v>
      </c>
      <c r="N76" s="31">
        <v>78.510000000000005</v>
      </c>
      <c r="AD76" s="40"/>
    </row>
    <row r="77" spans="1:30" x14ac:dyDescent="0.4">
      <c r="A77" s="5">
        <v>4327</v>
      </c>
      <c r="B77" s="10" t="s">
        <v>49</v>
      </c>
      <c r="C77" s="72">
        <v>33049990</v>
      </c>
      <c r="D77" s="79">
        <v>7898277714118</v>
      </c>
      <c r="E77" s="71">
        <v>12</v>
      </c>
      <c r="F77" s="72">
        <v>14.3</v>
      </c>
      <c r="G77" s="72">
        <v>40.590000000000003</v>
      </c>
      <c r="H77" s="7">
        <v>60</v>
      </c>
      <c r="I77" s="25"/>
      <c r="J77" s="33">
        <f t="shared" si="0"/>
        <v>48.81</v>
      </c>
      <c r="K77" s="32">
        <v>0.87</v>
      </c>
      <c r="L77" s="26">
        <f t="shared" si="1"/>
        <v>6.35</v>
      </c>
      <c r="M77" s="8">
        <f t="shared" si="23"/>
        <v>0</v>
      </c>
      <c r="N77" s="31">
        <v>48.81</v>
      </c>
    </row>
    <row r="78" spans="1:30" x14ac:dyDescent="0.4">
      <c r="A78" s="5">
        <v>4687</v>
      </c>
      <c r="B78" s="10" t="s">
        <v>50</v>
      </c>
      <c r="C78" s="72">
        <v>21069030</v>
      </c>
      <c r="D78" s="79">
        <v>7898277714316</v>
      </c>
      <c r="E78" s="71">
        <v>12</v>
      </c>
      <c r="F78" s="72">
        <v>0</v>
      </c>
      <c r="G78" s="72" t="s">
        <v>204</v>
      </c>
      <c r="H78" s="7">
        <v>40</v>
      </c>
      <c r="I78" s="25"/>
      <c r="J78" s="33">
        <f t="shared" si="0"/>
        <v>22.7</v>
      </c>
      <c r="K78" s="32">
        <v>0.65</v>
      </c>
      <c r="L78" s="26">
        <f t="shared" si="1"/>
        <v>7.95</v>
      </c>
      <c r="M78" s="8">
        <f t="shared" si="23"/>
        <v>0</v>
      </c>
      <c r="N78" s="31">
        <v>22.7</v>
      </c>
    </row>
    <row r="79" spans="1:30" x14ac:dyDescent="0.4">
      <c r="A79" s="5">
        <v>49</v>
      </c>
      <c r="B79" s="6" t="s">
        <v>100</v>
      </c>
      <c r="C79" s="72">
        <v>34011190</v>
      </c>
      <c r="D79" s="79">
        <v>7898277710332</v>
      </c>
      <c r="E79" s="71">
        <v>12</v>
      </c>
      <c r="F79" s="72">
        <v>0</v>
      </c>
      <c r="G79" s="72">
        <v>40.479999999999997</v>
      </c>
      <c r="H79" s="7">
        <v>60</v>
      </c>
      <c r="I79" s="25"/>
      <c r="J79" s="33">
        <f t="shared" si="0"/>
        <v>17.03</v>
      </c>
      <c r="K79" s="32">
        <v>0.73</v>
      </c>
      <c r="L79" s="26">
        <f t="shared" si="1"/>
        <v>4.5999999999999996</v>
      </c>
      <c r="M79" s="8">
        <f t="shared" si="23"/>
        <v>0</v>
      </c>
      <c r="N79" s="31">
        <v>17.03</v>
      </c>
    </row>
    <row r="80" spans="1:30" x14ac:dyDescent="0.4">
      <c r="A80" s="5">
        <v>5884</v>
      </c>
      <c r="B80" s="42" t="s">
        <v>94</v>
      </c>
      <c r="C80" s="72">
        <v>34011190</v>
      </c>
      <c r="D80" s="79">
        <v>7898277714859</v>
      </c>
      <c r="E80" s="71">
        <v>12</v>
      </c>
      <c r="F80" s="72">
        <v>0</v>
      </c>
      <c r="G80" s="72">
        <v>40.479999999999997</v>
      </c>
      <c r="H80" s="7">
        <v>60</v>
      </c>
      <c r="I80" s="25"/>
      <c r="J80" s="33">
        <f t="shared" si="0"/>
        <v>15.92</v>
      </c>
      <c r="K80" s="32">
        <v>0.7</v>
      </c>
      <c r="L80" s="26">
        <f t="shared" si="1"/>
        <v>4.78</v>
      </c>
      <c r="M80" s="8">
        <f t="shared" si="23"/>
        <v>0</v>
      </c>
      <c r="N80" s="31">
        <v>15.92</v>
      </c>
    </row>
    <row r="81" spans="1:31" x14ac:dyDescent="0.4">
      <c r="A81" s="5">
        <v>5883</v>
      </c>
      <c r="B81" s="42" t="s">
        <v>95</v>
      </c>
      <c r="C81" s="72">
        <v>34011190</v>
      </c>
      <c r="D81" s="79">
        <v>7898277714866</v>
      </c>
      <c r="E81" s="71">
        <v>12</v>
      </c>
      <c r="F81" s="72">
        <v>0</v>
      </c>
      <c r="G81" s="72">
        <v>40.479999999999997</v>
      </c>
      <c r="H81" s="7">
        <v>60</v>
      </c>
      <c r="I81" s="25"/>
      <c r="J81" s="33">
        <f t="shared" si="0"/>
        <v>15.92</v>
      </c>
      <c r="K81" s="32">
        <v>0.7</v>
      </c>
      <c r="L81" s="26">
        <f t="shared" si="1"/>
        <v>4.78</v>
      </c>
      <c r="M81" s="8">
        <f t="shared" si="23"/>
        <v>0</v>
      </c>
      <c r="N81" s="31">
        <v>15.92</v>
      </c>
    </row>
    <row r="82" spans="1:31" x14ac:dyDescent="0.4">
      <c r="A82" s="5">
        <v>5882</v>
      </c>
      <c r="B82" s="42" t="s">
        <v>96</v>
      </c>
      <c r="C82" s="72">
        <v>34011190</v>
      </c>
      <c r="D82" s="79">
        <v>7898277714873</v>
      </c>
      <c r="E82" s="71">
        <v>12</v>
      </c>
      <c r="F82" s="72">
        <v>0</v>
      </c>
      <c r="G82" s="72">
        <v>40.479999999999997</v>
      </c>
      <c r="H82" s="7">
        <v>60</v>
      </c>
      <c r="I82" s="25"/>
      <c r="J82" s="33">
        <f t="shared" si="0"/>
        <v>15.92</v>
      </c>
      <c r="K82" s="32">
        <v>0.7</v>
      </c>
      <c r="L82" s="26">
        <f t="shared" si="1"/>
        <v>4.78</v>
      </c>
      <c r="M82" s="8">
        <f t="shared" si="23"/>
        <v>0</v>
      </c>
      <c r="N82" s="31">
        <v>15.92</v>
      </c>
    </row>
    <row r="83" spans="1:31" x14ac:dyDescent="0.4">
      <c r="A83" s="5">
        <v>47</v>
      </c>
      <c r="B83" s="28" t="s">
        <v>6</v>
      </c>
      <c r="C83" s="72">
        <v>34011190</v>
      </c>
      <c r="D83" s="79">
        <v>7898277710950</v>
      </c>
      <c r="E83" s="71">
        <v>12</v>
      </c>
      <c r="F83" s="72">
        <v>0</v>
      </c>
      <c r="G83" s="72">
        <v>40.479999999999997</v>
      </c>
      <c r="H83" s="7">
        <v>60</v>
      </c>
      <c r="I83" s="25"/>
      <c r="J83" s="33">
        <f t="shared" si="0"/>
        <v>6.87</v>
      </c>
      <c r="K83" s="32">
        <v>0.3</v>
      </c>
      <c r="L83" s="26">
        <f t="shared" si="1"/>
        <v>4.8099999999999996</v>
      </c>
      <c r="M83" s="8">
        <f t="shared" si="23"/>
        <v>0</v>
      </c>
      <c r="N83" s="31">
        <v>6.87</v>
      </c>
    </row>
    <row r="84" spans="1:31" x14ac:dyDescent="0.4">
      <c r="A84" s="5">
        <v>1840</v>
      </c>
      <c r="B84" s="6" t="s">
        <v>73</v>
      </c>
      <c r="C84" s="72">
        <v>34012010</v>
      </c>
      <c r="D84" s="79">
        <v>7898277712893</v>
      </c>
      <c r="E84" s="71">
        <v>12</v>
      </c>
      <c r="F84" s="72">
        <v>3.25</v>
      </c>
      <c r="G84" s="72">
        <v>39.950000000000003</v>
      </c>
      <c r="H84" s="7">
        <v>48</v>
      </c>
      <c r="I84" s="25"/>
      <c r="J84" s="33">
        <f t="shared" si="0"/>
        <v>11.04</v>
      </c>
      <c r="K84" s="32">
        <v>0.45</v>
      </c>
      <c r="L84" s="26">
        <f t="shared" si="1"/>
        <v>6.07</v>
      </c>
      <c r="M84" s="8">
        <f t="shared" si="23"/>
        <v>0</v>
      </c>
      <c r="N84" s="31">
        <v>11.04</v>
      </c>
    </row>
    <row r="85" spans="1:31" x14ac:dyDescent="0.4">
      <c r="A85" s="5">
        <v>1237</v>
      </c>
      <c r="B85" s="6" t="s">
        <v>7</v>
      </c>
      <c r="C85" s="72">
        <v>34011190</v>
      </c>
      <c r="D85" s="79">
        <v>7898277711421</v>
      </c>
      <c r="E85" s="71">
        <v>12</v>
      </c>
      <c r="F85" s="72">
        <v>0</v>
      </c>
      <c r="G85" s="72">
        <v>40.479999999999997</v>
      </c>
      <c r="H85" s="7">
        <v>60</v>
      </c>
      <c r="I85" s="25"/>
      <c r="J85" s="33">
        <f t="shared" si="0"/>
        <v>6.87</v>
      </c>
      <c r="K85" s="32">
        <v>0.3</v>
      </c>
      <c r="L85" s="26">
        <f t="shared" si="1"/>
        <v>4.8099999999999996</v>
      </c>
      <c r="M85" s="8">
        <f t="shared" si="23"/>
        <v>0</v>
      </c>
      <c r="N85" s="31">
        <v>6.87</v>
      </c>
    </row>
    <row r="86" spans="1:31" x14ac:dyDescent="0.4">
      <c r="A86" s="5">
        <v>5101</v>
      </c>
      <c r="B86" s="6" t="s">
        <v>64</v>
      </c>
      <c r="C86" s="72">
        <v>34011190</v>
      </c>
      <c r="D86" s="79">
        <v>7898277714446</v>
      </c>
      <c r="E86" s="71">
        <v>12</v>
      </c>
      <c r="F86" s="72">
        <v>0</v>
      </c>
      <c r="G86" s="72">
        <v>40.479999999999997</v>
      </c>
      <c r="H86" s="7">
        <v>60</v>
      </c>
      <c r="I86" s="25"/>
      <c r="J86" s="33">
        <f t="shared" si="0"/>
        <v>6.7</v>
      </c>
      <c r="K86" s="32">
        <v>0.29749999999999999</v>
      </c>
      <c r="L86" s="26">
        <f t="shared" si="1"/>
        <v>4.71</v>
      </c>
      <c r="M86" s="8">
        <f t="shared" si="23"/>
        <v>0</v>
      </c>
      <c r="N86" s="31">
        <v>6.7</v>
      </c>
    </row>
    <row r="87" spans="1:31" x14ac:dyDescent="0.4">
      <c r="A87" s="5">
        <v>5102</v>
      </c>
      <c r="B87" s="6" t="s">
        <v>65</v>
      </c>
      <c r="C87" s="72">
        <v>34011190</v>
      </c>
      <c r="D87" s="79">
        <v>7898277714453</v>
      </c>
      <c r="E87" s="71">
        <v>12</v>
      </c>
      <c r="F87" s="72">
        <v>0</v>
      </c>
      <c r="G87" s="72">
        <v>40.479999999999997</v>
      </c>
      <c r="H87" s="7">
        <v>60</v>
      </c>
      <c r="I87" s="25"/>
      <c r="J87" s="33">
        <f t="shared" ref="J87:J102" si="27">N87</f>
        <v>6.7</v>
      </c>
      <c r="K87" s="32">
        <v>0.29749999999999999</v>
      </c>
      <c r="L87" s="26">
        <f t="shared" si="1"/>
        <v>4.71</v>
      </c>
      <c r="M87" s="8">
        <f t="shared" si="23"/>
        <v>0</v>
      </c>
      <c r="N87" s="31">
        <v>6.7</v>
      </c>
    </row>
    <row r="88" spans="1:31" x14ac:dyDescent="0.4">
      <c r="A88" s="5">
        <v>52</v>
      </c>
      <c r="B88" s="6" t="s">
        <v>8</v>
      </c>
      <c r="C88" s="72">
        <v>34011190</v>
      </c>
      <c r="D88" s="79">
        <v>7898277711247</v>
      </c>
      <c r="E88" s="71">
        <v>12</v>
      </c>
      <c r="F88" s="72">
        <v>0</v>
      </c>
      <c r="G88" s="72">
        <v>40.479999999999997</v>
      </c>
      <c r="H88" s="7">
        <v>60</v>
      </c>
      <c r="I88" s="25"/>
      <c r="J88" s="33">
        <f t="shared" si="27"/>
        <v>4.42</v>
      </c>
      <c r="K88" s="32">
        <v>0.4</v>
      </c>
      <c r="L88" s="26">
        <f t="shared" si="1"/>
        <v>2.65</v>
      </c>
      <c r="M88" s="8">
        <f t="shared" si="23"/>
        <v>0</v>
      </c>
      <c r="N88" s="31">
        <v>4.42</v>
      </c>
    </row>
    <row r="89" spans="1:31" x14ac:dyDescent="0.4">
      <c r="A89" s="5">
        <v>6348</v>
      </c>
      <c r="B89" s="41" t="s">
        <v>99</v>
      </c>
      <c r="C89" s="72">
        <v>33051000</v>
      </c>
      <c r="D89" s="79">
        <v>7898277715276</v>
      </c>
      <c r="E89" s="71">
        <v>12</v>
      </c>
      <c r="F89" s="72">
        <v>4.55</v>
      </c>
      <c r="G89" s="72">
        <v>44.78</v>
      </c>
      <c r="H89" s="7">
        <v>40</v>
      </c>
      <c r="I89" s="25"/>
      <c r="J89" s="33">
        <f t="shared" si="27"/>
        <v>27.19</v>
      </c>
      <c r="K89" s="32">
        <v>0.7</v>
      </c>
      <c r="L89" s="26">
        <f t="shared" si="1"/>
        <v>8.16</v>
      </c>
      <c r="M89" s="8">
        <f>L89*I89</f>
        <v>0</v>
      </c>
      <c r="N89" s="31">
        <v>27.19</v>
      </c>
      <c r="AD89" s="38"/>
    </row>
    <row r="90" spans="1:31" x14ac:dyDescent="0.4">
      <c r="A90" s="5">
        <v>4686</v>
      </c>
      <c r="B90" s="6" t="s">
        <v>55</v>
      </c>
      <c r="C90" s="72">
        <v>21069030</v>
      </c>
      <c r="D90" s="79">
        <v>7898277714293</v>
      </c>
      <c r="E90" s="71">
        <v>12</v>
      </c>
      <c r="F90" s="72">
        <v>0</v>
      </c>
      <c r="G90" s="72" t="s">
        <v>204</v>
      </c>
      <c r="H90" s="7">
        <v>60</v>
      </c>
      <c r="I90" s="25"/>
      <c r="J90" s="33">
        <f t="shared" si="27"/>
        <v>15.62</v>
      </c>
      <c r="K90" s="32">
        <v>0.7</v>
      </c>
      <c r="L90" s="26">
        <f t="shared" si="1"/>
        <v>4.6900000000000004</v>
      </c>
      <c r="M90" s="8">
        <f>L90*I90</f>
        <v>0</v>
      </c>
      <c r="N90" s="31">
        <v>15.62</v>
      </c>
      <c r="AD90" s="40"/>
    </row>
    <row r="91" spans="1:31" x14ac:dyDescent="0.4">
      <c r="A91" s="35">
        <v>3808</v>
      </c>
      <c r="B91" s="6" t="s">
        <v>53</v>
      </c>
      <c r="C91" s="72">
        <v>21069030</v>
      </c>
      <c r="D91" s="79">
        <v>7898277713302</v>
      </c>
      <c r="E91" s="71">
        <v>12</v>
      </c>
      <c r="F91" s="72">
        <v>0</v>
      </c>
      <c r="G91" s="72" t="s">
        <v>204</v>
      </c>
      <c r="H91" s="7">
        <v>100</v>
      </c>
      <c r="I91" s="25"/>
      <c r="J91" s="33">
        <f t="shared" si="27"/>
        <v>11.3</v>
      </c>
      <c r="K91" s="32">
        <v>0.77</v>
      </c>
      <c r="L91" s="26">
        <f t="shared" si="1"/>
        <v>2.6</v>
      </c>
      <c r="M91" s="8">
        <f>L91*I91</f>
        <v>0</v>
      </c>
      <c r="N91" s="31">
        <v>11.3</v>
      </c>
      <c r="AD91" s="40"/>
    </row>
    <row r="92" spans="1:31" x14ac:dyDescent="0.4">
      <c r="A92" s="35">
        <v>3949</v>
      </c>
      <c r="B92" s="6" t="s">
        <v>40</v>
      </c>
      <c r="C92" s="72">
        <v>21069030</v>
      </c>
      <c r="D92" s="79">
        <v>7898277713319</v>
      </c>
      <c r="E92" s="71">
        <v>12</v>
      </c>
      <c r="F92" s="72">
        <v>0</v>
      </c>
      <c r="G92" s="72" t="s">
        <v>204</v>
      </c>
      <c r="H92" s="7">
        <v>40</v>
      </c>
      <c r="I92" s="25"/>
      <c r="J92" s="33">
        <f t="shared" si="27"/>
        <v>13.77</v>
      </c>
      <c r="K92" s="32">
        <v>0.77</v>
      </c>
      <c r="L92" s="26">
        <f t="shared" si="1"/>
        <v>3.17</v>
      </c>
      <c r="M92" s="8">
        <f t="shared" si="23"/>
        <v>0</v>
      </c>
      <c r="N92" s="31">
        <v>13.77</v>
      </c>
      <c r="AE92" s="34"/>
    </row>
    <row r="93" spans="1:31" x14ac:dyDescent="0.4">
      <c r="A93" s="35">
        <v>5276</v>
      </c>
      <c r="B93" s="6" t="s">
        <v>86</v>
      </c>
      <c r="C93" s="72">
        <v>21069030</v>
      </c>
      <c r="D93" s="79">
        <v>7898277714491</v>
      </c>
      <c r="E93" s="71">
        <v>12</v>
      </c>
      <c r="F93" s="72">
        <v>0</v>
      </c>
      <c r="G93" s="72" t="s">
        <v>204</v>
      </c>
      <c r="H93" s="7">
        <v>40</v>
      </c>
      <c r="I93" s="25"/>
      <c r="J93" s="33">
        <f t="shared" si="27"/>
        <v>46.57</v>
      </c>
      <c r="K93" s="32">
        <v>0.7</v>
      </c>
      <c r="L93" s="26">
        <f t="shared" si="1"/>
        <v>13.97</v>
      </c>
      <c r="M93" s="8">
        <f t="shared" si="23"/>
        <v>0</v>
      </c>
      <c r="N93" s="31">
        <v>46.57</v>
      </c>
      <c r="AE93" s="34"/>
    </row>
    <row r="94" spans="1:31" x14ac:dyDescent="0.4">
      <c r="A94" s="5">
        <v>5713</v>
      </c>
      <c r="B94" s="41" t="s">
        <v>90</v>
      </c>
      <c r="C94" s="72">
        <v>21069030</v>
      </c>
      <c r="D94" s="79" t="s">
        <v>210</v>
      </c>
      <c r="E94" s="71">
        <v>12</v>
      </c>
      <c r="F94" s="72">
        <v>0</v>
      </c>
      <c r="G94" s="72" t="s">
        <v>204</v>
      </c>
      <c r="H94" s="7">
        <v>48</v>
      </c>
      <c r="I94" s="25"/>
      <c r="J94" s="33">
        <f t="shared" ref="J94:J95" si="28">N94</f>
        <v>65.040000000000006</v>
      </c>
      <c r="K94" s="32">
        <v>0.7</v>
      </c>
      <c r="L94" s="26">
        <f t="shared" ref="L94:L95" si="29">ROUND(N94*1*(100%-K94),2)</f>
        <v>19.510000000000002</v>
      </c>
      <c r="M94" s="8">
        <f t="shared" ref="M94:M95" si="30">L94*I94</f>
        <v>0</v>
      </c>
      <c r="N94" s="31">
        <v>65.040000000000006</v>
      </c>
      <c r="AE94" s="34"/>
    </row>
    <row r="95" spans="1:31" x14ac:dyDescent="0.4">
      <c r="A95" s="5">
        <v>4516</v>
      </c>
      <c r="B95" s="6" t="s">
        <v>46</v>
      </c>
      <c r="C95" s="72">
        <v>21069030</v>
      </c>
      <c r="D95" s="79">
        <v>7898277714088</v>
      </c>
      <c r="E95" s="71">
        <v>12</v>
      </c>
      <c r="F95" s="72">
        <v>0</v>
      </c>
      <c r="G95" s="72" t="s">
        <v>204</v>
      </c>
      <c r="H95" s="7">
        <v>48</v>
      </c>
      <c r="I95" s="25"/>
      <c r="J95" s="33">
        <f t="shared" si="28"/>
        <v>46.88</v>
      </c>
      <c r="K95" s="32">
        <v>0.7</v>
      </c>
      <c r="L95" s="26">
        <f t="shared" si="29"/>
        <v>14.06</v>
      </c>
      <c r="M95" s="8">
        <f t="shared" si="30"/>
        <v>0</v>
      </c>
      <c r="N95" s="31">
        <v>46.88</v>
      </c>
      <c r="AE95" s="34"/>
    </row>
    <row r="96" spans="1:31" x14ac:dyDescent="0.4">
      <c r="A96" s="5">
        <v>4507</v>
      </c>
      <c r="B96" s="6" t="s">
        <v>51</v>
      </c>
      <c r="C96" s="72">
        <v>21069030</v>
      </c>
      <c r="D96" s="79">
        <v>7898277713760</v>
      </c>
      <c r="E96" s="71">
        <v>12</v>
      </c>
      <c r="F96" s="72">
        <v>0</v>
      </c>
      <c r="G96" s="72" t="s">
        <v>204</v>
      </c>
      <c r="H96" s="7">
        <v>48</v>
      </c>
      <c r="I96" s="25"/>
      <c r="J96" s="33">
        <f t="shared" si="27"/>
        <v>37.92</v>
      </c>
      <c r="K96" s="32">
        <v>0.7</v>
      </c>
      <c r="L96" s="26">
        <f t="shared" si="1"/>
        <v>11.38</v>
      </c>
      <c r="M96" s="8">
        <f t="shared" si="23"/>
        <v>0</v>
      </c>
      <c r="N96" s="31">
        <v>37.92</v>
      </c>
      <c r="AD96" s="34"/>
      <c r="AE96" s="34"/>
    </row>
    <row r="97" spans="1:31" x14ac:dyDescent="0.4">
      <c r="A97" s="5">
        <v>5228</v>
      </c>
      <c r="B97" s="41" t="s">
        <v>91</v>
      </c>
      <c r="C97" s="72">
        <v>21069030</v>
      </c>
      <c r="D97" s="79">
        <v>7898277714507</v>
      </c>
      <c r="E97" s="71">
        <v>12</v>
      </c>
      <c r="F97" s="72">
        <v>0</v>
      </c>
      <c r="G97" s="72" t="s">
        <v>204</v>
      </c>
      <c r="H97" s="7">
        <v>48</v>
      </c>
      <c r="I97" s="25"/>
      <c r="J97" s="33">
        <f t="shared" si="27"/>
        <v>47.94</v>
      </c>
      <c r="K97" s="32">
        <v>0.7</v>
      </c>
      <c r="L97" s="26">
        <f t="shared" si="1"/>
        <v>14.38</v>
      </c>
      <c r="M97" s="8">
        <f t="shared" si="23"/>
        <v>0</v>
      </c>
      <c r="N97" s="31">
        <v>47.94</v>
      </c>
      <c r="AD97" s="40"/>
      <c r="AE97" s="34"/>
    </row>
    <row r="98" spans="1:31" x14ac:dyDescent="0.4">
      <c r="A98" s="5">
        <v>5227</v>
      </c>
      <c r="B98" s="41" t="s">
        <v>92</v>
      </c>
      <c r="C98" s="72">
        <v>21069030</v>
      </c>
      <c r="D98" s="79">
        <v>7898277714514</v>
      </c>
      <c r="E98" s="71">
        <v>12</v>
      </c>
      <c r="F98" s="72">
        <v>0</v>
      </c>
      <c r="G98" s="72" t="s">
        <v>204</v>
      </c>
      <c r="H98" s="7">
        <v>48</v>
      </c>
      <c r="I98" s="25"/>
      <c r="J98" s="33">
        <f t="shared" si="27"/>
        <v>50.62</v>
      </c>
      <c r="K98" s="32">
        <v>0.7</v>
      </c>
      <c r="L98" s="26">
        <f t="shared" si="1"/>
        <v>15.19</v>
      </c>
      <c r="M98" s="8">
        <f t="shared" si="23"/>
        <v>0</v>
      </c>
      <c r="N98" s="31">
        <v>50.62</v>
      </c>
      <c r="AD98" s="40"/>
      <c r="AE98" s="34"/>
    </row>
    <row r="99" spans="1:31" x14ac:dyDescent="0.4">
      <c r="A99" s="5">
        <v>4518</v>
      </c>
      <c r="B99" s="6" t="s">
        <v>47</v>
      </c>
      <c r="C99" s="72">
        <v>21069030</v>
      </c>
      <c r="D99" s="79">
        <v>7898277714095</v>
      </c>
      <c r="E99" s="71">
        <v>12</v>
      </c>
      <c r="F99" s="72">
        <v>0</v>
      </c>
      <c r="G99" s="72" t="s">
        <v>204</v>
      </c>
      <c r="H99" s="7">
        <v>48</v>
      </c>
      <c r="I99" s="25"/>
      <c r="J99" s="33">
        <f t="shared" si="27"/>
        <v>47.94</v>
      </c>
      <c r="K99" s="32">
        <v>0.7</v>
      </c>
      <c r="L99" s="26">
        <f t="shared" ref="L99:L102" si="31">ROUND(N99*1*(100%-K99),2)</f>
        <v>14.38</v>
      </c>
      <c r="M99" s="8">
        <f t="shared" si="23"/>
        <v>0</v>
      </c>
      <c r="N99" s="31">
        <v>47.94</v>
      </c>
      <c r="AE99" s="34"/>
    </row>
    <row r="100" spans="1:31" x14ac:dyDescent="0.4">
      <c r="A100" s="5">
        <v>4519</v>
      </c>
      <c r="B100" s="6" t="s">
        <v>48</v>
      </c>
      <c r="C100" s="72">
        <v>21069030</v>
      </c>
      <c r="D100" s="79">
        <v>7898277714101</v>
      </c>
      <c r="E100" s="71">
        <v>12</v>
      </c>
      <c r="F100" s="72">
        <v>0</v>
      </c>
      <c r="G100" s="72" t="s">
        <v>204</v>
      </c>
      <c r="H100" s="7">
        <v>48</v>
      </c>
      <c r="I100" s="25"/>
      <c r="J100" s="33">
        <f t="shared" si="27"/>
        <v>47.94</v>
      </c>
      <c r="K100" s="32">
        <v>0.7</v>
      </c>
      <c r="L100" s="26">
        <f t="shared" si="31"/>
        <v>14.38</v>
      </c>
      <c r="M100" s="8">
        <f t="shared" si="23"/>
        <v>0</v>
      </c>
      <c r="N100" s="31">
        <v>47.94</v>
      </c>
      <c r="AE100" s="34"/>
    </row>
    <row r="101" spans="1:31" x14ac:dyDescent="0.4">
      <c r="A101" s="5">
        <v>2459</v>
      </c>
      <c r="B101" s="6" t="s">
        <v>41</v>
      </c>
      <c r="C101" s="72">
        <v>13021999</v>
      </c>
      <c r="D101" s="79" t="s">
        <v>195</v>
      </c>
      <c r="E101" s="71">
        <v>12</v>
      </c>
      <c r="F101" s="72">
        <v>0</v>
      </c>
      <c r="G101" s="72" t="s">
        <v>204</v>
      </c>
      <c r="H101" s="7">
        <v>12</v>
      </c>
      <c r="I101" s="25"/>
      <c r="J101" s="33">
        <f t="shared" si="27"/>
        <v>95.71</v>
      </c>
      <c r="K101" s="32">
        <v>0.7</v>
      </c>
      <c r="L101" s="26">
        <f t="shared" si="31"/>
        <v>28.71</v>
      </c>
      <c r="M101" s="8">
        <f t="shared" si="23"/>
        <v>0</v>
      </c>
      <c r="N101" s="31">
        <v>95.71</v>
      </c>
      <c r="AE101" s="34" t="s">
        <v>42</v>
      </c>
    </row>
    <row r="102" spans="1:31" x14ac:dyDescent="0.4">
      <c r="A102" s="5">
        <v>3961</v>
      </c>
      <c r="B102" s="6" t="s">
        <v>45</v>
      </c>
      <c r="C102" s="72">
        <v>21069030</v>
      </c>
      <c r="D102" s="79">
        <v>7898277713326</v>
      </c>
      <c r="E102" s="71">
        <v>12</v>
      </c>
      <c r="F102" s="72">
        <v>0</v>
      </c>
      <c r="G102" s="72" t="s">
        <v>204</v>
      </c>
      <c r="H102" s="7">
        <v>100</v>
      </c>
      <c r="I102" s="25"/>
      <c r="J102" s="33">
        <f t="shared" si="27"/>
        <v>11.3</v>
      </c>
      <c r="K102" s="32">
        <v>0.76</v>
      </c>
      <c r="L102" s="26">
        <f t="shared" si="31"/>
        <v>2.71</v>
      </c>
      <c r="M102" s="8">
        <f t="shared" si="23"/>
        <v>0</v>
      </c>
      <c r="N102" s="31">
        <v>11.3</v>
      </c>
      <c r="AE102" s="34"/>
    </row>
    <row r="103" spans="1:31" x14ac:dyDescent="0.4">
      <c r="A103" s="83" t="s">
        <v>36</v>
      </c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5"/>
    </row>
    <row r="104" spans="1:31" x14ac:dyDescent="0.4">
      <c r="A104" s="86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8"/>
    </row>
    <row r="105" spans="1:31" x14ac:dyDescent="0.4">
      <c r="A105" s="86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8"/>
    </row>
    <row r="106" spans="1:31" x14ac:dyDescent="0.4">
      <c r="A106" s="86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8"/>
    </row>
    <row r="107" spans="1:31" x14ac:dyDescent="0.4">
      <c r="A107" s="86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8"/>
    </row>
    <row r="108" spans="1:31" x14ac:dyDescent="0.4">
      <c r="A108" s="86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8"/>
    </row>
    <row r="109" spans="1:31" x14ac:dyDescent="0.4">
      <c r="A109" s="86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8"/>
    </row>
    <row r="110" spans="1:31" x14ac:dyDescent="0.4">
      <c r="A110" s="89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90"/>
      <c r="M110" s="91"/>
    </row>
    <row r="111" spans="1:31" x14ac:dyDescent="0.4">
      <c r="A111" s="14" t="s">
        <v>12</v>
      </c>
      <c r="B111" s="15"/>
      <c r="C111" s="70"/>
      <c r="D111" s="70"/>
      <c r="E111" s="70"/>
      <c r="F111" s="70"/>
      <c r="G111" s="70"/>
      <c r="H111" s="16"/>
      <c r="I111" s="20"/>
      <c r="J111" s="20"/>
      <c r="K111" s="20"/>
      <c r="L111" s="17"/>
      <c r="M111" s="24">
        <f>SUM(M5:M110)</f>
        <v>0</v>
      </c>
    </row>
    <row r="112" spans="1:31" x14ac:dyDescent="0.4">
      <c r="A112" s="18"/>
      <c r="B112" s="18"/>
      <c r="C112" s="18"/>
      <c r="D112" s="18"/>
      <c r="E112" s="18"/>
      <c r="F112" s="18"/>
      <c r="G112" s="18"/>
      <c r="H112" s="18"/>
      <c r="I112" s="21"/>
      <c r="J112" s="21"/>
      <c r="K112" s="21"/>
      <c r="L112" s="18"/>
      <c r="M112" s="18"/>
    </row>
  </sheetData>
  <protectedRanges>
    <protectedRange sqref="I103:K110 I77:I88 I58:I61 I51:I53 I55 I21:I33 I36:I48 I65:I74 I5:I18" name="Quantidade"/>
    <protectedRange sqref="I56:I57" name="Quantidade_3_1"/>
    <protectedRange sqref="I49:I50" name="Quantidade_5"/>
    <protectedRange sqref="I92:I93" name="Quantidade_6"/>
    <protectedRange sqref="I101" name="Quantidade_7"/>
    <protectedRange sqref="I99:I100 I94:I95" name="Quantidade_8"/>
    <protectedRange sqref="I102" name="Quantidade_4_1"/>
    <protectedRange sqref="I90:I91" name="Quantidade_10_5"/>
    <protectedRange sqref="I19:I20" name="Quantidade_10"/>
    <protectedRange sqref="I75:I76" name="Quantidade_10_2"/>
    <protectedRange sqref="I96:I98" name="Quantidade_8_1"/>
    <protectedRange sqref="J55:J61 J65:J88 J90:J102 J5:J53" name="Quantidade_10_3"/>
    <protectedRange sqref="I34:I35" name="Quantidade_10_1_1"/>
    <protectedRange sqref="K65:K74 K58:K61 K55 K51:K52 K8:K18 K21:K33 K36:K48 K5:K6 K77:K88" name="Quantidade_1"/>
    <protectedRange sqref="K56:K57" name="Quantidade_3_1_1"/>
    <protectedRange sqref="K49:K50" name="Quantidade_5_1"/>
    <protectedRange sqref="K92:K93" name="Quantidade_6_1"/>
    <protectedRange sqref="K101" name="Quantidade_7_1"/>
    <protectedRange sqref="K99:K100 K94:K95" name="Quantidade_8_2"/>
    <protectedRange sqref="K102" name="Quantidade_4_1_1"/>
    <protectedRange sqref="K90:K91" name="Quantidade_1_13_1"/>
    <protectedRange sqref="K19:K20" name="Quantidade_1_8_1"/>
    <protectedRange sqref="K75:K76" name="Quantidade_1_2_1"/>
    <protectedRange sqref="K96:K98" name="Quantidade_8_1_1_1"/>
    <protectedRange sqref="K34:K35" name="Quantidade_1_1_1_1"/>
    <protectedRange sqref="K53" name="Quantidade_1_9"/>
    <protectedRange sqref="K7" name="Quantidade_2"/>
    <protectedRange sqref="I54" name="Quantidade_4"/>
    <protectedRange sqref="J54" name="Quantidade_10_3_3"/>
    <protectedRange sqref="K54" name="Quantidade_1_1"/>
    <protectedRange sqref="I62" name="Quantidade_4_1_2"/>
    <protectedRange sqref="J62" name="Quantidade_10_3_3_1"/>
    <protectedRange sqref="K62" name="Quantidade_1_2_2"/>
    <protectedRange sqref="I64" name="Quantidade_4_2"/>
    <protectedRange sqref="J64" name="Quantidade_10_3_3_2"/>
    <protectedRange sqref="K64" name="Quantidade_1_2_3"/>
    <protectedRange sqref="I89" name="Quantidade_10_5_1"/>
    <protectedRange sqref="J89" name="Quantidade_10_3_3_3"/>
    <protectedRange sqref="K89" name="Quantidade_1_13_1_1"/>
    <protectedRange sqref="I63" name="Quantidade_4_3"/>
    <protectedRange sqref="J63" name="Quantidade_10_3_3_4"/>
    <protectedRange sqref="K63" name="Quantidade_1_1_1"/>
    <protectedRange sqref="C29:D30 C40:D42 C77:D88 F29:G30 F41:G42 G40 F43:F48 F49:G74 F77:G88 C49:D74" name="Quantidade_3"/>
    <protectedRange sqref="F90:G102 C90:D102" name="Quantidade_10_5_2"/>
    <protectedRange sqref="C75:D76 F75:G76" name="Quantidade_10_2_1"/>
    <protectedRange sqref="C89:D89 F89:G89" name="Quantidade_10_5_1_1"/>
    <protectedRange sqref="C7:D28 F7:G28 G43:G48 C5:G6 F34:F40 G34:G39 C43:D48 C31:D39 E7:E102 F31:G33" name="Quantidade_1_3_1_3_1_2_5_1"/>
    <protectedRange sqref="N65:N72 N58:N61 N75:N79 N54:N55 N51:N52 N83:N89 N8:N33 N36:N48 N5:N6" name="Quantidade_1_3_1_3_1_2_5_3"/>
    <protectedRange sqref="N56:N57" name="Quantidade_1_3_1_1_1_1_1_1_3"/>
    <protectedRange sqref="N49:N50" name="Quantidade_1_4_2_1_1_1_3"/>
    <protectedRange sqref="N91:N93" name="Quantidade_1_5_2_1_1_3"/>
    <protectedRange sqref="N101" name="Quantidade_1_6_2_1_1_3"/>
    <protectedRange sqref="N94" name="Quantidade_1_7_2_1_1_3"/>
    <protectedRange sqref="N102" name="Quantidade_1_2_1_1_1_2_1_1_1_3"/>
    <protectedRange sqref="N95:N100" name="Quantidade_1_7_1_1_1_3_1_1_3"/>
    <protectedRange sqref="N73:N74" name="Quantidade_1_3_4_1_3_1_1_3"/>
    <protectedRange sqref="N90" name="Quantidade_1_3_4_1_1_1_1_1_1_3"/>
    <protectedRange sqref="N34" name="Quantidade_1_3_2_1_1_1_1_1_3"/>
    <protectedRange sqref="N53" name="Quantidade_1_3_4_2_1_1_3"/>
    <protectedRange sqref="N7" name="Quantidade_1_3_2_2_1_1_1_3"/>
    <protectedRange sqref="N80:N82" name="Quantidade_1_3_1_3_1_3_3"/>
    <protectedRange sqref="N62" name="Quantidade_1_3_1_3_1_2_1_2_3"/>
    <protectedRange sqref="N64" name="Quantidade_1_3_1_3_1_2_2_2_3"/>
    <protectedRange sqref="N63" name="Quantidade_1_3_1_3_1_2_3_3"/>
    <protectedRange sqref="N35" name="Quantidade_1_3_2_1_1_1_1_1_1_3"/>
  </protectedRanges>
  <sortState xmlns:xlrd2="http://schemas.microsoft.com/office/spreadsheetml/2017/richdata2" ref="A14:K77">
    <sortCondition ref="B14:B77"/>
  </sortState>
  <dataConsolidate/>
  <mergeCells count="7">
    <mergeCell ref="A103:M110"/>
    <mergeCell ref="K3:K4"/>
    <mergeCell ref="A1:M1"/>
    <mergeCell ref="A3:A4"/>
    <mergeCell ref="B3:B4"/>
    <mergeCell ref="I3:I4"/>
    <mergeCell ref="I2:M2"/>
  </mergeCells>
  <phoneticPr fontId="23" type="noConversion"/>
  <conditionalFormatting sqref="D4">
    <cfRule type="expression" dxfId="29" priority="1">
      <formula>AND(ROW(#REF!)&gt;12,#REF!&gt;0)</formula>
    </cfRule>
  </conditionalFormatting>
  <dataValidations disablePrompts="1" count="9">
    <dataValidation type="list" allowBlank="1" showInputMessage="1" showErrorMessage="1" sqref="AF2" xr:uid="{00000000-0002-0000-0000-000000000000}">
      <formula1>#REF!</formula1>
    </dataValidation>
    <dataValidation type="list" allowBlank="1" showInputMessage="1" showErrorMessage="1" sqref="AD64" xr:uid="{499F8B53-855B-4452-BCC3-D3E03B3FDA88}">
      <formula1>$AZ$3:$AZ$85</formula1>
    </dataValidation>
    <dataValidation type="list" allowBlank="1" showInputMessage="1" showErrorMessage="1" sqref="AD62" xr:uid="{0ED70094-B8EB-48EA-90CD-A488C6841F2B}">
      <formula1>$AZ$3:$AZ$86</formula1>
    </dataValidation>
    <dataValidation type="list" allowBlank="1" showInputMessage="1" showErrorMessage="1" sqref="AD54" xr:uid="{1FA7CEB1-0C79-4C8F-81EB-F5E3A914662B}">
      <formula1>$AZ$3:$AZ$88</formula1>
    </dataValidation>
    <dataValidation type="list" allowBlank="1" showInputMessage="1" showErrorMessage="1" sqref="AD63" xr:uid="{296F06C9-6B72-4036-BBC3-8935BD8C75F8}">
      <formula1>$AZ$6:$AZ$89</formula1>
    </dataValidation>
    <dataValidation type="list" allowBlank="1" showInputMessage="1" showErrorMessage="1" sqref="AE92:AE93 AE56:AE57 AE49:AE50" xr:uid="{00000000-0002-0000-0000-000001000000}">
      <formula1>$AZ$3:$AZ$101</formula1>
    </dataValidation>
    <dataValidation type="list" allowBlank="1" showInputMessage="1" showErrorMessage="1" sqref="AD75:AD76" xr:uid="{00000000-0002-0000-0000-000003000000}">
      <formula1>$AZ$3:$AZ$105</formula1>
    </dataValidation>
    <dataValidation type="list" allowBlank="1" showInputMessage="1" showErrorMessage="1" sqref="AD34:AD35" xr:uid="{00000000-0002-0000-0000-000002000000}">
      <formula1>$AZ$3:$AZ$37</formula1>
    </dataValidation>
    <dataValidation type="list" allowBlank="1" showInputMessage="1" showErrorMessage="1" sqref="AD19:AD20" xr:uid="{00000000-0002-0000-0000-000004000000}">
      <formula1>$AZ$3:$AZ$99</formula1>
    </dataValidation>
  </dataValidations>
  <pageMargins left="0.7" right="0.7" top="0.75" bottom="0.75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FF44-452D-4ADC-AEF4-B3E044FE26EF}">
  <dimension ref="A1:E101"/>
  <sheetViews>
    <sheetView workbookViewId="0">
      <selection activeCell="H11" sqref="H11"/>
    </sheetView>
  </sheetViews>
  <sheetFormatPr defaultRowHeight="14.6" x14ac:dyDescent="0.4"/>
  <cols>
    <col min="2" max="2" width="38.15234375" customWidth="1"/>
    <col min="3" max="3" width="18.69140625" customWidth="1"/>
    <col min="4" max="4" width="19.53515625" customWidth="1"/>
    <col min="5" max="5" width="41.3828125" customWidth="1"/>
  </cols>
  <sheetData>
    <row r="1" spans="1:5" x14ac:dyDescent="0.4">
      <c r="A1" s="102" t="s">
        <v>109</v>
      </c>
      <c r="B1" s="102"/>
      <c r="C1" s="102"/>
      <c r="D1" s="102"/>
      <c r="E1" s="102"/>
    </row>
    <row r="2" spans="1:5" x14ac:dyDescent="0.4">
      <c r="A2" s="65" t="s">
        <v>110</v>
      </c>
      <c r="B2" s="65" t="s">
        <v>111</v>
      </c>
      <c r="C2" s="66" t="s">
        <v>112</v>
      </c>
      <c r="D2" s="67" t="s">
        <v>113</v>
      </c>
      <c r="E2" s="66" t="s">
        <v>114</v>
      </c>
    </row>
    <row r="3" spans="1:5" x14ac:dyDescent="0.4">
      <c r="A3" s="34">
        <v>2416</v>
      </c>
      <c r="B3" s="48" t="str">
        <f>VLOOKUP(A3,[1]Custo!$A$2:$C$213,2,0)</f>
        <v>ADEMIL GOTAS 20ML</v>
      </c>
      <c r="C3" s="49">
        <v>7898277713142</v>
      </c>
      <c r="D3" s="50"/>
      <c r="E3" s="51" t="s">
        <v>115</v>
      </c>
    </row>
    <row r="4" spans="1:5" x14ac:dyDescent="0.4">
      <c r="A4" s="34">
        <v>3924</v>
      </c>
      <c r="B4" s="52" t="str">
        <f>VLOOKUP(A4,[1]Custo!$A$2:$C$213,2,0)</f>
        <v>AFT RUB SPRAY ROSA RUBRA  30ML</v>
      </c>
      <c r="C4" s="49">
        <v>7898277713739</v>
      </c>
      <c r="D4" s="50"/>
      <c r="E4" s="51" t="s">
        <v>116</v>
      </c>
    </row>
    <row r="5" spans="1:5" x14ac:dyDescent="0.4">
      <c r="A5" s="34">
        <v>3</v>
      </c>
      <c r="B5" s="52" t="str">
        <f>VLOOKUP(A5,[1]Custo!$A$2:$C$213,2,0)</f>
        <v>ALHONAT 250MG</v>
      </c>
      <c r="C5" s="49">
        <v>7898277711049</v>
      </c>
      <c r="D5" s="50"/>
      <c r="E5" s="51" t="s">
        <v>117</v>
      </c>
    </row>
    <row r="6" spans="1:5" x14ac:dyDescent="0.4">
      <c r="A6" s="34">
        <v>5017</v>
      </c>
      <c r="B6" s="52" t="str">
        <f>VLOOKUP(A6,[1]Custo!$A$2:$C$213,2,0)</f>
        <v>APETIFERR B+C MORANGO 240ML</v>
      </c>
      <c r="C6" s="49">
        <v>7898277714415</v>
      </c>
      <c r="D6" s="50"/>
      <c r="E6" s="51" t="s">
        <v>118</v>
      </c>
    </row>
    <row r="7" spans="1:5" x14ac:dyDescent="0.4">
      <c r="A7" s="34">
        <v>936</v>
      </c>
      <c r="B7" s="52" t="str">
        <f>VLOOKUP(A7,[1]Custo!$A$2:$C$213,2,0)</f>
        <v>APETIFERR B+C UVA 240ML</v>
      </c>
      <c r="C7" s="49">
        <v>7898277712497</v>
      </c>
      <c r="D7" s="50"/>
      <c r="E7" s="51" t="s">
        <v>119</v>
      </c>
    </row>
    <row r="8" spans="1:5" x14ac:dyDescent="0.4">
      <c r="A8" s="34">
        <v>2171</v>
      </c>
      <c r="B8" s="52" t="str">
        <f>VLOOKUP(A8,[1]Custo!$A$2:$C$213,2,0)</f>
        <v xml:space="preserve">APIS FRESH SPRAY EXTRA FORTE </v>
      </c>
      <c r="C8" s="53">
        <v>7898277712954</v>
      </c>
      <c r="D8" s="54">
        <v>7898277712961</v>
      </c>
      <c r="E8" s="55">
        <v>27898277712965</v>
      </c>
    </row>
    <row r="9" spans="1:5" x14ac:dyDescent="0.4">
      <c r="A9" s="34">
        <v>53</v>
      </c>
      <c r="B9" s="52" t="str">
        <f>VLOOKUP(A9,[1]Custo!$A$2:$C$213,2,0)</f>
        <v>APIS FRESH SPRAY MEL C/ PROPOLIS</v>
      </c>
      <c r="C9" s="53">
        <v>7898277710363</v>
      </c>
      <c r="D9" s="54">
        <v>7898277710424</v>
      </c>
      <c r="E9" s="55">
        <v>27898277710428</v>
      </c>
    </row>
    <row r="10" spans="1:5" x14ac:dyDescent="0.4">
      <c r="A10" s="34">
        <v>55</v>
      </c>
      <c r="B10" s="52" t="str">
        <f>VLOOKUP(A10,[1]Custo!$A$2:$C$213,2,0)</f>
        <v>APIS FRESH SPRAY MEL C/ PROPOLIS  MENTA</v>
      </c>
      <c r="C10" s="53">
        <v>7898277710370</v>
      </c>
      <c r="D10" s="54">
        <v>7898277710622</v>
      </c>
      <c r="E10" s="55">
        <v>27898277710626</v>
      </c>
    </row>
    <row r="11" spans="1:5" x14ac:dyDescent="0.4">
      <c r="A11" s="34">
        <v>54</v>
      </c>
      <c r="B11" s="52" t="str">
        <f>VLOOKUP(A11,[1]Custo!$A$2:$C$213,2,0)</f>
        <v>APIS FRESH SPRAY MEL C/ PROPOLIS GENGIBRE</v>
      </c>
      <c r="C11" s="53">
        <v>7898277710387</v>
      </c>
      <c r="D11" s="54">
        <v>7898277710639</v>
      </c>
      <c r="E11" s="55">
        <v>27898277710633</v>
      </c>
    </row>
    <row r="12" spans="1:5" x14ac:dyDescent="0.4">
      <c r="A12" s="34">
        <v>56</v>
      </c>
      <c r="B12" s="52" t="str">
        <f>VLOOKUP(A12,[1]Custo!$A$2:$C$213,2,0)</f>
        <v>APIS FRESH SPRAY MEL C/ PROPOLIS ROMÃ</v>
      </c>
      <c r="C12" s="53">
        <v>7898277710394</v>
      </c>
      <c r="D12" s="54">
        <v>7898277711148</v>
      </c>
      <c r="E12" s="55">
        <v>27898277711142</v>
      </c>
    </row>
    <row r="13" spans="1:5" x14ac:dyDescent="0.4">
      <c r="A13" s="34">
        <v>2169</v>
      </c>
      <c r="B13" s="52" t="str">
        <f>VLOOKUP(A13,[1]Custo!$A$2:$C$213,2,0)</f>
        <v>BENETONICO 500ML</v>
      </c>
      <c r="C13" s="49">
        <v>7898277712916</v>
      </c>
      <c r="D13" s="50"/>
      <c r="E13" s="51" t="s">
        <v>120</v>
      </c>
    </row>
    <row r="14" spans="1:5" x14ac:dyDescent="0.4">
      <c r="A14" s="51">
        <v>6396</v>
      </c>
      <c r="B14" s="52" t="str">
        <f>VLOOKUP(A14,[1]Custo!$A$2:$C$213,2,0)</f>
        <v>BIOTINA 45mcg 60 COMPRIMIDOS</v>
      </c>
      <c r="C14" s="56" t="s">
        <v>121</v>
      </c>
      <c r="D14" s="57"/>
      <c r="E14" s="51" t="s">
        <v>122</v>
      </c>
    </row>
    <row r="15" spans="1:5" x14ac:dyDescent="0.4">
      <c r="A15" s="34">
        <v>1180</v>
      </c>
      <c r="B15" s="52" t="str">
        <f>VLOOKUP(A15,[1]Custo!$A$2:$C$213,2,0)</f>
        <v>BIO PANTOVIT 10ML</v>
      </c>
      <c r="C15" s="53">
        <v>7898277712558</v>
      </c>
      <c r="D15" s="54">
        <v>7898277712572</v>
      </c>
      <c r="E15" s="55">
        <v>27898277712576</v>
      </c>
    </row>
    <row r="16" spans="1:5" x14ac:dyDescent="0.4">
      <c r="A16" s="34">
        <v>1272</v>
      </c>
      <c r="B16" s="52" t="str">
        <f>VLOOKUP(A16,[1]Custo!$A$2:$C$213,2,0)</f>
        <v>BIO PANTOVIT 150ML</v>
      </c>
      <c r="C16" s="49">
        <v>7898277712718</v>
      </c>
      <c r="D16" s="50"/>
      <c r="E16" s="51" t="s">
        <v>123</v>
      </c>
    </row>
    <row r="17" spans="1:5" x14ac:dyDescent="0.4">
      <c r="A17" s="34">
        <v>981</v>
      </c>
      <c r="B17" s="52" t="str">
        <f>VLOOKUP(A17,[1]Custo!$A$2:$C$213,2,0)</f>
        <v>BIOFORZAN 400ML</v>
      </c>
      <c r="C17" s="49">
        <v>7898277712527</v>
      </c>
      <c r="D17" s="50"/>
      <c r="E17" s="51"/>
    </row>
    <row r="18" spans="1:5" x14ac:dyDescent="0.4">
      <c r="A18" s="58">
        <v>4458</v>
      </c>
      <c r="B18" s="52" t="str">
        <f>VLOOKUP(A18,[1]Custo!$A$2:$C$213,2,0)</f>
        <v>BIOFORZAN MORANGO 400ML</v>
      </c>
      <c r="C18" s="49">
        <v>7898277714163</v>
      </c>
      <c r="D18" s="50"/>
      <c r="E18" s="51"/>
    </row>
    <row r="19" spans="1:5" x14ac:dyDescent="0.4">
      <c r="A19" s="58">
        <v>4506</v>
      </c>
      <c r="B19" s="52" t="str">
        <f>VLOOKUP(A19,[1]Custo!$A$2:$C$213,2,0)</f>
        <v>BIOFORZAN UVA 400ML</v>
      </c>
      <c r="C19" s="49">
        <v>7898277714170</v>
      </c>
      <c r="D19" s="50"/>
      <c r="E19" s="51" t="s">
        <v>124</v>
      </c>
    </row>
    <row r="20" spans="1:5" x14ac:dyDescent="0.4">
      <c r="A20" s="34">
        <v>2084</v>
      </c>
      <c r="B20" s="52" t="str">
        <f>VLOOKUP(A20,[1]Custo!$A$2:$C$213,2,0)</f>
        <v xml:space="preserve">CALCIVIRON 600 + VIT D C/ 60 </v>
      </c>
      <c r="C20" s="49">
        <v>7898277713029</v>
      </c>
      <c r="D20" s="50"/>
      <c r="E20" s="51" t="s">
        <v>125</v>
      </c>
    </row>
    <row r="21" spans="1:5" x14ac:dyDescent="0.4">
      <c r="A21" s="34">
        <v>5885</v>
      </c>
      <c r="B21" s="59" t="str">
        <f>VLOOKUP(A21,[1]Custo!$A$2:$C$213,2,0)</f>
        <v>CALMATIVA 20 COMPRIMIDOS</v>
      </c>
      <c r="C21" s="49">
        <v>7898277714897</v>
      </c>
      <c r="D21" s="50"/>
      <c r="E21" s="51" t="s">
        <v>126</v>
      </c>
    </row>
    <row r="22" spans="1:5" x14ac:dyDescent="0.4">
      <c r="A22" s="34">
        <v>2585</v>
      </c>
      <c r="B22" s="52" t="str">
        <f>VLOOKUP(A22,[1]Custo!$A$2:$C$213,2,0)</f>
        <v>CAMOMINE C 20 MAIS CAPSULAS</v>
      </c>
      <c r="C22" s="49">
        <v>7898277714439</v>
      </c>
      <c r="D22" s="50"/>
      <c r="E22" s="51" t="s">
        <v>127</v>
      </c>
    </row>
    <row r="23" spans="1:5" x14ac:dyDescent="0.4">
      <c r="A23" s="34">
        <v>5714</v>
      </c>
      <c r="B23" s="59" t="str">
        <f>VLOOKUP(A23,[1]Custo!$A$2:$C$213,2,0)</f>
        <v>COMPLEXO B CONCENTRADO 20 COMPRIMIDOS</v>
      </c>
      <c r="C23" s="49">
        <v>7898277714880</v>
      </c>
      <c r="D23" s="50"/>
      <c r="E23" s="51" t="s">
        <v>128</v>
      </c>
    </row>
    <row r="24" spans="1:5" x14ac:dyDescent="0.4">
      <c r="A24" s="34">
        <v>2813</v>
      </c>
      <c r="B24" s="52" t="str">
        <f>VLOOKUP(A24,[1]Custo!$A$2:$C$213,2,0)</f>
        <v>COMPLEXO B - 100 COMPRIMIDOS</v>
      </c>
      <c r="C24" s="49">
        <v>7898277713265</v>
      </c>
      <c r="D24" s="50"/>
      <c r="E24" s="51" t="s">
        <v>129</v>
      </c>
    </row>
    <row r="25" spans="1:5" x14ac:dyDescent="0.4">
      <c r="A25" s="34">
        <v>2814</v>
      </c>
      <c r="B25" s="52" t="str">
        <f>VLOOKUP(A25,[1]Custo!$A$2:$C$213,2,0)</f>
        <v>COMPLEXO B - 50 COMPRIMIDOS</v>
      </c>
      <c r="C25" s="49">
        <v>7898277713258</v>
      </c>
      <c r="D25" s="50"/>
      <c r="E25" s="51" t="s">
        <v>130</v>
      </c>
    </row>
    <row r="26" spans="1:5" x14ac:dyDescent="0.4">
      <c r="A26" s="34">
        <v>2977</v>
      </c>
      <c r="B26" s="52" t="str">
        <f>VLOOKUP(A26,[1]Custo!$A$2:$C$213,2,0)</f>
        <v>COMPLEXO B GOTAS 30ML</v>
      </c>
      <c r="C26" s="49">
        <v>7898277713272</v>
      </c>
      <c r="D26" s="50"/>
      <c r="E26" s="51" t="s">
        <v>131</v>
      </c>
    </row>
    <row r="27" spans="1:5" x14ac:dyDescent="0.4">
      <c r="A27" s="34">
        <v>3950</v>
      </c>
      <c r="B27" s="52" t="str">
        <f>VLOOKUP(A27,[1]Custo!$A$2:$C$213,2,0)</f>
        <v>COMPLEXO B SOLUÇÃO ORAL 100ML</v>
      </c>
      <c r="C27" s="49">
        <v>7898277713333</v>
      </c>
      <c r="D27" s="50"/>
      <c r="E27" s="51" t="s">
        <v>132</v>
      </c>
    </row>
    <row r="28" spans="1:5" x14ac:dyDescent="0.4">
      <c r="A28" s="34">
        <v>2076</v>
      </c>
      <c r="B28" s="52" t="str">
        <f>VLOOKUP(A28,[1]Custo!$A$2:$C$213,2,0)</f>
        <v>CREME DE ARNICA 60GR</v>
      </c>
      <c r="C28" s="49">
        <v>7898277712695</v>
      </c>
      <c r="D28" s="50"/>
      <c r="E28" s="51" t="s">
        <v>133</v>
      </c>
    </row>
    <row r="29" spans="1:5" x14ac:dyDescent="0.4">
      <c r="A29" s="34">
        <v>2077</v>
      </c>
      <c r="B29" s="52" t="str">
        <f>VLOOKUP(A29,[1]Custo!$A$2:$C$213,2,0)</f>
        <v xml:space="preserve">CREME DE CASTANHA DA INDIA </v>
      </c>
      <c r="C29" s="49">
        <v>7898277712688</v>
      </c>
      <c r="D29" s="50"/>
      <c r="E29" s="51" t="s">
        <v>134</v>
      </c>
    </row>
    <row r="30" spans="1:5" x14ac:dyDescent="0.4">
      <c r="A30" s="34">
        <v>4812</v>
      </c>
      <c r="B30" s="52" t="str">
        <f>VLOOKUP(A30,[1]Custo!$A$2:$C$213,2,0)</f>
        <v>DESUPRE 1.000UI 40 COMPRIMIDOS</v>
      </c>
      <c r="C30" s="49">
        <v>7898277714354</v>
      </c>
      <c r="D30" s="50"/>
      <c r="E30" s="51" t="s">
        <v>135</v>
      </c>
    </row>
    <row r="31" spans="1:5" x14ac:dyDescent="0.4">
      <c r="A31" s="34">
        <v>4811</v>
      </c>
      <c r="B31" s="52" t="str">
        <f>VLOOKUP(A31,[1]Custo!$A$2:$C$213,2,0)</f>
        <v>DESUPRE 2.000UI 40 COMPRIMIDOS</v>
      </c>
      <c r="C31" s="49">
        <v>7898277714248</v>
      </c>
      <c r="D31" s="50"/>
      <c r="E31" s="51" t="s">
        <v>136</v>
      </c>
    </row>
    <row r="32" spans="1:5" x14ac:dyDescent="0.4">
      <c r="A32" s="51">
        <v>2407</v>
      </c>
      <c r="B32" s="52" t="str">
        <f>VLOOKUP(A32,[1]Custo!$A$2:$C$213,2,0)</f>
        <v>DESUPRE 200UI / GOTAS 20ML</v>
      </c>
      <c r="C32" s="49">
        <v>7898277713067</v>
      </c>
      <c r="D32" s="50"/>
      <c r="E32" s="51" t="s">
        <v>137</v>
      </c>
    </row>
    <row r="33" spans="1:5" x14ac:dyDescent="0.4">
      <c r="A33" s="51">
        <v>4798</v>
      </c>
      <c r="B33" s="52" t="str">
        <f>VLOOKUP(A33,[1]Custo!$A$2:$C$213,2,0)</f>
        <v>DESUPRE 500UI / GOTAS 20ML</v>
      </c>
      <c r="C33" s="49">
        <v>7898277713777</v>
      </c>
      <c r="D33" s="50"/>
      <c r="E33" s="51" t="s">
        <v>138</v>
      </c>
    </row>
    <row r="34" spans="1:5" x14ac:dyDescent="0.4">
      <c r="A34" s="51">
        <v>5140</v>
      </c>
      <c r="B34" s="52" t="str">
        <f>VLOOKUP(A34,[1]Custo!$A$2:$C$213,2,0)</f>
        <v>DESUPRE 2.000UI / GOTAS 20ML</v>
      </c>
      <c r="C34" s="49">
        <v>7898277714422</v>
      </c>
      <c r="D34" s="50"/>
      <c r="E34" s="51" t="s">
        <v>139</v>
      </c>
    </row>
    <row r="35" spans="1:5" x14ac:dyDescent="0.4">
      <c r="A35" s="34">
        <v>3922</v>
      </c>
      <c r="B35" s="52" t="str">
        <f>VLOOKUP(A35,[1]Custo!$A$2:$C$213,2,0)</f>
        <v>EXTRATO DE PROPOLIS 20ML</v>
      </c>
      <c r="C35" s="49">
        <v>7898277711087</v>
      </c>
      <c r="D35" s="50"/>
      <c r="E35" s="51" t="s">
        <v>140</v>
      </c>
    </row>
    <row r="36" spans="1:5" x14ac:dyDescent="0.4">
      <c r="A36" s="34">
        <v>4445</v>
      </c>
      <c r="B36" s="52" t="str">
        <f>VLOOKUP(A36,[1]Custo!$A$2:$C$213,2,0)</f>
        <v>EXTRATO DE PROPOLIS AQUOSO 20ML</v>
      </c>
      <c r="C36" s="49">
        <v>7898277714002</v>
      </c>
      <c r="D36" s="50"/>
      <c r="E36" s="51" t="s">
        <v>141</v>
      </c>
    </row>
    <row r="37" spans="1:5" x14ac:dyDescent="0.4">
      <c r="A37" s="34">
        <v>10</v>
      </c>
      <c r="B37" s="52" t="str">
        <f>VLOOKUP(A37,[1]Custo!$A$2:$C$213,2,0)</f>
        <v>GUARACAO 500MG</v>
      </c>
      <c r="C37" s="49">
        <v>7898277711032</v>
      </c>
      <c r="D37" s="50"/>
      <c r="E37" s="51"/>
    </row>
    <row r="38" spans="1:5" x14ac:dyDescent="0.4">
      <c r="A38" s="34">
        <v>12</v>
      </c>
      <c r="B38" s="52" t="str">
        <f>VLOOKUP(A38,[1]Custo!$A$2:$C$213,2,0)</f>
        <v>GUARACAO PO 50G</v>
      </c>
      <c r="C38" s="49">
        <v>7898277710059</v>
      </c>
      <c r="D38" s="50"/>
      <c r="E38" s="51"/>
    </row>
    <row r="39" spans="1:5" x14ac:dyDescent="0.4">
      <c r="A39" s="51">
        <v>6489</v>
      </c>
      <c r="B39" s="52" t="str">
        <f>VLOOKUP(A39,[1]Custo!$A$2:$C$213,2,0)</f>
        <v>HALINAT ANTISSEPTICO BUCAL COOL MINT 500ML</v>
      </c>
      <c r="C39" s="49"/>
      <c r="D39" s="50"/>
      <c r="E39" s="51"/>
    </row>
    <row r="40" spans="1:5" x14ac:dyDescent="0.4">
      <c r="A40" s="51">
        <v>6490</v>
      </c>
      <c r="B40" s="52" t="str">
        <f>VLOOKUP(A40,[1]Custo!$A$2:$C$213,2,0)</f>
        <v>HALINAT ANTISSEPTICO BUCAL MENTA SUAVE 500ML</v>
      </c>
      <c r="C40" s="49"/>
      <c r="D40" s="50"/>
      <c r="E40" s="51"/>
    </row>
    <row r="41" spans="1:5" x14ac:dyDescent="0.4">
      <c r="A41" s="34">
        <v>940</v>
      </c>
      <c r="B41" s="52" t="str">
        <f>VLOOKUP(A41,[1]Custo!$A$2:$C$213,2,0)</f>
        <v>LACTUGOLD AMEIXA 120ML</v>
      </c>
      <c r="C41" s="49">
        <v>7898277712473</v>
      </c>
      <c r="D41" s="50"/>
      <c r="E41" s="51" t="s">
        <v>142</v>
      </c>
    </row>
    <row r="42" spans="1:5" x14ac:dyDescent="0.4">
      <c r="A42" s="34">
        <v>941</v>
      </c>
      <c r="B42" s="52" t="str">
        <f>VLOOKUP(A42,[1]Custo!$A$2:$C$213,2,0)</f>
        <v>LACTUGOLD FRUTAS VERMELHAS  120ML</v>
      </c>
      <c r="C42" s="49">
        <v>7898277712480</v>
      </c>
      <c r="D42" s="50"/>
      <c r="E42" s="51" t="s">
        <v>143</v>
      </c>
    </row>
    <row r="43" spans="1:5" x14ac:dyDescent="0.4">
      <c r="A43" s="34">
        <v>4974</v>
      </c>
      <c r="B43" s="52" t="str">
        <f>VLOOKUP(A43,[1]Custo!$A$2:$C$213,2,0)</f>
        <v>LACTUGOLD SEM SABOR 120ML</v>
      </c>
      <c r="C43" s="49">
        <v>7898277714408</v>
      </c>
      <c r="D43" s="50"/>
      <c r="E43" s="51" t="s">
        <v>144</v>
      </c>
    </row>
    <row r="44" spans="1:5" x14ac:dyDescent="0.4">
      <c r="A44" s="34">
        <v>5764</v>
      </c>
      <c r="B44" s="59" t="str">
        <f>VLOOKUP(A44,[1]Custo!$A$2:$C$213,2,0)</f>
        <v>MELATONINA GOTAS 20ML</v>
      </c>
      <c r="C44" s="49" t="s">
        <v>145</v>
      </c>
      <c r="D44" s="50"/>
      <c r="E44" s="51" t="s">
        <v>146</v>
      </c>
    </row>
    <row r="45" spans="1:5" x14ac:dyDescent="0.4">
      <c r="A45" s="58">
        <v>3912</v>
      </c>
      <c r="B45" s="52" t="str">
        <f>VLOOKUP(A45,[1]Custo!$A$2:$C$213,2,0)</f>
        <v>NEORUB 12G DISPLAY COM 12 FRASCOS</v>
      </c>
      <c r="C45" s="53">
        <v>7898277713678</v>
      </c>
      <c r="D45" s="54">
        <v>7898277713685</v>
      </c>
      <c r="E45" s="55">
        <v>47898277713683</v>
      </c>
    </row>
    <row r="46" spans="1:5" x14ac:dyDescent="0.4">
      <c r="A46" s="58">
        <v>3923</v>
      </c>
      <c r="B46" s="52" t="str">
        <f>VLOOKUP(A46,[1]Custo!$A$2:$C$213,2,0)</f>
        <v>NEORUB 40G DISPLAY COM 30 POTES</v>
      </c>
      <c r="C46" s="53">
        <v>7898277713654</v>
      </c>
      <c r="D46" s="54">
        <v>7898277713661</v>
      </c>
      <c r="E46" s="55">
        <v>17898277713668</v>
      </c>
    </row>
    <row r="47" spans="1:5" x14ac:dyDescent="0.4">
      <c r="A47" s="34">
        <v>2714</v>
      </c>
      <c r="B47" s="52" t="str">
        <f>VLOOKUP(A47,[1]Custo!$A$2:$C$213,2,0)</f>
        <v>NORIFER GOTAS 30 ML</v>
      </c>
      <c r="C47" s="49">
        <v>7898277713173</v>
      </c>
      <c r="D47" s="50"/>
      <c r="E47" s="51" t="s">
        <v>147</v>
      </c>
    </row>
    <row r="48" spans="1:5" x14ac:dyDescent="0.4">
      <c r="A48" s="34">
        <v>4801</v>
      </c>
      <c r="B48" s="52" t="str">
        <f>VLOOKUP(A48,[1]Custo!$A$2:$C$213,2,0)</f>
        <v>OSSOVIT 600+D3 400UI C/ 60 COMPRIMIDOS</v>
      </c>
      <c r="C48" s="49">
        <v>7898277714309</v>
      </c>
      <c r="D48" s="50"/>
      <c r="E48" s="51" t="s">
        <v>148</v>
      </c>
    </row>
    <row r="49" spans="1:5" x14ac:dyDescent="0.4">
      <c r="A49" s="34">
        <v>3762</v>
      </c>
      <c r="B49" s="52" t="str">
        <f>VLOOKUP(A49,[1]Custo!$A$2:$C$213,2,0)</f>
        <v>OSSOVIT 600+D3 200UI C/ 60 COMPRIMIDOS</v>
      </c>
      <c r="C49" s="49">
        <v>7898277713593</v>
      </c>
      <c r="D49" s="50"/>
      <c r="E49" s="51" t="s">
        <v>149</v>
      </c>
    </row>
    <row r="50" spans="1:5" x14ac:dyDescent="0.4">
      <c r="A50" s="34">
        <v>1179</v>
      </c>
      <c r="B50" s="52" t="str">
        <f>VLOOKUP(A50,[1]Custo!$A$2:$C$213,2,0)</f>
        <v>PANTOVIT 10ML ABACAXI</v>
      </c>
      <c r="C50" s="53">
        <v>7898277712541</v>
      </c>
      <c r="D50" s="54">
        <v>7898277712565</v>
      </c>
      <c r="E50" s="55">
        <v>27898277712569</v>
      </c>
    </row>
    <row r="51" spans="1:5" x14ac:dyDescent="0.4">
      <c r="A51" s="58">
        <v>4949</v>
      </c>
      <c r="B51" s="52" t="str">
        <f>VLOOKUP(A51,[1]Custo!$A$2:$C$213,2,0)</f>
        <v>PEDIANUTRI GOTAS 20ML</v>
      </c>
      <c r="C51" s="49">
        <v>7898277714361</v>
      </c>
      <c r="D51" s="50"/>
      <c r="E51" s="51" t="s">
        <v>150</v>
      </c>
    </row>
    <row r="52" spans="1:5" x14ac:dyDescent="0.4">
      <c r="A52" s="58">
        <v>4965</v>
      </c>
      <c r="B52" s="52" t="str">
        <f>VLOOKUP(A52,[1]Custo!$A$2:$C$213,2,0)</f>
        <v>PEDIANUTRI SOLUCAO ORAL 120ML</v>
      </c>
      <c r="C52" s="49">
        <v>7898277714378</v>
      </c>
      <c r="D52" s="50"/>
      <c r="E52" s="51" t="s">
        <v>151</v>
      </c>
    </row>
    <row r="53" spans="1:5" x14ac:dyDescent="0.4">
      <c r="A53" s="58">
        <v>5136</v>
      </c>
      <c r="B53" s="52" t="str">
        <f>VLOOKUP(A53,[1]Custo!$A$2:$C$213,2,0)</f>
        <v>PEDHIDRATE MAIS SABOR MORANGO 450ML</v>
      </c>
      <c r="C53" s="49">
        <v>7898277713821</v>
      </c>
      <c r="D53" s="50"/>
      <c r="E53" s="51" t="s">
        <v>152</v>
      </c>
    </row>
    <row r="54" spans="1:5" x14ac:dyDescent="0.4">
      <c r="A54" s="58">
        <v>5137</v>
      </c>
      <c r="B54" s="52" t="str">
        <f>VLOOKUP(A54,[1]Custo!$A$2:$C$213,2,0)</f>
        <v>PEDHIDRATE MAIS SABOR NATURAL 450ML</v>
      </c>
      <c r="C54" s="49">
        <v>7898277713814</v>
      </c>
      <c r="D54" s="50"/>
      <c r="E54" s="51" t="s">
        <v>153</v>
      </c>
    </row>
    <row r="55" spans="1:5" x14ac:dyDescent="0.4">
      <c r="A55" s="58">
        <v>5103</v>
      </c>
      <c r="B55" s="52" t="str">
        <f>VLOOKUP(A55,[1]Custo!$A$2:$C$213,2,0)</f>
        <v>PEDHIDRATE MAIS SABOR UVA 450ML</v>
      </c>
      <c r="C55" s="49">
        <v>7898277713807</v>
      </c>
      <c r="D55" s="50"/>
      <c r="E55" s="51" t="s">
        <v>154</v>
      </c>
    </row>
    <row r="56" spans="1:5" x14ac:dyDescent="0.4">
      <c r="A56" s="58">
        <v>5715</v>
      </c>
      <c r="B56" s="59" t="str">
        <f>VLOOKUP(A56,[1]Custo!$A$2:$C$213,2,0)</f>
        <v>PEPTINON 30 COMPRIMIDOS</v>
      </c>
      <c r="C56" s="49" t="s">
        <v>155</v>
      </c>
      <c r="D56" s="50"/>
      <c r="E56" s="51" t="s">
        <v>156</v>
      </c>
    </row>
    <row r="57" spans="1:5" x14ac:dyDescent="0.4">
      <c r="A57" s="58">
        <v>6152</v>
      </c>
      <c r="B57" s="59" t="str">
        <f>VLOOKUP(A57,[1]Custo!$A$2:$C$213,2,0)</f>
        <v>PEPTINON SOLUCAO ORAL 60 FLACONETES 10ML</v>
      </c>
      <c r="C57" s="60" t="s">
        <v>157</v>
      </c>
      <c r="D57" s="60">
        <v>7898277715139</v>
      </c>
      <c r="E57" s="49">
        <v>27898277715133</v>
      </c>
    </row>
    <row r="58" spans="1:5" x14ac:dyDescent="0.4">
      <c r="A58" s="58">
        <v>6151</v>
      </c>
      <c r="B58" s="59" t="str">
        <f>VLOOKUP(A58,[1]Custo!$A$2:$C$213,2,0)</f>
        <v>PEPTINON SOLUCAO ORAL 12 FLACONETES 10ML</v>
      </c>
      <c r="C58" t="s">
        <v>158</v>
      </c>
      <c r="D58" s="61" t="s">
        <v>159</v>
      </c>
      <c r="E58" s="51" t="s">
        <v>160</v>
      </c>
    </row>
    <row r="59" spans="1:5" x14ac:dyDescent="0.4">
      <c r="A59" s="58">
        <v>6150</v>
      </c>
      <c r="B59" s="59" t="str">
        <f>VLOOKUP(A59,[1]Custo!$A$2:$C$213,2,0)</f>
        <v>PEPTINON SOLUCAO ORAL 100ML</v>
      </c>
      <c r="C59" s="49">
        <v>7898277715108</v>
      </c>
      <c r="D59" s="50"/>
      <c r="E59" s="51" t="s">
        <v>161</v>
      </c>
    </row>
    <row r="60" spans="1:5" x14ac:dyDescent="0.4">
      <c r="A60" s="34">
        <v>4898</v>
      </c>
      <c r="B60" s="52" t="str">
        <f>VLOOKUP(A60,[1]Custo!$A$2:$C$213,2,0)</f>
        <v>PERILAC LACTITOL SOLUÇÃO ORAL 120ML</v>
      </c>
      <c r="C60" s="49">
        <v>7898277713838</v>
      </c>
      <c r="D60" s="50"/>
      <c r="E60" s="51" t="s">
        <v>162</v>
      </c>
    </row>
    <row r="61" spans="1:5" x14ac:dyDescent="0.4">
      <c r="A61" s="34">
        <v>4897</v>
      </c>
      <c r="B61" s="52" t="str">
        <f>VLOOKUP(A61,[1]Custo!$A$2:$C$213,2,0)</f>
        <v>PERILAC LACTITOL SOLUÇÃO ORAL 240ML</v>
      </c>
      <c r="C61" s="49">
        <v>7898277713845</v>
      </c>
      <c r="D61" s="50"/>
      <c r="E61" s="51" t="s">
        <v>163</v>
      </c>
    </row>
    <row r="62" spans="1:5" x14ac:dyDescent="0.4">
      <c r="A62" s="68">
        <v>6492</v>
      </c>
      <c r="B62" s="52" t="str">
        <f>VLOOKUP(A62,[1]Custo!$A$2:$C$213,2,0)</f>
        <v>PERIONAT SOLUCAO BUCAL C/ ALCOOL 250ML</v>
      </c>
      <c r="C62" s="49"/>
      <c r="D62" s="50"/>
      <c r="E62" s="51"/>
    </row>
    <row r="63" spans="1:5" x14ac:dyDescent="0.4">
      <c r="A63" s="68">
        <v>6491</v>
      </c>
      <c r="B63" s="52" t="str">
        <f>VLOOKUP(A63,[1]Custo!$A$2:$C$213,2,0)</f>
        <v>PERIONAT SOLUCAO BUCAL S/ ALCOOL 250ML</v>
      </c>
      <c r="C63" s="49"/>
      <c r="D63" s="50"/>
      <c r="E63" s="51"/>
    </row>
    <row r="64" spans="1:5" x14ac:dyDescent="0.4">
      <c r="A64" s="34">
        <v>1807</v>
      </c>
      <c r="B64" s="52" t="str">
        <f>VLOOKUP(A64,[1]Custo!$A$2:$C$213,2,0)</f>
        <v>PLANTA GOLD 5G C/ 10 SACHES</v>
      </c>
      <c r="C64" s="49">
        <v>7898277712879</v>
      </c>
      <c r="D64" s="50"/>
      <c r="E64" s="51" t="s">
        <v>164</v>
      </c>
    </row>
    <row r="65" spans="1:5" x14ac:dyDescent="0.4">
      <c r="A65" s="34">
        <v>1808</v>
      </c>
      <c r="B65" s="52" t="str">
        <f>VLOOKUP(A65,[1]Custo!$A$2:$C$213,2,0)</f>
        <v>PLANTA GOLD 5G C/ 30 SACHES</v>
      </c>
      <c r="C65" s="49">
        <v>7898277712886</v>
      </c>
      <c r="D65" s="50"/>
      <c r="E65" s="51" t="s">
        <v>165</v>
      </c>
    </row>
    <row r="66" spans="1:5" x14ac:dyDescent="0.4">
      <c r="A66" s="34">
        <v>5230</v>
      </c>
      <c r="B66" s="52" t="str">
        <f>VLOOKUP(A66,[1]Custo!$A$2:$C$213,2,0)</f>
        <v>PLANTA GOLD SABOR LARANJA 180G</v>
      </c>
      <c r="C66" s="49">
        <v>7898277714538</v>
      </c>
      <c r="D66" s="50"/>
      <c r="E66" s="51" t="s">
        <v>166</v>
      </c>
    </row>
    <row r="67" spans="1:5" x14ac:dyDescent="0.4">
      <c r="A67" s="34">
        <v>5138</v>
      </c>
      <c r="B67" s="52" t="str">
        <f>VLOOKUP(A67,[1]Custo!$A$2:$C$213,2,0)</f>
        <v>PLANTA GOLD SEM SABOR 10 SACHES 3,5G</v>
      </c>
      <c r="C67" s="49">
        <v>7898277714460</v>
      </c>
      <c r="D67" s="50"/>
      <c r="E67" s="51" t="s">
        <v>167</v>
      </c>
    </row>
    <row r="68" spans="1:5" x14ac:dyDescent="0.4">
      <c r="A68" s="34">
        <v>5139</v>
      </c>
      <c r="B68" s="52" t="str">
        <f>VLOOKUP(A68,[1]Custo!$A$2:$C$213,2,0)</f>
        <v>PLANTA GOLD SEM SABOR 30 SACHES 3,5G</v>
      </c>
      <c r="C68" s="49">
        <v>7898277714477</v>
      </c>
      <c r="D68" s="50"/>
      <c r="E68" s="51" t="s">
        <v>168</v>
      </c>
    </row>
    <row r="69" spans="1:5" x14ac:dyDescent="0.4">
      <c r="A69" s="34">
        <v>5229</v>
      </c>
      <c r="B69" s="52" t="str">
        <f>VLOOKUP(A69,[1]Custo!$A$2:$C$213,2,0)</f>
        <v>PLANTA GOLD SEM SABOR 140G</v>
      </c>
      <c r="C69" s="49">
        <v>7898277714521</v>
      </c>
      <c r="D69" s="50"/>
      <c r="E69" s="51" t="s">
        <v>169</v>
      </c>
    </row>
    <row r="70" spans="1:5" x14ac:dyDescent="0.4">
      <c r="A70" s="62">
        <v>4550</v>
      </c>
      <c r="B70" s="52" t="str">
        <f>VLOOKUP(A70,[1]Custo!$A$2:$C$213,2,0)</f>
        <v>POMADA BASILICAO 12G - DISPLAY C/ 12</v>
      </c>
      <c r="C70" s="53">
        <v>7898277714149</v>
      </c>
      <c r="D70" s="54">
        <v>7898277714156</v>
      </c>
      <c r="E70" s="55">
        <v>47898277714154</v>
      </c>
    </row>
    <row r="71" spans="1:5" x14ac:dyDescent="0.4">
      <c r="A71" s="34">
        <v>60</v>
      </c>
      <c r="B71" s="52" t="str">
        <f>VLOOKUP(A71,[1]Custo!$A$2:$C$213,2,0)</f>
        <v>PRO-CALCIO D3 500MG 30 CAPS.</v>
      </c>
      <c r="C71" s="49">
        <v>7898277711186</v>
      </c>
      <c r="D71" s="50"/>
      <c r="E71" s="63"/>
    </row>
    <row r="72" spans="1:5" x14ac:dyDescent="0.4">
      <c r="A72" s="34">
        <v>895</v>
      </c>
      <c r="B72" s="52" t="str">
        <f>VLOOKUP(A72,[1]Custo!$A$2:$C$213,2,0)</f>
        <v xml:space="preserve">PRO-CALCIO D3 500MG 60 CAPS. </v>
      </c>
      <c r="C72" s="49">
        <v>7898277712459</v>
      </c>
      <c r="D72" s="50"/>
      <c r="E72" s="63"/>
    </row>
    <row r="73" spans="1:5" x14ac:dyDescent="0.4">
      <c r="A73" s="34">
        <v>6388</v>
      </c>
      <c r="B73" s="52" t="str">
        <f>VLOOKUP(A73,[1]Custo!$A$2:$C$213,2,0)</f>
        <v>PRO-CALCIO D3 500MG 120 CAPS.</v>
      </c>
      <c r="C73" s="49">
        <v>7898277715313</v>
      </c>
      <c r="D73" s="50"/>
      <c r="E73" s="63"/>
    </row>
    <row r="74" spans="1:5" x14ac:dyDescent="0.4">
      <c r="A74" s="58">
        <v>4327</v>
      </c>
      <c r="B74" s="52" t="str">
        <f>VLOOKUP(A74,[1]Custo!$A$2:$C$213,2,0)</f>
        <v>PROPOSEP POMADA DE PROPOLIS 60G</v>
      </c>
      <c r="C74" s="49">
        <v>7898277714118</v>
      </c>
      <c r="D74" s="50"/>
      <c r="E74" s="51" t="s">
        <v>170</v>
      </c>
    </row>
    <row r="75" spans="1:5" x14ac:dyDescent="0.4">
      <c r="A75" s="58">
        <v>4687</v>
      </c>
      <c r="B75" s="52" t="str">
        <f>VLOOKUP(A75,[1]Custo!$A$2:$C$213,2,0)</f>
        <v>PROPOSEP XAROPE 150ML</v>
      </c>
      <c r="C75" s="49">
        <v>7898277714316</v>
      </c>
      <c r="D75" s="50"/>
      <c r="E75" s="51" t="s">
        <v>171</v>
      </c>
    </row>
    <row r="76" spans="1:5" x14ac:dyDescent="0.4">
      <c r="A76" s="34">
        <v>49</v>
      </c>
      <c r="B76" s="52" t="str">
        <f>VLOOKUP(A76,[1]Custo!$A$2:$C$213,2,0)</f>
        <v>SABONETE ACNOL 90G</v>
      </c>
      <c r="C76" s="49">
        <v>7898277710332</v>
      </c>
      <c r="D76" s="50"/>
      <c r="E76" s="51" t="s">
        <v>172</v>
      </c>
    </row>
    <row r="77" spans="1:5" x14ac:dyDescent="0.4">
      <c r="A77" s="34">
        <v>5884</v>
      </c>
      <c r="B77" s="52" t="str">
        <f>VLOOKUP(A77,[1]Custo!$A$2:$C$213,2,0)</f>
        <v>SABONETE ACNOL CARVAO ATIVADO 90G</v>
      </c>
      <c r="C77" s="49">
        <v>7898277714859</v>
      </c>
      <c r="D77" s="50"/>
      <c r="E77" s="51" t="s">
        <v>173</v>
      </c>
    </row>
    <row r="78" spans="1:5" x14ac:dyDescent="0.4">
      <c r="A78" s="34">
        <v>5883</v>
      </c>
      <c r="B78" s="52" t="str">
        <f>VLOOKUP(A78,[1]Custo!$A$2:$C$213,2,0)</f>
        <v>SABONETE ACNOL CREMOSO 90G</v>
      </c>
      <c r="C78" s="49">
        <v>7898277714866</v>
      </c>
      <c r="D78" s="50"/>
      <c r="E78" s="51" t="s">
        <v>174</v>
      </c>
    </row>
    <row r="79" spans="1:5" x14ac:dyDescent="0.4">
      <c r="A79" s="34">
        <v>5882</v>
      </c>
      <c r="B79" s="52" t="str">
        <f>VLOOKUP(A79,[1]Custo!$A$2:$C$213,2,0)</f>
        <v>SABONETE ACNOL ESFOLIANTE 90G</v>
      </c>
      <c r="C79" s="49">
        <v>7898277714873</v>
      </c>
      <c r="D79" s="50"/>
      <c r="E79" s="51" t="s">
        <v>175</v>
      </c>
    </row>
    <row r="80" spans="1:5" x14ac:dyDescent="0.4">
      <c r="A80" s="34">
        <v>47</v>
      </c>
      <c r="B80" s="52" t="str">
        <f>VLOOKUP(A80,[1]Custo!$A$2:$C$213,2,0)</f>
        <v xml:space="preserve">SABONETE DE AROEIRA 100G </v>
      </c>
      <c r="C80" s="49">
        <v>7898277710950</v>
      </c>
      <c r="D80" s="50"/>
      <c r="E80" s="51" t="s">
        <v>176</v>
      </c>
    </row>
    <row r="81" spans="1:5" x14ac:dyDescent="0.4">
      <c r="A81" s="34">
        <v>1840</v>
      </c>
      <c r="B81" s="52" t="str">
        <f>VLOOKUP(A81,[1]Custo!$A$2:$C$213,2,0)</f>
        <v xml:space="preserve">SABONETE DE AROEIRA LIQUIDO </v>
      </c>
      <c r="C81" s="49">
        <v>7898277712893</v>
      </c>
      <c r="D81" s="50"/>
      <c r="E81" s="51" t="s">
        <v>177</v>
      </c>
    </row>
    <row r="82" spans="1:5" x14ac:dyDescent="0.4">
      <c r="A82" s="34">
        <v>1237</v>
      </c>
      <c r="B82" s="52" t="str">
        <f>VLOOKUP(A82,[1]Custo!$A$2:$C$213,2,0)</f>
        <v>SABONETE DE COCO 100G</v>
      </c>
      <c r="C82" s="49">
        <v>7898277711421</v>
      </c>
      <c r="D82" s="50"/>
      <c r="E82" s="51" t="s">
        <v>178</v>
      </c>
    </row>
    <row r="83" spans="1:5" x14ac:dyDescent="0.4">
      <c r="A83" s="34">
        <v>5101</v>
      </c>
      <c r="B83" s="52" t="str">
        <f>VLOOKUP(A83,[1]Custo!$A$2:$C$213,2,0)</f>
        <v>SABONETE DE ENXOFRE 90G</v>
      </c>
      <c r="C83" s="49">
        <v>7898277714446</v>
      </c>
      <c r="D83" s="50"/>
      <c r="E83" s="51" t="s">
        <v>179</v>
      </c>
    </row>
    <row r="84" spans="1:5" x14ac:dyDescent="0.4">
      <c r="A84" s="34">
        <v>5102</v>
      </c>
      <c r="B84" s="52" t="str">
        <f>VLOOKUP(A84,[1]Custo!$A$2:$C$213,2,0)</f>
        <v>SABONETE DE ENXOFRE SULFUROSO 90G</v>
      </c>
      <c r="C84" s="49">
        <v>7898277714453</v>
      </c>
      <c r="D84" s="50"/>
      <c r="E84" s="51" t="s">
        <v>180</v>
      </c>
    </row>
    <row r="85" spans="1:5" x14ac:dyDescent="0.4">
      <c r="A85" s="34">
        <v>52</v>
      </c>
      <c r="B85" s="52" t="str">
        <f>VLOOKUP(A85,[1]Custo!$A$2:$C$213,2,0)</f>
        <v>SABONETE DE GLICERINA 100G</v>
      </c>
      <c r="C85" s="49">
        <v>7898277711247</v>
      </c>
      <c r="D85" s="50"/>
      <c r="E85" s="51" t="s">
        <v>181</v>
      </c>
    </row>
    <row r="86" spans="1:5" x14ac:dyDescent="0.4">
      <c r="A86" s="58">
        <v>6348</v>
      </c>
      <c r="B86" s="52" t="str">
        <f>VLOOKUP(A86,[1]Custo!$A$2:$C$213,2,0)</f>
        <v>SHAMPOO DE CETOCONAZOL CLEAN HAIR 100ML</v>
      </c>
      <c r="C86" s="49">
        <v>7898277715276</v>
      </c>
      <c r="D86" s="50"/>
      <c r="E86" s="51" t="s">
        <v>182</v>
      </c>
    </row>
    <row r="87" spans="1:5" x14ac:dyDescent="0.4">
      <c r="A87" s="58">
        <v>4686</v>
      </c>
      <c r="B87" s="52" t="str">
        <f>VLOOKUP(A87,[1]Custo!$A$2:$C$213,2,0)</f>
        <v>SULFATO FERROSO 60 COMPRIMIDOS</v>
      </c>
      <c r="C87" s="49">
        <v>7898277714293</v>
      </c>
      <c r="D87" s="50"/>
      <c r="E87" s="51" t="s">
        <v>183</v>
      </c>
    </row>
    <row r="88" spans="1:5" x14ac:dyDescent="0.4">
      <c r="A88" s="34">
        <v>3808</v>
      </c>
      <c r="B88" s="52" t="str">
        <f>VLOOKUP(A88,[1]Custo!$A$2:$C$213,2,0)</f>
        <v>SULFATO FERROSO GOTAS 30ML</v>
      </c>
      <c r="C88" s="49">
        <v>7898277713302</v>
      </c>
      <c r="D88" s="50"/>
      <c r="E88" s="51" t="s">
        <v>184</v>
      </c>
    </row>
    <row r="89" spans="1:5" x14ac:dyDescent="0.4">
      <c r="A89" s="34">
        <v>3949</v>
      </c>
      <c r="B89" s="52" t="str">
        <f>VLOOKUP(A89,[1]Custo!$A$2:$C$213,2,0)</f>
        <v>SULFATO FERROSO SOLUÇÃO ORAL 100ML</v>
      </c>
      <c r="C89" s="49">
        <v>7898277713319</v>
      </c>
      <c r="D89" s="50"/>
      <c r="E89" s="51" t="s">
        <v>185</v>
      </c>
    </row>
    <row r="90" spans="1:5" x14ac:dyDescent="0.4">
      <c r="A90" s="34">
        <v>5276</v>
      </c>
      <c r="B90" s="52" t="str">
        <f>VLOOKUP(A90,[1]Custo!$A$2:$C$213,2,0)</f>
        <v>TAMARINAT FIBRAS KD SABOR MORANGO 240ML</v>
      </c>
      <c r="C90" s="49">
        <v>7898277714491</v>
      </c>
      <c r="D90" s="50"/>
      <c r="E90" s="51" t="s">
        <v>186</v>
      </c>
    </row>
    <row r="91" spans="1:5" x14ac:dyDescent="0.4">
      <c r="A91" s="34">
        <v>5713</v>
      </c>
      <c r="B91" s="59" t="str">
        <f>VLOOKUP(A91,[1]Custo!$A$2:$C$213,2,0)</f>
        <v>TONGIVIT PREMIUM 60 COMPRIMIDOS</v>
      </c>
      <c r="C91" s="49">
        <v>7898277714767</v>
      </c>
      <c r="D91" s="50"/>
      <c r="E91" s="51" t="s">
        <v>187</v>
      </c>
    </row>
    <row r="92" spans="1:5" x14ac:dyDescent="0.4">
      <c r="A92" s="34">
        <v>4516</v>
      </c>
      <c r="B92" s="52" t="str">
        <f>VLOOKUP(A92,[1]Custo!$A$2:$C$213,2,0)</f>
        <v>TONGIVIT A-Z 60 COMPRIMIDOS</v>
      </c>
      <c r="C92" s="49">
        <v>7898277714088</v>
      </c>
      <c r="D92" s="50"/>
      <c r="E92" s="51" t="s">
        <v>188</v>
      </c>
    </row>
    <row r="93" spans="1:5" x14ac:dyDescent="0.4">
      <c r="A93" s="58">
        <v>4507</v>
      </c>
      <c r="B93" s="52" t="str">
        <f>VLOOKUP(A93,[1]Custo!$A$2:$C$213,2,0)</f>
        <v>TONGIVIT HAIR C/ 30 CAPSULAS</v>
      </c>
      <c r="C93" s="49">
        <v>7898277713760</v>
      </c>
      <c r="D93" s="50"/>
      <c r="E93" s="51" t="s">
        <v>189</v>
      </c>
    </row>
    <row r="94" spans="1:5" x14ac:dyDescent="0.4">
      <c r="A94" s="58">
        <v>5228</v>
      </c>
      <c r="B94" s="59" t="str">
        <f>VLOOKUP(A94,[1]Custo!$A$2:$C$213,2,0)</f>
        <v>TONGIVIT HOMEM 60 COMPRIMIDOS</v>
      </c>
      <c r="C94" s="49">
        <v>7898277714507</v>
      </c>
      <c r="D94" s="50"/>
      <c r="E94" s="51" t="s">
        <v>190</v>
      </c>
    </row>
    <row r="95" spans="1:5" x14ac:dyDescent="0.4">
      <c r="A95" s="58">
        <v>5227</v>
      </c>
      <c r="B95" s="59" t="str">
        <f>VLOOKUP(A95,[1]Custo!$A$2:$C$213,2,0)</f>
        <v>TONGIVIT MEMORIA 60 COMPRIMIDOS</v>
      </c>
      <c r="C95" s="49">
        <v>7898277714514</v>
      </c>
      <c r="D95" s="50"/>
      <c r="E95" s="51" t="s">
        <v>191</v>
      </c>
    </row>
    <row r="96" spans="1:5" x14ac:dyDescent="0.4">
      <c r="A96" s="34">
        <v>4518</v>
      </c>
      <c r="B96" s="52" t="str">
        <f>VLOOKUP(A96,[1]Custo!$A$2:$C$213,2,0)</f>
        <v>TONGIVIT MULHER 60 COMPRIMIDOS</v>
      </c>
      <c r="C96" s="49">
        <v>7898277714095</v>
      </c>
      <c r="D96" s="50"/>
      <c r="E96" s="51" t="s">
        <v>192</v>
      </c>
    </row>
    <row r="97" spans="1:5" x14ac:dyDescent="0.4">
      <c r="A97" s="58">
        <v>4517</v>
      </c>
      <c r="B97" s="52" t="str">
        <f>VLOOKUP(A97,[1]Custo!$A$2:$C$213,2,0)</f>
        <v>TONGIVIT OMEGA 3 C/ 60 CAPSULAS</v>
      </c>
      <c r="C97" s="49">
        <v>7898277714132</v>
      </c>
      <c r="D97" s="50"/>
      <c r="E97" s="51" t="s">
        <v>193</v>
      </c>
    </row>
    <row r="98" spans="1:5" x14ac:dyDescent="0.4">
      <c r="A98" s="34">
        <v>4519</v>
      </c>
      <c r="B98" s="52" t="str">
        <f>VLOOKUP(A98,[1]Custo!$A$2:$C$213,2,0)</f>
        <v>TONGIVIT SENIOR 60 COMPRIMIDOS</v>
      </c>
      <c r="C98" s="49">
        <v>7898277714101</v>
      </c>
      <c r="D98" s="50"/>
      <c r="E98" s="51" t="s">
        <v>194</v>
      </c>
    </row>
    <row r="99" spans="1:5" x14ac:dyDescent="0.4">
      <c r="A99" s="34">
        <v>2459</v>
      </c>
      <c r="B99" s="52" t="str">
        <f>VLOOKUP(A99,[1]Custo!$A$2:$C$213,2,0)</f>
        <v xml:space="preserve">TURBOVIT 10ML  COM 60 </v>
      </c>
      <c r="C99" s="53">
        <v>7898277710431</v>
      </c>
      <c r="D99" s="54" t="s">
        <v>195</v>
      </c>
      <c r="E99" s="55">
        <v>27898277713160</v>
      </c>
    </row>
    <row r="100" spans="1:5" x14ac:dyDescent="0.4">
      <c r="A100" s="34">
        <v>3961</v>
      </c>
      <c r="B100" s="52" t="str">
        <f>VLOOKUP(A100,[1]Custo!$A$2:$C$213,2,0)</f>
        <v>VITAMINA C GOTAS 20ML</v>
      </c>
      <c r="C100" s="49">
        <v>7898277713326</v>
      </c>
      <c r="D100" s="50"/>
      <c r="E100" s="51" t="s">
        <v>196</v>
      </c>
    </row>
    <row r="101" spans="1:5" x14ac:dyDescent="0.4">
      <c r="C101" s="64"/>
      <c r="D101" s="64"/>
      <c r="E101" s="64"/>
    </row>
  </sheetData>
  <mergeCells count="1">
    <mergeCell ref="A1:E1"/>
  </mergeCells>
  <conditionalFormatting sqref="B73 B7:B20">
    <cfRule type="expression" dxfId="28" priority="4">
      <formula>AND(ROW(#REF!)&gt;12,$B7&gt;0)</formula>
    </cfRule>
  </conditionalFormatting>
  <conditionalFormatting sqref="B2:B5 B72 B76 B60 B52:B55 B70 B45:B48 B64:B65 B24:B33 B92:B93 B96:B98 B50 B87:B89 B22 B80:B85 B35:B42">
    <cfRule type="expression" dxfId="27" priority="29">
      <formula>AND(ROW(#REF!)&gt;12,$B2&gt;0)</formula>
    </cfRule>
  </conditionalFormatting>
  <conditionalFormatting sqref="B71">
    <cfRule type="expression" dxfId="26" priority="28">
      <formula>AND(ROW(#REF!)&gt;12,$B71&gt;0)</formula>
    </cfRule>
  </conditionalFormatting>
  <conditionalFormatting sqref="A2">
    <cfRule type="expression" dxfId="25" priority="27">
      <formula>AND(ROW(#REF!)&gt;12,$B2&gt;0)</formula>
    </cfRule>
  </conditionalFormatting>
  <conditionalFormatting sqref="B34">
    <cfRule type="expression" dxfId="24" priority="26">
      <formula>AND(ROW(#REF!)&gt;12,$B34&gt;0)</formula>
    </cfRule>
  </conditionalFormatting>
  <conditionalFormatting sqref="B74:B75">
    <cfRule type="expression" dxfId="23" priority="25">
      <formula>AND(ROW(#REF!)&gt;12,$B74&gt;0)</formula>
    </cfRule>
  </conditionalFormatting>
  <conditionalFormatting sqref="B99">
    <cfRule type="expression" dxfId="22" priority="24">
      <formula>AND(ROW(#REF!)&gt;12,$B99&gt;0)</formula>
    </cfRule>
  </conditionalFormatting>
  <conditionalFormatting sqref="B51">
    <cfRule type="expression" dxfId="21" priority="23">
      <formula>AND(ROW(#REF!)&gt;12,$B51&gt;0)</formula>
    </cfRule>
  </conditionalFormatting>
  <conditionalFormatting sqref="B43">
    <cfRule type="expression" dxfId="20" priority="22">
      <formula>AND(ROW(#REF!)&gt;12,$B43&gt;0)</formula>
    </cfRule>
  </conditionalFormatting>
  <conditionalFormatting sqref="B49">
    <cfRule type="expression" dxfId="19" priority="21">
      <formula>AND(ROW(#REF!)&gt;12,$B49&gt;0)</formula>
    </cfRule>
  </conditionalFormatting>
  <conditionalFormatting sqref="B6">
    <cfRule type="expression" dxfId="18" priority="20">
      <formula>AND(ROW(#REF!)&gt;12,$B6&gt;0)</formula>
    </cfRule>
  </conditionalFormatting>
  <conditionalFormatting sqref="B67:B68">
    <cfRule type="expression" dxfId="17" priority="19">
      <formula>AND(ROW(#REF!)&gt;12,$B67&gt;0)</formula>
    </cfRule>
  </conditionalFormatting>
  <conditionalFormatting sqref="B61:B63">
    <cfRule type="expression" dxfId="16" priority="18">
      <formula>AND(ROW(#REF!)&gt;12,$B61&gt;0)</formula>
    </cfRule>
  </conditionalFormatting>
  <conditionalFormatting sqref="B90">
    <cfRule type="expression" dxfId="15" priority="17">
      <formula>AND(ROW(#REF!)&gt;12,$B90&gt;0)</formula>
    </cfRule>
  </conditionalFormatting>
  <conditionalFormatting sqref="B66">
    <cfRule type="expression" dxfId="14" priority="16">
      <formula>AND(ROW(#REF!)&gt;12,$B66&gt;0)</formula>
    </cfRule>
  </conditionalFormatting>
  <conditionalFormatting sqref="B69">
    <cfRule type="expression" dxfId="13" priority="15">
      <formula>AND(ROW(#REF!)&gt;12,$B69&gt;0)</formula>
    </cfRule>
  </conditionalFormatting>
  <conditionalFormatting sqref="B21">
    <cfRule type="expression" dxfId="12" priority="14">
      <formula>AND(ROW(#REF!)&gt;12,$B21&gt;0)</formula>
    </cfRule>
  </conditionalFormatting>
  <conditionalFormatting sqref="B23">
    <cfRule type="expression" dxfId="11" priority="13">
      <formula>AND(ROW(#REF!)&gt;12,$B23&gt;0)</formula>
    </cfRule>
  </conditionalFormatting>
  <conditionalFormatting sqref="B44">
    <cfRule type="expression" dxfId="10" priority="12">
      <formula>AND(ROW(#REF!)&gt;12,$B44&gt;0)</formula>
    </cfRule>
  </conditionalFormatting>
  <conditionalFormatting sqref="B56">
    <cfRule type="expression" dxfId="9" priority="11">
      <formula>AND(ROW(#REF!)&gt;12,$B56&gt;0)</formula>
    </cfRule>
  </conditionalFormatting>
  <conditionalFormatting sqref="B91">
    <cfRule type="expression" dxfId="8" priority="10">
      <formula>AND(ROW(#REF!)&gt;12,$B91&gt;0)</formula>
    </cfRule>
  </conditionalFormatting>
  <conditionalFormatting sqref="B94:B95">
    <cfRule type="expression" dxfId="7" priority="9">
      <formula>AND(ROW(#REF!)&gt;12,$B94&gt;0)</formula>
    </cfRule>
  </conditionalFormatting>
  <conditionalFormatting sqref="B100">
    <cfRule type="expression" dxfId="6" priority="8">
      <formula>AND(ROW(#REF!)&gt;12,$B100&gt;0)</formula>
    </cfRule>
  </conditionalFormatting>
  <conditionalFormatting sqref="B77:B79">
    <cfRule type="expression" dxfId="5" priority="7">
      <formula>AND(ROW(#REF!)&gt;12,$B77&gt;0)</formula>
    </cfRule>
  </conditionalFormatting>
  <conditionalFormatting sqref="B57 B59">
    <cfRule type="expression" dxfId="4" priority="6">
      <formula>AND(ROW(#REF!)&gt;12,$B57&gt;0)</formula>
    </cfRule>
  </conditionalFormatting>
  <conditionalFormatting sqref="B86">
    <cfRule type="expression" dxfId="3" priority="5">
      <formula>AND(ROW(#REF!)&gt;12,$B86&gt;0)</formula>
    </cfRule>
  </conditionalFormatting>
  <conditionalFormatting sqref="B58">
    <cfRule type="expression" dxfId="2" priority="3">
      <formula>AND(ROW(#REF!)&gt;12,$B58&gt;0)</formula>
    </cfRule>
  </conditionalFormatting>
  <conditionalFormatting sqref="A14">
    <cfRule type="duplicateValues" dxfId="1" priority="2"/>
  </conditionalFormatting>
  <conditionalFormatting sqref="A39:A40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2026-06-01T19:29:46Z</dcterms:modified>
</cp:coreProperties>
</file>