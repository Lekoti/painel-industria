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hospitalar-my.sharepoint.com/personal/juliana_peres_cremer_com_br/Documents/Área de Trabalho/Carteira - CURITIBA/DIMEBRAS25/LISTA DE PREÇO26/"/>
    </mc:Choice>
  </mc:AlternateContent>
  <xr:revisionPtr revIDLastSave="0" documentId="14_{28C34C97-8B39-40BD-997C-B7A4A9C86EC4}" xr6:coauthVersionLast="47" xr6:coauthVersionMax="47" xr10:uidLastSave="{00000000-0000-0000-0000-000000000000}"/>
  <bookViews>
    <workbookView xWindow="0" yWindow="720" windowWidth="20490" windowHeight="10800" xr2:uid="{42D8DB0D-8BB0-40F6-9383-BF91E1544129}"/>
  </bookViews>
  <sheets>
    <sheet name="Lista de Preço MT-MS" sheetId="4" r:id="rId1"/>
  </sheets>
  <definedNames>
    <definedName name="_xlnm._FilterDatabase" localSheetId="0" hidden="1">'Lista de Preço MT-MS'!$B$2:$J$145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4" l="1"/>
  <c r="J3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I34" i="4"/>
  <c r="J34" i="4" s="1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I63" i="4"/>
  <c r="J63" i="4" s="1"/>
  <c r="J64" i="4"/>
  <c r="J65" i="4"/>
  <c r="J66" i="4"/>
  <c r="J67" i="4"/>
  <c r="J68" i="4"/>
  <c r="J69" i="4"/>
  <c r="J70" i="4"/>
  <c r="J71" i="4"/>
  <c r="J72" i="4"/>
  <c r="J73" i="4"/>
  <c r="I74" i="4"/>
  <c r="J74" i="4" s="1"/>
  <c r="J75" i="4"/>
  <c r="J76" i="4"/>
  <c r="J77" i="4"/>
  <c r="J78" i="4"/>
  <c r="J79" i="4"/>
  <c r="J80" i="4"/>
  <c r="J81" i="4"/>
  <c r="J82" i="4"/>
  <c r="J83" i="4"/>
  <c r="I84" i="4"/>
  <c r="J84" i="4" s="1"/>
  <c r="J85" i="4"/>
  <c r="J86" i="4"/>
  <c r="J87" i="4"/>
  <c r="J88" i="4"/>
  <c r="J89" i="4"/>
  <c r="J90" i="4"/>
  <c r="I91" i="4"/>
  <c r="J91" i="4" s="1"/>
  <c r="J92" i="4"/>
  <c r="J93" i="4"/>
  <c r="I94" i="4"/>
  <c r="J94" i="4" s="1"/>
  <c r="I95" i="4"/>
  <c r="J95" i="4" s="1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I113" i="4"/>
  <c r="J113" i="4" s="1"/>
  <c r="I114" i="4"/>
  <c r="J114" i="4" s="1"/>
  <c r="I116" i="4"/>
  <c r="J116" i="4" s="1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</calcChain>
</file>

<file path=xl/sharedStrings.xml><?xml version="1.0" encoding="utf-8"?>
<sst xmlns="http://schemas.openxmlformats.org/spreadsheetml/2006/main" count="177" uniqueCount="158">
  <si>
    <t>Cod Barras</t>
  </si>
  <si>
    <t>COD CREMER</t>
  </si>
  <si>
    <t>Descrição</t>
  </si>
  <si>
    <t xml:space="preserve">ALGODAO 250G CREMER                     </t>
  </si>
  <si>
    <t xml:space="preserve">ALGODAO 25G CREMER                      </t>
  </si>
  <si>
    <t xml:space="preserve">ALGODAO 500G CREMER                     </t>
  </si>
  <si>
    <t xml:space="preserve">ALGODAO 50G CREMER                      </t>
  </si>
  <si>
    <t xml:space="preserve">ALGODAO BOLAS 50G CREMER                </t>
  </si>
  <si>
    <t xml:space="preserve">ALGODAO FACE LISA C/100 CREMER          </t>
  </si>
  <si>
    <t xml:space="preserve">ATADURA CREPOM 10X1,8M C/1 CYSNE CREMER </t>
  </si>
  <si>
    <t xml:space="preserve">ATADURA CREPOM 12X1,8M C/1 CYSNE CREMER </t>
  </si>
  <si>
    <t xml:space="preserve">ATADURA CREPOM 15X1,8M C/1 CYSNE CREMER </t>
  </si>
  <si>
    <t xml:space="preserve">ATADURA CREPOM 20X1.8M C/1 CYSNE CREMER </t>
  </si>
  <si>
    <t xml:space="preserve">ATADURA CREPOM 8X1,8M C/1 CYSNE CREMER  </t>
  </si>
  <si>
    <t xml:space="preserve">ATADURA CREPON 25CM CYSNE CREMER        </t>
  </si>
  <si>
    <t xml:space="preserve">ATADURA CREPON 6CMX1,80M CYSNE          </t>
  </si>
  <si>
    <t xml:space="preserve">ATADURA GESSADA 10CM CREMER             </t>
  </si>
  <si>
    <t xml:space="preserve">ATADURA GESSADA 15CM CREMER             </t>
  </si>
  <si>
    <t xml:space="preserve">ATADURA GESSADA 20CM CREMER             </t>
  </si>
  <si>
    <t xml:space="preserve">BASTONETES 75UN TOPZ                    </t>
  </si>
  <si>
    <t xml:space="preserve">COMPRESSA GAZE 11F 7,5CM C/5UN TOPZ     </t>
  </si>
  <si>
    <t>COMPRESSA GAZE 11F 7,5X7,5XCM C/10 ESTER</t>
  </si>
  <si>
    <t xml:space="preserve">COMPRESSA GAZE 7,5X7,5 C/500 IRIS       </t>
  </si>
  <si>
    <t xml:space="preserve">COMPRESSA GAZE DISPLAY C/40X5UND CREMER </t>
  </si>
  <si>
    <t xml:space="preserve">CURATIVO BEGE C/40 CREMER               </t>
  </si>
  <si>
    <t xml:space="preserve">CURATIVO CREMERCARE BEGE C/10 CREMER    </t>
  </si>
  <si>
    <t xml:space="preserve">CURATIVO MINIONS C/10 CREMER            </t>
  </si>
  <si>
    <t xml:space="preserve">CURATIVO MINIONS C/25 CREMER            </t>
  </si>
  <si>
    <t xml:space="preserve">CURATIVO SALVELOX C/10UN TOPZ           </t>
  </si>
  <si>
    <t xml:space="preserve">CURATIVO SALVELOX C/35UN TOPZ           </t>
  </si>
  <si>
    <t xml:space="preserve">CURATIVO SALVELOX TRANSP C/35UN TOPZ    </t>
  </si>
  <si>
    <t xml:space="preserve">CURATIVO TRANSP C/10 CREMER             </t>
  </si>
  <si>
    <t xml:space="preserve">CURATIVO TRANSP C/40 CREMER             </t>
  </si>
  <si>
    <t xml:space="preserve">CURATIVO TRANSP REDONDO C/16 CREMERCARE </t>
  </si>
  <si>
    <t xml:space="preserve">ESPARAD 5X4,5M IMPERMEAVEL CREMER       </t>
  </si>
  <si>
    <t xml:space="preserve">ESPARADRAPO 1,2X4,5M CREMER             </t>
  </si>
  <si>
    <t xml:space="preserve">ESPARADRAPO 10X4,5M C/LACRE CREMER      </t>
  </si>
  <si>
    <t xml:space="preserve">ESPARADRAPO 2,5X0,9M CREMER             </t>
  </si>
  <si>
    <t xml:space="preserve">ESPARADRAPO 2,5X4,5M CREMER             </t>
  </si>
  <si>
    <t xml:space="preserve">FITA CIRURG MICROP 1,2X4,5M CREMER      </t>
  </si>
  <si>
    <t xml:space="preserve">FITA CIRURG MICROP BEGE 1,2X4,5M CREMER </t>
  </si>
  <si>
    <t xml:space="preserve">FITA CIRURG MICROP BEGE 10X4,5M CREMER  </t>
  </si>
  <si>
    <t xml:space="preserve">FITA CIRURG MICROP BEGE 2,5X4,5M CREMER </t>
  </si>
  <si>
    <t xml:space="preserve">FITA CIRURG MICROP BEGE 5X4,5M CREMER   </t>
  </si>
  <si>
    <t xml:space="preserve">FITA MICROPOROSA 10X4,5 CREMER          </t>
  </si>
  <si>
    <t xml:space="preserve">FITA MICROPOROSA 2,5X0,90 CREMER        </t>
  </si>
  <si>
    <t xml:space="preserve">FITA MICROPOROSA 2,5X4,5 CREMER         </t>
  </si>
  <si>
    <t xml:space="preserve">FITA MICROPOROSA 5X4,5 CREMER           </t>
  </si>
  <si>
    <t xml:space="preserve">FITA P/FRALDA AZUL CREMER               </t>
  </si>
  <si>
    <t xml:space="preserve">FITA P/FRALDA BRANCA CREMER             </t>
  </si>
  <si>
    <t xml:space="preserve">FITA P/FRALDA ROSA CREMER               </t>
  </si>
  <si>
    <t xml:space="preserve">HASTE C/75 CREMER                       </t>
  </si>
  <si>
    <t xml:space="preserve">HASTE C/75 MINIONS CREMER               </t>
  </si>
  <si>
    <t xml:space="preserve">SAB INTIMO NATURAL FRESH 200ML TOPZ     </t>
  </si>
  <si>
    <t xml:space="preserve">SAB INTIMO SUAVE 200ML TOPZ             </t>
  </si>
  <si>
    <t xml:space="preserve">ABS P/SEIOS L30P24UN CREMER             </t>
  </si>
  <si>
    <t xml:space="preserve">ALGODAO BOLAS 95G CREMER                </t>
  </si>
  <si>
    <t xml:space="preserve">COMPRESSA GAZE 25X10 CREMER             </t>
  </si>
  <si>
    <t xml:space="preserve">CUEIRO LUXO MENINA C/1 CREMER           </t>
  </si>
  <si>
    <t xml:space="preserve">CUEIRO LUXO MENINO C/1 CREMER           </t>
  </si>
  <si>
    <t xml:space="preserve">CUEIRO LUXO NEUTRO BR C/1 CREMER        </t>
  </si>
  <si>
    <t xml:space="preserve">CURATIVO PROVA D AGUA C/15 CREMER       </t>
  </si>
  <si>
    <t>ESPARADRAPO PROCITEX IMPERM 10CMX4,5M CR</t>
  </si>
  <si>
    <t xml:space="preserve">ESPARADRAPO SALVELOX 1,2CMX4,5M CREMER  </t>
  </si>
  <si>
    <t xml:space="preserve">ESPARADRAPO SALVELOX 2,5CMX4,5M CREMER  </t>
  </si>
  <si>
    <t xml:space="preserve">ESPARADRAPO SALVELOX 2,5CMX90CM CREMER  </t>
  </si>
  <si>
    <t xml:space="preserve">ESPARADRAPO SALVELOX 5CMX4,5M CREMER    </t>
  </si>
  <si>
    <t xml:space="preserve">FITA AUTOCLAVE 19MMX30M CREMER          </t>
  </si>
  <si>
    <t xml:space="preserve">FITA CIR TRANS 1,2X4,5M CREMER          </t>
  </si>
  <si>
    <t xml:space="preserve">FITA CIR TRANS 2,5X4,5M CREMER          </t>
  </si>
  <si>
    <t xml:space="preserve">FITA CIR TRANS 5X4,5M CREMER            </t>
  </si>
  <si>
    <t xml:space="preserve">FITA CIRURG MICROP 1,2CMX10M CREMER     </t>
  </si>
  <si>
    <t xml:space="preserve">FITA CIRURG MICROP 2,5CMX10M CREMER     </t>
  </si>
  <si>
    <t xml:space="preserve">FITA HOSPITALAR 19MMX50M CREMER         </t>
  </si>
  <si>
    <t>FITA MICRO BEGE SALVELOX 2,5CMX4,5CM CRE</t>
  </si>
  <si>
    <t xml:space="preserve">FITA MICRO SALVELOX 1,2CMX4,5CM CREMER  </t>
  </si>
  <si>
    <t xml:space="preserve">FITA MICRO SALVELOX 2,5CMX4,5CM CREMER  </t>
  </si>
  <si>
    <t xml:space="preserve">FITA MICRO SALVELOX 5CMX4,5CM CREMER    </t>
  </si>
  <si>
    <t xml:space="preserve">HASTE C/150 TOPZ                        </t>
  </si>
  <si>
    <t xml:space="preserve">HASTE C/300 TOPZ                        </t>
  </si>
  <si>
    <t xml:space="preserve">PANO BOCA 35X35 MENINA C/3 CREMER       </t>
  </si>
  <si>
    <t xml:space="preserve">PANO BOCA 35X35 MENINO C/3 CREMER       </t>
  </si>
  <si>
    <t xml:space="preserve">PANO BOCA 35X35 NEUTRO C/3 CREMER       </t>
  </si>
  <si>
    <t xml:space="preserve">PANO DE BOCA C/3 BABY SHARK             </t>
  </si>
  <si>
    <t xml:space="preserve">ALGODAO BOLA 50G TOPZ                   </t>
  </si>
  <si>
    <t xml:space="preserve">ALGODAO BOLA 95G TOPZ                   </t>
  </si>
  <si>
    <t xml:space="preserve">ALGODAO DISCO C/50 TOPZ                 </t>
  </si>
  <si>
    <t xml:space="preserve">ALGODAO HIDROF ROLO 50G TOPZ            </t>
  </si>
  <si>
    <t xml:space="preserve">ALGODAO MULTIUSO ZZ 25G TOPZ            </t>
  </si>
  <si>
    <t xml:space="preserve">ALGODAO MULTIUSO ZZ 50G TOPZ            </t>
  </si>
  <si>
    <t xml:space="preserve">ALGODAO QUADRADO C/50 BABY SHARK CREMER </t>
  </si>
  <si>
    <t xml:space="preserve">ALGODAO ROLO 25G TOPZ                   </t>
  </si>
  <si>
    <t xml:space="preserve">ALGODAO ROLO 500G TOPZ                  </t>
  </si>
  <si>
    <t xml:space="preserve">ANT BUCAL MENTA 500ML TOPZ              </t>
  </si>
  <si>
    <t xml:space="preserve">ANT BUCAL MENTA FORTE 500ML TOPZ        </t>
  </si>
  <si>
    <t xml:space="preserve">ATADURA CREPON 10CM CREMER              </t>
  </si>
  <si>
    <t xml:space="preserve">ATADURA CREPON 12CM CREMER              </t>
  </si>
  <si>
    <t xml:space="preserve">ATADURA CREPON 15CM CREMER              </t>
  </si>
  <si>
    <t xml:space="preserve">ATADURA CREPON 20CM CREMER              </t>
  </si>
  <si>
    <t xml:space="preserve">ATADURA CREPON 30CM C/1 CYSNE           </t>
  </si>
  <si>
    <t xml:space="preserve">ATADURA CREPON 8CM CREMER               </t>
  </si>
  <si>
    <t>BANDAGEM ELASTICA BEGE 7,6CMX4,5M CREMER</t>
  </si>
  <si>
    <t xml:space="preserve">BOLSA TERMICA GEL 400G CREMER           </t>
  </si>
  <si>
    <t xml:space="preserve">COMPRESSA GAZE 11F 7,5CM C/10UN TOPZ    </t>
  </si>
  <si>
    <t xml:space="preserve">COMPRESSA GAZE EST 11F 7,5 C/5 CREMER   </t>
  </si>
  <si>
    <t>COMPRESSA GAZE EST 11F 7,5CM C/10UN TOPZ</t>
  </si>
  <si>
    <t xml:space="preserve">COMPRESSA GAZE EST 11F 7,5CM C/5UN TOPZ </t>
  </si>
  <si>
    <t xml:space="preserve">COMPRESSA GAZE EST 13F 10 C/10 CREMER   </t>
  </si>
  <si>
    <t xml:space="preserve">COMPRESSA GAZE EST 13F 7,5 C/10 CREMER  </t>
  </si>
  <si>
    <t xml:space="preserve">COMPRESSA GAZE EST 13F 7,5 C/5 CREMER   </t>
  </si>
  <si>
    <t>COMPRESSA GAZE EST RX 13F 10 C/10 CREMER</t>
  </si>
  <si>
    <t xml:space="preserve">CURATIVO HIDROC ADVANCED C/24 CREMER    </t>
  </si>
  <si>
    <t xml:space="preserve">ESCOVA KIDS MACIA TOPZ                  </t>
  </si>
  <si>
    <t xml:space="preserve">ESCOVA PLUS MACIA PG3LV1 TOPZ           </t>
  </si>
  <si>
    <t xml:space="preserve">ESCOVA PLUS MACIA TOPZ                  </t>
  </si>
  <si>
    <t xml:space="preserve">ESCOVA PLUS MEDIA TOPZ                  </t>
  </si>
  <si>
    <t xml:space="preserve">ESCOVA PREM MACIA TOPZ                  </t>
  </si>
  <si>
    <t xml:space="preserve">ESCOVA PREM MEDIA TOPZ                  </t>
  </si>
  <si>
    <t xml:space="preserve">ESPARADRAPO TRANSP 10CMX4,5M CREMER     </t>
  </si>
  <si>
    <t xml:space="preserve">FITA PROTETORA P/ PES 2,5CMX3M CREMER   </t>
  </si>
  <si>
    <t xml:space="preserve">FRALDA LUXO BR 70X70cm C/15 CREMER      </t>
  </si>
  <si>
    <t xml:space="preserve">FRALDA LUXO BR C/5 CREMER               </t>
  </si>
  <si>
    <t xml:space="preserve">FRALDA LUXO C/BAINHA C/5 CREMER         </t>
  </si>
  <si>
    <t xml:space="preserve">FRALDA LUXO ESTAMP FEM C/5 CREMER       </t>
  </si>
  <si>
    <t xml:space="preserve">FRALDA LUXO ESTAMP MASC C/5 CREMER      </t>
  </si>
  <si>
    <t xml:space="preserve">FRALDA PINTE BORDE AZ C/5 CREMER        </t>
  </si>
  <si>
    <t xml:space="preserve">FRALDA PINTE BORDE BR C/5 CREMER        </t>
  </si>
  <si>
    <t xml:space="preserve">FRALDA PINTE BORDE RS C/5 CREMER        </t>
  </si>
  <si>
    <t xml:space="preserve">HASTE POTE C/150 MINIONS CREMER         </t>
  </si>
  <si>
    <t xml:space="preserve">HASTE POTE C/150 TOPZ                   </t>
  </si>
  <si>
    <t xml:space="preserve">TOALHA CAPUZ 90x75CM MENINA C/1 CREMER  </t>
  </si>
  <si>
    <t xml:space="preserve">TOALHA CAPUZ 90x75CM MENINO C/1 CREMER  </t>
  </si>
  <si>
    <t xml:space="preserve">TOALHA LUXO BR C/3 CREMER               </t>
  </si>
  <si>
    <t xml:space="preserve">TOALHA LUXO ESTAMP C/1 BABY SHARK       </t>
  </si>
  <si>
    <t xml:space="preserve">TOALHA LUXO ESTAMP FEM C/3 CREMER       </t>
  </si>
  <si>
    <t xml:space="preserve">TOALHA LUXO ESTAMP MASC C/3 CREMER      </t>
  </si>
  <si>
    <t xml:space="preserve">ABS P/ SEIOS C/12 CREMER                </t>
  </si>
  <si>
    <t xml:space="preserve">CURATIVO SALVELOX SHRINK C/10UN TOPZ    </t>
  </si>
  <si>
    <t>HASTES BABY PATRULHA CANINA C/50UND TOPZ</t>
  </si>
  <si>
    <t xml:space="preserve">JOELHE ORIFIC REFORC PRETO P CREMER     </t>
  </si>
  <si>
    <t xml:space="preserve">JOELHE ORIFICIO REFORC G NEO CREMER     </t>
  </si>
  <si>
    <t xml:space="preserve">JOELHEIRA ORIFIC REFOR M NEO C/1 CREMER </t>
  </si>
  <si>
    <t xml:space="preserve">TORNOZELEIRA LONGA PRETO G NEO CREMER   </t>
  </si>
  <si>
    <t>TORNOZELEIRA LONGA PRETO M NEO C/24 CREM</t>
  </si>
  <si>
    <t xml:space="preserve">TORNOZELEIRA LONGA PRETO P NEO CREMER   </t>
  </si>
  <si>
    <t>ICMS</t>
  </si>
  <si>
    <t>IPI</t>
  </si>
  <si>
    <t>PREÇO UN.</t>
  </si>
  <si>
    <t>CX</t>
  </si>
  <si>
    <t>145 Skus</t>
  </si>
  <si>
    <t>OBS</t>
  </si>
  <si>
    <t>DESCONTINUADO</t>
  </si>
  <si>
    <t>ALGODAO FACE LISA 50UN CREMER CX C/24 SACOS</t>
  </si>
  <si>
    <t>PREÇO C/IPI - S/ST</t>
  </si>
  <si>
    <t>AJUSTE QTD CX</t>
  </si>
  <si>
    <t>NOVO COD. CREMR</t>
  </si>
  <si>
    <t>LISTA DE PREÇO - MIX DIMEBRAS /MT-MS  - DATA 01.01.26.</t>
  </si>
  <si>
    <t>REAJUSTE 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</si>
</sst>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" fontId="2" fillId="2" borderId="6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1" fontId="2" fillId="2" borderId="9" xfId="0" applyNumberFormat="1" applyFont="1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1" xfId="0" applyNumberFormat="1" applyFill="1" applyBorder="1"/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9" fontId="0" fillId="3" borderId="3" xfId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EECF-13DA-4913-9212-3EE362B28137}">
  <dimension ref="B1:K145"/>
  <sheetViews>
    <sheetView tabSelected="1" topLeftCell="B57" workbookViewId="0">
      <selection activeCell="I2" sqref="I2"/>
    </sheetView>
  </sheetViews>
  <sheetFormatPr defaultRowHeight="15" x14ac:dyDescent="0.25"/>
  <cols>
    <col min="2" max="2" width="14.140625" style="1" bestFit="1" customWidth="1"/>
    <col min="3" max="3" width="12.42578125" bestFit="1" customWidth="1"/>
    <col min="4" max="4" width="53.140625" bestFit="1" customWidth="1"/>
    <col min="5" max="5" width="12.7109375" customWidth="1"/>
    <col min="6" max="6" width="12" bestFit="1" customWidth="1"/>
    <col min="8" max="9" width="16.5703125" customWidth="1"/>
    <col min="10" max="10" width="10.140625" customWidth="1"/>
    <col min="11" max="11" width="18.28515625" bestFit="1" customWidth="1"/>
  </cols>
  <sheetData>
    <row r="1" spans="2:11" ht="15.75" thickBot="1" x14ac:dyDescent="0.3">
      <c r="B1" s="6" t="s">
        <v>149</v>
      </c>
      <c r="C1" s="7"/>
      <c r="D1" s="8" t="s">
        <v>156</v>
      </c>
      <c r="E1" s="19"/>
    </row>
    <row r="2" spans="2:11" ht="15.75" thickBot="1" x14ac:dyDescent="0.3">
      <c r="B2" s="12" t="s">
        <v>0</v>
      </c>
      <c r="C2" s="13" t="s">
        <v>1</v>
      </c>
      <c r="D2" s="14" t="s">
        <v>2</v>
      </c>
      <c r="E2" s="15" t="s">
        <v>148</v>
      </c>
      <c r="F2" s="15" t="s">
        <v>145</v>
      </c>
      <c r="G2" s="15" t="s">
        <v>146</v>
      </c>
      <c r="H2" s="29" t="s">
        <v>153</v>
      </c>
      <c r="I2" s="29" t="s">
        <v>157</v>
      </c>
      <c r="J2" s="18" t="s">
        <v>147</v>
      </c>
      <c r="K2" s="18" t="s">
        <v>150</v>
      </c>
    </row>
    <row r="3" spans="2:11" x14ac:dyDescent="0.25">
      <c r="B3" s="9">
        <v>7891800002027</v>
      </c>
      <c r="C3" s="10">
        <v>198157</v>
      </c>
      <c r="D3" s="11" t="s">
        <v>3</v>
      </c>
      <c r="E3" s="10">
        <v>24</v>
      </c>
      <c r="F3" s="16">
        <v>7.0000000000000007E-2</v>
      </c>
      <c r="G3" s="10">
        <v>0</v>
      </c>
      <c r="H3" s="35">
        <v>330.32774193548391</v>
      </c>
      <c r="I3" s="44">
        <v>330.33</v>
      </c>
      <c r="J3" s="35">
        <f>I3/E3</f>
        <v>13.76375</v>
      </c>
      <c r="K3" s="39"/>
    </row>
    <row r="4" spans="2:11" x14ac:dyDescent="0.25">
      <c r="B4" s="2">
        <v>7891800002812</v>
      </c>
      <c r="C4" s="4">
        <v>805857</v>
      </c>
      <c r="D4" s="3" t="s">
        <v>4</v>
      </c>
      <c r="E4" s="10">
        <v>120</v>
      </c>
      <c r="F4" s="16">
        <v>7.0000000000000007E-2</v>
      </c>
      <c r="G4" s="4">
        <v>0</v>
      </c>
      <c r="H4" s="35">
        <v>275.09677419354841</v>
      </c>
      <c r="I4" s="44">
        <v>275.10000000000002</v>
      </c>
      <c r="J4" s="35">
        <f>I4/E4</f>
        <v>2.2925</v>
      </c>
      <c r="K4" s="40"/>
    </row>
    <row r="5" spans="2:11" x14ac:dyDescent="0.25">
      <c r="B5" s="2">
        <v>7891800002034</v>
      </c>
      <c r="C5" s="4">
        <v>198164</v>
      </c>
      <c r="D5" s="3" t="s">
        <v>5</v>
      </c>
      <c r="E5" s="10">
        <v>16</v>
      </c>
      <c r="F5" s="16">
        <v>7.0000000000000007E-2</v>
      </c>
      <c r="G5" s="4">
        <v>0</v>
      </c>
      <c r="H5" s="35">
        <v>403.61634408602151</v>
      </c>
      <c r="I5" s="44">
        <v>403.62</v>
      </c>
      <c r="J5" s="35">
        <f>I5/E5</f>
        <v>25.22625</v>
      </c>
      <c r="K5" s="40"/>
    </row>
    <row r="6" spans="2:11" x14ac:dyDescent="0.25">
      <c r="B6" s="2">
        <v>7891800002829</v>
      </c>
      <c r="C6" s="4">
        <v>805543</v>
      </c>
      <c r="D6" s="3" t="s">
        <v>6</v>
      </c>
      <c r="E6" s="10">
        <v>80</v>
      </c>
      <c r="F6" s="16">
        <v>7.0000000000000007E-2</v>
      </c>
      <c r="G6" s="4">
        <v>0</v>
      </c>
      <c r="H6" s="35">
        <v>323.06236559139785</v>
      </c>
      <c r="I6" s="44">
        <v>323.06</v>
      </c>
      <c r="J6" s="35">
        <f>I6/E6</f>
        <v>4.0382499999999997</v>
      </c>
      <c r="K6" s="40" t="s">
        <v>155</v>
      </c>
    </row>
    <row r="7" spans="2:11" s="27" customFormat="1" x14ac:dyDescent="0.25">
      <c r="B7" s="22">
        <v>7891800649314</v>
      </c>
      <c r="C7" s="26">
        <v>649314</v>
      </c>
      <c r="D7" s="23" t="s">
        <v>7</v>
      </c>
      <c r="E7" s="24">
        <v>40</v>
      </c>
      <c r="F7" s="28">
        <v>7.0000000000000007E-2</v>
      </c>
      <c r="G7" s="26">
        <v>0</v>
      </c>
      <c r="H7" s="36">
        <v>145.66021505376344</v>
      </c>
      <c r="I7" s="44">
        <v>145.66</v>
      </c>
      <c r="J7" s="35">
        <f>I7/E7</f>
        <v>3.6414999999999997</v>
      </c>
      <c r="K7" s="41"/>
    </row>
    <row r="8" spans="2:11" x14ac:dyDescent="0.25">
      <c r="B8" s="2">
        <v>7891800627985</v>
      </c>
      <c r="C8" s="4">
        <v>627985</v>
      </c>
      <c r="D8" s="3" t="s">
        <v>8</v>
      </c>
      <c r="E8" s="10">
        <v>24</v>
      </c>
      <c r="F8" s="16">
        <v>7.0000000000000007E-2</v>
      </c>
      <c r="G8" s="4">
        <v>0</v>
      </c>
      <c r="H8" s="35">
        <v>257.10967741935485</v>
      </c>
      <c r="I8" s="35">
        <v>257.10967741935485</v>
      </c>
      <c r="J8" s="35">
        <f>I8/E8</f>
        <v>10.712903225806452</v>
      </c>
      <c r="K8" s="40"/>
    </row>
    <row r="9" spans="2:11" x14ac:dyDescent="0.25">
      <c r="B9" s="2">
        <v>7891800000665</v>
      </c>
      <c r="C9" s="4">
        <v>806113</v>
      </c>
      <c r="D9" s="3" t="s">
        <v>9</v>
      </c>
      <c r="E9" s="10">
        <v>84</v>
      </c>
      <c r="F9" s="16">
        <v>7.0000000000000007E-2</v>
      </c>
      <c r="G9" s="4">
        <v>0</v>
      </c>
      <c r="H9" s="46">
        <v>175.53</v>
      </c>
      <c r="I9" s="46">
        <v>175.53</v>
      </c>
      <c r="J9" s="35">
        <f>I9/E9</f>
        <v>2.0896428571428571</v>
      </c>
      <c r="K9" s="40" t="s">
        <v>154</v>
      </c>
    </row>
    <row r="10" spans="2:11" x14ac:dyDescent="0.25">
      <c r="B10" s="2">
        <v>7891800000672</v>
      </c>
      <c r="C10" s="4">
        <v>806120</v>
      </c>
      <c r="D10" s="3" t="s">
        <v>10</v>
      </c>
      <c r="E10" s="10">
        <v>84</v>
      </c>
      <c r="F10" s="16">
        <v>7.0000000000000007E-2</v>
      </c>
      <c r="G10" s="4">
        <v>0</v>
      </c>
      <c r="H10" s="46">
        <v>208.86</v>
      </c>
      <c r="I10" s="46">
        <v>208.86</v>
      </c>
      <c r="J10" s="35">
        <f>I10/E10</f>
        <v>2.4864285714285717</v>
      </c>
      <c r="K10" s="40" t="s">
        <v>154</v>
      </c>
    </row>
    <row r="11" spans="2:11" x14ac:dyDescent="0.25">
      <c r="B11" s="2">
        <v>7891800000689</v>
      </c>
      <c r="C11" s="4">
        <v>661958</v>
      </c>
      <c r="D11" s="3" t="s">
        <v>11</v>
      </c>
      <c r="E11" s="10">
        <v>72</v>
      </c>
      <c r="F11" s="16">
        <v>7.0000000000000007E-2</v>
      </c>
      <c r="G11" s="4">
        <v>0</v>
      </c>
      <c r="H11" s="35">
        <v>221.55870967741939</v>
      </c>
      <c r="I11" s="35">
        <v>221.55870967741939</v>
      </c>
      <c r="J11" s="35">
        <f>I11/E11</f>
        <v>3.0772043010752692</v>
      </c>
      <c r="K11" s="40"/>
    </row>
    <row r="12" spans="2:11" x14ac:dyDescent="0.25">
      <c r="B12" s="2">
        <v>7891800000696</v>
      </c>
      <c r="C12" s="4">
        <v>198508</v>
      </c>
      <c r="D12" s="3" t="s">
        <v>12</v>
      </c>
      <c r="E12" s="10">
        <v>72</v>
      </c>
      <c r="F12" s="16">
        <v>7.0000000000000007E-2</v>
      </c>
      <c r="G12" s="4">
        <v>0</v>
      </c>
      <c r="H12" s="35">
        <v>289.48645161290324</v>
      </c>
      <c r="I12" s="35">
        <v>289.48645161290324</v>
      </c>
      <c r="J12" s="35">
        <f>I12/E12</f>
        <v>4.0206451612903225</v>
      </c>
      <c r="K12" s="40"/>
    </row>
    <row r="13" spans="2:11" x14ac:dyDescent="0.25">
      <c r="B13" s="2">
        <v>7891800000658</v>
      </c>
      <c r="C13" s="4">
        <v>664218</v>
      </c>
      <c r="D13" s="3" t="s">
        <v>13</v>
      </c>
      <c r="E13" s="10">
        <v>72</v>
      </c>
      <c r="F13" s="16">
        <v>7.0000000000000007E-2</v>
      </c>
      <c r="G13" s="4">
        <v>0</v>
      </c>
      <c r="H13" s="35">
        <v>125.06322580645163</v>
      </c>
      <c r="I13" s="35">
        <v>125.06322580645163</v>
      </c>
      <c r="J13" s="35">
        <f>I13/E13</f>
        <v>1.7369892473118282</v>
      </c>
      <c r="K13" s="40"/>
    </row>
    <row r="14" spans="2:11" x14ac:dyDescent="0.25">
      <c r="B14" s="2">
        <v>7891800000702</v>
      </c>
      <c r="C14" s="4">
        <v>806151</v>
      </c>
      <c r="D14" s="3" t="s">
        <v>14</v>
      </c>
      <c r="E14" s="10">
        <v>96</v>
      </c>
      <c r="F14" s="16">
        <v>7.0000000000000007E-2</v>
      </c>
      <c r="G14" s="4">
        <v>0</v>
      </c>
      <c r="H14" s="35">
        <v>486.71</v>
      </c>
      <c r="I14" s="35">
        <v>486.71</v>
      </c>
      <c r="J14" s="35">
        <f>I14/E14</f>
        <v>5.0698958333333328</v>
      </c>
      <c r="K14" s="40"/>
    </row>
    <row r="15" spans="2:11" x14ac:dyDescent="0.25">
      <c r="B15" s="2">
        <v>7891800000641</v>
      </c>
      <c r="C15" s="4">
        <v>664201</v>
      </c>
      <c r="D15" s="3" t="s">
        <v>15</v>
      </c>
      <c r="E15" s="10">
        <v>72</v>
      </c>
      <c r="F15" s="16">
        <v>7.0000000000000007E-2</v>
      </c>
      <c r="G15" s="4">
        <v>0</v>
      </c>
      <c r="H15" s="35">
        <v>97.765161290322581</v>
      </c>
      <c r="I15" s="35">
        <v>97.765161290322581</v>
      </c>
      <c r="J15" s="35">
        <f>I15/E15</f>
        <v>1.3578494623655915</v>
      </c>
      <c r="K15" s="40"/>
    </row>
    <row r="16" spans="2:11" x14ac:dyDescent="0.25">
      <c r="B16" s="2">
        <v>7891800216363</v>
      </c>
      <c r="C16" s="4">
        <v>216080</v>
      </c>
      <c r="D16" s="3" t="s">
        <v>16</v>
      </c>
      <c r="E16" s="10">
        <v>20</v>
      </c>
      <c r="F16" s="16">
        <v>0.04</v>
      </c>
      <c r="G16" s="4">
        <v>0</v>
      </c>
      <c r="H16" s="46">
        <v>45.26</v>
      </c>
      <c r="I16" s="46">
        <v>45.26</v>
      </c>
      <c r="J16" s="35">
        <f>I16/E16</f>
        <v>2.2629999999999999</v>
      </c>
      <c r="K16" s="40"/>
    </row>
    <row r="17" spans="2:11" x14ac:dyDescent="0.25">
      <c r="B17" s="2">
        <v>7891800216387</v>
      </c>
      <c r="C17" s="4">
        <v>214352</v>
      </c>
      <c r="D17" s="3" t="s">
        <v>17</v>
      </c>
      <c r="E17" s="10">
        <v>20</v>
      </c>
      <c r="F17" s="16">
        <v>7.0000000000000007E-2</v>
      </c>
      <c r="G17" s="4">
        <v>0</v>
      </c>
      <c r="H17" s="35">
        <v>60.84</v>
      </c>
      <c r="I17" s="35">
        <v>60.84</v>
      </c>
      <c r="J17" s="35">
        <f>I17/E17</f>
        <v>3.0420000000000003</v>
      </c>
      <c r="K17" s="40"/>
    </row>
    <row r="18" spans="2:11" x14ac:dyDescent="0.25">
      <c r="B18" s="2">
        <v>7891800216394</v>
      </c>
      <c r="C18" s="4">
        <v>216097</v>
      </c>
      <c r="D18" s="3" t="s">
        <v>18</v>
      </c>
      <c r="E18" s="10">
        <v>20</v>
      </c>
      <c r="F18" s="16">
        <v>7.0000000000000007E-2</v>
      </c>
      <c r="G18" s="4">
        <v>0</v>
      </c>
      <c r="H18" s="35">
        <v>100.86</v>
      </c>
      <c r="I18" s="35">
        <v>100.86</v>
      </c>
      <c r="J18" s="35">
        <f>I18/E18</f>
        <v>5.0430000000000001</v>
      </c>
      <c r="K18" s="40"/>
    </row>
    <row r="19" spans="2:11" x14ac:dyDescent="0.25">
      <c r="B19" s="2">
        <v>7896004814162</v>
      </c>
      <c r="C19" s="4">
        <v>410082</v>
      </c>
      <c r="D19" s="3" t="s">
        <v>19</v>
      </c>
      <c r="E19" s="10">
        <v>60</v>
      </c>
      <c r="F19" s="16">
        <v>7.0000000000000007E-2</v>
      </c>
      <c r="G19" s="4">
        <v>0</v>
      </c>
      <c r="H19" s="35">
        <v>114.8</v>
      </c>
      <c r="I19" s="35">
        <v>114.8</v>
      </c>
      <c r="J19" s="35">
        <f>I19/E19</f>
        <v>1.9133333333333333</v>
      </c>
      <c r="K19" s="40"/>
    </row>
    <row r="20" spans="2:11" x14ac:dyDescent="0.25">
      <c r="B20" s="2">
        <v>7891800631814</v>
      </c>
      <c r="C20" s="4">
        <v>631814</v>
      </c>
      <c r="D20" s="3" t="s">
        <v>20</v>
      </c>
      <c r="E20" s="10">
        <v>80</v>
      </c>
      <c r="F20" s="16">
        <v>7.0000000000000007E-2</v>
      </c>
      <c r="G20" s="4">
        <v>0</v>
      </c>
      <c r="H20" s="35">
        <v>39.50107526881721</v>
      </c>
      <c r="I20" s="35">
        <v>39.50107526881721</v>
      </c>
      <c r="J20" s="35">
        <f>I20/E20</f>
        <v>0.49376344086021512</v>
      </c>
      <c r="K20" s="40"/>
    </row>
    <row r="21" spans="2:11" x14ac:dyDescent="0.25">
      <c r="B21" s="2">
        <v>7891800197549</v>
      </c>
      <c r="C21" s="4">
        <v>194586</v>
      </c>
      <c r="D21" s="3" t="s">
        <v>21</v>
      </c>
      <c r="E21" s="10">
        <v>240</v>
      </c>
      <c r="F21" s="16">
        <v>7.0000000000000007E-2</v>
      </c>
      <c r="G21" s="4">
        <v>0</v>
      </c>
      <c r="H21" s="35">
        <v>389.36774193548393</v>
      </c>
      <c r="I21" s="35">
        <v>389.36774193548393</v>
      </c>
      <c r="J21" s="35">
        <f>I21/E21</f>
        <v>1.6223655913978496</v>
      </c>
      <c r="K21" s="40"/>
    </row>
    <row r="22" spans="2:11" x14ac:dyDescent="0.25">
      <c r="B22" s="2">
        <v>7891800001426</v>
      </c>
      <c r="C22" s="21">
        <v>664317</v>
      </c>
      <c r="D22" s="3" t="s">
        <v>22</v>
      </c>
      <c r="E22" s="10">
        <v>12</v>
      </c>
      <c r="F22" s="16">
        <v>7.0000000000000007E-2</v>
      </c>
      <c r="G22" s="4">
        <v>0</v>
      </c>
      <c r="H22" s="35">
        <v>475.91741935483878</v>
      </c>
      <c r="I22" s="35">
        <v>475.91741935483878</v>
      </c>
      <c r="J22" s="35">
        <f>I22/E22</f>
        <v>39.659784946236563</v>
      </c>
      <c r="K22" s="40"/>
    </row>
    <row r="23" spans="2:11" x14ac:dyDescent="0.25">
      <c r="B23" s="2">
        <v>7891800203608</v>
      </c>
      <c r="C23" s="4">
        <v>198652</v>
      </c>
      <c r="D23" s="3" t="s">
        <v>23</v>
      </c>
      <c r="E23" s="10">
        <v>80</v>
      </c>
      <c r="F23" s="16">
        <v>7.0000000000000007E-2</v>
      </c>
      <c r="G23" s="4">
        <v>0</v>
      </c>
      <c r="H23" s="35">
        <v>66.305376344086014</v>
      </c>
      <c r="I23" s="35">
        <v>66.305376344086014</v>
      </c>
      <c r="J23" s="35">
        <f>I23/E23</f>
        <v>0.82881720430107519</v>
      </c>
      <c r="K23" s="40"/>
    </row>
    <row r="24" spans="2:11" x14ac:dyDescent="0.25">
      <c r="B24" s="2">
        <v>7891800341935</v>
      </c>
      <c r="C24" s="4">
        <v>342338</v>
      </c>
      <c r="D24" s="3" t="s">
        <v>24</v>
      </c>
      <c r="E24" s="10">
        <v>32</v>
      </c>
      <c r="F24" s="16">
        <v>7.0000000000000007E-2</v>
      </c>
      <c r="G24" s="4">
        <v>0</v>
      </c>
      <c r="H24" s="35">
        <v>204.55913978494627</v>
      </c>
      <c r="I24" s="35">
        <v>204.55913978494627</v>
      </c>
      <c r="J24" s="35">
        <f>I24/E24</f>
        <v>6.3924731182795709</v>
      </c>
      <c r="K24" s="40"/>
    </row>
    <row r="25" spans="2:11" x14ac:dyDescent="0.25">
      <c r="B25" s="2">
        <v>7891800342000</v>
      </c>
      <c r="C25" s="4">
        <v>342291</v>
      </c>
      <c r="D25" s="3" t="s">
        <v>25</v>
      </c>
      <c r="E25" s="10">
        <v>110</v>
      </c>
      <c r="F25" s="16">
        <v>7.0000000000000007E-2</v>
      </c>
      <c r="G25" s="4">
        <v>0</v>
      </c>
      <c r="H25" s="35">
        <v>274.47956989247314</v>
      </c>
      <c r="I25" s="35">
        <v>274.47956989247314</v>
      </c>
      <c r="J25" s="35">
        <f>I25/E25</f>
        <v>2.4952688172043014</v>
      </c>
      <c r="K25" s="40"/>
    </row>
    <row r="26" spans="2:11" x14ac:dyDescent="0.25">
      <c r="B26" s="2">
        <v>7891800540406</v>
      </c>
      <c r="C26" s="4">
        <v>540406</v>
      </c>
      <c r="D26" s="3" t="s">
        <v>26</v>
      </c>
      <c r="E26" s="10">
        <v>110</v>
      </c>
      <c r="F26" s="17">
        <v>0.04</v>
      </c>
      <c r="G26" s="4">
        <v>0</v>
      </c>
      <c r="H26" s="46">
        <v>329.79</v>
      </c>
      <c r="I26" s="46">
        <v>329.79</v>
      </c>
      <c r="J26" s="35">
        <f>I26/E26</f>
        <v>2.9980909090909091</v>
      </c>
      <c r="K26" s="40"/>
    </row>
    <row r="27" spans="2:11" x14ac:dyDescent="0.25">
      <c r="B27" s="2">
        <v>7891800540413</v>
      </c>
      <c r="C27" s="4">
        <v>540413</v>
      </c>
      <c r="D27" s="3" t="s">
        <v>27</v>
      </c>
      <c r="E27" s="10">
        <v>32</v>
      </c>
      <c r="F27" s="17">
        <v>7.0000000000000007E-2</v>
      </c>
      <c r="G27" s="4">
        <v>0</v>
      </c>
      <c r="H27" s="35">
        <v>195.53032258064516</v>
      </c>
      <c r="I27" s="35">
        <v>195.53032258064516</v>
      </c>
      <c r="J27" s="35">
        <f>I27/E27</f>
        <v>6.1103225806451613</v>
      </c>
      <c r="K27" s="40"/>
    </row>
    <row r="28" spans="2:11" x14ac:dyDescent="0.25">
      <c r="B28" s="2">
        <v>7896004816678</v>
      </c>
      <c r="C28" s="4">
        <v>410532</v>
      </c>
      <c r="D28" s="3" t="s">
        <v>28</v>
      </c>
      <c r="E28" s="10">
        <v>96</v>
      </c>
      <c r="F28" s="17">
        <v>7.0000000000000007E-2</v>
      </c>
      <c r="G28" s="4">
        <v>0</v>
      </c>
      <c r="H28" s="35">
        <v>195.53032258064516</v>
      </c>
      <c r="I28" s="35">
        <v>195.53032258064516</v>
      </c>
      <c r="J28" s="35">
        <f>I28/E28</f>
        <v>2.036774193548387</v>
      </c>
      <c r="K28" s="40"/>
    </row>
    <row r="29" spans="2:11" x14ac:dyDescent="0.25">
      <c r="B29" s="2">
        <v>7896004816661</v>
      </c>
      <c r="C29" s="4">
        <v>410549</v>
      </c>
      <c r="D29" s="3" t="s">
        <v>29</v>
      </c>
      <c r="E29" s="10">
        <v>48</v>
      </c>
      <c r="F29" s="17">
        <v>0.04</v>
      </c>
      <c r="G29" s="4">
        <v>0</v>
      </c>
      <c r="H29" s="35">
        <v>250.92</v>
      </c>
      <c r="I29" s="35">
        <v>250.92</v>
      </c>
      <c r="J29" s="35">
        <f>I29/E29</f>
        <v>5.2275</v>
      </c>
      <c r="K29" s="40"/>
    </row>
    <row r="30" spans="2:11" x14ac:dyDescent="0.25">
      <c r="B30" s="2">
        <v>7896004817613</v>
      </c>
      <c r="C30" s="4">
        <v>410587</v>
      </c>
      <c r="D30" s="3" t="s">
        <v>30</v>
      </c>
      <c r="E30" s="10">
        <v>48</v>
      </c>
      <c r="F30" s="17">
        <v>0.04</v>
      </c>
      <c r="G30" s="4">
        <v>0</v>
      </c>
      <c r="H30" s="35">
        <v>246.41</v>
      </c>
      <c r="I30" s="35">
        <v>246.41</v>
      </c>
      <c r="J30" s="35">
        <f>I30/E30</f>
        <v>5.1335416666666669</v>
      </c>
      <c r="K30" s="40"/>
    </row>
    <row r="31" spans="2:11" x14ac:dyDescent="0.25">
      <c r="B31" s="2">
        <v>7891800341997</v>
      </c>
      <c r="C31" s="4">
        <v>342307</v>
      </c>
      <c r="D31" s="3" t="s">
        <v>31</v>
      </c>
      <c r="E31" s="10">
        <v>110</v>
      </c>
      <c r="F31" s="17">
        <v>7.0000000000000007E-2</v>
      </c>
      <c r="G31" s="4">
        <v>0</v>
      </c>
      <c r="H31" s="35">
        <v>274.47956989247314</v>
      </c>
      <c r="I31" s="35">
        <v>274.47956989247314</v>
      </c>
      <c r="J31" s="35">
        <f>I31/E31</f>
        <v>2.4952688172043014</v>
      </c>
      <c r="K31" s="40"/>
    </row>
    <row r="32" spans="2:11" x14ac:dyDescent="0.25">
      <c r="B32" s="2">
        <v>7891800341942</v>
      </c>
      <c r="C32" s="4">
        <v>342321</v>
      </c>
      <c r="D32" s="3" t="s">
        <v>32</v>
      </c>
      <c r="E32" s="10">
        <v>32</v>
      </c>
      <c r="F32" s="17">
        <v>7.0000000000000007E-2</v>
      </c>
      <c r="G32" s="4">
        <v>0</v>
      </c>
      <c r="H32" s="35">
        <v>204.55913978494627</v>
      </c>
      <c r="I32" s="35">
        <v>204.55913978494627</v>
      </c>
      <c r="J32" s="35">
        <f>I32/E32</f>
        <v>6.3924731182795709</v>
      </c>
      <c r="K32" s="40"/>
    </row>
    <row r="33" spans="2:11" x14ac:dyDescent="0.25">
      <c r="B33" s="2">
        <v>7891800341966</v>
      </c>
      <c r="C33" s="4">
        <v>342352</v>
      </c>
      <c r="D33" s="3" t="s">
        <v>33</v>
      </c>
      <c r="E33" s="10">
        <v>88</v>
      </c>
      <c r="F33" s="17">
        <v>7.0000000000000007E-2</v>
      </c>
      <c r="G33" s="4">
        <v>0</v>
      </c>
      <c r="H33" s="35">
        <v>260.70709677419359</v>
      </c>
      <c r="I33" s="35">
        <v>260.70709677419359</v>
      </c>
      <c r="J33" s="35">
        <f>I33/E33</f>
        <v>2.9625806451612906</v>
      </c>
      <c r="K33" s="40"/>
    </row>
    <row r="34" spans="2:11" s="47" customFormat="1" x14ac:dyDescent="0.25">
      <c r="B34" s="30">
        <v>7891800276527</v>
      </c>
      <c r="C34" s="48">
        <v>662993</v>
      </c>
      <c r="D34" s="32" t="s">
        <v>34</v>
      </c>
      <c r="E34" s="33">
        <v>72</v>
      </c>
      <c r="F34" s="34">
        <v>7.0000000000000007E-2</v>
      </c>
      <c r="G34" s="31">
        <v>0</v>
      </c>
      <c r="H34" s="37" t="e">
        <v>#N/A</v>
      </c>
      <c r="I34" s="45" t="e">
        <f t="shared" ref="I10:I65" si="0">H34/0.92</f>
        <v>#N/A</v>
      </c>
      <c r="J34" s="37" t="e">
        <f>I34/E34</f>
        <v>#N/A</v>
      </c>
      <c r="K34" s="42" t="s">
        <v>151</v>
      </c>
    </row>
    <row r="35" spans="2:11" x14ac:dyDescent="0.25">
      <c r="B35" s="2">
        <v>7891800364798</v>
      </c>
      <c r="C35" s="4">
        <v>801996</v>
      </c>
      <c r="D35" s="3" t="s">
        <v>35</v>
      </c>
      <c r="E35" s="10">
        <v>72</v>
      </c>
      <c r="F35" s="17">
        <v>7.0000000000000007E-2</v>
      </c>
      <c r="G35" s="4">
        <v>0</v>
      </c>
      <c r="H35" s="35">
        <v>245.68258064516132</v>
      </c>
      <c r="I35" s="35">
        <v>245.68258064516132</v>
      </c>
      <c r="J35" s="35">
        <f>I35/E35</f>
        <v>3.4122580645161293</v>
      </c>
      <c r="K35" s="40" t="s">
        <v>155</v>
      </c>
    </row>
    <row r="36" spans="2:11" x14ac:dyDescent="0.25">
      <c r="B36" s="2">
        <v>7891800276534</v>
      </c>
      <c r="C36" s="4">
        <v>802016</v>
      </c>
      <c r="D36" s="3" t="s">
        <v>36</v>
      </c>
      <c r="E36" s="10">
        <v>24</v>
      </c>
      <c r="F36" s="17">
        <v>7.0000000000000007E-2</v>
      </c>
      <c r="G36" s="4">
        <v>0</v>
      </c>
      <c r="H36" s="35">
        <v>431.47870967741943</v>
      </c>
      <c r="I36" s="35">
        <v>431.47870967741943</v>
      </c>
      <c r="J36" s="35">
        <f>I36/E36</f>
        <v>17.978279569892475</v>
      </c>
      <c r="K36" s="40"/>
    </row>
    <row r="37" spans="2:11" x14ac:dyDescent="0.25">
      <c r="B37" s="2">
        <v>7891800364781</v>
      </c>
      <c r="C37" s="4">
        <v>801842</v>
      </c>
      <c r="D37" s="3" t="s">
        <v>37</v>
      </c>
      <c r="E37" s="10">
        <v>96</v>
      </c>
      <c r="F37" s="17">
        <v>7.0000000000000007E-2</v>
      </c>
      <c r="G37" s="4">
        <v>0</v>
      </c>
      <c r="H37" s="35">
        <v>209.92000000000002</v>
      </c>
      <c r="I37" s="35">
        <v>209.92000000000002</v>
      </c>
      <c r="J37" s="35">
        <f>I37/E37</f>
        <v>2.186666666666667</v>
      </c>
      <c r="K37" s="40" t="s">
        <v>155</v>
      </c>
    </row>
    <row r="38" spans="2:11" x14ac:dyDescent="0.25">
      <c r="B38" s="2">
        <v>7891800364804</v>
      </c>
      <c r="C38" s="4">
        <v>802009</v>
      </c>
      <c r="D38" s="3" t="s">
        <v>38</v>
      </c>
      <c r="E38" s="10">
        <v>48</v>
      </c>
      <c r="F38" s="17">
        <v>7.0000000000000007E-2</v>
      </c>
      <c r="G38" s="4">
        <v>0</v>
      </c>
      <c r="H38" s="35">
        <v>283.98451612903227</v>
      </c>
      <c r="I38" s="35">
        <v>283.98451612903227</v>
      </c>
      <c r="J38" s="35">
        <f>I38/E38</f>
        <v>5.916344086021506</v>
      </c>
      <c r="K38" s="40" t="s">
        <v>155</v>
      </c>
    </row>
    <row r="39" spans="2:11" x14ac:dyDescent="0.25">
      <c r="B39" s="2">
        <v>7891800364873</v>
      </c>
      <c r="C39" s="4">
        <v>662146</v>
      </c>
      <c r="D39" s="3" t="s">
        <v>39</v>
      </c>
      <c r="E39" s="10">
        <v>72</v>
      </c>
      <c r="F39" s="17">
        <v>0.04</v>
      </c>
      <c r="G39" s="4">
        <v>0</v>
      </c>
      <c r="H39" s="46">
        <v>263.83999999999997</v>
      </c>
      <c r="I39" s="46">
        <v>263.83999999999997</v>
      </c>
      <c r="J39" s="35">
        <f>I39/E39</f>
        <v>3.6644444444444439</v>
      </c>
      <c r="K39" s="40"/>
    </row>
    <row r="40" spans="2:11" x14ac:dyDescent="0.25">
      <c r="B40" s="2">
        <v>7891800364958</v>
      </c>
      <c r="C40" s="4">
        <v>665017</v>
      </c>
      <c r="D40" s="3" t="s">
        <v>40</v>
      </c>
      <c r="E40" s="10">
        <v>72</v>
      </c>
      <c r="F40" s="17">
        <v>7.0000000000000007E-2</v>
      </c>
      <c r="G40" s="4">
        <v>0</v>
      </c>
      <c r="H40" s="35">
        <v>272.34580645161293</v>
      </c>
      <c r="I40" s="35">
        <v>272.34580645161293</v>
      </c>
      <c r="J40" s="35">
        <f>I40/E40</f>
        <v>3.7825806451612909</v>
      </c>
      <c r="K40" s="40"/>
    </row>
    <row r="41" spans="2:11" x14ac:dyDescent="0.25">
      <c r="B41" s="2">
        <v>7891800231106</v>
      </c>
      <c r="C41" s="20">
        <v>665444</v>
      </c>
      <c r="D41" s="3" t="s">
        <v>41</v>
      </c>
      <c r="E41" s="10">
        <v>12</v>
      </c>
      <c r="F41" s="17">
        <v>7.0000000000000007E-2</v>
      </c>
      <c r="G41" s="4">
        <v>0</v>
      </c>
      <c r="H41" s="35">
        <v>233.19741935483876</v>
      </c>
      <c r="I41" s="35">
        <v>233.19741935483876</v>
      </c>
      <c r="J41" s="35">
        <f>I41/E41</f>
        <v>19.433118279569896</v>
      </c>
      <c r="K41" s="40"/>
    </row>
    <row r="42" spans="2:11" x14ac:dyDescent="0.25">
      <c r="B42" s="2">
        <v>7891800364965</v>
      </c>
      <c r="C42" s="4">
        <v>665024</v>
      </c>
      <c r="D42" s="3" t="s">
        <v>42</v>
      </c>
      <c r="E42" s="10">
        <v>48</v>
      </c>
      <c r="F42" s="17">
        <v>0.04</v>
      </c>
      <c r="G42" s="4">
        <v>0</v>
      </c>
      <c r="H42" s="46">
        <v>305.45</v>
      </c>
      <c r="I42" s="46">
        <v>305.45</v>
      </c>
      <c r="J42" s="35">
        <f>I42/E42</f>
        <v>6.3635416666666664</v>
      </c>
      <c r="K42" s="40"/>
    </row>
    <row r="43" spans="2:11" x14ac:dyDescent="0.25">
      <c r="B43" s="2">
        <v>7891800231083</v>
      </c>
      <c r="C43" s="20">
        <v>665437</v>
      </c>
      <c r="D43" s="3" t="s">
        <v>43</v>
      </c>
      <c r="E43" s="10">
        <v>24</v>
      </c>
      <c r="F43" s="17">
        <v>7.0000000000000007E-2</v>
      </c>
      <c r="G43" s="4">
        <v>0</v>
      </c>
      <c r="H43" s="35">
        <v>263.24645161290329</v>
      </c>
      <c r="I43" s="35">
        <v>263.24645161290329</v>
      </c>
      <c r="J43" s="35">
        <f>I43/E43</f>
        <v>10.968602150537636</v>
      </c>
      <c r="K43" s="40"/>
    </row>
    <row r="44" spans="2:11" x14ac:dyDescent="0.25">
      <c r="B44" s="2">
        <v>7891800202199</v>
      </c>
      <c r="C44" s="20">
        <v>662122</v>
      </c>
      <c r="D44" s="3" t="s">
        <v>44</v>
      </c>
      <c r="E44" s="10">
        <v>24</v>
      </c>
      <c r="F44" s="17">
        <v>0.04</v>
      </c>
      <c r="G44" s="4">
        <v>0</v>
      </c>
      <c r="H44" s="46">
        <v>451.82</v>
      </c>
      <c r="I44" s="46">
        <v>451.82</v>
      </c>
      <c r="J44" s="35">
        <f>I44/E44</f>
        <v>18.825833333333332</v>
      </c>
      <c r="K44" s="40"/>
    </row>
    <row r="45" spans="2:11" x14ac:dyDescent="0.25">
      <c r="B45" s="2">
        <v>7891800364866</v>
      </c>
      <c r="C45" s="4">
        <v>666090</v>
      </c>
      <c r="D45" s="3" t="s">
        <v>45</v>
      </c>
      <c r="E45" s="10">
        <v>96</v>
      </c>
      <c r="F45" s="17">
        <v>7.0000000000000007E-2</v>
      </c>
      <c r="G45" s="4">
        <v>0</v>
      </c>
      <c r="H45" s="35">
        <v>264.93935483870973</v>
      </c>
      <c r="I45" s="35">
        <v>264.93935483870973</v>
      </c>
      <c r="J45" s="35">
        <f>I45/E45</f>
        <v>2.7597849462365596</v>
      </c>
      <c r="K45" s="40"/>
    </row>
    <row r="46" spans="2:11" x14ac:dyDescent="0.25">
      <c r="B46" s="2">
        <v>7891800364880</v>
      </c>
      <c r="C46" s="20">
        <v>662153</v>
      </c>
      <c r="D46" s="3" t="s">
        <v>46</v>
      </c>
      <c r="E46" s="10">
        <v>48</v>
      </c>
      <c r="F46" s="17">
        <v>0.04</v>
      </c>
      <c r="G46" s="4">
        <v>0</v>
      </c>
      <c r="H46" s="46">
        <v>305.45</v>
      </c>
      <c r="I46" s="46">
        <v>305.45</v>
      </c>
      <c r="J46" s="35">
        <f>I46/E46</f>
        <v>6.3635416666666664</v>
      </c>
      <c r="K46" s="40"/>
    </row>
    <row r="47" spans="2:11" x14ac:dyDescent="0.25">
      <c r="B47" s="2">
        <v>7891800001747</v>
      </c>
      <c r="C47" s="20">
        <v>662139</v>
      </c>
      <c r="D47" s="3" t="s">
        <v>47</v>
      </c>
      <c r="E47" s="10">
        <v>36</v>
      </c>
      <c r="F47" s="17">
        <v>0.04</v>
      </c>
      <c r="G47" s="4">
        <v>0</v>
      </c>
      <c r="H47" s="46">
        <v>382.53</v>
      </c>
      <c r="I47" s="46">
        <v>382.53</v>
      </c>
      <c r="J47" s="35">
        <f>I47/E47</f>
        <v>10.625833333333333</v>
      </c>
      <c r="K47" s="40"/>
    </row>
    <row r="48" spans="2:11" x14ac:dyDescent="0.25">
      <c r="B48" s="2">
        <v>7891800346053</v>
      </c>
      <c r="C48" s="4">
        <v>346053</v>
      </c>
      <c r="D48" s="3" t="s">
        <v>48</v>
      </c>
      <c r="E48" s="10">
        <v>20</v>
      </c>
      <c r="F48" s="17">
        <v>7.0000000000000007E-2</v>
      </c>
      <c r="G48" s="5">
        <v>3.2501250000000002E-2</v>
      </c>
      <c r="H48" s="35">
        <v>50.61</v>
      </c>
      <c r="I48" s="35">
        <v>50.61</v>
      </c>
      <c r="J48" s="35">
        <f>I48/E48</f>
        <v>2.5305</v>
      </c>
      <c r="K48" s="40"/>
    </row>
    <row r="49" spans="2:11" x14ac:dyDescent="0.25">
      <c r="B49" s="2">
        <v>7891800346022</v>
      </c>
      <c r="C49" s="4">
        <v>346022</v>
      </c>
      <c r="D49" s="3" t="s">
        <v>49</v>
      </c>
      <c r="E49" s="10">
        <v>20</v>
      </c>
      <c r="F49" s="17">
        <v>7.0000000000000007E-2</v>
      </c>
      <c r="G49" s="5">
        <v>3.2501250000000002E-2</v>
      </c>
      <c r="H49" s="35">
        <v>50.61</v>
      </c>
      <c r="I49" s="35">
        <v>50.61</v>
      </c>
      <c r="J49" s="35">
        <f>I49/E49</f>
        <v>2.5305</v>
      </c>
      <c r="K49" s="40"/>
    </row>
    <row r="50" spans="2:11" x14ac:dyDescent="0.25">
      <c r="B50" s="2">
        <v>7891800346046</v>
      </c>
      <c r="C50" s="4">
        <v>346046</v>
      </c>
      <c r="D50" s="3" t="s">
        <v>50</v>
      </c>
      <c r="E50" s="10">
        <v>20</v>
      </c>
      <c r="F50" s="17">
        <v>7.0000000000000007E-2</v>
      </c>
      <c r="G50" s="5">
        <v>3.2501250000000002E-2</v>
      </c>
      <c r="H50" s="35">
        <v>50.61</v>
      </c>
      <c r="I50" s="35">
        <v>50.61</v>
      </c>
      <c r="J50" s="35">
        <f>I50/E50</f>
        <v>2.5305</v>
      </c>
      <c r="K50" s="40"/>
    </row>
    <row r="51" spans="2:11" x14ac:dyDescent="0.25">
      <c r="B51" s="2">
        <v>7891800350142</v>
      </c>
      <c r="C51" s="4">
        <v>350142</v>
      </c>
      <c r="D51" s="3" t="s">
        <v>51</v>
      </c>
      <c r="E51" s="10">
        <v>72</v>
      </c>
      <c r="F51" s="17">
        <v>7.0000000000000007E-2</v>
      </c>
      <c r="G51" s="4">
        <v>0</v>
      </c>
      <c r="H51" s="35">
        <v>152.9961290322581</v>
      </c>
      <c r="I51" s="35">
        <v>152.9961290322581</v>
      </c>
      <c r="J51" s="35">
        <f>I51/E51</f>
        <v>2.1249462365591403</v>
      </c>
      <c r="K51" s="40"/>
    </row>
    <row r="52" spans="2:11" x14ac:dyDescent="0.25">
      <c r="B52" s="2">
        <v>7898935462047</v>
      </c>
      <c r="C52" s="4">
        <v>410020</v>
      </c>
      <c r="D52" s="3" t="s">
        <v>52</v>
      </c>
      <c r="E52" s="10">
        <v>60</v>
      </c>
      <c r="F52" s="17">
        <v>7.0000000000000007E-2</v>
      </c>
      <c r="G52" s="4">
        <v>0</v>
      </c>
      <c r="H52" s="35">
        <v>173.5225806451613</v>
      </c>
      <c r="I52" s="35">
        <v>173.5225806451613</v>
      </c>
      <c r="J52" s="35">
        <f>I52/E52</f>
        <v>2.8920430107526882</v>
      </c>
      <c r="K52" s="40"/>
    </row>
    <row r="53" spans="2:11" x14ac:dyDescent="0.25">
      <c r="B53" s="2">
        <v>7898935462832</v>
      </c>
      <c r="C53" s="4">
        <v>411188</v>
      </c>
      <c r="D53" s="3" t="s">
        <v>53</v>
      </c>
      <c r="E53" s="10">
        <v>12</v>
      </c>
      <c r="F53" s="17">
        <v>7.0000000000000007E-2</v>
      </c>
      <c r="G53" s="5">
        <v>3.2501250000000002E-2</v>
      </c>
      <c r="H53" s="35">
        <v>173.59</v>
      </c>
      <c r="I53" s="35">
        <v>173.59</v>
      </c>
      <c r="J53" s="35">
        <f>I53/E53</f>
        <v>14.465833333333334</v>
      </c>
      <c r="K53" s="40"/>
    </row>
    <row r="54" spans="2:11" x14ac:dyDescent="0.25">
      <c r="B54" s="2">
        <v>7898935462313</v>
      </c>
      <c r="C54" s="4">
        <v>411485</v>
      </c>
      <c r="D54" s="3" t="s">
        <v>54</v>
      </c>
      <c r="E54" s="10">
        <v>12</v>
      </c>
      <c r="F54" s="17">
        <v>7.0000000000000007E-2</v>
      </c>
      <c r="G54" s="5">
        <v>3.2501250000000002E-2</v>
      </c>
      <c r="H54" s="35">
        <v>173.59</v>
      </c>
      <c r="I54" s="35">
        <v>173.59</v>
      </c>
      <c r="J54" s="35">
        <f>I54/E54</f>
        <v>14.465833333333334</v>
      </c>
      <c r="K54" s="40"/>
    </row>
    <row r="55" spans="2:11" x14ac:dyDescent="0.25">
      <c r="B55" s="2">
        <v>7891800647341</v>
      </c>
      <c r="C55" s="4">
        <v>647341</v>
      </c>
      <c r="D55" s="3" t="s">
        <v>55</v>
      </c>
      <c r="E55" s="10">
        <v>12</v>
      </c>
      <c r="F55" s="17">
        <v>7.0000000000000007E-2</v>
      </c>
      <c r="G55" s="4">
        <v>0</v>
      </c>
      <c r="H55" s="35">
        <v>177.64903225806455</v>
      </c>
      <c r="I55" s="35">
        <v>177.64903225806455</v>
      </c>
      <c r="J55" s="35">
        <f>I55/E55</f>
        <v>14.804086021505379</v>
      </c>
      <c r="K55" s="40"/>
    </row>
    <row r="56" spans="2:11" s="27" customFormat="1" x14ac:dyDescent="0.25">
      <c r="B56" s="22">
        <v>7891800198096</v>
      </c>
      <c r="C56" s="4">
        <v>649321</v>
      </c>
      <c r="D56" s="23" t="s">
        <v>56</v>
      </c>
      <c r="E56" s="24">
        <v>30</v>
      </c>
      <c r="F56" s="25">
        <v>7.0000000000000007E-2</v>
      </c>
      <c r="G56" s="26">
        <v>0</v>
      </c>
      <c r="H56" s="36">
        <v>193.36129032258066</v>
      </c>
      <c r="I56" s="36">
        <v>193.36129032258066</v>
      </c>
      <c r="J56" s="35">
        <f>I56/E56</f>
        <v>6.4453763440860223</v>
      </c>
      <c r="K56" s="41"/>
    </row>
    <row r="57" spans="2:11" x14ac:dyDescent="0.25">
      <c r="B57" s="2">
        <v>7891800617320</v>
      </c>
      <c r="C57" s="4">
        <v>617320</v>
      </c>
      <c r="D57" s="38" t="s">
        <v>152</v>
      </c>
      <c r="E57" s="10">
        <v>24</v>
      </c>
      <c r="F57" s="17">
        <v>7.0000000000000007E-2</v>
      </c>
      <c r="G57" s="4">
        <v>0</v>
      </c>
      <c r="H57" s="35">
        <v>151.30322580645165</v>
      </c>
      <c r="I57" s="35">
        <v>151.30322580645165</v>
      </c>
      <c r="J57" s="35">
        <f>I57/E57</f>
        <v>6.3043010752688184</v>
      </c>
      <c r="K57" s="40"/>
    </row>
    <row r="58" spans="2:11" x14ac:dyDescent="0.25">
      <c r="B58" s="2">
        <v>7891800203707</v>
      </c>
      <c r="C58" s="4">
        <v>198669</v>
      </c>
      <c r="D58" s="3" t="s">
        <v>57</v>
      </c>
      <c r="E58" s="10">
        <v>50</v>
      </c>
      <c r="F58" s="17">
        <v>7.0000000000000007E-2</v>
      </c>
      <c r="G58" s="4">
        <v>0</v>
      </c>
      <c r="H58" s="35">
        <v>66.129032258064512</v>
      </c>
      <c r="I58" s="35">
        <v>66.129032258064512</v>
      </c>
      <c r="J58" s="35">
        <f>I58/E58</f>
        <v>1.3225806451612903</v>
      </c>
      <c r="K58" s="40"/>
    </row>
    <row r="59" spans="2:11" x14ac:dyDescent="0.25">
      <c r="B59" s="2">
        <v>7891800357363</v>
      </c>
      <c r="C59" s="4">
        <v>372762</v>
      </c>
      <c r="D59" s="3" t="s">
        <v>58</v>
      </c>
      <c r="E59" s="10">
        <v>12</v>
      </c>
      <c r="F59" s="17">
        <v>7.0000000000000007E-2</v>
      </c>
      <c r="G59" s="4">
        <v>0</v>
      </c>
      <c r="H59" s="35">
        <v>251.60774193548386</v>
      </c>
      <c r="I59" s="35">
        <v>251.60774193548386</v>
      </c>
      <c r="J59" s="35">
        <f>I59/E59</f>
        <v>20.967311827956987</v>
      </c>
      <c r="K59" s="40"/>
    </row>
    <row r="60" spans="2:11" x14ac:dyDescent="0.25">
      <c r="B60" s="2">
        <v>7891800357356</v>
      </c>
      <c r="C60" s="4">
        <v>372779</v>
      </c>
      <c r="D60" s="3" t="s">
        <v>59</v>
      </c>
      <c r="E60" s="10">
        <v>12</v>
      </c>
      <c r="F60" s="17">
        <v>7.0000000000000007E-2</v>
      </c>
      <c r="G60" s="4">
        <v>0</v>
      </c>
      <c r="H60" s="35">
        <v>251.60774193548386</v>
      </c>
      <c r="I60" s="35">
        <v>251.60774193548386</v>
      </c>
      <c r="J60" s="35">
        <f>I60/E60</f>
        <v>20.967311827956987</v>
      </c>
      <c r="K60" s="40"/>
    </row>
    <row r="61" spans="2:11" x14ac:dyDescent="0.25">
      <c r="B61" s="2">
        <v>7891800357349</v>
      </c>
      <c r="C61" s="4">
        <v>367133</v>
      </c>
      <c r="D61" s="3" t="s">
        <v>60</v>
      </c>
      <c r="E61" s="10">
        <v>12</v>
      </c>
      <c r="F61" s="17">
        <v>7.0000000000000007E-2</v>
      </c>
      <c r="G61" s="4">
        <v>0</v>
      </c>
      <c r="H61" s="35">
        <v>251.60774193548386</v>
      </c>
      <c r="I61" s="35">
        <v>251.60774193548386</v>
      </c>
      <c r="J61" s="35">
        <f>I61/E61</f>
        <v>20.967311827956987</v>
      </c>
      <c r="K61" s="40"/>
    </row>
    <row r="62" spans="2:11" x14ac:dyDescent="0.25">
      <c r="B62" s="2">
        <v>7891800372847</v>
      </c>
      <c r="C62" s="4">
        <v>372847</v>
      </c>
      <c r="D62" s="3" t="s">
        <v>61</v>
      </c>
      <c r="E62" s="10">
        <v>32</v>
      </c>
      <c r="F62" s="17">
        <v>7.0000000000000007E-2</v>
      </c>
      <c r="G62" s="4">
        <v>0</v>
      </c>
      <c r="H62" s="35">
        <v>215.39</v>
      </c>
      <c r="I62" s="35">
        <v>215.39</v>
      </c>
      <c r="J62" s="35">
        <f>I62/E62</f>
        <v>6.7309374999999996</v>
      </c>
      <c r="K62" s="40"/>
    </row>
    <row r="63" spans="2:11" s="47" customFormat="1" x14ac:dyDescent="0.25">
      <c r="B63" s="30">
        <v>7891800204667</v>
      </c>
      <c r="C63" s="31">
        <v>663006</v>
      </c>
      <c r="D63" s="32" t="s">
        <v>62</v>
      </c>
      <c r="E63" s="33">
        <v>36</v>
      </c>
      <c r="F63" s="34">
        <v>7.0000000000000007E-2</v>
      </c>
      <c r="G63" s="31">
        <v>0</v>
      </c>
      <c r="H63" s="37" t="e">
        <v>#N/A</v>
      </c>
      <c r="I63" s="45" t="e">
        <f t="shared" si="0"/>
        <v>#N/A</v>
      </c>
      <c r="J63" s="37" t="e">
        <f>I63/E63</f>
        <v>#N/A</v>
      </c>
      <c r="K63" s="42" t="s">
        <v>151</v>
      </c>
    </row>
    <row r="64" spans="2:11" x14ac:dyDescent="0.25">
      <c r="B64" s="2">
        <v>7891800628425</v>
      </c>
      <c r="C64" s="4">
        <v>802788</v>
      </c>
      <c r="D64" s="3" t="s">
        <v>63</v>
      </c>
      <c r="E64" s="10">
        <v>72</v>
      </c>
      <c r="F64" s="17">
        <v>7.0000000000000007E-2</v>
      </c>
      <c r="G64" s="4">
        <v>0</v>
      </c>
      <c r="H64" s="35">
        <v>144.74322580645162</v>
      </c>
      <c r="I64" s="35">
        <v>144.74322580645162</v>
      </c>
      <c r="J64" s="35">
        <f>I64/E64</f>
        <v>2.0103225806451612</v>
      </c>
      <c r="K64" s="40" t="s">
        <v>155</v>
      </c>
    </row>
    <row r="65" spans="2:11" x14ac:dyDescent="0.25">
      <c r="B65" s="2">
        <v>7891800628401</v>
      </c>
      <c r="C65" s="4">
        <v>802771</v>
      </c>
      <c r="D65" s="3" t="s">
        <v>64</v>
      </c>
      <c r="E65" s="10">
        <v>48</v>
      </c>
      <c r="F65" s="17">
        <v>7.0000000000000007E-2</v>
      </c>
      <c r="G65" s="4">
        <v>0</v>
      </c>
      <c r="H65" s="35">
        <v>140.51096774193547</v>
      </c>
      <c r="I65" s="35">
        <v>140.51096774193547</v>
      </c>
      <c r="J65" s="35">
        <f>I65/E65</f>
        <v>2.9273118279569892</v>
      </c>
      <c r="K65" s="40" t="s">
        <v>155</v>
      </c>
    </row>
    <row r="66" spans="2:11" x14ac:dyDescent="0.25">
      <c r="B66" s="2">
        <v>7891800628418</v>
      </c>
      <c r="C66" s="4">
        <v>801897</v>
      </c>
      <c r="D66" s="3" t="s">
        <v>65</v>
      </c>
      <c r="E66" s="10">
        <v>96</v>
      </c>
      <c r="F66" s="17">
        <v>7.0000000000000007E-2</v>
      </c>
      <c r="G66" s="4">
        <v>0</v>
      </c>
      <c r="H66" s="35">
        <v>123.58193548387098</v>
      </c>
      <c r="I66" s="35">
        <v>123.58193548387098</v>
      </c>
      <c r="J66" s="35">
        <f>I66/E66</f>
        <v>1.2873118279569893</v>
      </c>
      <c r="K66" s="40" t="s">
        <v>155</v>
      </c>
    </row>
    <row r="67" spans="2:11" x14ac:dyDescent="0.25">
      <c r="B67" s="2">
        <v>7891800628432</v>
      </c>
      <c r="C67" s="4">
        <v>802795</v>
      </c>
      <c r="D67" s="3" t="s">
        <v>66</v>
      </c>
      <c r="E67" s="10">
        <v>144</v>
      </c>
      <c r="F67" s="17">
        <v>7.0000000000000007E-2</v>
      </c>
      <c r="G67" s="4">
        <v>0</v>
      </c>
      <c r="H67" s="35">
        <v>670.38967741935494</v>
      </c>
      <c r="I67" s="35">
        <v>670.38967741935494</v>
      </c>
      <c r="J67" s="35">
        <f>I67/E67</f>
        <v>4.6554838709677426</v>
      </c>
      <c r="K67" s="40" t="s">
        <v>155</v>
      </c>
    </row>
    <row r="68" spans="2:11" x14ac:dyDescent="0.25">
      <c r="B68" s="2">
        <v>7891800001839</v>
      </c>
      <c r="C68" s="4">
        <v>162486</v>
      </c>
      <c r="D68" s="3" t="s">
        <v>67</v>
      </c>
      <c r="E68" s="10">
        <v>48</v>
      </c>
      <c r="F68" s="17">
        <v>7.0000000000000007E-2</v>
      </c>
      <c r="G68" s="5">
        <v>3.2501250000000002E-2</v>
      </c>
      <c r="H68" s="35">
        <v>309.38</v>
      </c>
      <c r="I68" s="35">
        <v>309.38</v>
      </c>
      <c r="J68" s="35">
        <f>I68/E68</f>
        <v>6.4454166666666666</v>
      </c>
      <c r="K68" s="40"/>
    </row>
    <row r="69" spans="2:11" x14ac:dyDescent="0.25">
      <c r="B69" s="2">
        <v>7891800365658</v>
      </c>
      <c r="C69" s="4">
        <v>365658</v>
      </c>
      <c r="D69" s="3" t="s">
        <v>68</v>
      </c>
      <c r="E69" s="10">
        <v>72</v>
      </c>
      <c r="F69" s="17">
        <v>7.0000000000000007E-2</v>
      </c>
      <c r="G69" s="4">
        <v>0</v>
      </c>
      <c r="H69" s="35">
        <v>321.02999999999997</v>
      </c>
      <c r="I69" s="35">
        <v>321.02999999999997</v>
      </c>
      <c r="J69" s="35">
        <f>I69/E69</f>
        <v>4.4587499999999993</v>
      </c>
      <c r="K69" s="40"/>
    </row>
    <row r="70" spans="2:11" x14ac:dyDescent="0.25">
      <c r="B70" s="2">
        <v>7891800365665</v>
      </c>
      <c r="C70" s="4">
        <v>365665</v>
      </c>
      <c r="D70" s="3" t="s">
        <v>69</v>
      </c>
      <c r="E70" s="10">
        <v>48</v>
      </c>
      <c r="F70" s="17">
        <v>7.0000000000000007E-2</v>
      </c>
      <c r="G70" s="4">
        <v>0</v>
      </c>
      <c r="H70" s="35">
        <v>371.05</v>
      </c>
      <c r="I70" s="35">
        <v>371.05</v>
      </c>
      <c r="J70" s="35">
        <f>I70/E70</f>
        <v>7.7302083333333336</v>
      </c>
      <c r="K70" s="40"/>
    </row>
    <row r="71" spans="2:11" x14ac:dyDescent="0.25">
      <c r="B71" s="2">
        <v>7891800228090</v>
      </c>
      <c r="C71" s="4">
        <v>228038</v>
      </c>
      <c r="D71" s="3" t="s">
        <v>70</v>
      </c>
      <c r="E71" s="10">
        <v>36</v>
      </c>
      <c r="F71" s="17">
        <v>7.0000000000000007E-2</v>
      </c>
      <c r="G71" s="4">
        <v>0</v>
      </c>
      <c r="H71" s="35">
        <v>459.1</v>
      </c>
      <c r="I71" s="35">
        <v>459.1</v>
      </c>
      <c r="J71" s="35">
        <f>I71/E71</f>
        <v>12.752777777777778</v>
      </c>
      <c r="K71" s="40"/>
    </row>
    <row r="72" spans="2:11" x14ac:dyDescent="0.25">
      <c r="B72" s="2">
        <v>7891800364910</v>
      </c>
      <c r="C72" s="4">
        <v>662160</v>
      </c>
      <c r="D72" s="3" t="s">
        <v>71</v>
      </c>
      <c r="E72" s="10">
        <v>72</v>
      </c>
      <c r="F72" s="17">
        <v>7.0000000000000007E-2</v>
      </c>
      <c r="G72" s="4">
        <v>0</v>
      </c>
      <c r="H72" s="35">
        <v>426.81</v>
      </c>
      <c r="I72" s="35">
        <v>426.81</v>
      </c>
      <c r="J72" s="35">
        <f>I72/E72</f>
        <v>5.9279166666666665</v>
      </c>
      <c r="K72" s="40"/>
    </row>
    <row r="73" spans="2:11" x14ac:dyDescent="0.25">
      <c r="B73" s="2">
        <v>7891800364927</v>
      </c>
      <c r="C73" s="4">
        <v>662177</v>
      </c>
      <c r="D73" s="3" t="s">
        <v>72</v>
      </c>
      <c r="E73" s="10">
        <v>48</v>
      </c>
      <c r="F73" s="17">
        <v>7.0000000000000007E-2</v>
      </c>
      <c r="G73" s="4">
        <v>0</v>
      </c>
      <c r="H73" s="35">
        <v>520.29</v>
      </c>
      <c r="I73" s="35">
        <v>520.29</v>
      </c>
      <c r="J73" s="35">
        <f>I73/E73</f>
        <v>10.839374999999999</v>
      </c>
      <c r="K73" s="40"/>
    </row>
    <row r="74" spans="2:11" x14ac:dyDescent="0.25">
      <c r="B74" s="2">
        <v>7891800001808</v>
      </c>
      <c r="C74" s="4">
        <v>162462</v>
      </c>
      <c r="D74" s="3" t="s">
        <v>73</v>
      </c>
      <c r="E74" s="10">
        <v>48</v>
      </c>
      <c r="F74" s="17">
        <v>7.0000000000000007E-2</v>
      </c>
      <c r="G74" s="5">
        <v>3.2501250000000002E-2</v>
      </c>
      <c r="H74" s="35" t="e">
        <v>#N/A</v>
      </c>
      <c r="I74" s="44" t="e">
        <f t="shared" ref="I74:I116" si="1">H74/0.92</f>
        <v>#N/A</v>
      </c>
      <c r="J74" s="35" t="e">
        <f>I74/E74</f>
        <v>#N/A</v>
      </c>
      <c r="K74" s="40"/>
    </row>
    <row r="75" spans="2:11" x14ac:dyDescent="0.25">
      <c r="B75" s="2">
        <v>7891800628395</v>
      </c>
      <c r="C75" s="4">
        <v>665543</v>
      </c>
      <c r="D75" s="3" t="s">
        <v>74</v>
      </c>
      <c r="E75" s="10">
        <v>48</v>
      </c>
      <c r="F75" s="17">
        <v>7.0000000000000007E-2</v>
      </c>
      <c r="G75" s="4">
        <v>0</v>
      </c>
      <c r="H75" s="35">
        <v>148.55225806451614</v>
      </c>
      <c r="I75" s="35">
        <v>148.55225806451614</v>
      </c>
      <c r="J75" s="35">
        <f>I75/E75</f>
        <v>3.0948387096774197</v>
      </c>
      <c r="K75" s="40"/>
    </row>
    <row r="76" spans="2:11" x14ac:dyDescent="0.25">
      <c r="B76" s="2">
        <v>7891800628371</v>
      </c>
      <c r="C76" s="4">
        <v>665529</v>
      </c>
      <c r="D76" s="3" t="s">
        <v>75</v>
      </c>
      <c r="E76" s="10">
        <v>72</v>
      </c>
      <c r="F76" s="17">
        <v>7.0000000000000007E-2</v>
      </c>
      <c r="G76" s="4">
        <v>0</v>
      </c>
      <c r="H76" s="35">
        <v>137.12516129032261</v>
      </c>
      <c r="I76" s="35">
        <v>137.12516129032261</v>
      </c>
      <c r="J76" s="35">
        <f>I76/E76</f>
        <v>1.9045161290322585</v>
      </c>
      <c r="K76" s="40"/>
    </row>
    <row r="77" spans="2:11" x14ac:dyDescent="0.25">
      <c r="B77" s="2">
        <v>7891800628364</v>
      </c>
      <c r="C77" s="20">
        <v>665512</v>
      </c>
      <c r="D77" s="3" t="s">
        <v>76</v>
      </c>
      <c r="E77" s="10">
        <v>48</v>
      </c>
      <c r="F77" s="17">
        <v>7.0000000000000007E-2</v>
      </c>
      <c r="G77" s="4">
        <v>0</v>
      </c>
      <c r="H77" s="35">
        <v>129.50709677419357</v>
      </c>
      <c r="I77" s="35">
        <v>129.50709677419357</v>
      </c>
      <c r="J77" s="35">
        <f>I77/E77</f>
        <v>2.6980645161290329</v>
      </c>
      <c r="K77" s="40"/>
    </row>
    <row r="78" spans="2:11" x14ac:dyDescent="0.25">
      <c r="B78" s="2">
        <v>7891800628388</v>
      </c>
      <c r="C78" s="20">
        <v>665536</v>
      </c>
      <c r="D78" s="3" t="s">
        <v>77</v>
      </c>
      <c r="E78" s="10">
        <v>36</v>
      </c>
      <c r="F78" s="17">
        <v>7.0000000000000007E-2</v>
      </c>
      <c r="G78" s="4">
        <v>0</v>
      </c>
      <c r="H78" s="35">
        <v>157.75741935483873</v>
      </c>
      <c r="I78" s="35">
        <v>157.75741935483873</v>
      </c>
      <c r="J78" s="35">
        <f>I78/E78</f>
        <v>4.3821505376344092</v>
      </c>
      <c r="K78" s="40"/>
    </row>
    <row r="79" spans="2:11" x14ac:dyDescent="0.25">
      <c r="B79" s="2">
        <v>7896004816562</v>
      </c>
      <c r="C79" s="4">
        <v>410013</v>
      </c>
      <c r="D79" s="3" t="s">
        <v>78</v>
      </c>
      <c r="E79" s="10">
        <v>32</v>
      </c>
      <c r="F79" s="17">
        <v>7.0000000000000007E-2</v>
      </c>
      <c r="G79" s="4">
        <v>0</v>
      </c>
      <c r="H79" s="35">
        <v>119.06752688172044</v>
      </c>
      <c r="I79" s="35">
        <v>119.06752688172044</v>
      </c>
      <c r="J79" s="35">
        <f>I79/E79</f>
        <v>3.7208602150537637</v>
      </c>
      <c r="K79" s="40"/>
    </row>
    <row r="80" spans="2:11" x14ac:dyDescent="0.25">
      <c r="B80" s="2">
        <v>7891800540109</v>
      </c>
      <c r="C80" s="4">
        <v>540109</v>
      </c>
      <c r="D80" s="3" t="s">
        <v>79</v>
      </c>
      <c r="E80" s="10">
        <v>36</v>
      </c>
      <c r="F80" s="17">
        <v>7.0000000000000007E-2</v>
      </c>
      <c r="G80" s="4">
        <v>0</v>
      </c>
      <c r="H80" s="35">
        <v>262.5058064516129</v>
      </c>
      <c r="I80" s="35">
        <v>262.5058064516129</v>
      </c>
      <c r="J80" s="35">
        <f>I80/E80</f>
        <v>7.2918279569892475</v>
      </c>
      <c r="K80" s="40"/>
    </row>
    <row r="81" spans="2:11" x14ac:dyDescent="0.25">
      <c r="B81" s="2">
        <v>7891800358469</v>
      </c>
      <c r="C81" s="4">
        <v>367102</v>
      </c>
      <c r="D81" s="3" t="s">
        <v>80</v>
      </c>
      <c r="E81" s="10">
        <v>12</v>
      </c>
      <c r="F81" s="17">
        <v>7.0000000000000007E-2</v>
      </c>
      <c r="G81" s="4">
        <v>0</v>
      </c>
      <c r="H81" s="35">
        <v>129.93032258064514</v>
      </c>
      <c r="I81" s="35">
        <v>129.93032258064514</v>
      </c>
      <c r="J81" s="35">
        <f>I81/E81</f>
        <v>10.827526881720429</v>
      </c>
      <c r="K81" s="40"/>
    </row>
    <row r="82" spans="2:11" x14ac:dyDescent="0.25">
      <c r="B82" s="2">
        <v>7891800358476</v>
      </c>
      <c r="C82" s="4">
        <v>367119</v>
      </c>
      <c r="D82" s="3" t="s">
        <v>81</v>
      </c>
      <c r="E82" s="10">
        <v>12</v>
      </c>
      <c r="F82" s="17">
        <v>7.0000000000000007E-2</v>
      </c>
      <c r="G82" s="4">
        <v>0</v>
      </c>
      <c r="H82" s="35">
        <v>129.93032258064514</v>
      </c>
      <c r="I82" s="35">
        <v>129.93032258064514</v>
      </c>
      <c r="J82" s="35">
        <f>I82/E82</f>
        <v>10.827526881720429</v>
      </c>
      <c r="K82" s="40"/>
    </row>
    <row r="83" spans="2:11" x14ac:dyDescent="0.25">
      <c r="B83" s="2">
        <v>7891800357318</v>
      </c>
      <c r="C83" s="4">
        <v>372823</v>
      </c>
      <c r="D83" s="3" t="s">
        <v>82</v>
      </c>
      <c r="E83" s="10">
        <v>12</v>
      </c>
      <c r="F83" s="17">
        <v>7.0000000000000007E-2</v>
      </c>
      <c r="G83" s="4">
        <v>0</v>
      </c>
      <c r="H83" s="35">
        <v>129.93032258064514</v>
      </c>
      <c r="I83" s="35">
        <v>129.93032258064514</v>
      </c>
      <c r="J83" s="35">
        <f>I83/E83</f>
        <v>10.827526881720429</v>
      </c>
      <c r="K83" s="40"/>
    </row>
    <row r="84" spans="2:11" s="47" customFormat="1" x14ac:dyDescent="0.25">
      <c r="B84" s="30">
        <v>7891800637694</v>
      </c>
      <c r="C84" s="31">
        <v>637694</v>
      </c>
      <c r="D84" s="32" t="s">
        <v>83</v>
      </c>
      <c r="E84" s="33">
        <v>12</v>
      </c>
      <c r="F84" s="34">
        <v>7.0000000000000007E-2</v>
      </c>
      <c r="G84" s="31">
        <v>0</v>
      </c>
      <c r="H84" s="37"/>
      <c r="I84" s="45">
        <f t="shared" si="1"/>
        <v>0</v>
      </c>
      <c r="J84" s="37">
        <f>I84/E84</f>
        <v>0</v>
      </c>
      <c r="K84" s="42" t="s">
        <v>151</v>
      </c>
    </row>
    <row r="85" spans="2:11" x14ac:dyDescent="0.25">
      <c r="B85" s="2">
        <v>7896004800035</v>
      </c>
      <c r="C85" s="4">
        <v>649345</v>
      </c>
      <c r="D85" s="3" t="s">
        <v>84</v>
      </c>
      <c r="E85" s="10">
        <v>36</v>
      </c>
      <c r="F85" s="17">
        <v>7.0000000000000007E-2</v>
      </c>
      <c r="G85" s="4">
        <v>0</v>
      </c>
      <c r="H85" s="35">
        <v>125.06322580645163</v>
      </c>
      <c r="I85" s="35">
        <v>125.06322580645163</v>
      </c>
      <c r="J85" s="35">
        <f>I85/E85</f>
        <v>3.4739784946236565</v>
      </c>
      <c r="K85" s="40"/>
    </row>
    <row r="86" spans="2:11" x14ac:dyDescent="0.25">
      <c r="B86" s="2">
        <v>7896004814223</v>
      </c>
      <c r="C86" s="4">
        <v>649352</v>
      </c>
      <c r="D86" s="3" t="s">
        <v>85</v>
      </c>
      <c r="E86" s="10">
        <v>20</v>
      </c>
      <c r="F86" s="17">
        <v>7.0000000000000007E-2</v>
      </c>
      <c r="G86" s="4">
        <v>0</v>
      </c>
      <c r="H86" s="35">
        <v>122.73548387096776</v>
      </c>
      <c r="I86" s="35">
        <v>122.73548387096776</v>
      </c>
      <c r="J86" s="35">
        <f>I86/E86</f>
        <v>6.1367741935483879</v>
      </c>
      <c r="K86" s="40"/>
    </row>
    <row r="87" spans="2:11" x14ac:dyDescent="0.25">
      <c r="B87" s="2">
        <v>7896004816968</v>
      </c>
      <c r="C87" s="4">
        <v>651430</v>
      </c>
      <c r="D87" s="3" t="s">
        <v>86</v>
      </c>
      <c r="E87" s="10">
        <v>24</v>
      </c>
      <c r="F87" s="17">
        <v>7.0000000000000007E-2</v>
      </c>
      <c r="G87" s="4">
        <v>0</v>
      </c>
      <c r="H87" s="35">
        <v>130.77677419354842</v>
      </c>
      <c r="I87" s="35">
        <v>130.77677419354842</v>
      </c>
      <c r="J87" s="35">
        <f>I87/E87</f>
        <v>5.4490322580645172</v>
      </c>
      <c r="K87" s="40"/>
    </row>
    <row r="88" spans="2:11" x14ac:dyDescent="0.25">
      <c r="B88" s="2">
        <v>7896004811581</v>
      </c>
      <c r="C88" s="4">
        <v>668179</v>
      </c>
      <c r="D88" s="3" t="s">
        <v>87</v>
      </c>
      <c r="E88" s="10">
        <v>24</v>
      </c>
      <c r="F88" s="17">
        <v>7.0000000000000007E-2</v>
      </c>
      <c r="G88" s="4">
        <v>0</v>
      </c>
      <c r="H88" s="35">
        <v>89.512258064516146</v>
      </c>
      <c r="I88" s="35">
        <v>89.512258064516146</v>
      </c>
      <c r="J88" s="35">
        <f>I88/E88</f>
        <v>3.7296774193548394</v>
      </c>
      <c r="K88" s="40"/>
    </row>
    <row r="89" spans="2:11" s="27" customFormat="1" x14ac:dyDescent="0.25">
      <c r="B89" s="22">
        <v>7896004815022</v>
      </c>
      <c r="C89" s="4">
        <v>649529</v>
      </c>
      <c r="D89" s="23" t="s">
        <v>88</v>
      </c>
      <c r="E89" s="24">
        <v>60</v>
      </c>
      <c r="F89" s="25">
        <v>7.0000000000000007E-2</v>
      </c>
      <c r="G89" s="26">
        <v>0</v>
      </c>
      <c r="H89" s="36">
        <v>114.27096774193551</v>
      </c>
      <c r="I89" s="36">
        <v>114.27096774193551</v>
      </c>
      <c r="J89" s="35">
        <f>I89/E89</f>
        <v>1.9045161290322585</v>
      </c>
      <c r="K89" s="41"/>
    </row>
    <row r="90" spans="2:11" x14ac:dyDescent="0.25">
      <c r="B90" s="2">
        <v>7896004814193</v>
      </c>
      <c r="C90" s="4">
        <v>649543</v>
      </c>
      <c r="D90" s="3" t="s">
        <v>89</v>
      </c>
      <c r="E90" s="10">
        <v>30</v>
      </c>
      <c r="F90" s="17">
        <v>7.0000000000000007E-2</v>
      </c>
      <c r="G90" s="4">
        <v>0</v>
      </c>
      <c r="H90" s="35">
        <v>93.374193548387098</v>
      </c>
      <c r="I90" s="35">
        <v>93.374193548387098</v>
      </c>
      <c r="J90" s="35">
        <f>I90/E90</f>
        <v>3.1124731182795697</v>
      </c>
      <c r="K90" s="40"/>
    </row>
    <row r="91" spans="2:11" s="47" customFormat="1" x14ac:dyDescent="0.25">
      <c r="B91" s="30">
        <v>7891800637571</v>
      </c>
      <c r="C91" s="31">
        <v>637571</v>
      </c>
      <c r="D91" s="32" t="s">
        <v>90</v>
      </c>
      <c r="E91" s="33">
        <v>12</v>
      </c>
      <c r="F91" s="34">
        <v>7.0000000000000007E-2</v>
      </c>
      <c r="G91" s="31">
        <v>0</v>
      </c>
      <c r="H91" s="37" t="e">
        <v>#N/A</v>
      </c>
      <c r="I91" s="45" t="e">
        <f t="shared" si="1"/>
        <v>#N/A</v>
      </c>
      <c r="J91" s="37" t="e">
        <f>I91/E91</f>
        <v>#N/A</v>
      </c>
      <c r="K91" s="42" t="s">
        <v>151</v>
      </c>
    </row>
    <row r="92" spans="2:11" x14ac:dyDescent="0.25">
      <c r="B92" s="2">
        <v>7896004811567</v>
      </c>
      <c r="C92" s="20">
        <v>668209</v>
      </c>
      <c r="D92" s="3" t="s">
        <v>91</v>
      </c>
      <c r="E92" s="10">
        <v>40</v>
      </c>
      <c r="F92" s="17">
        <v>7.0000000000000007E-2</v>
      </c>
      <c r="G92" s="4">
        <v>0</v>
      </c>
      <c r="H92" s="35">
        <v>86.761290322580663</v>
      </c>
      <c r="I92" s="35">
        <v>86.761290322580663</v>
      </c>
      <c r="J92" s="35">
        <f>I92/E92</f>
        <v>2.1690322580645165</v>
      </c>
      <c r="K92" s="40"/>
    </row>
    <row r="93" spans="2:11" x14ac:dyDescent="0.25">
      <c r="B93" s="2">
        <v>7896004815091</v>
      </c>
      <c r="C93" s="4">
        <v>668131</v>
      </c>
      <c r="D93" s="3" t="s">
        <v>92</v>
      </c>
      <c r="E93" s="10">
        <v>8</v>
      </c>
      <c r="F93" s="17">
        <v>7.0000000000000007E-2</v>
      </c>
      <c r="G93" s="4">
        <v>0</v>
      </c>
      <c r="H93" s="35">
        <v>192.63827956989249</v>
      </c>
      <c r="I93" s="35">
        <v>192.63827956989249</v>
      </c>
      <c r="J93" s="35">
        <f>I93/E93</f>
        <v>24.079784946236561</v>
      </c>
      <c r="K93" s="40"/>
    </row>
    <row r="94" spans="2:11" s="47" customFormat="1" x14ac:dyDescent="0.25">
      <c r="B94" s="30">
        <v>7896004818825</v>
      </c>
      <c r="C94" s="31">
        <v>412062</v>
      </c>
      <c r="D94" s="32" t="s">
        <v>93</v>
      </c>
      <c r="E94" s="33">
        <v>6</v>
      </c>
      <c r="F94" s="34">
        <v>7.0000000000000007E-2</v>
      </c>
      <c r="G94" s="31">
        <v>0</v>
      </c>
      <c r="H94" s="37" t="e">
        <v>#N/A</v>
      </c>
      <c r="I94" s="45" t="e">
        <f t="shared" si="1"/>
        <v>#N/A</v>
      </c>
      <c r="J94" s="37" t="e">
        <f>I94/E94</f>
        <v>#N/A</v>
      </c>
      <c r="K94" s="42" t="s">
        <v>151</v>
      </c>
    </row>
    <row r="95" spans="2:11" s="47" customFormat="1" x14ac:dyDescent="0.25">
      <c r="B95" s="30">
        <v>7896004818795</v>
      </c>
      <c r="C95" s="31">
        <v>412079</v>
      </c>
      <c r="D95" s="32" t="s">
        <v>94</v>
      </c>
      <c r="E95" s="33">
        <v>6</v>
      </c>
      <c r="F95" s="34">
        <v>7.0000000000000007E-2</v>
      </c>
      <c r="G95" s="31">
        <v>0</v>
      </c>
      <c r="H95" s="37" t="e">
        <v>#N/A</v>
      </c>
      <c r="I95" s="45" t="e">
        <f t="shared" si="1"/>
        <v>#N/A</v>
      </c>
      <c r="J95" s="37" t="e">
        <f>I95/E95</f>
        <v>#N/A</v>
      </c>
      <c r="K95" s="42" t="s">
        <v>151</v>
      </c>
    </row>
    <row r="96" spans="2:11" x14ac:dyDescent="0.25">
      <c r="B96" s="2">
        <v>7891800000474</v>
      </c>
      <c r="C96" s="4">
        <v>198553</v>
      </c>
      <c r="D96" s="3" t="s">
        <v>95</v>
      </c>
      <c r="E96" s="10">
        <v>72</v>
      </c>
      <c r="F96" s="17">
        <v>7.0000000000000007E-2</v>
      </c>
      <c r="G96" s="4">
        <v>0</v>
      </c>
      <c r="H96" s="35">
        <v>242.50838709677419</v>
      </c>
      <c r="I96" s="35">
        <v>242.50838709677419</v>
      </c>
      <c r="J96" s="35">
        <f>I96/E96</f>
        <v>3.3681720430107527</v>
      </c>
      <c r="K96" s="40"/>
    </row>
    <row r="97" spans="2:11" x14ac:dyDescent="0.25">
      <c r="B97" s="2">
        <v>7891800000481</v>
      </c>
      <c r="C97" s="4">
        <v>198560</v>
      </c>
      <c r="D97" s="3" t="s">
        <v>96</v>
      </c>
      <c r="E97" s="10">
        <v>72</v>
      </c>
      <c r="F97" s="17">
        <v>7.0000000000000007E-2</v>
      </c>
      <c r="G97" s="4">
        <v>0</v>
      </c>
      <c r="H97" s="35">
        <v>286.94709677419354</v>
      </c>
      <c r="I97" s="35">
        <v>286.94709677419354</v>
      </c>
      <c r="J97" s="35">
        <f>I97/E97</f>
        <v>3.9853763440860215</v>
      </c>
      <c r="K97" s="40"/>
    </row>
    <row r="98" spans="2:11" x14ac:dyDescent="0.25">
      <c r="B98" s="2">
        <v>7891800000498</v>
      </c>
      <c r="C98" s="4">
        <v>198577</v>
      </c>
      <c r="D98" s="3" t="s">
        <v>97</v>
      </c>
      <c r="E98" s="10">
        <v>72</v>
      </c>
      <c r="F98" s="17">
        <v>7.0000000000000007E-2</v>
      </c>
      <c r="G98" s="4">
        <v>0</v>
      </c>
      <c r="H98" s="35">
        <v>351.06580645161296</v>
      </c>
      <c r="I98" s="35">
        <v>351.06580645161296</v>
      </c>
      <c r="J98" s="35">
        <f>I98/E98</f>
        <v>4.8759139784946246</v>
      </c>
      <c r="K98" s="40"/>
    </row>
    <row r="99" spans="2:11" x14ac:dyDescent="0.25">
      <c r="B99" s="2">
        <v>7891800000504</v>
      </c>
      <c r="C99" s="4">
        <v>198584</v>
      </c>
      <c r="D99" s="3" t="s">
        <v>98</v>
      </c>
      <c r="E99" s="10">
        <v>72</v>
      </c>
      <c r="F99" s="17">
        <v>7.0000000000000007E-2</v>
      </c>
      <c r="G99" s="4">
        <v>0</v>
      </c>
      <c r="H99" s="35">
        <v>478.66838709677427</v>
      </c>
      <c r="I99" s="35">
        <v>478.66838709677427</v>
      </c>
      <c r="J99" s="35">
        <f>I99/E99</f>
        <v>6.6481720430107538</v>
      </c>
      <c r="K99" s="40"/>
    </row>
    <row r="100" spans="2:11" x14ac:dyDescent="0.25">
      <c r="B100" s="2">
        <v>7891800000719</v>
      </c>
      <c r="C100" s="4">
        <v>198522</v>
      </c>
      <c r="D100" s="3" t="s">
        <v>99</v>
      </c>
      <c r="E100" s="10">
        <v>72</v>
      </c>
      <c r="F100" s="17">
        <v>7.0000000000000007E-2</v>
      </c>
      <c r="G100" s="4">
        <v>0</v>
      </c>
      <c r="H100" s="35">
        <v>429.15096774193552</v>
      </c>
      <c r="I100" s="35">
        <v>429.15096774193552</v>
      </c>
      <c r="J100" s="35">
        <f>I100/E100</f>
        <v>5.9604301075268822</v>
      </c>
      <c r="K100" s="40"/>
    </row>
    <row r="101" spans="2:11" x14ac:dyDescent="0.25">
      <c r="B101" s="2">
        <v>7891800000467</v>
      </c>
      <c r="C101" s="4">
        <v>806083</v>
      </c>
      <c r="D101" s="3" t="s">
        <v>100</v>
      </c>
      <c r="E101" s="10">
        <v>144</v>
      </c>
      <c r="F101" s="17">
        <v>7.0000000000000007E-2</v>
      </c>
      <c r="G101" s="4">
        <v>0</v>
      </c>
      <c r="H101" s="35">
        <v>392.33</v>
      </c>
      <c r="I101" s="35">
        <v>392.33</v>
      </c>
      <c r="J101" s="35">
        <f>I101/E101</f>
        <v>2.7245138888888887</v>
      </c>
      <c r="K101" s="40"/>
    </row>
    <row r="102" spans="2:11" x14ac:dyDescent="0.25">
      <c r="B102" s="2">
        <v>7891800386707</v>
      </c>
      <c r="C102" s="4">
        <v>386707</v>
      </c>
      <c r="D102" s="3" t="s">
        <v>101</v>
      </c>
      <c r="E102" s="10">
        <v>12</v>
      </c>
      <c r="F102" s="17">
        <v>7.0000000000000007E-2</v>
      </c>
      <c r="G102" s="4">
        <v>0</v>
      </c>
      <c r="H102" s="35">
        <v>183.3625806451613</v>
      </c>
      <c r="I102" s="35">
        <v>183.3625806451613</v>
      </c>
      <c r="J102" s="35">
        <f>I102/E102</f>
        <v>15.280215053763442</v>
      </c>
      <c r="K102" s="40"/>
    </row>
    <row r="103" spans="2:11" x14ac:dyDescent="0.25">
      <c r="B103" s="2">
        <v>7891800649093</v>
      </c>
      <c r="C103" s="4">
        <v>649093</v>
      </c>
      <c r="D103" s="3" t="s">
        <v>102</v>
      </c>
      <c r="E103" s="10">
        <v>24</v>
      </c>
      <c r="F103" s="17">
        <v>7.0000000000000007E-2</v>
      </c>
      <c r="G103" s="4">
        <v>0</v>
      </c>
      <c r="H103" s="35">
        <v>235.94838709677427</v>
      </c>
      <c r="I103" s="35">
        <v>235.94838709677427</v>
      </c>
      <c r="J103" s="35">
        <f>I103/E103</f>
        <v>9.8311827956989273</v>
      </c>
      <c r="K103" s="40"/>
    </row>
    <row r="104" spans="2:11" x14ac:dyDescent="0.25">
      <c r="B104" s="2">
        <v>7891800631807</v>
      </c>
      <c r="C104" s="4">
        <v>631807</v>
      </c>
      <c r="D104" s="3" t="s">
        <v>103</v>
      </c>
      <c r="E104" s="10">
        <v>50</v>
      </c>
      <c r="F104" s="17">
        <v>7.0000000000000007E-2</v>
      </c>
      <c r="G104" s="4">
        <v>0</v>
      </c>
      <c r="H104" s="35">
        <v>41.881720430107535</v>
      </c>
      <c r="I104" s="35">
        <v>41.881720430107535</v>
      </c>
      <c r="J104" s="35">
        <f>I104/E104</f>
        <v>0.83763440860215066</v>
      </c>
      <c r="K104" s="40"/>
    </row>
    <row r="105" spans="2:11" x14ac:dyDescent="0.25">
      <c r="B105" s="2">
        <v>7891800197600</v>
      </c>
      <c r="C105" s="4">
        <v>194654</v>
      </c>
      <c r="D105" s="3" t="s">
        <v>104</v>
      </c>
      <c r="E105" s="10">
        <v>500</v>
      </c>
      <c r="F105" s="17">
        <v>7.0000000000000007E-2</v>
      </c>
      <c r="G105" s="4">
        <v>0</v>
      </c>
      <c r="H105" s="35">
        <v>515.80645161290329</v>
      </c>
      <c r="I105" s="35">
        <v>515.80645161290329</v>
      </c>
      <c r="J105" s="35">
        <f>I105/E105</f>
        <v>1.0316129032258066</v>
      </c>
      <c r="K105" s="40"/>
    </row>
    <row r="106" spans="2:11" x14ac:dyDescent="0.25">
      <c r="B106" s="2">
        <v>7891800631784</v>
      </c>
      <c r="C106" s="4">
        <v>631784</v>
      </c>
      <c r="D106" s="3" t="s">
        <v>105</v>
      </c>
      <c r="E106" s="10">
        <v>50</v>
      </c>
      <c r="F106" s="17">
        <v>7.0000000000000007E-2</v>
      </c>
      <c r="G106" s="4">
        <v>0</v>
      </c>
      <c r="H106" s="35">
        <v>48.935483870967758</v>
      </c>
      <c r="I106" s="35">
        <v>48.935483870967758</v>
      </c>
      <c r="J106" s="35">
        <f>I106/E106</f>
        <v>0.97870967741935511</v>
      </c>
      <c r="K106" s="40"/>
    </row>
    <row r="107" spans="2:11" x14ac:dyDescent="0.25">
      <c r="B107" s="2">
        <v>7891800631791</v>
      </c>
      <c r="C107" s="4">
        <v>631791</v>
      </c>
      <c r="D107" s="3" t="s">
        <v>106</v>
      </c>
      <c r="E107" s="10">
        <v>100</v>
      </c>
      <c r="F107" s="17">
        <v>7.0000000000000007E-2</v>
      </c>
      <c r="G107" s="4">
        <v>0</v>
      </c>
      <c r="H107" s="35">
        <v>67.010752688172062</v>
      </c>
      <c r="I107" s="35">
        <v>67.010752688172062</v>
      </c>
      <c r="J107" s="35">
        <f>I107/E107</f>
        <v>0.67010752688172059</v>
      </c>
      <c r="K107" s="40"/>
    </row>
    <row r="108" spans="2:11" x14ac:dyDescent="0.25">
      <c r="B108" s="2">
        <v>7891800303131</v>
      </c>
      <c r="C108" s="4">
        <v>303063</v>
      </c>
      <c r="D108" s="3" t="s">
        <v>107</v>
      </c>
      <c r="E108" s="10">
        <v>144</v>
      </c>
      <c r="F108" s="17">
        <v>7.0000000000000007E-2</v>
      </c>
      <c r="G108" s="4">
        <v>0</v>
      </c>
      <c r="H108" s="35">
        <v>410.10580645161298</v>
      </c>
      <c r="I108" s="35">
        <v>410.10580645161298</v>
      </c>
      <c r="J108" s="35">
        <f>I108/E108</f>
        <v>2.8479569892473124</v>
      </c>
      <c r="K108" s="40"/>
    </row>
    <row r="109" spans="2:11" x14ac:dyDescent="0.25">
      <c r="B109" s="2">
        <v>7891800197532</v>
      </c>
      <c r="C109" s="4">
        <v>194579</v>
      </c>
      <c r="D109" s="3" t="s">
        <v>108</v>
      </c>
      <c r="E109" s="10">
        <v>240</v>
      </c>
      <c r="F109" s="17">
        <v>7.0000000000000007E-2</v>
      </c>
      <c r="G109" s="4">
        <v>0</v>
      </c>
      <c r="H109" s="35">
        <v>416.87741935483876</v>
      </c>
      <c r="I109" s="35">
        <v>416.87741935483876</v>
      </c>
      <c r="J109" s="35">
        <f>I109/E109</f>
        <v>1.7369892473118282</v>
      </c>
      <c r="K109" s="40"/>
    </row>
    <row r="110" spans="2:11" x14ac:dyDescent="0.25">
      <c r="B110" s="2">
        <v>7891800197594</v>
      </c>
      <c r="C110" s="4">
        <v>201680</v>
      </c>
      <c r="D110" s="3" t="s">
        <v>109</v>
      </c>
      <c r="E110" s="10">
        <v>100</v>
      </c>
      <c r="F110" s="17">
        <v>7.0000000000000007E-2</v>
      </c>
      <c r="G110" s="4">
        <v>0</v>
      </c>
      <c r="H110" s="35">
        <v>99.634408602150543</v>
      </c>
      <c r="I110" s="35">
        <v>99.634408602150543</v>
      </c>
      <c r="J110" s="35">
        <f>I110/E110</f>
        <v>0.99634408602150548</v>
      </c>
      <c r="K110" s="40"/>
    </row>
    <row r="111" spans="2:11" x14ac:dyDescent="0.25">
      <c r="B111" s="2">
        <v>7891800310016</v>
      </c>
      <c r="C111" s="4">
        <v>309980</v>
      </c>
      <c r="D111" s="3" t="s">
        <v>110</v>
      </c>
      <c r="E111" s="10">
        <v>144</v>
      </c>
      <c r="F111" s="17">
        <v>7.0000000000000007E-2</v>
      </c>
      <c r="G111" s="4">
        <v>0</v>
      </c>
      <c r="H111" s="35">
        <v>472.32000000000011</v>
      </c>
      <c r="I111" s="35">
        <v>472.32000000000011</v>
      </c>
      <c r="J111" s="35">
        <f>I111/E111</f>
        <v>3.2800000000000007</v>
      </c>
      <c r="K111" s="40"/>
    </row>
    <row r="112" spans="2:11" x14ac:dyDescent="0.25">
      <c r="B112" s="2">
        <v>7891800375282</v>
      </c>
      <c r="C112" s="4">
        <v>375282</v>
      </c>
      <c r="D112" s="3" t="s">
        <v>111</v>
      </c>
      <c r="E112" s="10">
        <v>32</v>
      </c>
      <c r="F112" s="17">
        <v>7.0000000000000007E-2</v>
      </c>
      <c r="G112" s="4">
        <v>0</v>
      </c>
      <c r="H112" s="35">
        <v>332.65</v>
      </c>
      <c r="I112" s="35">
        <v>332.65</v>
      </c>
      <c r="J112" s="35">
        <f>I112/E112</f>
        <v>10.395312499999999</v>
      </c>
      <c r="K112" s="40"/>
    </row>
    <row r="113" spans="2:11" s="47" customFormat="1" x14ac:dyDescent="0.25">
      <c r="B113" s="30">
        <v>7896004801636</v>
      </c>
      <c r="C113" s="31">
        <v>410846</v>
      </c>
      <c r="D113" s="32" t="s">
        <v>112</v>
      </c>
      <c r="E113" s="33">
        <v>36</v>
      </c>
      <c r="F113" s="34">
        <v>7.0000000000000007E-2</v>
      </c>
      <c r="G113" s="31">
        <v>0</v>
      </c>
      <c r="H113" s="37" t="e">
        <v>#N/A</v>
      </c>
      <c r="I113" s="45" t="e">
        <f t="shared" si="1"/>
        <v>#N/A</v>
      </c>
      <c r="J113" s="37" t="e">
        <f>I113/E113</f>
        <v>#N/A</v>
      </c>
      <c r="K113" s="42" t="s">
        <v>151</v>
      </c>
    </row>
    <row r="114" spans="2:11" s="47" customFormat="1" x14ac:dyDescent="0.25">
      <c r="B114" s="30">
        <v>7896004818375</v>
      </c>
      <c r="C114" s="31">
        <v>410945</v>
      </c>
      <c r="D114" s="32" t="s">
        <v>113</v>
      </c>
      <c r="E114" s="33">
        <v>36</v>
      </c>
      <c r="F114" s="34">
        <v>7.0000000000000007E-2</v>
      </c>
      <c r="G114" s="31">
        <v>0</v>
      </c>
      <c r="H114" s="37" t="e">
        <v>#N/A</v>
      </c>
      <c r="I114" s="45" t="e">
        <f t="shared" si="1"/>
        <v>#N/A</v>
      </c>
      <c r="J114" s="37" t="e">
        <f>I114/E114</f>
        <v>#N/A</v>
      </c>
      <c r="K114" s="42" t="s">
        <v>151</v>
      </c>
    </row>
    <row r="115" spans="2:11" s="47" customFormat="1" x14ac:dyDescent="0.25">
      <c r="B115" s="30">
        <v>7896004801650</v>
      </c>
      <c r="C115" s="31">
        <v>410860</v>
      </c>
      <c r="D115" s="32" t="s">
        <v>114</v>
      </c>
      <c r="E115" s="33">
        <v>36</v>
      </c>
      <c r="F115" s="34">
        <v>7.0000000000000007E-2</v>
      </c>
      <c r="G115" s="31">
        <v>0</v>
      </c>
      <c r="H115" s="37"/>
      <c r="I115" s="37"/>
      <c r="J115" s="37"/>
      <c r="K115" s="42" t="s">
        <v>151</v>
      </c>
    </row>
    <row r="116" spans="2:11" s="47" customFormat="1" x14ac:dyDescent="0.25">
      <c r="B116" s="30">
        <v>7896004801667</v>
      </c>
      <c r="C116" s="31">
        <v>410877</v>
      </c>
      <c r="D116" s="32" t="s">
        <v>115</v>
      </c>
      <c r="E116" s="33">
        <v>36</v>
      </c>
      <c r="F116" s="34">
        <v>7.0000000000000007E-2</v>
      </c>
      <c r="G116" s="31">
        <v>0</v>
      </c>
      <c r="H116" s="37" t="e">
        <v>#N/A</v>
      </c>
      <c r="I116" s="45" t="e">
        <f t="shared" si="1"/>
        <v>#N/A</v>
      </c>
      <c r="J116" s="37" t="e">
        <f>I116/E116</f>
        <v>#N/A</v>
      </c>
      <c r="K116" s="42" t="s">
        <v>151</v>
      </c>
    </row>
    <row r="117" spans="2:11" s="47" customFormat="1" x14ac:dyDescent="0.25">
      <c r="B117" s="30">
        <v>7896004801728</v>
      </c>
      <c r="C117" s="31">
        <v>410921</v>
      </c>
      <c r="D117" s="32" t="s">
        <v>116</v>
      </c>
      <c r="E117" s="33">
        <v>36</v>
      </c>
      <c r="F117" s="34">
        <v>7.0000000000000007E-2</v>
      </c>
      <c r="G117" s="31">
        <v>0</v>
      </c>
      <c r="H117" s="37"/>
      <c r="I117" s="45"/>
      <c r="J117" s="37"/>
      <c r="K117" s="42" t="s">
        <v>151</v>
      </c>
    </row>
    <row r="118" spans="2:11" s="47" customFormat="1" x14ac:dyDescent="0.25">
      <c r="B118" s="30">
        <v>7896004801735</v>
      </c>
      <c r="C118" s="31">
        <v>410938</v>
      </c>
      <c r="D118" s="32" t="s">
        <v>117</v>
      </c>
      <c r="E118" s="33">
        <v>36</v>
      </c>
      <c r="F118" s="34">
        <v>7.0000000000000007E-2</v>
      </c>
      <c r="G118" s="31">
        <v>0</v>
      </c>
      <c r="H118" s="37"/>
      <c r="I118" s="45"/>
      <c r="J118" s="37"/>
      <c r="K118" s="42" t="s">
        <v>151</v>
      </c>
    </row>
    <row r="119" spans="2:11" x14ac:dyDescent="0.25">
      <c r="B119" s="2">
        <v>7891800228106</v>
      </c>
      <c r="C119" s="4">
        <v>228045</v>
      </c>
      <c r="D119" s="3" t="s">
        <v>118</v>
      </c>
      <c r="E119" s="10">
        <v>24</v>
      </c>
      <c r="F119" s="17">
        <v>7.0000000000000007E-2</v>
      </c>
      <c r="G119" s="4">
        <v>0</v>
      </c>
      <c r="H119" s="35">
        <v>581.59</v>
      </c>
      <c r="I119" s="35">
        <v>581.59</v>
      </c>
      <c r="J119" s="35">
        <f>I119/E119</f>
        <v>24.232916666666668</v>
      </c>
      <c r="K119" s="40"/>
    </row>
    <row r="120" spans="2:11" x14ac:dyDescent="0.25">
      <c r="B120" s="2">
        <v>7891800578263</v>
      </c>
      <c r="C120" s="4">
        <v>578263</v>
      </c>
      <c r="D120" s="3" t="s">
        <v>119</v>
      </c>
      <c r="E120" s="10">
        <v>32</v>
      </c>
      <c r="F120" s="17">
        <v>7.0000000000000007E-2</v>
      </c>
      <c r="G120" s="4">
        <v>0</v>
      </c>
      <c r="H120" s="35">
        <v>276.50752688172048</v>
      </c>
      <c r="I120" s="35">
        <v>276.50752688172048</v>
      </c>
      <c r="J120" s="35">
        <f>I120/E120</f>
        <v>8.640860215053765</v>
      </c>
      <c r="K120" s="40"/>
    </row>
    <row r="121" spans="2:11" x14ac:dyDescent="0.25">
      <c r="B121" s="2">
        <v>7891800332643</v>
      </c>
      <c r="C121" s="20">
        <v>664263</v>
      </c>
      <c r="D121" s="3" t="s">
        <v>120</v>
      </c>
      <c r="E121" s="10">
        <v>6</v>
      </c>
      <c r="F121" s="17">
        <v>7.0000000000000007E-2</v>
      </c>
      <c r="G121" s="4">
        <v>0</v>
      </c>
      <c r="H121" s="35">
        <v>363.28645161290325</v>
      </c>
      <c r="I121" s="35">
        <v>363.28645161290325</v>
      </c>
      <c r="J121" s="35">
        <f>I121/E121</f>
        <v>60.547741935483877</v>
      </c>
      <c r="K121" s="40"/>
    </row>
    <row r="122" spans="2:11" x14ac:dyDescent="0.25">
      <c r="B122" s="2">
        <v>7891800332629</v>
      </c>
      <c r="C122" s="4">
        <v>375992</v>
      </c>
      <c r="D122" s="3" t="s">
        <v>121</v>
      </c>
      <c r="E122" s="10">
        <v>12</v>
      </c>
      <c r="F122" s="17">
        <v>7.0000000000000007E-2</v>
      </c>
      <c r="G122" s="4">
        <v>0</v>
      </c>
      <c r="H122" s="35">
        <v>287.89935483870971</v>
      </c>
      <c r="I122" s="35">
        <v>287.89935483870971</v>
      </c>
      <c r="J122" s="35">
        <f>I122/E122</f>
        <v>23.991612903225811</v>
      </c>
      <c r="K122" s="40"/>
    </row>
    <row r="123" spans="2:11" x14ac:dyDescent="0.25">
      <c r="B123" s="2">
        <v>7891800332803</v>
      </c>
      <c r="C123" s="4">
        <v>379433</v>
      </c>
      <c r="D123" s="3" t="s">
        <v>122</v>
      </c>
      <c r="E123" s="10">
        <v>12</v>
      </c>
      <c r="F123" s="17">
        <v>7.0000000000000007E-2</v>
      </c>
      <c r="G123" s="4">
        <v>0</v>
      </c>
      <c r="H123" s="35">
        <v>327.15354838709675</v>
      </c>
      <c r="I123" s="35">
        <v>327.15354838709675</v>
      </c>
      <c r="J123" s="35">
        <f>I123/E123</f>
        <v>27.26279569892473</v>
      </c>
      <c r="K123" s="40"/>
    </row>
    <row r="124" spans="2:11" x14ac:dyDescent="0.25">
      <c r="B124" s="2">
        <v>7891800332667</v>
      </c>
      <c r="C124" s="4">
        <v>372809</v>
      </c>
      <c r="D124" s="3" t="s">
        <v>123</v>
      </c>
      <c r="E124" s="10">
        <v>12</v>
      </c>
      <c r="F124" s="17">
        <v>7.0000000000000007E-2</v>
      </c>
      <c r="G124" s="4">
        <v>0</v>
      </c>
      <c r="H124" s="35">
        <v>320.69935483870972</v>
      </c>
      <c r="I124" s="35">
        <v>320.69935483870972</v>
      </c>
      <c r="J124" s="35">
        <f>I124/E124</f>
        <v>26.724946236559145</v>
      </c>
      <c r="K124" s="40"/>
    </row>
    <row r="125" spans="2:11" x14ac:dyDescent="0.25">
      <c r="B125" s="2">
        <v>7891800332681</v>
      </c>
      <c r="C125" s="4">
        <v>372816</v>
      </c>
      <c r="D125" s="3" t="s">
        <v>124</v>
      </c>
      <c r="E125" s="10">
        <v>12</v>
      </c>
      <c r="F125" s="17">
        <v>7.0000000000000007E-2</v>
      </c>
      <c r="G125" s="4">
        <v>0</v>
      </c>
      <c r="H125" s="35">
        <v>320.69935483870972</v>
      </c>
      <c r="I125" s="35">
        <v>320.69935483870972</v>
      </c>
      <c r="J125" s="35">
        <f>I125/E125</f>
        <v>26.724946236559145</v>
      </c>
      <c r="K125" s="40"/>
    </row>
    <row r="126" spans="2:11" x14ac:dyDescent="0.25">
      <c r="B126" s="2">
        <v>7891800359251</v>
      </c>
      <c r="C126" s="4">
        <v>661965</v>
      </c>
      <c r="D126" s="3" t="s">
        <v>125</v>
      </c>
      <c r="E126" s="10">
        <v>12</v>
      </c>
      <c r="F126" s="17">
        <v>7.0000000000000007E-2</v>
      </c>
      <c r="G126" s="4">
        <v>0</v>
      </c>
      <c r="H126" s="35">
        <v>299.53806451612905</v>
      </c>
      <c r="I126" s="35">
        <v>299.53806451612905</v>
      </c>
      <c r="J126" s="35">
        <f>I126/E126</f>
        <v>24.961505376344089</v>
      </c>
      <c r="K126" s="40"/>
    </row>
    <row r="127" spans="2:11" x14ac:dyDescent="0.25">
      <c r="B127" s="2">
        <v>7891800332650</v>
      </c>
      <c r="C127" s="4">
        <v>376005</v>
      </c>
      <c r="D127" s="3" t="s">
        <v>126</v>
      </c>
      <c r="E127" s="10">
        <v>12</v>
      </c>
      <c r="F127" s="17">
        <v>7.0000000000000007E-2</v>
      </c>
      <c r="G127" s="4">
        <v>0</v>
      </c>
      <c r="H127" s="35">
        <v>291.17935483870974</v>
      </c>
      <c r="I127" s="35">
        <v>291.17935483870974</v>
      </c>
      <c r="J127" s="35">
        <f>I127/E127</f>
        <v>24.264946236559144</v>
      </c>
      <c r="K127" s="40"/>
    </row>
    <row r="128" spans="2:11" x14ac:dyDescent="0.25">
      <c r="B128" s="2">
        <v>7891800359565</v>
      </c>
      <c r="C128" s="4">
        <v>661972</v>
      </c>
      <c r="D128" s="3" t="s">
        <v>127</v>
      </c>
      <c r="E128" s="10">
        <v>12</v>
      </c>
      <c r="F128" s="17">
        <v>7.0000000000000007E-2</v>
      </c>
      <c r="G128" s="4">
        <v>0</v>
      </c>
      <c r="H128" s="35">
        <v>299.53806451612905</v>
      </c>
      <c r="I128" s="35">
        <v>299.53806451612905</v>
      </c>
      <c r="J128" s="35">
        <f>I128/E128</f>
        <v>24.961505376344089</v>
      </c>
      <c r="K128" s="40"/>
    </row>
    <row r="129" spans="2:11" x14ac:dyDescent="0.25">
      <c r="B129" s="2">
        <v>7898935462023</v>
      </c>
      <c r="C129" s="4">
        <v>410068</v>
      </c>
      <c r="D129" s="3" t="s">
        <v>128</v>
      </c>
      <c r="E129" s="10">
        <v>36</v>
      </c>
      <c r="F129" s="17">
        <v>7.0000000000000007E-2</v>
      </c>
      <c r="G129" s="4">
        <v>0</v>
      </c>
      <c r="H129" s="35">
        <v>259.01419354838714</v>
      </c>
      <c r="I129" s="35">
        <v>259.01419354838714</v>
      </c>
      <c r="J129" s="35">
        <f>I129/E129</f>
        <v>7.1948387096774207</v>
      </c>
      <c r="K129" s="40"/>
    </row>
    <row r="130" spans="2:11" x14ac:dyDescent="0.25">
      <c r="B130" s="2">
        <v>7896004800851</v>
      </c>
      <c r="C130" s="4">
        <v>410051</v>
      </c>
      <c r="D130" s="3" t="s">
        <v>129</v>
      </c>
      <c r="E130" s="10">
        <v>36</v>
      </c>
      <c r="F130" s="17">
        <v>7.0000000000000007E-2</v>
      </c>
      <c r="G130" s="4">
        <v>0</v>
      </c>
      <c r="H130" s="35">
        <v>207.27483870967748</v>
      </c>
      <c r="I130" s="35">
        <v>207.27483870967748</v>
      </c>
      <c r="J130" s="35">
        <f>I130/E130</f>
        <v>5.7576344086021525</v>
      </c>
      <c r="K130" s="40"/>
    </row>
    <row r="131" spans="2:11" x14ac:dyDescent="0.25">
      <c r="B131" s="2">
        <v>7891800627428</v>
      </c>
      <c r="C131" s="4">
        <v>664300</v>
      </c>
      <c r="D131" s="3" t="s">
        <v>130</v>
      </c>
      <c r="E131" s="10">
        <v>6</v>
      </c>
      <c r="F131" s="17">
        <v>7.0000000000000007E-2</v>
      </c>
      <c r="G131" s="4">
        <v>0</v>
      </c>
      <c r="H131" s="35">
        <v>195.63612903225811</v>
      </c>
      <c r="I131" s="35">
        <v>195.63612903225811</v>
      </c>
      <c r="J131" s="35">
        <f>I131/E131</f>
        <v>32.606021505376354</v>
      </c>
      <c r="K131" s="40"/>
    </row>
    <row r="132" spans="2:11" x14ac:dyDescent="0.25">
      <c r="B132" s="2">
        <v>7891800625974</v>
      </c>
      <c r="C132" s="20">
        <v>664294</v>
      </c>
      <c r="D132" s="3" t="s">
        <v>131</v>
      </c>
      <c r="E132" s="10">
        <v>6</v>
      </c>
      <c r="F132" s="17">
        <v>7.0000000000000007E-2</v>
      </c>
      <c r="G132" s="4">
        <v>0</v>
      </c>
      <c r="H132" s="35">
        <v>195.63612903225811</v>
      </c>
      <c r="I132" s="35">
        <v>195.63612903225811</v>
      </c>
      <c r="J132" s="35">
        <f>I132/E132</f>
        <v>32.606021505376354</v>
      </c>
      <c r="K132" s="40"/>
    </row>
    <row r="133" spans="2:11" x14ac:dyDescent="0.25">
      <c r="B133" s="2">
        <v>7891800332865</v>
      </c>
      <c r="C133" s="4">
        <v>332865</v>
      </c>
      <c r="D133" s="3" t="s">
        <v>132</v>
      </c>
      <c r="E133" s="10">
        <v>12</v>
      </c>
      <c r="F133" s="17">
        <v>7.0000000000000007E-2</v>
      </c>
      <c r="G133" s="4">
        <v>0</v>
      </c>
      <c r="H133" s="35">
        <v>301.86580645161297</v>
      </c>
      <c r="I133" s="35">
        <v>301.86580645161297</v>
      </c>
      <c r="J133" s="35">
        <f>I133/E133</f>
        <v>25.155483870967746</v>
      </c>
      <c r="K133" s="40"/>
    </row>
    <row r="134" spans="2:11" x14ac:dyDescent="0.25">
      <c r="B134" s="2">
        <v>7891800637724</v>
      </c>
      <c r="C134" s="4">
        <v>637724</v>
      </c>
      <c r="D134" s="3" t="s">
        <v>133</v>
      </c>
      <c r="E134" s="10">
        <v>12</v>
      </c>
      <c r="F134" s="17">
        <v>7.0000000000000007E-2</v>
      </c>
      <c r="G134" s="4">
        <v>0</v>
      </c>
      <c r="H134" s="35">
        <v>370.85161290322583</v>
      </c>
      <c r="I134" s="35">
        <v>370.85161290322583</v>
      </c>
      <c r="J134" s="35">
        <f>I134/E134</f>
        <v>30.904301075268819</v>
      </c>
      <c r="K134" s="40"/>
    </row>
    <row r="135" spans="2:11" x14ac:dyDescent="0.25">
      <c r="B135" s="2">
        <v>7891800332902</v>
      </c>
      <c r="C135" s="4">
        <v>332902</v>
      </c>
      <c r="D135" s="3" t="s">
        <v>134</v>
      </c>
      <c r="E135" s="10">
        <v>12</v>
      </c>
      <c r="F135" s="17">
        <v>7.0000000000000007E-2</v>
      </c>
      <c r="G135" s="4">
        <v>0</v>
      </c>
      <c r="H135" s="35">
        <v>337.41677419354846</v>
      </c>
      <c r="I135" s="35">
        <v>337.41677419354846</v>
      </c>
      <c r="J135" s="35">
        <f>I135/E135</f>
        <v>28.118064516129039</v>
      </c>
      <c r="K135" s="40"/>
    </row>
    <row r="136" spans="2:11" x14ac:dyDescent="0.25">
      <c r="B136" s="2">
        <v>7891800332926</v>
      </c>
      <c r="C136" s="4">
        <v>332926</v>
      </c>
      <c r="D136" s="3" t="s">
        <v>135</v>
      </c>
      <c r="E136" s="10">
        <v>12</v>
      </c>
      <c r="F136" s="17">
        <v>7.0000000000000007E-2</v>
      </c>
      <c r="G136" s="4">
        <v>0</v>
      </c>
      <c r="H136" s="35">
        <v>337.41677419354846</v>
      </c>
      <c r="I136" s="35">
        <v>337.41677419354846</v>
      </c>
      <c r="J136" s="35">
        <f>I136/E136</f>
        <v>28.118064516129039</v>
      </c>
      <c r="K136" s="40"/>
    </row>
    <row r="137" spans="2:11" x14ac:dyDescent="0.25">
      <c r="B137" s="2">
        <v>7891800648539</v>
      </c>
      <c r="C137" s="4">
        <v>648539</v>
      </c>
      <c r="D137" s="3" t="s">
        <v>136</v>
      </c>
      <c r="E137" s="10">
        <v>12</v>
      </c>
      <c r="F137" s="17">
        <v>7.0000000000000007E-2</v>
      </c>
      <c r="G137" s="4">
        <v>0</v>
      </c>
      <c r="H137" s="35">
        <v>88.771612903225815</v>
      </c>
      <c r="I137" s="35">
        <v>88.771612903225815</v>
      </c>
      <c r="J137" s="35">
        <f>I137/E137</f>
        <v>7.3976344086021513</v>
      </c>
      <c r="K137" s="40"/>
    </row>
    <row r="138" spans="2:11" x14ac:dyDescent="0.25">
      <c r="B138" s="2">
        <v>7896004802398</v>
      </c>
      <c r="C138" s="4">
        <v>410488</v>
      </c>
      <c r="D138" s="3" t="s">
        <v>137</v>
      </c>
      <c r="E138" s="10">
        <v>96</v>
      </c>
      <c r="F138" s="17">
        <v>0.04</v>
      </c>
      <c r="G138" s="4">
        <v>0</v>
      </c>
      <c r="H138" s="35">
        <v>213.2</v>
      </c>
      <c r="I138" s="35">
        <v>213.2</v>
      </c>
      <c r="J138" s="35">
        <f>I138/E138</f>
        <v>2.2208333333333332</v>
      </c>
      <c r="K138" s="40"/>
    </row>
    <row r="139" spans="2:11" x14ac:dyDescent="0.25">
      <c r="B139" s="2">
        <v>7891800646047</v>
      </c>
      <c r="C139" s="4">
        <v>646047</v>
      </c>
      <c r="D139" s="3" t="s">
        <v>138</v>
      </c>
      <c r="E139" s="10">
        <v>12</v>
      </c>
      <c r="F139" s="17">
        <v>7.0000000000000007E-2</v>
      </c>
      <c r="G139" s="4">
        <v>0</v>
      </c>
      <c r="H139" s="35">
        <v>64.541935483870972</v>
      </c>
      <c r="I139" s="35">
        <v>64.541935483870972</v>
      </c>
      <c r="J139" s="35">
        <f>I139/E139</f>
        <v>5.3784946236559144</v>
      </c>
      <c r="K139" s="40"/>
    </row>
    <row r="140" spans="2:11" x14ac:dyDescent="0.25">
      <c r="B140" s="2">
        <v>7891800647969</v>
      </c>
      <c r="C140" s="4">
        <v>647969</v>
      </c>
      <c r="D140" s="3" t="s">
        <v>139</v>
      </c>
      <c r="E140" s="10">
        <v>12</v>
      </c>
      <c r="F140" s="17">
        <v>0</v>
      </c>
      <c r="G140" s="4">
        <v>0</v>
      </c>
      <c r="H140" s="35">
        <v>298.94</v>
      </c>
      <c r="I140" s="35">
        <v>298.94</v>
      </c>
      <c r="J140" s="35">
        <f>I140/E140</f>
        <v>24.911666666666665</v>
      </c>
      <c r="K140" s="40"/>
    </row>
    <row r="141" spans="2:11" x14ac:dyDescent="0.25">
      <c r="B141" s="2">
        <v>7891800647983</v>
      </c>
      <c r="C141" s="4">
        <v>647983</v>
      </c>
      <c r="D141" s="3" t="s">
        <v>140</v>
      </c>
      <c r="E141" s="10">
        <v>12</v>
      </c>
      <c r="F141" s="17">
        <v>0</v>
      </c>
      <c r="G141" s="4">
        <v>0</v>
      </c>
      <c r="H141" s="35">
        <v>298.94</v>
      </c>
      <c r="I141" s="35">
        <v>298.94</v>
      </c>
      <c r="J141" s="35">
        <f>I141/E141</f>
        <v>24.911666666666665</v>
      </c>
      <c r="K141" s="40"/>
    </row>
    <row r="142" spans="2:11" x14ac:dyDescent="0.25">
      <c r="B142" s="2">
        <v>7891800647976</v>
      </c>
      <c r="C142" s="4">
        <v>647976</v>
      </c>
      <c r="D142" s="3" t="s">
        <v>141</v>
      </c>
      <c r="E142" s="10">
        <v>12</v>
      </c>
      <c r="F142" s="17">
        <v>0</v>
      </c>
      <c r="G142" s="4">
        <v>0</v>
      </c>
      <c r="H142" s="35">
        <v>298.94</v>
      </c>
      <c r="I142" s="35">
        <v>298.94</v>
      </c>
      <c r="J142" s="35">
        <f>I142/E142</f>
        <v>24.911666666666665</v>
      </c>
      <c r="K142" s="40"/>
    </row>
    <row r="143" spans="2:11" x14ac:dyDescent="0.25">
      <c r="B143" s="2">
        <v>7891800647945</v>
      </c>
      <c r="C143" s="4">
        <v>647945</v>
      </c>
      <c r="D143" s="3" t="s">
        <v>142</v>
      </c>
      <c r="E143" s="10">
        <v>24</v>
      </c>
      <c r="F143" s="17">
        <v>0</v>
      </c>
      <c r="G143" s="4">
        <v>0</v>
      </c>
      <c r="H143" s="35">
        <v>621.29999999999995</v>
      </c>
      <c r="I143" s="35">
        <v>621.29999999999995</v>
      </c>
      <c r="J143" s="35">
        <f>I143/E143</f>
        <v>25.887499999999999</v>
      </c>
      <c r="K143" s="40"/>
    </row>
    <row r="144" spans="2:11" x14ac:dyDescent="0.25">
      <c r="B144" s="2">
        <v>7891800647938</v>
      </c>
      <c r="C144" s="4">
        <v>647938</v>
      </c>
      <c r="D144" s="3" t="s">
        <v>143</v>
      </c>
      <c r="E144" s="10">
        <v>24</v>
      </c>
      <c r="F144" s="17">
        <v>0</v>
      </c>
      <c r="G144" s="4">
        <v>0</v>
      </c>
      <c r="H144" s="35">
        <v>621.29999999999995</v>
      </c>
      <c r="I144" s="35">
        <v>621.29999999999995</v>
      </c>
      <c r="J144" s="35">
        <f>I144/E144</f>
        <v>25.887499999999999</v>
      </c>
      <c r="K144" s="40"/>
    </row>
    <row r="145" spans="2:11" ht="15.75" thickBot="1" x14ac:dyDescent="0.3">
      <c r="B145" s="2">
        <v>7891800647921</v>
      </c>
      <c r="C145" s="4">
        <v>647921</v>
      </c>
      <c r="D145" s="3" t="s">
        <v>144</v>
      </c>
      <c r="E145" s="10">
        <v>24</v>
      </c>
      <c r="F145" s="17">
        <v>0</v>
      </c>
      <c r="G145" s="4">
        <v>0</v>
      </c>
      <c r="H145" s="35">
        <v>621.29999999999995</v>
      </c>
      <c r="I145" s="35">
        <v>621.29999999999995</v>
      </c>
      <c r="J145" s="35">
        <f>I145/E145</f>
        <v>25.887499999999999</v>
      </c>
      <c r="K145" s="43"/>
    </row>
  </sheetData>
  <autoFilter ref="B2:J145" xr:uid="{7F0AEECF-13DA-4913-9212-3EE362B28137}"/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c97b6507-6a44-46de-9a28-2d9dd3256784}" enabled="0" method="" siteId="{c97b6507-6a44-46de-9a28-2d9dd32567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Preço MT-MS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- Compras</dc:creator>
  <cp:lastModifiedBy>JULIANA BORGES ROSSAFA PERES</cp:lastModifiedBy>
  <dcterms:created xsi:type="dcterms:W3CDTF">2022-06-29T11:54:52Z</dcterms:created>
  <dcterms:modified xsi:type="dcterms:W3CDTF">2026-01-19T14:19:55Z</dcterms:modified>
</cp:coreProperties>
</file>