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046612\Desktop\Políticas - EMS\Julho_26\"/>
    </mc:Choice>
  </mc:AlternateContent>
  <xr:revisionPtr revIDLastSave="0" documentId="13_ncr:1_{70B656E1-7772-4F74-B815-AE1F40F6C7C5}" xr6:coauthVersionLast="47" xr6:coauthVersionMax="47" xr10:uidLastSave="{00000000-0000-0000-0000-000000000000}"/>
  <bookViews>
    <workbookView xWindow="-108" yWindow="-108" windowWidth="23256" windowHeight="12456" xr2:uid="{E25EED2D-E770-425D-8042-74B42D4F6665}"/>
  </bookViews>
  <sheets>
    <sheet name="Tabela" sheetId="1" r:id="rId1"/>
  </sheets>
  <definedNames>
    <definedName name="_xlnm._FilterDatabase" localSheetId="0" hidden="1">Tabela!$B$6:$J$48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9" i="1"/>
  <c r="J14" i="1"/>
  <c r="J15" i="1"/>
  <c r="J44" i="1"/>
  <c r="J23" i="1" l="1"/>
  <c r="J7" i="1" l="1"/>
  <c r="J8" i="1" l="1"/>
  <c r="J9" i="1"/>
  <c r="J10" i="1"/>
  <c r="J11" i="1"/>
  <c r="J12" i="1"/>
  <c r="J13" i="1"/>
  <c r="J16" i="1"/>
  <c r="J17" i="1"/>
  <c r="J18" i="1"/>
  <c r="J19" i="1"/>
  <c r="J20" i="1"/>
  <c r="J21" i="1"/>
  <c r="J22" i="1"/>
  <c r="J24" i="1"/>
  <c r="J25" i="1"/>
  <c r="J26" i="1"/>
  <c r="J27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5" i="1"/>
  <c r="J46" i="1"/>
  <c r="J47" i="1"/>
  <c r="J48" i="1"/>
</calcChain>
</file>

<file path=xl/sharedStrings.xml><?xml version="1.0" encoding="utf-8"?>
<sst xmlns="http://schemas.openxmlformats.org/spreadsheetml/2006/main" count="140" uniqueCount="91">
  <si>
    <t>UIDADE FEDERATIVA:</t>
  </si>
  <si>
    <t>TABELA</t>
  </si>
  <si>
    <t>MT</t>
  </si>
  <si>
    <t>REPASSE ICMS</t>
  </si>
  <si>
    <t>CÓDIGO</t>
  </si>
  <si>
    <t>EAN</t>
  </si>
  <si>
    <t>Produto</t>
  </si>
  <si>
    <t>APRESENT.</t>
  </si>
  <si>
    <t>LISTA</t>
  </si>
  <si>
    <t>CX. PAD.</t>
  </si>
  <si>
    <t>PF</t>
  </si>
  <si>
    <t>POLITICA</t>
  </si>
  <si>
    <t>TOTAL LIQ. R$</t>
  </si>
  <si>
    <t>A SAUDE DA MULHER 150ML SOLUCAO</t>
  </si>
  <si>
    <t>FR X 150 ML</t>
  </si>
  <si>
    <t>FR X 240 ML</t>
  </si>
  <si>
    <t>ALLEXOFEDRIN 120MG 1BLTC/10 COM REV-E</t>
  </si>
  <si>
    <t>1 BL X 10 COMP REVEST</t>
  </si>
  <si>
    <t>ALLEXOFEDRIN 180MG 1BLTC/10 COM REV-E</t>
  </si>
  <si>
    <t>ALLEXOFEDRIN D 60+120MG 1BLT C/10C.REV</t>
  </si>
  <si>
    <t>ALLEXOFEDRIN PEDIATRICO6MG/MLSUS 60ML-E</t>
  </si>
  <si>
    <t>6MG/MLSUS 60ML-E</t>
  </si>
  <si>
    <t>ALLEXOFEDRIN PEDIATRICO6MG/MLSUS150 ML-E</t>
  </si>
  <si>
    <t>6MG/MLSUS150 ML-E</t>
  </si>
  <si>
    <t>2 BL X 15</t>
  </si>
  <si>
    <t>APEVITIN BC XPE FRC/240ML</t>
  </si>
  <si>
    <t>1 BL X 15 COMP.</t>
  </si>
  <si>
    <t>2 BL X 15 COMP.</t>
  </si>
  <si>
    <t>BENZIFLEX LIS 125MG+5MG 15COM.REV.-E</t>
  </si>
  <si>
    <t>BENZIFLEX LIS 125MG+5MG 2BL15 COM.REV.-E</t>
  </si>
  <si>
    <t>BISURAN 4MG/5ML XPE INF 120ML-E</t>
  </si>
  <si>
    <t>FR X 120 ML</t>
  </si>
  <si>
    <t>BISURAN 8MG/5ML XPE AD. 120ML-E</t>
  </si>
  <si>
    <t>FR X 100 ML</t>
  </si>
  <si>
    <t>CELERGIN 20 COMP-E</t>
  </si>
  <si>
    <t>CX. C/20 COMP.</t>
  </si>
  <si>
    <t>CELERGIN XPE 120ML-E</t>
  </si>
  <si>
    <t>CLOPE 3,54MG/ML XPE 120ML FR PLAS-E</t>
  </si>
  <si>
    <t>COMPLEXO B 12 XPE FR C/120ML E</t>
  </si>
  <si>
    <t>COMPLEXO B CPR REVEST x 20</t>
  </si>
  <si>
    <t xml:space="preserve">FR X 20 </t>
  </si>
  <si>
    <t>COMPLEXO B FR C/100 COM REV  E</t>
  </si>
  <si>
    <t>FR X 100</t>
  </si>
  <si>
    <t>CYSTEX FR C/24 DRG</t>
  </si>
  <si>
    <t xml:space="preserve">FR X 24 </t>
  </si>
  <si>
    <t>EMSEXPECTOR XAROPE FR C/120ML - E</t>
  </si>
  <si>
    <t>ENDCOFF PAST MEL ELIMAO C/12UN</t>
  </si>
  <si>
    <t>3 STP X 4</t>
  </si>
  <si>
    <t>ENDCOFF PAST STP MENTA C/12 UN</t>
  </si>
  <si>
    <t>EXPECTUSS XPE ADULTO FR C/100ML</t>
  </si>
  <si>
    <t>EXPECTUSS XPE INF FR C/100ML</t>
  </si>
  <si>
    <t>FOLIFOLIN 5MG 2BLTX15COMP - E</t>
  </si>
  <si>
    <t>2 BLT X 15 COMP.</t>
  </si>
  <si>
    <t>GEROVITAL  2BLT15 CAP MOLE-E</t>
  </si>
  <si>
    <t>3 BL X 10</t>
  </si>
  <si>
    <t>GEROVITAL 3BLT C/20 CAP</t>
  </si>
  <si>
    <t>6 BL X 10</t>
  </si>
  <si>
    <t>IBULIV 400MG 2 BLT C/ 4CAPS GEL.MOLES-E</t>
  </si>
  <si>
    <t>2 BLT X 4 CÁPS.</t>
  </si>
  <si>
    <t>INFRALAX 1BLT C/15COMP - EMS</t>
  </si>
  <si>
    <t>1 BLT C/ 15</t>
  </si>
  <si>
    <t>INFRALAX 20BLTX10COMP - E</t>
  </si>
  <si>
    <t>20 BLT X 10</t>
  </si>
  <si>
    <t>INFRALAX 2BLT C/15COMP - EMS</t>
  </si>
  <si>
    <t>NARIDRIN 12HS GOTAS FR C/30ML</t>
  </si>
  <si>
    <t>FR X 30 ML</t>
  </si>
  <si>
    <t>30ENVX2,16G+FR240ML</t>
  </si>
  <si>
    <t>NARIDRIN ALTO VOL REFIL</t>
  </si>
  <si>
    <t>30 ENV X 2,16G</t>
  </si>
  <si>
    <t>NARIDRIN AQUA 9MG/ML FRASCO C/50ML-E</t>
  </si>
  <si>
    <t>FR X 50 ML SPRAY</t>
  </si>
  <si>
    <t>NARIDRIN GOTAS AD FR C/15ML</t>
  </si>
  <si>
    <t>FR X 15 ML</t>
  </si>
  <si>
    <t>NARIDRIN GOTAS INF FR C/15ML</t>
  </si>
  <si>
    <t>NARIDRIN H 30MG/ML SOL.NAS SPRAY 60ML-E</t>
  </si>
  <si>
    <t>FRASCO X 60ML</t>
  </si>
  <si>
    <t>SOMINEX COMPOS OTC CPR REVEST x 20</t>
  </si>
  <si>
    <t>2 BL X 10</t>
  </si>
  <si>
    <t>2 BLT C/15</t>
  </si>
  <si>
    <t>4 BLT C/15</t>
  </si>
  <si>
    <t>SUPLEVIT MULHER VIT. 2BLT C/15 CAP.GEL-E</t>
  </si>
  <si>
    <t>SUPLEVIT MULHER VIT. 4BLT C/15 CAP.GEL-E</t>
  </si>
  <si>
    <t>VITAFER FR C/50 COMP-E</t>
  </si>
  <si>
    <t>FR X 50</t>
  </si>
  <si>
    <t>N</t>
  </si>
  <si>
    <t xml:space="preserve"> N</t>
  </si>
  <si>
    <t>NEUT</t>
  </si>
  <si>
    <t>SECRELISE XAROPE</t>
  </si>
  <si>
    <t>FR C/ 120ML-E</t>
  </si>
  <si>
    <t>NARIDRIN ALTO VOL 30ENVX2,16G+FR240ML</t>
  </si>
  <si>
    <t>POLÍTICA COMERCIAL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</si>
</sst>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indexed="10"/>
      <name val="Arial"/>
      <family val="2"/>
    </font>
    <font>
      <b/>
      <sz val="10"/>
      <color theme="1"/>
      <name val="Calibri Light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/>
    <xf numFmtId="9" fontId="7" fillId="0" borderId="0" xfId="0" applyNumberFormat="1" applyFont="1"/>
    <xf numFmtId="0" fontId="2" fillId="3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/>
    </xf>
    <xf numFmtId="0" fontId="11" fillId="0" borderId="9" xfId="0" applyFont="1" applyBorder="1"/>
    <xf numFmtId="0" fontId="4" fillId="0" borderId="9" xfId="0" applyFont="1" applyBorder="1" applyAlignment="1">
      <alignment horizontal="center"/>
    </xf>
    <xf numFmtId="10" fontId="12" fillId="0" borderId="9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0" fontId="13" fillId="0" borderId="9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5" fontId="4" fillId="0" borderId="9" xfId="3" applyBorder="1" applyAlignment="1">
      <alignment horizontal="center" vertical="center"/>
    </xf>
    <xf numFmtId="165" fontId="4" fillId="3" borderId="9" xfId="3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49" fontId="8" fillId="3" borderId="0" xfId="0" applyNumberFormat="1" applyFont="1" applyFill="1" applyAlignment="1">
      <alignment horizontal="center"/>
    </xf>
    <xf numFmtId="165" fontId="4" fillId="0" borderId="9" xfId="3" applyBorder="1" applyAlignment="1">
      <alignment horizontal="center"/>
    </xf>
    <xf numFmtId="165" fontId="4" fillId="3" borderId="9" xfId="3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5" fillId="0" borderId="6" xfId="2" applyNumberFormat="1" applyFont="1" applyBorder="1" applyAlignment="1" applyProtection="1">
      <alignment horizontal="center" vertical="center"/>
      <protection locked="0"/>
    </xf>
    <xf numFmtId="49" fontId="5" fillId="0" borderId="7" xfId="2" applyNumberFormat="1" applyFont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14" fillId="0" borderId="5" xfId="2" applyNumberFormat="1" applyFont="1" applyBorder="1" applyAlignment="1">
      <alignment horizontal="center" vertical="center"/>
    </xf>
    <xf numFmtId="10" fontId="14" fillId="0" borderId="11" xfId="2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Normal" xfId="0" builtinId="0"/>
    <cellStyle name="Porcentagem" xfId="1" builtinId="5"/>
    <cellStyle name="Porcentagem 6" xfId="2" xr:uid="{72A178B6-BE9C-4F0D-A67E-4FBE133A9605}"/>
    <cellStyle name="Vírgula 6 2" xfId="3" xr:uid="{B79EA5B6-C488-4A46-A412-C9D4889F55F0}"/>
  </cellStyles>
  <dxfs count="4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/>
        <condense val="0"/>
        <extend val="0"/>
        <color indexed="12"/>
      </font>
    </dxf>
    <dxf>
      <font>
        <b val="0"/>
        <i/>
        <condense val="0"/>
        <extend val="0"/>
        <color indexed="10"/>
      </font>
    </dxf>
    <dxf>
      <font>
        <b val="0"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169334</xdr:colOff>
      <xdr:row>1</xdr:row>
      <xdr:rowOff>73379</xdr:rowOff>
    </xdr:from>
    <xdr:to>
      <xdr:col>2</xdr:col>
      <xdr:colOff>705556</xdr:colOff>
      <xdr:row>2</xdr:row>
      <xdr:rowOff>192996</xdr:rowOff>
    </xdr:to>
    <xdr:pic>
      <xdr:nvPicPr>
        <xdr:cNvPr id="3" name="Imagem 6">
          <a:extLst>
            <a:ext uri="{FF2B5EF4-FFF2-40B4-BE49-F238E27FC236}">
              <a16:creationId xmlns:a16="http://schemas.microsoft.com/office/drawing/2014/main" id="{D535426E-3144-42C1-964B-CD1FF0DE9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734" y="268112"/>
          <a:ext cx="536222" cy="356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5E4B-990D-412B-A18F-DDC477BB8404}">
  <dimension ref="B1:K48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11" sqref="I11"/>
    </sheetView>
  </sheetViews>
  <sheetFormatPr defaultRowHeight="14.4" x14ac:dyDescent="0.3"/>
  <cols>
    <col min="1" max="1" width="6.21875" style="22" customWidth="1"/>
    <col min="2" max="2" width="10.33203125" style="22" bestFit="1" customWidth="1"/>
    <col min="3" max="3" width="16.5546875" style="22" customWidth="1"/>
    <col min="4" max="4" width="40.44140625" style="22" customWidth="1"/>
    <col min="5" max="5" width="18.6640625" style="22" customWidth="1"/>
    <col min="6" max="6" width="7.5546875" style="23" customWidth="1"/>
    <col min="7" max="7" width="8.109375" style="22" customWidth="1"/>
    <col min="8" max="8" width="10.21875" style="28" customWidth="1"/>
    <col min="9" max="9" width="11.5546875" style="22" customWidth="1"/>
    <col min="10" max="10" width="9.5546875" style="28" customWidth="1"/>
    <col min="11" max="11" width="2.33203125" style="22" customWidth="1"/>
    <col min="12" max="16384" width="8.88671875" style="22"/>
  </cols>
  <sheetData>
    <row r="1" spans="2:11" customFormat="1" ht="15" thickBot="1" x14ac:dyDescent="0.35">
      <c r="F1" s="17"/>
      <c r="G1" s="1"/>
      <c r="H1" s="26"/>
      <c r="I1" s="32" t="s">
        <v>0</v>
      </c>
      <c r="J1" s="33"/>
    </row>
    <row r="2" spans="2:11" customFormat="1" ht="18.600000000000001" thickTop="1" thickBot="1" x14ac:dyDescent="0.35">
      <c r="B2" s="34"/>
      <c r="C2" s="2"/>
      <c r="D2" s="42" t="s">
        <v>90</v>
      </c>
      <c r="E2" s="42"/>
      <c r="F2" s="2"/>
      <c r="G2" s="13"/>
      <c r="H2" s="15" t="s">
        <v>1</v>
      </c>
      <c r="I2" s="36" t="s">
        <v>2</v>
      </c>
      <c r="J2" s="37"/>
    </row>
    <row r="3" spans="2:11" customFormat="1" ht="18" thickTop="1" x14ac:dyDescent="0.3">
      <c r="B3" s="35"/>
      <c r="C3" s="3"/>
      <c r="D3" s="43"/>
      <c r="E3" s="43"/>
      <c r="F3" s="3"/>
      <c r="G3" s="14"/>
      <c r="H3" s="16">
        <v>0.17</v>
      </c>
      <c r="I3" s="38" t="s">
        <v>3</v>
      </c>
      <c r="J3" s="39"/>
    </row>
    <row r="4" spans="2:11" customFormat="1" x14ac:dyDescent="0.3">
      <c r="B4" s="4"/>
      <c r="C4" s="4"/>
      <c r="F4" s="17"/>
      <c r="G4" s="1"/>
      <c r="H4" s="1"/>
      <c r="I4" s="40">
        <v>0.1075</v>
      </c>
      <c r="J4" s="41"/>
    </row>
    <row r="5" spans="2:11" customFormat="1" ht="4.2" customHeight="1" x14ac:dyDescent="0.3">
      <c r="F5" s="17"/>
      <c r="G5" s="1"/>
      <c r="H5" s="1"/>
      <c r="I5" s="5"/>
      <c r="J5" s="29"/>
    </row>
    <row r="6" spans="2:11" customFormat="1" x14ac:dyDescent="0.3">
      <c r="B6" s="6" t="s">
        <v>4</v>
      </c>
      <c r="C6" s="6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8" t="s">
        <v>11</v>
      </c>
      <c r="J6" s="7" t="s">
        <v>12</v>
      </c>
      <c r="K6" s="18"/>
    </row>
    <row r="7" spans="2:11" customFormat="1" x14ac:dyDescent="0.3">
      <c r="B7" s="9">
        <v>60000</v>
      </c>
      <c r="C7" s="9">
        <v>7896004817477</v>
      </c>
      <c r="D7" s="10" t="s">
        <v>13</v>
      </c>
      <c r="E7" s="10" t="s">
        <v>14</v>
      </c>
      <c r="F7" s="24" t="s">
        <v>84</v>
      </c>
      <c r="G7" s="11">
        <v>35</v>
      </c>
      <c r="H7" s="27">
        <v>17.489999999999998</v>
      </c>
      <c r="I7" s="12">
        <v>0.26</v>
      </c>
      <c r="J7" s="30">
        <f>H7-(H7*I7)-((H7-(H7*I7))*$I$4)</f>
        <v>11.551270499999999</v>
      </c>
      <c r="K7" s="19"/>
    </row>
    <row r="8" spans="2:11" x14ac:dyDescent="0.3">
      <c r="B8" s="9">
        <v>2256</v>
      </c>
      <c r="C8" s="9">
        <v>7896004768588</v>
      </c>
      <c r="D8" s="20" t="s">
        <v>16</v>
      </c>
      <c r="E8" s="20" t="s">
        <v>17</v>
      </c>
      <c r="F8" s="25" t="s">
        <v>84</v>
      </c>
      <c r="G8" s="21">
        <v>48</v>
      </c>
      <c r="H8" s="27">
        <v>48.89</v>
      </c>
      <c r="I8" s="12">
        <v>0.74250000000000005</v>
      </c>
      <c r="J8" s="31">
        <f t="shared" ref="J8:J32" si="0">H8-(H8*I8)-((H8-(H8*I8))*$I$4)</f>
        <v>11.235838687499998</v>
      </c>
      <c r="K8" s="19"/>
    </row>
    <row r="9" spans="2:11" x14ac:dyDescent="0.3">
      <c r="B9" s="9">
        <v>2255</v>
      </c>
      <c r="C9" s="9">
        <v>7896004768571</v>
      </c>
      <c r="D9" s="20" t="s">
        <v>18</v>
      </c>
      <c r="E9" s="20" t="s">
        <v>17</v>
      </c>
      <c r="F9" s="25" t="s">
        <v>84</v>
      </c>
      <c r="G9" s="21">
        <v>48</v>
      </c>
      <c r="H9" s="27">
        <v>71.05</v>
      </c>
      <c r="I9" s="12">
        <v>0.74249999999999994</v>
      </c>
      <c r="J9" s="31">
        <f t="shared" si="0"/>
        <v>16.328622187500006</v>
      </c>
      <c r="K9" s="19"/>
    </row>
    <row r="10" spans="2:11" x14ac:dyDescent="0.3">
      <c r="B10" s="9">
        <v>2133</v>
      </c>
      <c r="C10" s="9">
        <v>7896004705408</v>
      </c>
      <c r="D10" s="20" t="s">
        <v>19</v>
      </c>
      <c r="E10" s="20" t="s">
        <v>17</v>
      </c>
      <c r="F10" s="25" t="s">
        <v>85</v>
      </c>
      <c r="G10" s="21">
        <v>48</v>
      </c>
      <c r="H10" s="27">
        <v>46.62</v>
      </c>
      <c r="I10" s="12">
        <v>0.23</v>
      </c>
      <c r="J10" s="31">
        <f t="shared" si="0"/>
        <v>32.038429499999999</v>
      </c>
      <c r="K10" s="19"/>
    </row>
    <row r="11" spans="2:11" x14ac:dyDescent="0.3">
      <c r="B11" s="9">
        <v>2346</v>
      </c>
      <c r="C11" s="9">
        <v>7896004770895</v>
      </c>
      <c r="D11" s="20" t="s">
        <v>20</v>
      </c>
      <c r="E11" s="20" t="s">
        <v>21</v>
      </c>
      <c r="F11" s="25" t="s">
        <v>84</v>
      </c>
      <c r="G11" s="21">
        <v>25</v>
      </c>
      <c r="H11" s="27">
        <v>22.15</v>
      </c>
      <c r="I11" s="12">
        <v>0.43</v>
      </c>
      <c r="J11" s="31">
        <f t="shared" si="0"/>
        <v>11.268258749999999</v>
      </c>
      <c r="K11" s="19"/>
    </row>
    <row r="12" spans="2:11" x14ac:dyDescent="0.3">
      <c r="B12" s="9">
        <v>2347</v>
      </c>
      <c r="C12" s="9">
        <v>7896004770901</v>
      </c>
      <c r="D12" s="20" t="s">
        <v>22</v>
      </c>
      <c r="E12" s="20" t="s">
        <v>23</v>
      </c>
      <c r="F12" s="25" t="s">
        <v>84</v>
      </c>
      <c r="G12" s="21">
        <v>25</v>
      </c>
      <c r="H12" s="27">
        <v>50.29</v>
      </c>
      <c r="I12" s="12">
        <v>0.46</v>
      </c>
      <c r="J12" s="31">
        <f t="shared" si="0"/>
        <v>24.237265499999999</v>
      </c>
      <c r="K12" s="19"/>
    </row>
    <row r="13" spans="2:11" x14ac:dyDescent="0.3">
      <c r="B13" s="9">
        <v>1001</v>
      </c>
      <c r="C13" s="9">
        <v>7896004700502</v>
      </c>
      <c r="D13" s="20" t="s">
        <v>25</v>
      </c>
      <c r="E13" s="20" t="s">
        <v>15</v>
      </c>
      <c r="F13" s="25" t="s">
        <v>85</v>
      </c>
      <c r="G13" s="21">
        <v>35</v>
      </c>
      <c r="H13" s="27">
        <v>44.96</v>
      </c>
      <c r="I13" s="12">
        <v>0.78</v>
      </c>
      <c r="J13" s="31">
        <f t="shared" si="0"/>
        <v>8.8278959999999973</v>
      </c>
      <c r="K13" s="19"/>
    </row>
    <row r="14" spans="2:11" x14ac:dyDescent="0.3">
      <c r="B14" s="9">
        <v>1574</v>
      </c>
      <c r="C14" s="9">
        <v>7896004753218</v>
      </c>
      <c r="D14" s="20" t="s">
        <v>28</v>
      </c>
      <c r="E14" s="20" t="s">
        <v>26</v>
      </c>
      <c r="F14" s="25" t="s">
        <v>85</v>
      </c>
      <c r="G14" s="21">
        <v>48</v>
      </c>
      <c r="H14" s="27">
        <v>28.29</v>
      </c>
      <c r="I14" s="12">
        <v>0.48</v>
      </c>
      <c r="J14" s="31">
        <f t="shared" si="0"/>
        <v>13.129389</v>
      </c>
      <c r="K14" s="19"/>
    </row>
    <row r="15" spans="2:11" x14ac:dyDescent="0.3">
      <c r="B15" s="9">
        <v>2292</v>
      </c>
      <c r="C15" s="9">
        <v>7896004769639</v>
      </c>
      <c r="D15" s="20" t="s">
        <v>29</v>
      </c>
      <c r="E15" s="20" t="s">
        <v>27</v>
      </c>
      <c r="F15" s="25" t="s">
        <v>84</v>
      </c>
      <c r="G15" s="21">
        <v>48</v>
      </c>
      <c r="H15" s="27">
        <v>55.27</v>
      </c>
      <c r="I15" s="12">
        <v>0.52470000000000006</v>
      </c>
      <c r="J15" s="31">
        <f t="shared" si="0"/>
        <v>23.4458241675</v>
      </c>
      <c r="K15" s="19"/>
    </row>
    <row r="16" spans="2:11" x14ac:dyDescent="0.3">
      <c r="B16" s="9">
        <v>1072</v>
      </c>
      <c r="C16" s="9">
        <v>7896004720609</v>
      </c>
      <c r="D16" s="20" t="s">
        <v>30</v>
      </c>
      <c r="E16" s="20" t="s">
        <v>31</v>
      </c>
      <c r="F16" s="25" t="s">
        <v>85</v>
      </c>
      <c r="G16" s="21">
        <v>60</v>
      </c>
      <c r="H16" s="27">
        <v>13.78</v>
      </c>
      <c r="I16" s="12">
        <v>0.52470000000000006</v>
      </c>
      <c r="J16" s="31">
        <f t="shared" si="0"/>
        <v>5.8455483449999992</v>
      </c>
      <c r="K16" s="19"/>
    </row>
    <row r="17" spans="2:11" x14ac:dyDescent="0.3">
      <c r="B17" s="9">
        <v>1318</v>
      </c>
      <c r="C17" s="9">
        <v>7896004733784</v>
      </c>
      <c r="D17" s="20" t="s">
        <v>32</v>
      </c>
      <c r="E17" s="20" t="s">
        <v>31</v>
      </c>
      <c r="F17" s="25" t="s">
        <v>85</v>
      </c>
      <c r="G17" s="21">
        <v>60</v>
      </c>
      <c r="H17" s="27">
        <v>19.100000000000001</v>
      </c>
      <c r="I17" s="12">
        <v>0.6137999999999999</v>
      </c>
      <c r="J17" s="31">
        <f t="shared" si="0"/>
        <v>6.5834548500000025</v>
      </c>
      <c r="K17" s="19"/>
    </row>
    <row r="18" spans="2:11" x14ac:dyDescent="0.3">
      <c r="B18" s="9">
        <v>2141</v>
      </c>
      <c r="C18" s="9">
        <v>7896004706573</v>
      </c>
      <c r="D18" s="20" t="s">
        <v>34</v>
      </c>
      <c r="E18" s="20" t="s">
        <v>35</v>
      </c>
      <c r="F18" s="25" t="s">
        <v>85</v>
      </c>
      <c r="G18" s="21">
        <v>60</v>
      </c>
      <c r="H18" s="27">
        <v>21.07</v>
      </c>
      <c r="I18" s="12">
        <v>0.64</v>
      </c>
      <c r="J18" s="31">
        <f t="shared" si="0"/>
        <v>6.7697910000000006</v>
      </c>
      <c r="K18" s="19"/>
    </row>
    <row r="19" spans="2:11" x14ac:dyDescent="0.3">
      <c r="B19" s="9">
        <v>1066</v>
      </c>
      <c r="C19" s="9">
        <v>7896004706764</v>
      </c>
      <c r="D19" s="20" t="s">
        <v>36</v>
      </c>
      <c r="E19" s="20" t="s">
        <v>31</v>
      </c>
      <c r="F19" s="25" t="s">
        <v>85</v>
      </c>
      <c r="G19" s="21">
        <v>60</v>
      </c>
      <c r="H19" s="27">
        <v>28.47</v>
      </c>
      <c r="I19" s="12">
        <v>0.72</v>
      </c>
      <c r="J19" s="31">
        <f t="shared" si="0"/>
        <v>7.1146529999999988</v>
      </c>
      <c r="K19" s="19"/>
    </row>
    <row r="20" spans="2:11" x14ac:dyDescent="0.3">
      <c r="B20" s="9">
        <v>2322</v>
      </c>
      <c r="C20" s="9">
        <v>7896004770222</v>
      </c>
      <c r="D20" s="20" t="s">
        <v>37</v>
      </c>
      <c r="E20" s="20" t="s">
        <v>31</v>
      </c>
      <c r="F20" s="25" t="s">
        <v>84</v>
      </c>
      <c r="G20" s="21">
        <v>60</v>
      </c>
      <c r="H20" s="27">
        <v>33.81</v>
      </c>
      <c r="I20" s="12">
        <v>0.51</v>
      </c>
      <c r="J20" s="31">
        <f t="shared" si="0"/>
        <v>14.78595825</v>
      </c>
      <c r="K20" s="19"/>
    </row>
    <row r="21" spans="2:11" x14ac:dyDescent="0.3">
      <c r="B21" s="9">
        <v>2383</v>
      </c>
      <c r="C21" s="9">
        <v>7896004772318</v>
      </c>
      <c r="D21" s="20" t="s">
        <v>38</v>
      </c>
      <c r="E21" s="20" t="s">
        <v>31</v>
      </c>
      <c r="F21" s="25" t="s">
        <v>84</v>
      </c>
      <c r="G21" s="21">
        <v>60</v>
      </c>
      <c r="H21" s="27">
        <v>33.72</v>
      </c>
      <c r="I21" s="12">
        <v>0.66</v>
      </c>
      <c r="J21" s="31">
        <f t="shared" si="0"/>
        <v>10.232334</v>
      </c>
      <c r="K21" s="19"/>
    </row>
    <row r="22" spans="2:11" x14ac:dyDescent="0.3">
      <c r="B22" s="9">
        <v>2384</v>
      </c>
      <c r="C22" s="9">
        <v>7896004772325</v>
      </c>
      <c r="D22" s="20" t="s">
        <v>39</v>
      </c>
      <c r="E22" s="20" t="s">
        <v>40</v>
      </c>
      <c r="F22" s="25" t="s">
        <v>84</v>
      </c>
      <c r="G22" s="21">
        <v>100</v>
      </c>
      <c r="H22" s="27">
        <v>33.81</v>
      </c>
      <c r="I22" s="12">
        <v>0.62</v>
      </c>
      <c r="J22" s="31">
        <f t="shared" si="0"/>
        <v>11.466661499999999</v>
      </c>
      <c r="K22" s="19"/>
    </row>
    <row r="23" spans="2:11" x14ac:dyDescent="0.3">
      <c r="B23" s="9">
        <v>2382</v>
      </c>
      <c r="C23" s="9">
        <v>7896004772301</v>
      </c>
      <c r="D23" s="20" t="s">
        <v>41</v>
      </c>
      <c r="E23" s="20" t="s">
        <v>42</v>
      </c>
      <c r="F23" s="25" t="s">
        <v>84</v>
      </c>
      <c r="G23" s="21">
        <v>120</v>
      </c>
      <c r="H23" s="27">
        <v>42.52</v>
      </c>
      <c r="I23" s="12">
        <v>0.53</v>
      </c>
      <c r="J23" s="31">
        <f t="shared" si="0"/>
        <v>17.836077</v>
      </c>
      <c r="K23" s="19"/>
    </row>
    <row r="24" spans="2:11" x14ac:dyDescent="0.3">
      <c r="B24" s="9">
        <v>2011</v>
      </c>
      <c r="C24" s="9">
        <v>7896004801216</v>
      </c>
      <c r="D24" s="20" t="s">
        <v>43</v>
      </c>
      <c r="E24" s="20" t="s">
        <v>44</v>
      </c>
      <c r="F24" s="25" t="s">
        <v>85</v>
      </c>
      <c r="G24" s="21">
        <v>100</v>
      </c>
      <c r="H24" s="27">
        <v>29.68</v>
      </c>
      <c r="I24" s="12">
        <v>0.16</v>
      </c>
      <c r="J24" s="31">
        <f t="shared" si="0"/>
        <v>22.251096</v>
      </c>
      <c r="K24" s="19"/>
    </row>
    <row r="25" spans="2:11" x14ac:dyDescent="0.3">
      <c r="B25" s="9">
        <v>1190</v>
      </c>
      <c r="C25" s="9">
        <v>7896004727806</v>
      </c>
      <c r="D25" s="20" t="s">
        <v>45</v>
      </c>
      <c r="E25" s="20" t="s">
        <v>31</v>
      </c>
      <c r="F25" s="25" t="s">
        <v>85</v>
      </c>
      <c r="G25" s="21">
        <v>60</v>
      </c>
      <c r="H25" s="27">
        <v>23.97</v>
      </c>
      <c r="I25" s="12">
        <v>0.45</v>
      </c>
      <c r="J25" s="31">
        <f t="shared" si="0"/>
        <v>11.766273749999998</v>
      </c>
      <c r="K25" s="19"/>
    </row>
    <row r="26" spans="2:11" x14ac:dyDescent="0.3">
      <c r="B26" s="9">
        <v>2111</v>
      </c>
      <c r="C26" s="9">
        <v>7896004702322</v>
      </c>
      <c r="D26" s="20" t="s">
        <v>46</v>
      </c>
      <c r="E26" s="20" t="s">
        <v>47</v>
      </c>
      <c r="F26" s="25" t="s">
        <v>85</v>
      </c>
      <c r="G26" s="21">
        <v>50</v>
      </c>
      <c r="H26" s="27">
        <v>21.07</v>
      </c>
      <c r="I26" s="12">
        <v>0.47</v>
      </c>
      <c r="J26" s="31">
        <f t="shared" si="0"/>
        <v>9.966636750000001</v>
      </c>
      <c r="K26" s="19"/>
    </row>
    <row r="27" spans="2:11" x14ac:dyDescent="0.3">
      <c r="B27" s="9">
        <v>2092</v>
      </c>
      <c r="C27" s="9">
        <v>7896004702346</v>
      </c>
      <c r="D27" s="20" t="s">
        <v>48</v>
      </c>
      <c r="E27" s="20" t="s">
        <v>47</v>
      </c>
      <c r="F27" s="25" t="s">
        <v>85</v>
      </c>
      <c r="G27" s="21">
        <v>50</v>
      </c>
      <c r="H27" s="27">
        <v>21.07</v>
      </c>
      <c r="I27" s="12">
        <v>0.47</v>
      </c>
      <c r="J27" s="31">
        <f t="shared" si="0"/>
        <v>9.966636750000001</v>
      </c>
      <c r="K27" s="19"/>
    </row>
    <row r="28" spans="2:11" x14ac:dyDescent="0.3">
      <c r="B28" s="9">
        <v>1016</v>
      </c>
      <c r="C28" s="9">
        <v>7896004705743</v>
      </c>
      <c r="D28" s="20" t="s">
        <v>49</v>
      </c>
      <c r="E28" s="20" t="s">
        <v>33</v>
      </c>
      <c r="F28" s="25" t="s">
        <v>85</v>
      </c>
      <c r="G28" s="21">
        <v>60</v>
      </c>
      <c r="H28" s="27">
        <v>26.03</v>
      </c>
      <c r="I28" s="12">
        <v>0.54</v>
      </c>
      <c r="J28" s="31">
        <f t="shared" si="0"/>
        <v>10.6866165</v>
      </c>
      <c r="K28" s="19"/>
    </row>
    <row r="29" spans="2:11" x14ac:dyDescent="0.3">
      <c r="B29" s="9">
        <v>1015</v>
      </c>
      <c r="C29" s="9">
        <v>7896004805368</v>
      </c>
      <c r="D29" s="20" t="s">
        <v>50</v>
      </c>
      <c r="E29" s="20" t="s">
        <v>33</v>
      </c>
      <c r="F29" s="25" t="s">
        <v>85</v>
      </c>
      <c r="G29" s="21">
        <v>60</v>
      </c>
      <c r="H29" s="27">
        <v>17.91</v>
      </c>
      <c r="I29" s="12">
        <v>0.5</v>
      </c>
      <c r="J29" s="31">
        <f t="shared" si="0"/>
        <v>7.9923374999999997</v>
      </c>
      <c r="K29" s="19"/>
    </row>
    <row r="30" spans="2:11" x14ac:dyDescent="0.3">
      <c r="B30" s="9">
        <v>1168</v>
      </c>
      <c r="C30" s="9">
        <v>7896004726700</v>
      </c>
      <c r="D30" s="20" t="s">
        <v>51</v>
      </c>
      <c r="E30" s="20" t="s">
        <v>52</v>
      </c>
      <c r="F30" s="25" t="s">
        <v>85</v>
      </c>
      <c r="G30" s="21">
        <v>60</v>
      </c>
      <c r="H30" s="27">
        <v>14.87</v>
      </c>
      <c r="I30" s="12">
        <v>0.64</v>
      </c>
      <c r="J30" s="31">
        <f t="shared" si="0"/>
        <v>4.7777309999999993</v>
      </c>
      <c r="K30" s="19"/>
    </row>
    <row r="31" spans="2:11" x14ac:dyDescent="0.3">
      <c r="B31" s="9">
        <v>2318</v>
      </c>
      <c r="C31" s="9">
        <v>7896004770185</v>
      </c>
      <c r="D31" s="20" t="s">
        <v>53</v>
      </c>
      <c r="E31" s="20" t="s">
        <v>54</v>
      </c>
      <c r="F31" s="25" t="s">
        <v>84</v>
      </c>
      <c r="G31" s="21">
        <v>54</v>
      </c>
      <c r="H31" s="27">
        <v>76.02</v>
      </c>
      <c r="I31" s="12">
        <v>0.56000000000000005</v>
      </c>
      <c r="J31" s="31">
        <f t="shared" si="0"/>
        <v>29.853053999999993</v>
      </c>
      <c r="K31" s="19"/>
    </row>
    <row r="32" spans="2:11" x14ac:dyDescent="0.3">
      <c r="B32" s="9">
        <v>2062</v>
      </c>
      <c r="C32" s="9">
        <v>7896004717999</v>
      </c>
      <c r="D32" s="20" t="s">
        <v>55</v>
      </c>
      <c r="E32" s="20" t="s">
        <v>56</v>
      </c>
      <c r="F32" s="25" t="s">
        <v>84</v>
      </c>
      <c r="G32" s="21">
        <v>50</v>
      </c>
      <c r="H32" s="27">
        <v>101.41</v>
      </c>
      <c r="I32" s="12">
        <v>0.45</v>
      </c>
      <c r="J32" s="31">
        <f t="shared" si="0"/>
        <v>49.779633749999995</v>
      </c>
      <c r="K32" s="19"/>
    </row>
    <row r="33" spans="2:11" x14ac:dyDescent="0.3">
      <c r="B33" s="9">
        <v>1471</v>
      </c>
      <c r="C33" s="9">
        <v>7896004746012</v>
      </c>
      <c r="D33" s="20" t="s">
        <v>57</v>
      </c>
      <c r="E33" s="20" t="s">
        <v>58</v>
      </c>
      <c r="F33" s="25" t="s">
        <v>85</v>
      </c>
      <c r="G33" s="21">
        <v>60</v>
      </c>
      <c r="H33" s="27">
        <v>23.8</v>
      </c>
      <c r="I33" s="12">
        <v>0.70289999999999997</v>
      </c>
      <c r="J33" s="31">
        <f t="shared" ref="J33:J48" si="1">H33-(H33*I33)-((H33-(H33*I33))*$I$4)</f>
        <v>6.3108496500000024</v>
      </c>
      <c r="K33" s="19"/>
    </row>
    <row r="34" spans="2:11" x14ac:dyDescent="0.3">
      <c r="B34" s="9">
        <v>1175</v>
      </c>
      <c r="C34" s="9">
        <v>7896004727158</v>
      </c>
      <c r="D34" s="20" t="s">
        <v>59</v>
      </c>
      <c r="E34" s="20" t="s">
        <v>60</v>
      </c>
      <c r="F34" s="25" t="s">
        <v>85</v>
      </c>
      <c r="G34" s="21">
        <v>48</v>
      </c>
      <c r="H34" s="27">
        <v>13.63</v>
      </c>
      <c r="I34" s="12">
        <v>0.72</v>
      </c>
      <c r="J34" s="31">
        <f t="shared" si="1"/>
        <v>3.4061369999999997</v>
      </c>
      <c r="K34" s="19"/>
    </row>
    <row r="35" spans="2:11" x14ac:dyDescent="0.3">
      <c r="B35" s="9">
        <v>1821</v>
      </c>
      <c r="C35" s="9">
        <v>7896004755502</v>
      </c>
      <c r="D35" s="20" t="s">
        <v>61</v>
      </c>
      <c r="E35" s="20" t="s">
        <v>62</v>
      </c>
      <c r="F35" s="25" t="s">
        <v>85</v>
      </c>
      <c r="G35" s="21">
        <v>24</v>
      </c>
      <c r="H35" s="27">
        <v>210.62</v>
      </c>
      <c r="I35" s="12">
        <v>0.80190000000000006</v>
      </c>
      <c r="J35" s="31">
        <f t="shared" si="1"/>
        <v>37.238511134999989</v>
      </c>
      <c r="K35" s="19"/>
    </row>
    <row r="36" spans="2:11" x14ac:dyDescent="0.3">
      <c r="B36" s="9">
        <v>2138</v>
      </c>
      <c r="C36" s="9">
        <v>7896004705682</v>
      </c>
      <c r="D36" s="20" t="s">
        <v>63</v>
      </c>
      <c r="E36" s="20" t="s">
        <v>24</v>
      </c>
      <c r="F36" s="25" t="s">
        <v>85</v>
      </c>
      <c r="G36" s="21">
        <v>48</v>
      </c>
      <c r="H36" s="27">
        <v>27.52</v>
      </c>
      <c r="I36" s="12">
        <v>0.72</v>
      </c>
      <c r="J36" s="31">
        <f t="shared" si="1"/>
        <v>6.8772480000000007</v>
      </c>
      <c r="K36" s="19"/>
    </row>
    <row r="37" spans="2:11" x14ac:dyDescent="0.3">
      <c r="B37" s="9">
        <v>6011</v>
      </c>
      <c r="C37" s="9">
        <v>7896004714578</v>
      </c>
      <c r="D37" s="20" t="s">
        <v>64</v>
      </c>
      <c r="E37" s="20" t="s">
        <v>65</v>
      </c>
      <c r="F37" s="25" t="s">
        <v>85</v>
      </c>
      <c r="G37" s="21">
        <v>100</v>
      </c>
      <c r="H37" s="27">
        <v>28.69</v>
      </c>
      <c r="I37" s="12">
        <v>0.72299999999999998</v>
      </c>
      <c r="J37" s="31">
        <f t="shared" si="1"/>
        <v>7.0928135250000013</v>
      </c>
      <c r="K37" s="19"/>
    </row>
    <row r="38" spans="2:11" x14ac:dyDescent="0.3">
      <c r="B38" s="9">
        <v>2604</v>
      </c>
      <c r="C38" s="9">
        <v>7896004788371</v>
      </c>
      <c r="D38" s="20" t="s">
        <v>89</v>
      </c>
      <c r="E38" s="20" t="s">
        <v>66</v>
      </c>
      <c r="F38" s="25" t="s">
        <v>85</v>
      </c>
      <c r="G38" s="21">
        <v>21</v>
      </c>
      <c r="H38" s="27">
        <v>84.4</v>
      </c>
      <c r="I38" s="12">
        <v>0.63360000000000005</v>
      </c>
      <c r="J38" s="31">
        <f t="shared" si="1"/>
        <v>27.599812800000002</v>
      </c>
      <c r="K38" s="19"/>
    </row>
    <row r="39" spans="2:11" x14ac:dyDescent="0.3">
      <c r="B39" s="9">
        <v>2605</v>
      </c>
      <c r="C39" s="9">
        <v>7896004788388</v>
      </c>
      <c r="D39" s="20" t="s">
        <v>67</v>
      </c>
      <c r="E39" s="20" t="s">
        <v>68</v>
      </c>
      <c r="F39" s="25" t="s">
        <v>85</v>
      </c>
      <c r="G39" s="21">
        <v>28</v>
      </c>
      <c r="H39" s="27">
        <v>70.33</v>
      </c>
      <c r="I39" s="12">
        <v>0.59399999999999986</v>
      </c>
      <c r="J39" s="31">
        <f t="shared" si="1"/>
        <v>25.484427150000009</v>
      </c>
      <c r="K39" s="19"/>
    </row>
    <row r="40" spans="2:11" x14ac:dyDescent="0.3">
      <c r="B40" s="9">
        <v>1433</v>
      </c>
      <c r="C40" s="9">
        <v>7896004742847</v>
      </c>
      <c r="D40" s="20" t="s">
        <v>69</v>
      </c>
      <c r="E40" s="20" t="s">
        <v>70</v>
      </c>
      <c r="F40" s="25" t="s">
        <v>84</v>
      </c>
      <c r="G40" s="21">
        <v>25</v>
      </c>
      <c r="H40" s="27">
        <v>29.94</v>
      </c>
      <c r="I40" s="12">
        <v>0.70289999999999997</v>
      </c>
      <c r="J40" s="31">
        <f t="shared" si="1"/>
        <v>7.9389427950000009</v>
      </c>
      <c r="K40" s="19"/>
    </row>
    <row r="41" spans="2:11" x14ac:dyDescent="0.3">
      <c r="B41" s="9">
        <v>6005</v>
      </c>
      <c r="C41" s="9">
        <v>7896004803456</v>
      </c>
      <c r="D41" s="20" t="s">
        <v>71</v>
      </c>
      <c r="E41" s="20" t="s">
        <v>72</v>
      </c>
      <c r="F41" s="25" t="s">
        <v>85</v>
      </c>
      <c r="G41" s="21">
        <v>100</v>
      </c>
      <c r="H41" s="27">
        <v>16.11</v>
      </c>
      <c r="I41" s="12">
        <v>0.69</v>
      </c>
      <c r="J41" s="31">
        <f t="shared" si="1"/>
        <v>4.4572342500000008</v>
      </c>
      <c r="K41" s="19"/>
    </row>
    <row r="42" spans="2:11" x14ac:dyDescent="0.3">
      <c r="B42" s="9">
        <v>6006</v>
      </c>
      <c r="C42" s="9">
        <v>7896004803463</v>
      </c>
      <c r="D42" s="20" t="s">
        <v>73</v>
      </c>
      <c r="E42" s="20" t="s">
        <v>72</v>
      </c>
      <c r="F42" s="25" t="s">
        <v>85</v>
      </c>
      <c r="G42" s="21">
        <v>100</v>
      </c>
      <c r="H42" s="27">
        <v>17.22</v>
      </c>
      <c r="I42" s="12">
        <v>0.71</v>
      </c>
      <c r="J42" s="31">
        <f t="shared" si="1"/>
        <v>4.4569665000000001</v>
      </c>
      <c r="K42" s="19"/>
    </row>
    <row r="43" spans="2:11" x14ac:dyDescent="0.3">
      <c r="B43" s="9">
        <v>1079</v>
      </c>
      <c r="C43" s="9">
        <v>7896004721583</v>
      </c>
      <c r="D43" s="20" t="s">
        <v>74</v>
      </c>
      <c r="E43" s="20" t="s">
        <v>75</v>
      </c>
      <c r="F43" s="25" t="s">
        <v>85</v>
      </c>
      <c r="G43" s="21">
        <v>25</v>
      </c>
      <c r="H43" s="27">
        <v>27.02</v>
      </c>
      <c r="I43" s="12">
        <v>0.69299999999999995</v>
      </c>
      <c r="J43" s="31">
        <f t="shared" si="1"/>
        <v>7.4034124500000003</v>
      </c>
      <c r="K43" s="19"/>
    </row>
    <row r="44" spans="2:11" x14ac:dyDescent="0.3">
      <c r="B44" s="9">
        <v>2459</v>
      </c>
      <c r="C44" s="9">
        <v>7896004776804</v>
      </c>
      <c r="D44" s="20" t="s">
        <v>87</v>
      </c>
      <c r="E44" s="20" t="s">
        <v>88</v>
      </c>
      <c r="F44" s="25" t="s">
        <v>84</v>
      </c>
      <c r="G44" s="21">
        <v>60</v>
      </c>
      <c r="H44" s="27">
        <v>39.770000000000003</v>
      </c>
      <c r="I44" s="12">
        <v>0.71</v>
      </c>
      <c r="J44" s="31">
        <f t="shared" si="1"/>
        <v>10.29347025</v>
      </c>
      <c r="K44" s="19"/>
    </row>
    <row r="45" spans="2:11" x14ac:dyDescent="0.3">
      <c r="B45" s="9">
        <v>2398</v>
      </c>
      <c r="C45" s="9">
        <v>7896004774107</v>
      </c>
      <c r="D45" s="20" t="s">
        <v>76</v>
      </c>
      <c r="E45" s="20" t="s">
        <v>77</v>
      </c>
      <c r="F45" s="25" t="s">
        <v>84</v>
      </c>
      <c r="G45" s="21">
        <v>48</v>
      </c>
      <c r="H45" s="27">
        <v>49.29</v>
      </c>
      <c r="I45" s="12">
        <v>0.66231000000000007</v>
      </c>
      <c r="J45" s="31">
        <f t="shared" si="1"/>
        <v>14.855430539249999</v>
      </c>
      <c r="K45" s="19"/>
    </row>
    <row r="46" spans="2:11" x14ac:dyDescent="0.3">
      <c r="B46" s="9">
        <v>1818</v>
      </c>
      <c r="C46" s="9">
        <v>7896004755458</v>
      </c>
      <c r="D46" s="20" t="s">
        <v>80</v>
      </c>
      <c r="E46" s="20" t="s">
        <v>78</v>
      </c>
      <c r="F46" s="25" t="s">
        <v>86</v>
      </c>
      <c r="G46" s="21">
        <v>60</v>
      </c>
      <c r="H46" s="27">
        <v>99.91</v>
      </c>
      <c r="I46" s="12">
        <v>0.81179999999999997</v>
      </c>
      <c r="J46" s="31">
        <f t="shared" si="1"/>
        <v>16.781732834999996</v>
      </c>
      <c r="K46" s="19"/>
    </row>
    <row r="47" spans="2:11" x14ac:dyDescent="0.3">
      <c r="B47" s="9">
        <v>1819</v>
      </c>
      <c r="C47" s="9">
        <v>7896004755465</v>
      </c>
      <c r="D47" s="20" t="s">
        <v>81</v>
      </c>
      <c r="E47" s="20" t="s">
        <v>79</v>
      </c>
      <c r="F47" s="25" t="s">
        <v>86</v>
      </c>
      <c r="G47" s="21">
        <v>25</v>
      </c>
      <c r="H47" s="27">
        <v>172.96</v>
      </c>
      <c r="I47" s="12">
        <v>0.81179999999999986</v>
      </c>
      <c r="J47" s="31">
        <f t="shared" si="1"/>
        <v>29.051831760000031</v>
      </c>
      <c r="K47" s="19"/>
    </row>
    <row r="48" spans="2:11" x14ac:dyDescent="0.3">
      <c r="B48" s="9">
        <v>2036</v>
      </c>
      <c r="C48" s="9">
        <v>7896004712857</v>
      </c>
      <c r="D48" s="20" t="s">
        <v>82</v>
      </c>
      <c r="E48" s="20" t="s">
        <v>83</v>
      </c>
      <c r="F48" s="25" t="s">
        <v>84</v>
      </c>
      <c r="G48" s="21">
        <v>120</v>
      </c>
      <c r="H48" s="27">
        <v>20.36</v>
      </c>
      <c r="I48" s="12">
        <v>0.52</v>
      </c>
      <c r="J48" s="31">
        <f t="shared" si="1"/>
        <v>8.7222240000000006</v>
      </c>
      <c r="K48" s="19"/>
    </row>
  </sheetData>
  <autoFilter ref="B6:J48" xr:uid="{5D325E4B-990D-412B-A18F-DDC477BB8404}"/>
  <mergeCells count="6">
    <mergeCell ref="I1:J1"/>
    <mergeCell ref="B2:B3"/>
    <mergeCell ref="I2:J2"/>
    <mergeCell ref="I3:J3"/>
    <mergeCell ref="I4:J4"/>
    <mergeCell ref="D2:E3"/>
  </mergeCells>
  <conditionalFormatting sqref="D7:D48">
    <cfRule type="cellIs" dxfId="3" priority="6" stopIfTrue="1" operator="equal">
      <formula>#REF!</formula>
    </cfRule>
    <cfRule type="cellIs" dxfId="2" priority="7" stopIfTrue="1" operator="equal">
      <formula>#REF!</formula>
    </cfRule>
    <cfRule type="cellIs" dxfId="1" priority="8" stopIfTrue="1" operator="equal">
      <formula>#REF!</formula>
    </cfRule>
  </conditionalFormatting>
  <conditionalFormatting sqref="I7:I48">
    <cfRule type="cellIs" dxfId="0" priority="9" stopIfTrue="1" operator="lessThan">
      <formula>#REF!</formula>
    </cfRule>
  </conditionalFormatting>
  <dataValidations disablePrompts="1" count="15">
    <dataValidation type="list" allowBlank="1" showInputMessage="1" showErrorMessage="1" errorTitle="O VALOR NÃO É VÁLIDO" error="DIGITE A SIGLA OU SELECINE NA LISTA_x000a_" sqref="I2:J2" xr:uid="{1659A7D3-EACA-4545-811A-16102FA4C154}">
      <formula1>$HG$65255:$HG$65285</formula1>
    </dataValidation>
    <dataValidation type="custom" allowBlank="1" showInputMessage="1" showErrorMessage="1" sqref="D7:D10 D44:D48" xr:uid="{4B1AB036-495D-4681-A200-02AECF51C95D}">
      <formula1>#REF!</formula1>
    </dataValidation>
    <dataValidation type="custom" allowBlank="1" showInputMessage="1" showErrorMessage="1" sqref="D37:D43" xr:uid="{57AD1D9C-B896-423B-93D7-013856F6791B}">
      <formula1>HC65341</formula1>
    </dataValidation>
    <dataValidation type="custom" allowBlank="1" showInputMessage="1" showErrorMessage="1" sqref="D18:D19" xr:uid="{88C17118-BB33-457F-84C8-23FF1C17D2C6}">
      <formula1>HC65276</formula1>
    </dataValidation>
    <dataValidation type="custom" allowBlank="1" showInputMessage="1" showErrorMessage="1" sqref="D20" xr:uid="{8AF241C2-2685-40C8-B93A-379C61BB7272}">
      <formula1>HC65281</formula1>
    </dataValidation>
    <dataValidation type="custom" allowBlank="1" showInputMessage="1" showErrorMessage="1" sqref="D21:D24" xr:uid="{E4832B24-CCE3-4D57-901B-7949B8E86835}">
      <formula1>HC65284</formula1>
    </dataValidation>
    <dataValidation type="custom" allowBlank="1" showInputMessage="1" showErrorMessage="1" sqref="D11:D12" xr:uid="{BBC230B7-604E-47BC-AC56-70EF03C776C4}">
      <formula1>HC65252</formula1>
    </dataValidation>
    <dataValidation type="custom" allowBlank="1" showInputMessage="1" showErrorMessage="1" sqref="D13" xr:uid="{BA39EFFA-09D4-47DD-A031-3A98AFAD71A1}">
      <formula1>HC65259</formula1>
    </dataValidation>
    <dataValidation type="custom" allowBlank="1" showInputMessage="1" showErrorMessage="1" sqref="D33:D36" xr:uid="{5C0D35EC-1CAA-4FBE-904A-DA26DD1C47B8}">
      <formula1>HC65329</formula1>
    </dataValidation>
    <dataValidation type="custom" allowBlank="1" showInputMessage="1" showErrorMessage="1" sqref="D30:D32" xr:uid="{03E05ACC-9A58-4E9A-9B4E-73591D5FC099}">
      <formula1>HC65322</formula1>
    </dataValidation>
    <dataValidation type="custom" allowBlank="1" showInputMessage="1" showErrorMessage="1" sqref="D25:D27" xr:uid="{AE9142B9-0BC5-4642-9B46-C309D4E79A5D}">
      <formula1>HC65311</formula1>
    </dataValidation>
    <dataValidation type="custom" allowBlank="1" showInputMessage="1" showErrorMessage="1" sqref="D28:D29" xr:uid="{B712EEBA-A884-4907-ACF6-5F27A3BA11BD}">
      <formula1>HC65316</formula1>
    </dataValidation>
    <dataValidation type="custom" allowBlank="1" showInputMessage="1" showErrorMessage="1" sqref="D14:D15" xr:uid="{A31CD272-7925-484B-A037-4C47CE8C51B3}">
      <formula1>HC65264</formula1>
    </dataValidation>
    <dataValidation type="custom" allowBlank="1" showInputMessage="1" showErrorMessage="1" sqref="D16:D17" xr:uid="{6B9B4BBD-E6E8-4600-B7B1-D2E2C593B4E0}">
      <formula1>HC65267</formula1>
    </dataValidation>
    <dataValidation type="custom" showInputMessage="1" showErrorMessage="1" errorTitle="NÃO.. É POSSÍVEL INICIAR " error="PRIMEIRO VOCÊ DEVE INFORMAR O ESTADO, NO CAMPO: UF DO CLIENTE..." sqref="C7:C48 B7:B45" xr:uid="{FC37D2DF-FBB9-417A-9F42-0448523FEC2E}">
      <formula1>IF($J$4="",0,1)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Estevao Moreira</dc:creator>
  <cp:lastModifiedBy>Estevao Moreira</cp:lastModifiedBy>
  <dcterms:created xsi:type="dcterms:W3CDTF">2024-12-03T17:00:21Z</dcterms:created>
  <dcterms:modified xsi:type="dcterms:W3CDTF">2026-07-07T20:11:47Z</dcterms:modified>
</cp:coreProperties>
</file>