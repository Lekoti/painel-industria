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124a75665e75f0/Documentos/2024/Troll/Tabela 2026/"/>
    </mc:Choice>
  </mc:AlternateContent>
  <xr:revisionPtr revIDLastSave="0" documentId="8_{9F773C55-80C8-4B54-8553-E156324FD7BD}" xr6:coauthVersionLast="47" xr6:coauthVersionMax="47" xr10:uidLastSave="{00000000-0000-0000-0000-000000000000}"/>
  <bookViews>
    <workbookView xWindow="-120" yWindow="-120" windowWidth="20730" windowHeight="11040" xr2:uid="{8A92E4A9-DF56-432A-9A1F-7EFB7F08A1C3}"/>
  </bookViews>
  <sheets>
    <sheet name="TABELA - FARMA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9" i="2" l="1"/>
  <c r="E98" i="2"/>
  <c r="E90" i="2"/>
  <c r="E91" i="2"/>
  <c r="E92" i="2"/>
  <c r="E93" i="2"/>
  <c r="E94" i="2"/>
  <c r="E95" i="2"/>
  <c r="E96" i="2"/>
  <c r="E89" i="2"/>
  <c r="E80" i="2"/>
  <c r="E81" i="2"/>
  <c r="E82" i="2"/>
  <c r="E83" i="2"/>
  <c r="E84" i="2"/>
  <c r="E85" i="2"/>
  <c r="E86" i="2"/>
  <c r="E87" i="2"/>
  <c r="E79" i="2"/>
  <c r="E77" i="2"/>
  <c r="E75" i="2"/>
  <c r="E73" i="2"/>
  <c r="E71" i="2"/>
  <c r="E72" i="2"/>
  <c r="E70" i="2"/>
  <c r="E68" i="2"/>
  <c r="E65" i="2"/>
  <c r="E63" i="2"/>
  <c r="E62" i="2"/>
  <c r="E59" i="2"/>
  <c r="E56" i="2"/>
  <c r="E54" i="2"/>
  <c r="E52" i="2"/>
  <c r="E50" i="2"/>
  <c r="E48" i="2"/>
  <c r="E46" i="2"/>
  <c r="E42" i="2"/>
  <c r="E40" i="2"/>
  <c r="E38" i="2"/>
  <c r="E35" i="2"/>
  <c r="E33" i="2"/>
  <c r="E30" i="2"/>
  <c r="E28" i="2"/>
  <c r="E26" i="2"/>
  <c r="E24" i="2"/>
  <c r="E22" i="2"/>
  <c r="E13" i="2"/>
  <c r="E14" i="2"/>
  <c r="E15" i="2"/>
  <c r="E16" i="2"/>
  <c r="E17" i="2"/>
  <c r="E18" i="2"/>
  <c r="E19" i="2"/>
  <c r="E20" i="2"/>
  <c r="E12" i="2"/>
  <c r="E10" i="2"/>
  <c r="E9" i="2"/>
  <c r="E76" i="2"/>
  <c r="E67" i="2"/>
  <c r="E66" i="2"/>
  <c r="E60" i="2"/>
  <c r="E57" i="2"/>
  <c r="E53" i="2"/>
  <c r="E49" i="2"/>
  <c r="E45" i="2"/>
  <c r="E44" i="2"/>
  <c r="E43" i="2"/>
  <c r="E37" i="2"/>
  <c r="E36" i="2"/>
  <c r="E32" i="2"/>
  <c r="E31" i="2"/>
  <c r="E27" i="2"/>
  <c r="E23" i="2"/>
</calcChain>
</file>

<file path=xl/sharedStrings.xml><?xml version="1.0" encoding="utf-8"?>
<sst xmlns="http://schemas.openxmlformats.org/spreadsheetml/2006/main" count="813" uniqueCount="346">
  <si>
    <t>ICMS</t>
  </si>
  <si>
    <t>PIS</t>
  </si>
  <si>
    <t>COFINS</t>
  </si>
  <si>
    <t>LISTA</t>
  </si>
  <si>
    <t>IPI</t>
  </si>
  <si>
    <t>Cód. Produto</t>
  </si>
  <si>
    <t>Descrição</t>
  </si>
  <si>
    <t>Unidades por caixa</t>
  </si>
  <si>
    <t>Valor Unitário</t>
  </si>
  <si>
    <t>Preço Caixa</t>
  </si>
  <si>
    <t>IPI %</t>
  </si>
  <si>
    <t>Cód. Barra              Rótulo</t>
  </si>
  <si>
    <t>Dimensão das Caixas</t>
  </si>
  <si>
    <t>NCM</t>
  </si>
  <si>
    <t xml:space="preserve">GTIN-14
DUN-14 </t>
  </si>
  <si>
    <t>Peso Bruto Produto  (g)</t>
  </si>
  <si>
    <t>Peso Bruto Caixa (kg)</t>
  </si>
  <si>
    <t>C.S.T</t>
  </si>
  <si>
    <t>ALIQUOTA ESTADUAL</t>
  </si>
  <si>
    <t>ALIQUOTA INTERESTADUAL</t>
  </si>
  <si>
    <t>CST</t>
  </si>
  <si>
    <t>BASE</t>
  </si>
  <si>
    <t>ALIQUOTA</t>
  </si>
  <si>
    <t>PIS / COFINS</t>
  </si>
  <si>
    <t>CSOSN</t>
  </si>
  <si>
    <t>CEST</t>
  </si>
  <si>
    <t>000700028</t>
  </si>
  <si>
    <t xml:space="preserve">DERMAH 100ML </t>
  </si>
  <si>
    <t>27x22x15</t>
  </si>
  <si>
    <t>0,100 g</t>
  </si>
  <si>
    <t>000700029</t>
  </si>
  <si>
    <t xml:space="preserve">DERMAH 200ML </t>
  </si>
  <si>
    <t>17x27x32</t>
  </si>
  <si>
    <t>0,200 g</t>
  </si>
  <si>
    <t>A.G.E</t>
  </si>
  <si>
    <t>000700008</t>
  </si>
  <si>
    <t>Dermatrol 100ml (correlato) sem cartonagem</t>
  </si>
  <si>
    <t>789856380 366 3</t>
  </si>
  <si>
    <t>19x25x30</t>
  </si>
  <si>
    <t>1 789856380 366 0</t>
  </si>
  <si>
    <t xml:space="preserve">0 0 0 </t>
  </si>
  <si>
    <t>0 1</t>
  </si>
  <si>
    <t>rb</t>
  </si>
  <si>
    <t>NEUTRA</t>
  </si>
  <si>
    <t>000700009</t>
  </si>
  <si>
    <t>Dermatrol 200ml (correlato)  sem cartonagem</t>
  </si>
  <si>
    <t>789856380 367 0</t>
  </si>
  <si>
    <t>20x30x36</t>
  </si>
  <si>
    <t>1 789856380 367 7</t>
  </si>
  <si>
    <t xml:space="preserve">0 1 </t>
  </si>
  <si>
    <t>000700010</t>
  </si>
  <si>
    <t>Dermatrol 100ml Spray (correlato) sem cartonagem</t>
  </si>
  <si>
    <t>789856380 369 4</t>
  </si>
  <si>
    <t>000700011</t>
  </si>
  <si>
    <t>Dermatrol 200ml Spray (correlato) sem cartonagem</t>
  </si>
  <si>
    <t>789856380 370 0</t>
  </si>
  <si>
    <t>20x25x30</t>
  </si>
  <si>
    <t>0,250 g</t>
  </si>
  <si>
    <t>001400003</t>
  </si>
  <si>
    <t xml:space="preserve">Dermatrol Bebe 50 ml </t>
  </si>
  <si>
    <t>789856380 365 6</t>
  </si>
  <si>
    <t>16x21x26</t>
  </si>
  <si>
    <t>0,50 g</t>
  </si>
  <si>
    <t>001400004</t>
  </si>
  <si>
    <t>Loção Hidratante Dermatrol 120g</t>
  </si>
  <si>
    <t>789856380 253 6</t>
  </si>
  <si>
    <t>14x19x34</t>
  </si>
  <si>
    <t>0,150 g</t>
  </si>
  <si>
    <t>001400005</t>
  </si>
  <si>
    <t>Sabonete Liquido Dermatrol 200ml</t>
  </si>
  <si>
    <t>789856380 255 0</t>
  </si>
  <si>
    <t>23x30x36</t>
  </si>
  <si>
    <t>000700016</t>
  </si>
  <si>
    <t>Hidrogel com Age 30g</t>
  </si>
  <si>
    <t>789856380 448 6</t>
  </si>
  <si>
    <t>19x19x23</t>
  </si>
  <si>
    <t>1 789856380 448 3</t>
  </si>
  <si>
    <t>0,35 g</t>
  </si>
  <si>
    <t>0 0 0</t>
  </si>
  <si>
    <t>0 2</t>
  </si>
  <si>
    <t>NEGATIVA</t>
  </si>
  <si>
    <t>000700017</t>
  </si>
  <si>
    <t>Hidrogel com Age 60g</t>
  </si>
  <si>
    <t>789856380 449 3</t>
  </si>
  <si>
    <t>28x18x17</t>
  </si>
  <si>
    <t>1 789856380 449 0</t>
  </si>
  <si>
    <t>0,65 g</t>
  </si>
  <si>
    <t>MANTEIGA DE CACAU</t>
  </si>
  <si>
    <t>001500001</t>
  </si>
  <si>
    <t>Lip Cacau Bastão display c/50 und</t>
  </si>
  <si>
    <t>789856380 396 0</t>
  </si>
  <si>
    <t>22x37x42</t>
  </si>
  <si>
    <t>17898563803967</t>
  </si>
  <si>
    <t>3,5 g</t>
  </si>
  <si>
    <t>POSITIVA</t>
  </si>
  <si>
    <t>SEM CEST</t>
  </si>
  <si>
    <t>001500002</t>
  </si>
  <si>
    <t>Lip Cacau Roll-on display c/20 und</t>
  </si>
  <si>
    <t>789856380 397 7</t>
  </si>
  <si>
    <t>17898563803974</t>
  </si>
  <si>
    <t>4,8 g</t>
  </si>
  <si>
    <t>001500004</t>
  </si>
  <si>
    <t>Lip Cacau Bastão display c/ 12 und</t>
  </si>
  <si>
    <t>789856380 491 2</t>
  </si>
  <si>
    <t xml:space="preserve">rb </t>
  </si>
  <si>
    <t>CUIDADOS COM A PELE</t>
  </si>
  <si>
    <t>001000001</t>
  </si>
  <si>
    <t>Água Micelar 200 ml</t>
  </si>
  <si>
    <t>789856380 468 4</t>
  </si>
  <si>
    <t>22x37x43</t>
  </si>
  <si>
    <t>0.230 g</t>
  </si>
  <si>
    <t xml:space="preserve">0 2 </t>
  </si>
  <si>
    <t>001000002</t>
  </si>
  <si>
    <t>Sabonete Facial 120ml</t>
  </si>
  <si>
    <t>789856380 534 6</t>
  </si>
  <si>
    <t>0.250 g</t>
  </si>
  <si>
    <t>001000005</t>
  </si>
  <si>
    <t xml:space="preserve">Oleo de Rosa Mosqueta </t>
  </si>
  <si>
    <t>789856380574 2</t>
  </si>
  <si>
    <t>CUIDADOS COM O CABELO</t>
  </si>
  <si>
    <t>001100001</t>
  </si>
  <si>
    <t xml:space="preserve">Óleo Capilar Perfumado 30 mL </t>
  </si>
  <si>
    <t>789856380 541 4</t>
  </si>
  <si>
    <t>12x32x30</t>
  </si>
  <si>
    <t>0,30 g</t>
  </si>
  <si>
    <t>0 4</t>
  </si>
  <si>
    <t>001100005</t>
  </si>
  <si>
    <t>Perfume capilar 202 Vip Rosé</t>
  </si>
  <si>
    <t>27x23x16</t>
  </si>
  <si>
    <t>001100003</t>
  </si>
  <si>
    <t>Perfume capilar Belle Vie</t>
  </si>
  <si>
    <t>001100004</t>
  </si>
  <si>
    <t xml:space="preserve">Perfume capilar Olympic </t>
  </si>
  <si>
    <t>SABONTE INTIMO</t>
  </si>
  <si>
    <t>001200001</t>
  </si>
  <si>
    <t>Sabonete Intimo DermaIn Rose 200ml</t>
  </si>
  <si>
    <t>789856380 372 4</t>
  </si>
  <si>
    <t>17x26x32</t>
  </si>
  <si>
    <t>001200003</t>
  </si>
  <si>
    <t>Sabonete Intimo DermaIn Pure Blue 200ml</t>
  </si>
  <si>
    <t>789856380 394 6</t>
  </si>
  <si>
    <t>001200002</t>
  </si>
  <si>
    <t>Sabonete Intimo Dermain Jasmim 200ml</t>
  </si>
  <si>
    <t>789856380 440 0</t>
  </si>
  <si>
    <t>001200004</t>
  </si>
  <si>
    <t>Pack Sabonete Intimo Dermain/Pure Blue</t>
  </si>
  <si>
    <t>789856380 428 8</t>
  </si>
  <si>
    <t>32x28x18</t>
  </si>
  <si>
    <t>0.400 g</t>
  </si>
  <si>
    <t>LUBRIFICANTE INTIMO</t>
  </si>
  <si>
    <t>000800002</t>
  </si>
  <si>
    <t>K-lub lubrificante Íntimo 60g</t>
  </si>
  <si>
    <t>789856380 454 7</t>
  </si>
  <si>
    <t>30x25x18</t>
  </si>
  <si>
    <t>0.060 g</t>
  </si>
  <si>
    <t>SABONETE LIQUIDO</t>
  </si>
  <si>
    <t>001300012</t>
  </si>
  <si>
    <t xml:space="preserve">Sabonete Liquido com Glicerina 350ml </t>
  </si>
  <si>
    <t>789856380 591 9</t>
  </si>
  <si>
    <t>0,350g</t>
  </si>
  <si>
    <t>001300001</t>
  </si>
  <si>
    <t>Sabonete Liquido Neutro 500ml</t>
  </si>
  <si>
    <t>789856380 463 9</t>
  </si>
  <si>
    <t>31x31x19</t>
  </si>
  <si>
    <t>0.440 g</t>
  </si>
  <si>
    <t>001300002</t>
  </si>
  <si>
    <t>Sabonete Liquido Neutro 1kg</t>
  </si>
  <si>
    <t>789856380 464 6</t>
  </si>
  <si>
    <t>28x28x26</t>
  </si>
  <si>
    <t>1,00 kg</t>
  </si>
  <si>
    <t>001300004</t>
  </si>
  <si>
    <t>Sabonete Liquido Erva Doce 500ml</t>
  </si>
  <si>
    <t>789856380 460 8</t>
  </si>
  <si>
    <t>001300005</t>
  </si>
  <si>
    <t>Sabonete Liquido Erva Doce 1kg</t>
  </si>
  <si>
    <t>789856380 461 5</t>
  </si>
  <si>
    <t>LINHA INFANTIL</t>
  </si>
  <si>
    <t>002300001</t>
  </si>
  <si>
    <t>Lavanda Bebê Trol 200ml</t>
  </si>
  <si>
    <t>789856380 459 2</t>
  </si>
  <si>
    <t>17898563804599</t>
  </si>
  <si>
    <t>002300002</t>
  </si>
  <si>
    <t>Sabonete Infantil 200ml</t>
  </si>
  <si>
    <t>789856380 514 8</t>
  </si>
  <si>
    <t>17898563805145</t>
  </si>
  <si>
    <t>002300003</t>
  </si>
  <si>
    <t>Pack Infantil Sabonete/Lavanda</t>
  </si>
  <si>
    <t>789856380 524 7</t>
  </si>
  <si>
    <t>17898563805244</t>
  </si>
  <si>
    <t>0,400 g</t>
  </si>
  <si>
    <t>LINHA SOFT</t>
  </si>
  <si>
    <t>001600001</t>
  </si>
  <si>
    <t>Soft Mommy Hidratação 120g</t>
  </si>
  <si>
    <t>789856380 326 7</t>
  </si>
  <si>
    <t xml:space="preserve">17898563803264	</t>
  </si>
  <si>
    <t>001600002</t>
  </si>
  <si>
    <t>Soft Mommy Proteção 60g</t>
  </si>
  <si>
    <t>789856380 102 7</t>
  </si>
  <si>
    <t>17898563801024</t>
  </si>
  <si>
    <t>001600003</t>
  </si>
  <si>
    <t>Soft Ureia Intensivo 120g</t>
  </si>
  <si>
    <t>789856380 482 0</t>
  </si>
  <si>
    <t xml:space="preserve">17898563804827	</t>
  </si>
  <si>
    <t>RELEPENTE</t>
  </si>
  <si>
    <t>001700001</t>
  </si>
  <si>
    <t>Insect free repelente 100ml</t>
  </si>
  <si>
    <t>789856380 413 4</t>
  </si>
  <si>
    <t>17898563804131</t>
  </si>
  <si>
    <t>100g</t>
  </si>
  <si>
    <t>001700002</t>
  </si>
  <si>
    <t>Insect free repelente 200ml</t>
  </si>
  <si>
    <t>789856380 429 5</t>
  </si>
  <si>
    <t>17X18X38</t>
  </si>
  <si>
    <t>17898563804292</t>
  </si>
  <si>
    <t>200g</t>
  </si>
  <si>
    <t>GEL DE ARNICA</t>
  </si>
  <si>
    <t>001800001</t>
  </si>
  <si>
    <t>Stronger Arnica  200g</t>
  </si>
  <si>
    <t>789856380 441 7</t>
  </si>
  <si>
    <t>19x22x35</t>
  </si>
  <si>
    <t>17898563804414</t>
  </si>
  <si>
    <t>250g</t>
  </si>
  <si>
    <t>001800002</t>
  </si>
  <si>
    <t>Arnica Ice 200g</t>
  </si>
  <si>
    <t>789856380 411 0</t>
  </si>
  <si>
    <t>24x30x19</t>
  </si>
  <si>
    <t>17898563804117</t>
  </si>
  <si>
    <t>ALCOOL GEL</t>
  </si>
  <si>
    <t>001900001</t>
  </si>
  <si>
    <t>Gel Higimais 52g Display c/12 und 70%</t>
  </si>
  <si>
    <t>789856380 430 1</t>
  </si>
  <si>
    <t>17898563804308</t>
  </si>
  <si>
    <t>0,60g</t>
  </si>
  <si>
    <t>001900002</t>
  </si>
  <si>
    <t>Gel Higimais 440g 70% c/valvula</t>
  </si>
  <si>
    <t>789856380 401 1</t>
  </si>
  <si>
    <t>17898563804018</t>
  </si>
  <si>
    <t>440g</t>
  </si>
  <si>
    <t>MEU SOL</t>
  </si>
  <si>
    <t>002000001</t>
  </si>
  <si>
    <t>Protetor Solar FPS 30 120ml</t>
  </si>
  <si>
    <t>789856380 503 2</t>
  </si>
  <si>
    <t>33049990 ex 02</t>
  </si>
  <si>
    <t>17898563805039</t>
  </si>
  <si>
    <t>002000002</t>
  </si>
  <si>
    <t>Protetor Solar FPS 60 120ml</t>
  </si>
  <si>
    <t>789856380 505 6</t>
  </si>
  <si>
    <t>17898563805053</t>
  </si>
  <si>
    <t>002000025</t>
  </si>
  <si>
    <t>Gel Pós-Sol 200ml</t>
  </si>
  <si>
    <t>789856380 537 7</t>
  </si>
  <si>
    <t>17898563805374</t>
  </si>
  <si>
    <t>0,220 g</t>
  </si>
  <si>
    <t>002000003</t>
  </si>
  <si>
    <t>Protetor Facial FPS 60  60ml</t>
  </si>
  <si>
    <t>789856380 523 0</t>
  </si>
  <si>
    <t>26x22x15</t>
  </si>
  <si>
    <t>17898563805237</t>
  </si>
  <si>
    <t>0,070g</t>
  </si>
  <si>
    <t>HIDRATANTE LABIAL</t>
  </si>
  <si>
    <t>005100005</t>
  </si>
  <si>
    <t>Hidratante labial - Maça do amor (lançamento)</t>
  </si>
  <si>
    <t>15x16x30</t>
  </si>
  <si>
    <t>196 gr</t>
  </si>
  <si>
    <t>005100006</t>
  </si>
  <si>
    <t>Hidratante labial - Abacaxi (lançamento)</t>
  </si>
  <si>
    <t>005100009</t>
  </si>
  <si>
    <t>Hidratante labial - Pitaya (lançamento abril)</t>
  </si>
  <si>
    <t>005100010</t>
  </si>
  <si>
    <t>Hidratante labial - Framboesa (lançamento abril)</t>
  </si>
  <si>
    <t>BODY SPLASH</t>
  </si>
  <si>
    <t>002600038</t>
  </si>
  <si>
    <t>202 Vip Rose Body Splash 200 ml</t>
  </si>
  <si>
    <t>20X30X36</t>
  </si>
  <si>
    <t>002600039</t>
  </si>
  <si>
    <t xml:space="preserve">Belle Vie Body Splash 200ml </t>
  </si>
  <si>
    <t>002600040</t>
  </si>
  <si>
    <t xml:space="preserve">Olympic Body Splash 200 ml </t>
  </si>
  <si>
    <t>PERFUMES MASCULINOS</t>
  </si>
  <si>
    <t>002400002</t>
  </si>
  <si>
    <t>Deo Colonia Masc.  Amale 100ml</t>
  </si>
  <si>
    <t>789856380 330 4</t>
  </si>
  <si>
    <t>23x34x15</t>
  </si>
  <si>
    <t>002400001</t>
  </si>
  <si>
    <t>Deo Colonia Masc. F'black 100ml</t>
  </si>
  <si>
    <t>789856380 404 2</t>
  </si>
  <si>
    <t>14x23x36</t>
  </si>
  <si>
    <t>002400005</t>
  </si>
  <si>
    <t>Deo Colonia Masc. Azzamo S. Black 100 ml</t>
  </si>
  <si>
    <t>789856380 008 2</t>
  </si>
  <si>
    <t>002400008</t>
  </si>
  <si>
    <t>Deo Colonia Masc. One 100 ml</t>
  </si>
  <si>
    <t>789856380 357 1</t>
  </si>
  <si>
    <t>002400010</t>
  </si>
  <si>
    <t>Deo Colonia Masc. Nature 100 ml</t>
  </si>
  <si>
    <t>789856380 437 0</t>
  </si>
  <si>
    <t>25x29x21</t>
  </si>
  <si>
    <t>0,259 g</t>
  </si>
  <si>
    <t>002400011</t>
  </si>
  <si>
    <t>Deo Colonia Masc. 202Men 100ml</t>
  </si>
  <si>
    <t>789856380 467 7</t>
  </si>
  <si>
    <t>002400012</t>
  </si>
  <si>
    <t>Deo Colonia Masc. Silver Intense 100ml</t>
  </si>
  <si>
    <t>789856380 466 0</t>
  </si>
  <si>
    <t>002400013</t>
  </si>
  <si>
    <t>Deo Colonia Masc. 202 Vip Men 100ml</t>
  </si>
  <si>
    <t>789856380 536 0</t>
  </si>
  <si>
    <t>002400032</t>
  </si>
  <si>
    <t>Deo Colonia Masc. Good Boy 100ml</t>
  </si>
  <si>
    <t>PERFUMES FEMININOS</t>
  </si>
  <si>
    <t>002600007</t>
  </si>
  <si>
    <t>Deo Colonia Fem. Fantasia 100ml</t>
  </si>
  <si>
    <t>789856380 309 0</t>
  </si>
  <si>
    <t>002600008</t>
  </si>
  <si>
    <t>Deo Colonia Fem. One Lady 100ml</t>
  </si>
  <si>
    <t>789856380 356 4</t>
  </si>
  <si>
    <t>21x34x20</t>
  </si>
  <si>
    <t>002600009</t>
  </si>
  <si>
    <t>Deo Colonia Fem. Belle Vie 100ml</t>
  </si>
  <si>
    <t>789856380 378 6</t>
  </si>
  <si>
    <t>22x30x17</t>
  </si>
  <si>
    <t>0,350 g</t>
  </si>
  <si>
    <t>002600010</t>
  </si>
  <si>
    <t>Deo Colonia Fem. Pretty Girl 100ml</t>
  </si>
  <si>
    <t>789856380 436 3</t>
  </si>
  <si>
    <t>0,351 g</t>
  </si>
  <si>
    <t>002600002</t>
  </si>
  <si>
    <t>Deo Colonia Fem. Olympic 100ml</t>
  </si>
  <si>
    <t>789856380 474 5</t>
  </si>
  <si>
    <t>002600011</t>
  </si>
  <si>
    <t>Deo Colonia Fem. 202 Vip Rosé 100ml</t>
  </si>
  <si>
    <t>789856380 508 7</t>
  </si>
  <si>
    <t>0,280 g</t>
  </si>
  <si>
    <t>002600012</t>
  </si>
  <si>
    <t>Deo Colonia Fem. Ecstasy 100ml</t>
  </si>
  <si>
    <t>789856380 535 3</t>
  </si>
  <si>
    <t>002600033</t>
  </si>
  <si>
    <t>Deo Colonia Fem. Class 100ml</t>
  </si>
  <si>
    <t>28x28x27</t>
  </si>
  <si>
    <t xml:space="preserve">PERFUMES INFANTIL </t>
  </si>
  <si>
    <t xml:space="preserve">005600001     </t>
  </si>
  <si>
    <t xml:space="preserve">Smilinguido 100 ml </t>
  </si>
  <si>
    <t xml:space="preserve">789856380 584 1  </t>
  </si>
  <si>
    <t xml:space="preserve">005600002      </t>
  </si>
  <si>
    <t xml:space="preserve">Faniquita 100 ml </t>
  </si>
  <si>
    <t xml:space="preserve">789856380 585 8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</si>
</sst>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R$&quot;\ * #,##0.00_-;\-&quot;R$&quot;\ * #,##0.00_-;_-&quot;R$&quot;\ * &quot;-&quot;??_-;_-@_-"/>
    <numFmt numFmtId="164" formatCode="[$-416]General"/>
    <numFmt numFmtId="165" formatCode="&quot;R$&quot;\ #,##0.00"/>
    <numFmt numFmtId="166" formatCode="[$-416]0%"/>
    <numFmt numFmtId="167" formatCode="[$-416]0.00%"/>
    <numFmt numFmtId="168" formatCode="[$-416]0"/>
    <numFmt numFmtId="169" formatCode="[$-416]#,##0"/>
    <numFmt numFmtId="170" formatCode="&quot;R$ &quot;#,##0.00"/>
    <numFmt numFmtId="171" formatCode="&quot; R$ &quot;#,##0.00&quot; &quot;;&quot;-R$ &quot;#,##0.00&quot; &quot;;&quot; R$ -&quot;#&quot; &quot;;&quot; &quot;@&quot; &quot;"/>
    <numFmt numFmtId="172" formatCode="00000"/>
    <numFmt numFmtId="173" formatCode="#,##0.000"/>
    <numFmt numFmtId="174" formatCode="#,##0.0000"/>
    <numFmt numFmtId="175" formatCode="0.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1"/>
    </font>
    <font>
      <b/>
      <sz val="9"/>
      <color rgb="FF000000"/>
      <name val="Bookman Old Style"/>
      <family val="1"/>
    </font>
    <font>
      <sz val="9"/>
      <color rgb="FF000000"/>
      <name val="Bookman Old Style"/>
      <family val="1"/>
    </font>
    <font>
      <b/>
      <sz val="9.5"/>
      <color rgb="FF000000"/>
      <name val="Bookman Old Style"/>
      <family val="1"/>
    </font>
    <font>
      <sz val="10"/>
      <color rgb="FF000000"/>
      <name val="Arial"/>
      <family val="2"/>
    </font>
    <font>
      <sz val="10"/>
      <name val="Bookman Old Style"/>
      <family val="1"/>
    </font>
    <font>
      <sz val="9.5"/>
      <color rgb="FF000000"/>
      <name val="Bookman Old Style"/>
      <family val="1"/>
    </font>
    <font>
      <sz val="10"/>
      <name val="Arial"/>
      <family val="2"/>
    </font>
    <font>
      <sz val="11"/>
      <name val="Bookman Old Style"/>
      <family val="1"/>
    </font>
    <font>
      <sz val="10.5"/>
      <name val="Bookman Old Style"/>
      <family val="1"/>
    </font>
    <font>
      <sz val="9.5"/>
      <name val="Bookman Old Style"/>
      <family val="1"/>
    </font>
    <font>
      <b/>
      <sz val="9.5"/>
      <name val="Bookman Old Style"/>
      <family val="1"/>
    </font>
    <font>
      <sz val="11"/>
      <color theme="1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164" fontId="4" fillId="0" borderId="0" applyBorder="0" applyProtection="0"/>
    <xf numFmtId="166" fontId="8" fillId="0" borderId="0" applyBorder="0" applyProtection="0"/>
    <xf numFmtId="0" fontId="11" fillId="0" borderId="0"/>
    <xf numFmtId="171" fontId="8" fillId="0" borderId="0" applyBorder="0" applyProtection="0"/>
  </cellStyleXfs>
  <cellXfs count="82">
    <xf numFmtId="0" fontId="0" fillId="0" borderId="0" xfId="0"/>
    <xf numFmtId="164" fontId="5" fillId="0" borderId="0" xfId="2" applyFont="1" applyAlignment="1">
      <alignment horizontal="center"/>
    </xf>
    <xf numFmtId="164" fontId="6" fillId="0" borderId="0" xfId="2" applyFont="1"/>
    <xf numFmtId="164" fontId="5" fillId="3" borderId="4" xfId="2" applyFont="1" applyFill="1" applyBorder="1" applyAlignment="1">
      <alignment horizontal="center"/>
    </xf>
    <xf numFmtId="164" fontId="6" fillId="3" borderId="4" xfId="2" applyFont="1" applyFill="1" applyBorder="1"/>
    <xf numFmtId="49" fontId="7" fillId="0" borderId="5" xfId="2" applyNumberFormat="1" applyFont="1" applyBorder="1" applyAlignment="1">
      <alignment horizontal="center" vertical="center" wrapText="1"/>
    </xf>
    <xf numFmtId="164" fontId="7" fillId="0" borderId="5" xfId="2" applyFont="1" applyBorder="1" applyAlignment="1">
      <alignment horizontal="center" vertical="center" wrapText="1"/>
    </xf>
    <xf numFmtId="165" fontId="7" fillId="0" borderId="5" xfId="2" applyNumberFormat="1" applyFont="1" applyBorder="1" applyAlignment="1">
      <alignment horizontal="center" vertical="center" wrapText="1"/>
    </xf>
    <xf numFmtId="166" fontId="7" fillId="0" borderId="5" xfId="3" applyFont="1" applyBorder="1" applyAlignment="1">
      <alignment horizontal="center" vertical="center" wrapText="1"/>
    </xf>
    <xf numFmtId="164" fontId="7" fillId="0" borderId="6" xfId="2" applyFont="1" applyBorder="1" applyAlignment="1">
      <alignment horizontal="center" vertical="center" wrapText="1"/>
    </xf>
    <xf numFmtId="1" fontId="7" fillId="0" borderId="5" xfId="2" applyNumberFormat="1" applyFont="1" applyBorder="1" applyAlignment="1">
      <alignment horizontal="center" vertical="center" wrapText="1"/>
    </xf>
    <xf numFmtId="164" fontId="7" fillId="3" borderId="5" xfId="2" applyFont="1" applyFill="1" applyBorder="1" applyAlignment="1">
      <alignment horizontal="center" vertical="center" wrapText="1"/>
    </xf>
    <xf numFmtId="164" fontId="7" fillId="3" borderId="5" xfId="2" applyFont="1" applyFill="1" applyBorder="1" applyAlignment="1">
      <alignment horizontal="center" wrapText="1"/>
    </xf>
    <xf numFmtId="166" fontId="7" fillId="3" borderId="5" xfId="3" applyFont="1" applyFill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165" fontId="7" fillId="0" borderId="7" xfId="2" applyNumberFormat="1" applyFont="1" applyBorder="1" applyAlignment="1">
      <alignment horizontal="center" vertical="center" wrapText="1"/>
    </xf>
    <xf numFmtId="44" fontId="10" fillId="4" borderId="7" xfId="2" applyNumberFormat="1" applyFont="1" applyFill="1" applyBorder="1" applyAlignment="1">
      <alignment horizontal="center" vertical="center" wrapText="1"/>
    </xf>
    <xf numFmtId="167" fontId="10" fillId="4" borderId="7" xfId="3" applyNumberFormat="1" applyFont="1" applyFill="1" applyBorder="1" applyAlignment="1">
      <alignment horizontal="center" vertical="center"/>
    </xf>
    <xf numFmtId="1" fontId="12" fillId="0" borderId="7" xfId="4" applyNumberFormat="1" applyFont="1" applyBorder="1" applyAlignment="1">
      <alignment horizontal="center" vertical="center" wrapText="1"/>
    </xf>
    <xf numFmtId="1" fontId="13" fillId="0" borderId="7" xfId="4" applyNumberFormat="1" applyFont="1" applyBorder="1" applyAlignment="1">
      <alignment horizontal="center" vertical="center"/>
    </xf>
    <xf numFmtId="168" fontId="10" fillId="4" borderId="7" xfId="2" applyNumberFormat="1" applyFont="1" applyFill="1" applyBorder="1" applyAlignment="1">
      <alignment horizontal="center" vertical="center"/>
    </xf>
    <xf numFmtId="1" fontId="7" fillId="0" borderId="7" xfId="2" applyNumberFormat="1" applyFont="1" applyBorder="1" applyAlignment="1">
      <alignment horizontal="center" vertical="center" wrapText="1"/>
    </xf>
    <xf numFmtId="164" fontId="10" fillId="4" borderId="7" xfId="2" applyFont="1" applyFill="1" applyBorder="1" applyAlignment="1">
      <alignment horizontal="center" vertical="center"/>
    </xf>
    <xf numFmtId="169" fontId="10" fillId="4" borderId="7" xfId="2" applyNumberFormat="1" applyFont="1" applyFill="1" applyBorder="1" applyAlignment="1">
      <alignment horizontal="center" vertical="center"/>
    </xf>
    <xf numFmtId="164" fontId="7" fillId="3" borderId="7" xfId="2" applyFont="1" applyFill="1" applyBorder="1" applyAlignment="1">
      <alignment horizontal="center" vertical="center" wrapText="1"/>
    </xf>
    <xf numFmtId="164" fontId="7" fillId="3" borderId="7" xfId="2" applyFont="1" applyFill="1" applyBorder="1" applyAlignment="1">
      <alignment horizontal="center" wrapText="1"/>
    </xf>
    <xf numFmtId="167" fontId="10" fillId="3" borderId="7" xfId="3" applyNumberFormat="1" applyFont="1" applyFill="1" applyBorder="1" applyAlignment="1">
      <alignment horizontal="center" vertical="center"/>
    </xf>
    <xf numFmtId="49" fontId="7" fillId="4" borderId="7" xfId="2" applyNumberFormat="1" applyFont="1" applyFill="1" applyBorder="1" applyAlignment="1">
      <alignment horizontal="center" vertical="center" wrapText="1"/>
    </xf>
    <xf numFmtId="164" fontId="7" fillId="4" borderId="7" xfId="2" applyFont="1" applyFill="1" applyBorder="1" applyAlignment="1">
      <alignment horizontal="center" vertical="center" wrapText="1"/>
    </xf>
    <xf numFmtId="165" fontId="7" fillId="4" borderId="7" xfId="2" applyNumberFormat="1" applyFont="1" applyFill="1" applyBorder="1" applyAlignment="1">
      <alignment horizontal="center" vertical="center" wrapText="1"/>
    </xf>
    <xf numFmtId="170" fontId="10" fillId="4" borderId="7" xfId="2" applyNumberFormat="1" applyFont="1" applyFill="1" applyBorder="1" applyAlignment="1">
      <alignment horizontal="center" vertical="center" wrapText="1"/>
    </xf>
    <xf numFmtId="166" fontId="7" fillId="4" borderId="7" xfId="3" applyFont="1" applyFill="1" applyBorder="1" applyAlignment="1">
      <alignment horizontal="center" vertical="center" wrapText="1"/>
    </xf>
    <xf numFmtId="1" fontId="7" fillId="4" borderId="7" xfId="2" applyNumberFormat="1" applyFont="1" applyFill="1" applyBorder="1" applyAlignment="1">
      <alignment horizontal="center" vertical="center" wrapText="1"/>
    </xf>
    <xf numFmtId="164" fontId="7" fillId="4" borderId="7" xfId="2" applyFont="1" applyFill="1" applyBorder="1" applyAlignment="1">
      <alignment horizontal="center"/>
    </xf>
    <xf numFmtId="164" fontId="7" fillId="4" borderId="7" xfId="2" applyFont="1" applyFill="1" applyBorder="1" applyAlignment="1">
      <alignment horizontal="center" wrapText="1"/>
    </xf>
    <xf numFmtId="49" fontId="14" fillId="4" borderId="7" xfId="2" applyNumberFormat="1" applyFont="1" applyFill="1" applyBorder="1" applyAlignment="1">
      <alignment horizontal="center" vertical="center"/>
    </xf>
    <xf numFmtId="164" fontId="14" fillId="4" borderId="7" xfId="2" applyFont="1" applyFill="1" applyBorder="1" applyAlignment="1">
      <alignment vertical="center"/>
    </xf>
    <xf numFmtId="49" fontId="10" fillId="4" borderId="7" xfId="2" applyNumberFormat="1" applyFont="1" applyFill="1" applyBorder="1" applyAlignment="1">
      <alignment horizontal="center" vertical="center"/>
    </xf>
    <xf numFmtId="1" fontId="10" fillId="4" borderId="7" xfId="2" applyNumberFormat="1" applyFont="1" applyFill="1" applyBorder="1" applyAlignment="1">
      <alignment horizontal="center"/>
    </xf>
    <xf numFmtId="171" fontId="7" fillId="4" borderId="7" xfId="5" applyFont="1" applyFill="1" applyBorder="1" applyAlignment="1">
      <alignment horizontal="center" vertical="center"/>
    </xf>
    <xf numFmtId="164" fontId="7" fillId="4" borderId="7" xfId="2" applyFont="1" applyFill="1" applyBorder="1" applyAlignment="1">
      <alignment horizontal="center" vertical="center"/>
    </xf>
    <xf numFmtId="164" fontId="7" fillId="4" borderId="7" xfId="2" applyFont="1" applyFill="1" applyBorder="1" applyAlignment="1">
      <alignment vertical="center"/>
    </xf>
    <xf numFmtId="166" fontId="10" fillId="4" borderId="7" xfId="3" applyFont="1" applyFill="1" applyBorder="1" applyAlignment="1">
      <alignment horizontal="center" vertical="center"/>
    </xf>
    <xf numFmtId="164" fontId="15" fillId="4" borderId="7" xfId="2" applyFont="1" applyFill="1" applyBorder="1" applyAlignment="1">
      <alignment horizontal="center" vertical="center" wrapText="1"/>
    </xf>
    <xf numFmtId="172" fontId="10" fillId="4" borderId="7" xfId="2" applyNumberFormat="1" applyFont="1" applyFill="1" applyBorder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1" fontId="10" fillId="4" borderId="7" xfId="2" applyNumberFormat="1" applyFont="1" applyFill="1" applyBorder="1" applyAlignment="1">
      <alignment horizontal="center" vertical="center"/>
    </xf>
    <xf numFmtId="164" fontId="15" fillId="4" borderId="7" xfId="2" applyFont="1" applyFill="1" applyBorder="1" applyAlignment="1">
      <alignment horizontal="center" vertical="center"/>
    </xf>
    <xf numFmtId="10" fontId="10" fillId="4" borderId="7" xfId="3" applyNumberFormat="1" applyFont="1" applyFill="1" applyBorder="1" applyAlignment="1">
      <alignment horizontal="center" vertical="center"/>
    </xf>
    <xf numFmtId="164" fontId="14" fillId="4" borderId="7" xfId="2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center" vertical="center"/>
    </xf>
    <xf numFmtId="1" fontId="10" fillId="4" borderId="7" xfId="0" applyNumberFormat="1" applyFont="1" applyFill="1" applyBorder="1" applyAlignment="1">
      <alignment horizontal="center" vertical="center"/>
    </xf>
    <xf numFmtId="164" fontId="14" fillId="4" borderId="7" xfId="2" applyFont="1" applyFill="1" applyBorder="1" applyAlignment="1">
      <alignment horizontal="center" vertical="center"/>
    </xf>
    <xf numFmtId="172" fontId="10" fillId="5" borderId="7" xfId="2" applyNumberFormat="1" applyFont="1" applyFill="1" applyBorder="1" applyAlignment="1">
      <alignment horizontal="center" vertical="center"/>
    </xf>
    <xf numFmtId="173" fontId="10" fillId="4" borderId="7" xfId="2" applyNumberFormat="1" applyFont="1" applyFill="1" applyBorder="1" applyAlignment="1">
      <alignment horizontal="center" vertical="center"/>
    </xf>
    <xf numFmtId="164" fontId="10" fillId="4" borderId="7" xfId="2" applyFont="1" applyFill="1" applyBorder="1" applyAlignment="1">
      <alignment horizontal="center"/>
    </xf>
    <xf numFmtId="49" fontId="14" fillId="4" borderId="7" xfId="2" applyNumberFormat="1" applyFont="1" applyFill="1" applyBorder="1" applyAlignment="1">
      <alignment vertical="center"/>
    </xf>
    <xf numFmtId="174" fontId="10" fillId="4" borderId="7" xfId="2" applyNumberFormat="1" applyFont="1" applyFill="1" applyBorder="1" applyAlignment="1">
      <alignment horizontal="center" vertical="center"/>
    </xf>
    <xf numFmtId="49" fontId="14" fillId="4" borderId="7" xfId="2" applyNumberFormat="1" applyFont="1" applyFill="1" applyBorder="1" applyAlignment="1" applyProtection="1">
      <alignment vertical="center"/>
      <protection locked="0"/>
    </xf>
    <xf numFmtId="164" fontId="14" fillId="4" borderId="7" xfId="2" applyFont="1" applyFill="1" applyBorder="1" applyAlignment="1" applyProtection="1">
      <alignment vertical="center"/>
      <protection locked="0"/>
    </xf>
    <xf numFmtId="164" fontId="10" fillId="4" borderId="7" xfId="2" applyFont="1" applyFill="1" applyBorder="1" applyAlignment="1" applyProtection="1">
      <alignment horizontal="center" vertical="center"/>
      <protection locked="0"/>
    </xf>
    <xf numFmtId="164" fontId="15" fillId="4" borderId="7" xfId="2" applyFont="1" applyFill="1" applyBorder="1" applyAlignment="1" applyProtection="1">
      <alignment horizontal="center" vertical="center"/>
      <protection locked="0"/>
    </xf>
    <xf numFmtId="44" fontId="7" fillId="4" borderId="7" xfId="2" applyNumberFormat="1" applyFont="1" applyFill="1" applyBorder="1" applyAlignment="1">
      <alignment horizontal="center" vertical="center" wrapText="1"/>
    </xf>
    <xf numFmtId="49" fontId="14" fillId="4" borderId="7" xfId="2" applyNumberFormat="1" applyFont="1" applyFill="1" applyBorder="1" applyAlignment="1" applyProtection="1">
      <alignment horizontal="left" vertical="center"/>
      <protection locked="0"/>
    </xf>
    <xf numFmtId="164" fontId="14" fillId="4" borderId="7" xfId="2" applyFont="1" applyFill="1" applyBorder="1" applyAlignment="1" applyProtection="1">
      <alignment horizontal="left" vertical="center"/>
      <protection locked="0"/>
    </xf>
    <xf numFmtId="49" fontId="14" fillId="4" borderId="7" xfId="2" applyNumberFormat="1" applyFont="1" applyFill="1" applyBorder="1" applyAlignment="1">
      <alignment horizontal="left" vertical="center"/>
    </xf>
    <xf numFmtId="164" fontId="14" fillId="4" borderId="7" xfId="2" applyFont="1" applyFill="1" applyBorder="1" applyAlignment="1">
      <alignment horizontal="left" vertical="center" wrapText="1"/>
    </xf>
    <xf numFmtId="175" fontId="10" fillId="4" borderId="7" xfId="2" applyNumberFormat="1" applyFont="1" applyFill="1" applyBorder="1" applyAlignment="1">
      <alignment horizontal="center" vertical="center"/>
    </xf>
    <xf numFmtId="44" fontId="10" fillId="4" borderId="7" xfId="1" applyFont="1" applyFill="1" applyBorder="1" applyAlignment="1">
      <alignment horizontal="center" vertical="center" wrapText="1"/>
    </xf>
    <xf numFmtId="49" fontId="6" fillId="0" borderId="0" xfId="2" applyNumberFormat="1" applyFont="1"/>
    <xf numFmtId="170" fontId="6" fillId="0" borderId="0" xfId="2" applyNumberFormat="1" applyFont="1" applyAlignment="1">
      <alignment horizontal="center"/>
    </xf>
    <xf numFmtId="166" fontId="6" fillId="0" borderId="0" xfId="3" applyFont="1" applyAlignment="1">
      <alignment horizontal="center"/>
    </xf>
    <xf numFmtId="164" fontId="6" fillId="0" borderId="0" xfId="2" applyFont="1" applyAlignment="1">
      <alignment horizontal="center"/>
    </xf>
    <xf numFmtId="49" fontId="6" fillId="0" borderId="0" xfId="2" applyNumberFormat="1" applyFont="1" applyAlignment="1">
      <alignment horizontal="center"/>
    </xf>
    <xf numFmtId="1" fontId="6" fillId="0" borderId="0" xfId="2" applyNumberFormat="1" applyFont="1" applyAlignment="1">
      <alignment horizontal="center"/>
    </xf>
    <xf numFmtId="165" fontId="5" fillId="0" borderId="0" xfId="2" applyNumberFormat="1" applyFont="1" applyAlignment="1">
      <alignment horizontal="center"/>
    </xf>
    <xf numFmtId="164" fontId="10" fillId="0" borderId="7" xfId="2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2" fillId="2" borderId="3" xfId="0" applyFont="1" applyFill="1" applyBorder="1"/>
  </cellXfs>
  <cellStyles count="6">
    <cellStyle name="Excel Built-in Currency" xfId="5" xr:uid="{0BAA25DE-3C7C-47BD-83CF-A2896551ECA0}"/>
    <cellStyle name="Excel Built-in Normal" xfId="2" xr:uid="{D4E803F9-C1D9-4D11-A79C-6CE4F197BE56}"/>
    <cellStyle name="Excel Built-in Percent" xfId="3" xr:uid="{D08BFC3C-0E79-4BC5-85EC-817ADE8839B4}"/>
    <cellStyle name="Moeda" xfId="1" builtinId="4"/>
    <cellStyle name="Normal" xfId="0" builtinId="0"/>
    <cellStyle name="Normal 2" xfId="4" xr:uid="{A35D6880-40AB-4E6E-91F2-91F2F80100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1</xdr:row>
      <xdr:rowOff>63489</xdr:rowOff>
    </xdr:from>
    <xdr:to>
      <xdr:col>6</xdr:col>
      <xdr:colOff>440944</xdr:colOff>
      <xdr:row>4</xdr:row>
      <xdr:rowOff>164019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99539B8-B5EB-4E54-864A-F5A723E46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5440" y="246369"/>
          <a:ext cx="3054604" cy="649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E793C-87EF-4DB2-88A1-3A3D8333A094}">
  <dimension ref="A1:Z99"/>
  <sheetViews>
    <sheetView tabSelected="1" zoomScaleNormal="100" workbookViewId="0">
      <selection activeCell="D13" sqref="D13"/>
    </sheetView>
  </sheetViews>
  <sheetFormatPr defaultRowHeight="15"/>
  <cols>
    <col min="1" max="1" width="14.140625" style="70" customWidth="1"/>
    <col min="2" max="2" width="56.7109375" style="2" bestFit="1" customWidth="1"/>
    <col min="3" max="3" width="10.28515625" style="2" customWidth="1"/>
    <col min="4" max="4" width="12.5703125" style="76" customWidth="1"/>
    <col min="5" max="5" width="12.85546875" style="71" bestFit="1" customWidth="1"/>
    <col min="6" max="6" width="10.7109375" style="72" bestFit="1" customWidth="1"/>
    <col min="7" max="7" width="18.42578125" style="73" bestFit="1" customWidth="1"/>
    <col min="8" max="8" width="15.5703125" style="74" bestFit="1" customWidth="1"/>
    <col min="9" max="9" width="15.85546875" style="73" bestFit="1" customWidth="1"/>
    <col min="10" max="10" width="18.85546875" style="75" bestFit="1" customWidth="1"/>
    <col min="11" max="11" width="12.42578125" style="73" bestFit="1" customWidth="1"/>
    <col min="12" max="12" width="11.85546875" style="73" bestFit="1" customWidth="1"/>
    <col min="13" max="13" width="7.28515625" style="1" bestFit="1" customWidth="1"/>
    <col min="14" max="14" width="11" style="1" bestFit="1" customWidth="1"/>
    <col min="15" max="15" width="11.5703125" style="1" bestFit="1" customWidth="1"/>
    <col min="16" max="16" width="4.5703125" style="1" bestFit="1" customWidth="1"/>
    <col min="17" max="17" width="6" style="1" bestFit="1" customWidth="1"/>
    <col min="18" max="18" width="9.42578125" style="1" bestFit="1" customWidth="1"/>
    <col min="19" max="20" width="8" style="1" bestFit="1" customWidth="1"/>
    <col min="21" max="21" width="9.42578125" style="1" bestFit="1" customWidth="1"/>
    <col min="22" max="22" width="13.140625" style="1" bestFit="1" customWidth="1"/>
    <col min="23" max="23" width="4.5703125" style="1" bestFit="1" customWidth="1"/>
    <col min="24" max="24" width="10.7109375" style="1" bestFit="1" customWidth="1"/>
    <col min="25" max="25" width="7.28515625" style="1" bestFit="1" customWidth="1"/>
    <col min="26" max="26" width="10.140625" style="2" bestFit="1" customWidth="1"/>
  </cols>
  <sheetData>
    <row r="1" spans="1:26" ht="14.45" customHeight="1">
      <c r="A1" s="78"/>
      <c r="B1" s="79"/>
      <c r="C1" s="79"/>
      <c r="D1" s="79"/>
      <c r="E1" s="79"/>
      <c r="F1" s="79"/>
      <c r="G1" s="79"/>
      <c r="H1" s="79"/>
      <c r="I1" s="79"/>
      <c r="J1" s="79"/>
      <c r="K1" s="79"/>
      <c r="L1" s="80"/>
    </row>
    <row r="2" spans="1:26" ht="14.45" customHeight="1">
      <c r="A2" s="78"/>
      <c r="B2" s="79"/>
      <c r="C2" s="79"/>
      <c r="D2" s="79"/>
      <c r="E2" s="79"/>
      <c r="F2" s="79"/>
      <c r="G2" s="79"/>
      <c r="H2" s="79"/>
      <c r="I2" s="79"/>
      <c r="J2" s="79"/>
      <c r="K2" s="79"/>
      <c r="L2" s="80"/>
    </row>
    <row r="3" spans="1:26" ht="14.45" customHeight="1">
      <c r="A3" s="78"/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26" ht="14.45" customHeight="1">
      <c r="A4" s="78"/>
      <c r="B4" s="79"/>
      <c r="C4" s="79"/>
      <c r="D4" s="79"/>
      <c r="E4" s="79"/>
      <c r="F4" s="79"/>
      <c r="G4" s="79"/>
      <c r="H4" s="79"/>
      <c r="I4" s="79"/>
      <c r="J4" s="79"/>
      <c r="K4" s="79"/>
      <c r="L4" s="80"/>
    </row>
    <row r="5" spans="1:26" ht="14.45" customHeight="1">
      <c r="A5" s="78"/>
      <c r="B5" s="79"/>
      <c r="C5" s="79"/>
      <c r="D5" s="79"/>
      <c r="E5" s="79"/>
      <c r="F5" s="79"/>
      <c r="G5" s="79"/>
      <c r="H5" s="79"/>
      <c r="I5" s="79"/>
      <c r="J5" s="79"/>
      <c r="K5" s="79"/>
      <c r="L5" s="80"/>
    </row>
    <row r="6" spans="1:26" ht="14.45" customHeight="1">
      <c r="A6" s="78"/>
      <c r="B6" s="79"/>
      <c r="C6" s="79"/>
      <c r="D6" s="79"/>
      <c r="E6" s="79"/>
      <c r="F6" s="79"/>
      <c r="G6" s="79"/>
      <c r="H6" s="79"/>
      <c r="I6" s="79"/>
      <c r="J6" s="79"/>
      <c r="K6" s="79"/>
      <c r="L6" s="80"/>
    </row>
    <row r="7" spans="1:26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3" t="s">
        <v>0</v>
      </c>
      <c r="N7" s="3" t="s">
        <v>0</v>
      </c>
      <c r="O7" s="3" t="s">
        <v>0</v>
      </c>
      <c r="P7" s="3" t="s">
        <v>1</v>
      </c>
      <c r="Q7" s="3" t="s">
        <v>1</v>
      </c>
      <c r="R7" s="3" t="s">
        <v>1</v>
      </c>
      <c r="S7" s="3" t="s">
        <v>2</v>
      </c>
      <c r="T7" s="3" t="s">
        <v>2</v>
      </c>
      <c r="U7" s="3" t="s">
        <v>2</v>
      </c>
      <c r="V7" s="3" t="s">
        <v>3</v>
      </c>
      <c r="W7" s="3" t="s">
        <v>4</v>
      </c>
      <c r="X7" s="3" t="s">
        <v>4</v>
      </c>
      <c r="Y7" s="3"/>
      <c r="Z7" s="4"/>
    </row>
    <row r="8" spans="1:26" ht="51">
      <c r="A8" s="5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8" t="s">
        <v>10</v>
      </c>
      <c r="G8" s="9" t="s">
        <v>11</v>
      </c>
      <c r="H8" s="5" t="s">
        <v>12</v>
      </c>
      <c r="I8" s="6" t="s">
        <v>13</v>
      </c>
      <c r="J8" s="10" t="s">
        <v>14</v>
      </c>
      <c r="K8" s="9" t="s">
        <v>15</v>
      </c>
      <c r="L8" s="6" t="s">
        <v>16</v>
      </c>
      <c r="M8" s="11" t="s">
        <v>17</v>
      </c>
      <c r="N8" s="11" t="s">
        <v>18</v>
      </c>
      <c r="O8" s="11" t="s">
        <v>19</v>
      </c>
      <c r="P8" s="11" t="s">
        <v>20</v>
      </c>
      <c r="Q8" s="11" t="s">
        <v>21</v>
      </c>
      <c r="R8" s="11" t="s">
        <v>22</v>
      </c>
      <c r="S8" s="12" t="s">
        <v>20</v>
      </c>
      <c r="T8" s="11" t="s">
        <v>21</v>
      </c>
      <c r="U8" s="11" t="s">
        <v>22</v>
      </c>
      <c r="V8" s="11" t="s">
        <v>23</v>
      </c>
      <c r="W8" s="11" t="s">
        <v>20</v>
      </c>
      <c r="X8" s="13" t="s">
        <v>10</v>
      </c>
      <c r="Y8" s="11" t="s">
        <v>24</v>
      </c>
      <c r="Z8" s="11" t="s">
        <v>25</v>
      </c>
    </row>
    <row r="9" spans="1:26" ht="15.75">
      <c r="A9" s="14" t="s">
        <v>26</v>
      </c>
      <c r="B9" s="15" t="s">
        <v>27</v>
      </c>
      <c r="C9" s="77">
        <v>30</v>
      </c>
      <c r="D9" s="16">
        <v>2.8930000000000002</v>
      </c>
      <c r="E9" s="17">
        <f>D9*C9</f>
        <v>86.79</v>
      </c>
      <c r="F9" s="18">
        <v>3.2500000000000001E-2</v>
      </c>
      <c r="G9" s="19">
        <v>7898563806558</v>
      </c>
      <c r="H9" s="20" t="s">
        <v>28</v>
      </c>
      <c r="I9" s="21">
        <v>48211000</v>
      </c>
      <c r="J9" s="22">
        <v>17898563806555</v>
      </c>
      <c r="K9" s="23" t="s">
        <v>29</v>
      </c>
      <c r="L9" s="24">
        <v>3950</v>
      </c>
      <c r="M9" s="25"/>
      <c r="N9" s="25"/>
      <c r="O9" s="25"/>
      <c r="P9" s="25"/>
      <c r="Q9" s="25"/>
      <c r="R9" s="25"/>
      <c r="S9" s="26"/>
      <c r="T9" s="25"/>
      <c r="U9" s="25"/>
      <c r="V9" s="25"/>
      <c r="W9" s="25"/>
      <c r="X9" s="27">
        <v>3.2500000000000001E-2</v>
      </c>
      <c r="Y9" s="25"/>
      <c r="Z9" s="25"/>
    </row>
    <row r="10" spans="1:26" ht="15.75">
      <c r="A10" s="14" t="s">
        <v>30</v>
      </c>
      <c r="B10" s="15" t="s">
        <v>31</v>
      </c>
      <c r="C10" s="77">
        <v>30</v>
      </c>
      <c r="D10" s="16">
        <v>4.8289999999999997</v>
      </c>
      <c r="E10" s="17">
        <f>D10*C10</f>
        <v>144.87</v>
      </c>
      <c r="F10" s="18">
        <v>3.2500000000000001E-2</v>
      </c>
      <c r="G10" s="19">
        <v>7898563806565</v>
      </c>
      <c r="H10" s="20" t="s">
        <v>32</v>
      </c>
      <c r="I10" s="21">
        <v>48211000</v>
      </c>
      <c r="J10" s="22">
        <v>17898563806562</v>
      </c>
      <c r="K10" s="23" t="s">
        <v>33</v>
      </c>
      <c r="L10" s="24">
        <v>7100</v>
      </c>
      <c r="M10" s="25"/>
      <c r="N10" s="25"/>
      <c r="O10" s="25"/>
      <c r="P10" s="25"/>
      <c r="Q10" s="25"/>
      <c r="R10" s="25"/>
      <c r="S10" s="26"/>
      <c r="T10" s="25"/>
      <c r="U10" s="25"/>
      <c r="V10" s="25"/>
      <c r="W10" s="25"/>
      <c r="X10" s="27">
        <v>3.2500000000000001E-2</v>
      </c>
      <c r="Y10" s="25"/>
      <c r="Z10" s="25"/>
    </row>
    <row r="11" spans="1:26">
      <c r="A11" s="28"/>
      <c r="B11" s="29" t="s">
        <v>34</v>
      </c>
      <c r="C11" s="29"/>
      <c r="D11" s="30"/>
      <c r="E11" s="31"/>
      <c r="F11" s="32"/>
      <c r="G11" s="29"/>
      <c r="H11" s="28"/>
      <c r="I11" s="29"/>
      <c r="J11" s="33"/>
      <c r="K11" s="29"/>
      <c r="L11" s="29"/>
      <c r="M11" s="29"/>
      <c r="N11" s="34"/>
      <c r="O11" s="34"/>
      <c r="P11" s="29"/>
      <c r="Q11" s="29"/>
      <c r="R11" s="29"/>
      <c r="S11" s="35"/>
      <c r="T11" s="29"/>
      <c r="U11" s="29"/>
      <c r="V11" s="29"/>
      <c r="W11" s="29"/>
      <c r="X11" s="32"/>
      <c r="Y11" s="29"/>
      <c r="Z11" s="29"/>
    </row>
    <row r="12" spans="1:26" ht="15.75">
      <c r="A12" s="36" t="s">
        <v>35</v>
      </c>
      <c r="B12" s="37" t="s">
        <v>36</v>
      </c>
      <c r="C12" s="23">
        <v>30</v>
      </c>
      <c r="D12" s="30">
        <v>3.6190000000000002</v>
      </c>
      <c r="E12" s="17">
        <f>D12*C12</f>
        <v>108.57000000000001</v>
      </c>
      <c r="F12" s="18">
        <v>3.2500000000000001E-2</v>
      </c>
      <c r="G12" s="21" t="s">
        <v>37</v>
      </c>
      <c r="H12" s="38" t="s">
        <v>38</v>
      </c>
      <c r="I12" s="23">
        <v>33019010</v>
      </c>
      <c r="J12" s="39" t="s">
        <v>39</v>
      </c>
      <c r="K12" s="23" t="s">
        <v>29</v>
      </c>
      <c r="L12" s="24">
        <v>3950</v>
      </c>
      <c r="M12" s="40" t="s">
        <v>40</v>
      </c>
      <c r="N12" s="41">
        <v>17</v>
      </c>
      <c r="O12" s="41">
        <v>12</v>
      </c>
      <c r="P12" s="41" t="s">
        <v>41</v>
      </c>
      <c r="Q12" s="41" t="s">
        <v>42</v>
      </c>
      <c r="R12" s="41">
        <v>0.65</v>
      </c>
      <c r="S12" s="34" t="s">
        <v>41</v>
      </c>
      <c r="T12" s="29" t="s">
        <v>42</v>
      </c>
      <c r="U12" s="41">
        <v>3</v>
      </c>
      <c r="V12" s="41" t="s">
        <v>43</v>
      </c>
      <c r="W12" s="41">
        <v>50</v>
      </c>
      <c r="X12" s="18">
        <v>3.2500000000000001E-2</v>
      </c>
      <c r="Y12" s="29">
        <v>101</v>
      </c>
      <c r="Z12" s="29">
        <v>2000600</v>
      </c>
    </row>
    <row r="13" spans="1:26" ht="15.75">
      <c r="A13" s="36" t="s">
        <v>44</v>
      </c>
      <c r="B13" s="37" t="s">
        <v>45</v>
      </c>
      <c r="C13" s="23">
        <v>30</v>
      </c>
      <c r="D13" s="30">
        <v>6.0500000000000007</v>
      </c>
      <c r="E13" s="17">
        <f t="shared" ref="E13:E20" si="0">D13*C13</f>
        <v>181.50000000000003</v>
      </c>
      <c r="F13" s="18">
        <v>3.2500000000000001E-2</v>
      </c>
      <c r="G13" s="21" t="s">
        <v>46</v>
      </c>
      <c r="H13" s="38" t="s">
        <v>47</v>
      </c>
      <c r="I13" s="23">
        <v>33019010</v>
      </c>
      <c r="J13" s="39" t="s">
        <v>48</v>
      </c>
      <c r="K13" s="23" t="s">
        <v>33</v>
      </c>
      <c r="L13" s="24">
        <v>7100</v>
      </c>
      <c r="M13" s="40" t="s">
        <v>40</v>
      </c>
      <c r="N13" s="41">
        <v>17</v>
      </c>
      <c r="O13" s="41">
        <v>12</v>
      </c>
      <c r="P13" s="41" t="s">
        <v>41</v>
      </c>
      <c r="Q13" s="41" t="s">
        <v>42</v>
      </c>
      <c r="R13" s="41">
        <v>0.65</v>
      </c>
      <c r="S13" s="34" t="s">
        <v>49</v>
      </c>
      <c r="T13" s="29" t="s">
        <v>42</v>
      </c>
      <c r="U13" s="41">
        <v>3</v>
      </c>
      <c r="V13" s="41" t="s">
        <v>43</v>
      </c>
      <c r="W13" s="41">
        <v>50</v>
      </c>
      <c r="X13" s="18">
        <v>3.2500000000000001E-2</v>
      </c>
      <c r="Y13" s="29">
        <v>101</v>
      </c>
      <c r="Z13" s="29">
        <v>2000600</v>
      </c>
    </row>
    <row r="14" spans="1:26" ht="15.75">
      <c r="A14" s="36" t="s">
        <v>50</v>
      </c>
      <c r="B14" s="37" t="s">
        <v>51</v>
      </c>
      <c r="C14" s="23">
        <v>30</v>
      </c>
      <c r="D14" s="30">
        <v>5.5990000000000002</v>
      </c>
      <c r="E14" s="17">
        <f t="shared" si="0"/>
        <v>167.97</v>
      </c>
      <c r="F14" s="18">
        <v>3.2500000000000001E-2</v>
      </c>
      <c r="G14" s="21" t="s">
        <v>52</v>
      </c>
      <c r="H14" s="38" t="s">
        <v>38</v>
      </c>
      <c r="I14" s="23">
        <v>33019010</v>
      </c>
      <c r="J14" s="39"/>
      <c r="K14" s="23" t="s">
        <v>29</v>
      </c>
      <c r="L14" s="24">
        <v>4200</v>
      </c>
      <c r="M14" s="40" t="s">
        <v>40</v>
      </c>
      <c r="N14" s="41">
        <v>17</v>
      </c>
      <c r="O14" s="41">
        <v>12</v>
      </c>
      <c r="P14" s="41" t="s">
        <v>41</v>
      </c>
      <c r="Q14" s="41" t="s">
        <v>42</v>
      </c>
      <c r="R14" s="41">
        <v>0.65</v>
      </c>
      <c r="S14" s="34" t="s">
        <v>49</v>
      </c>
      <c r="T14" s="29" t="s">
        <v>42</v>
      </c>
      <c r="U14" s="41">
        <v>3</v>
      </c>
      <c r="V14" s="41" t="s">
        <v>43</v>
      </c>
      <c r="W14" s="41">
        <v>50</v>
      </c>
      <c r="X14" s="18">
        <v>3.2500000000000001E-2</v>
      </c>
      <c r="Y14" s="29">
        <v>101</v>
      </c>
      <c r="Z14" s="29">
        <v>2000600</v>
      </c>
    </row>
    <row r="15" spans="1:26" ht="15.75">
      <c r="A15" s="36" t="s">
        <v>53</v>
      </c>
      <c r="B15" s="37" t="s">
        <v>54</v>
      </c>
      <c r="C15" s="23">
        <v>30</v>
      </c>
      <c r="D15" s="30">
        <v>8.4150000000000009</v>
      </c>
      <c r="E15" s="17">
        <f t="shared" si="0"/>
        <v>252.45000000000002</v>
      </c>
      <c r="F15" s="18">
        <v>3.2500000000000001E-2</v>
      </c>
      <c r="G15" s="21" t="s">
        <v>55</v>
      </c>
      <c r="H15" s="38" t="s">
        <v>56</v>
      </c>
      <c r="I15" s="23">
        <v>33019010</v>
      </c>
      <c r="J15" s="39"/>
      <c r="K15" s="23" t="s">
        <v>57</v>
      </c>
      <c r="L15" s="24">
        <v>7500</v>
      </c>
      <c r="M15" s="40" t="s">
        <v>40</v>
      </c>
      <c r="N15" s="41">
        <v>17</v>
      </c>
      <c r="O15" s="41">
        <v>12</v>
      </c>
      <c r="P15" s="41" t="s">
        <v>49</v>
      </c>
      <c r="Q15" s="41" t="s">
        <v>42</v>
      </c>
      <c r="R15" s="41">
        <v>0.65</v>
      </c>
      <c r="S15" s="34" t="s">
        <v>49</v>
      </c>
      <c r="T15" s="29" t="s">
        <v>42</v>
      </c>
      <c r="U15" s="41">
        <v>3</v>
      </c>
      <c r="V15" s="41" t="s">
        <v>43</v>
      </c>
      <c r="W15" s="41">
        <v>50</v>
      </c>
      <c r="X15" s="18">
        <v>3.2500000000000001E-2</v>
      </c>
      <c r="Y15" s="29">
        <v>101</v>
      </c>
      <c r="Z15" s="29">
        <v>2000600</v>
      </c>
    </row>
    <row r="16" spans="1:26" ht="15.75">
      <c r="A16" s="36" t="s">
        <v>58</v>
      </c>
      <c r="B16" s="37" t="s">
        <v>59</v>
      </c>
      <c r="C16" s="23">
        <v>30</v>
      </c>
      <c r="D16" s="30">
        <v>4.5540000000000003</v>
      </c>
      <c r="E16" s="17">
        <f t="shared" si="0"/>
        <v>136.62</v>
      </c>
      <c r="F16" s="18">
        <v>3.2500000000000001E-2</v>
      </c>
      <c r="G16" s="21" t="s">
        <v>60</v>
      </c>
      <c r="H16" s="38" t="s">
        <v>61</v>
      </c>
      <c r="I16" s="23">
        <v>33019010</v>
      </c>
      <c r="J16" s="39">
        <v>17898563803653</v>
      </c>
      <c r="K16" s="23" t="s">
        <v>62</v>
      </c>
      <c r="L16" s="24">
        <v>3000</v>
      </c>
      <c r="M16" s="40" t="s">
        <v>40</v>
      </c>
      <c r="N16" s="41">
        <v>17</v>
      </c>
      <c r="O16" s="41">
        <v>12</v>
      </c>
      <c r="P16" s="41" t="s">
        <v>49</v>
      </c>
      <c r="Q16" s="41" t="s">
        <v>42</v>
      </c>
      <c r="R16" s="41">
        <v>0.65</v>
      </c>
      <c r="S16" s="34" t="s">
        <v>41</v>
      </c>
      <c r="T16" s="29" t="s">
        <v>42</v>
      </c>
      <c r="U16" s="41">
        <v>3</v>
      </c>
      <c r="V16" s="41" t="s">
        <v>43</v>
      </c>
      <c r="W16" s="41">
        <v>50</v>
      </c>
      <c r="X16" s="18">
        <v>3.2500000000000001E-2</v>
      </c>
      <c r="Y16" s="29">
        <v>101</v>
      </c>
      <c r="Z16" s="42">
        <v>2000600</v>
      </c>
    </row>
    <row r="17" spans="1:26" ht="15.75">
      <c r="A17" s="36" t="s">
        <v>63</v>
      </c>
      <c r="B17" s="37" t="s">
        <v>64</v>
      </c>
      <c r="C17" s="23">
        <v>30</v>
      </c>
      <c r="D17" s="30">
        <v>7.0730000000000004</v>
      </c>
      <c r="E17" s="17">
        <f t="shared" si="0"/>
        <v>212.19</v>
      </c>
      <c r="F17" s="18">
        <v>3.2500000000000001E-2</v>
      </c>
      <c r="G17" s="21" t="s">
        <v>65</v>
      </c>
      <c r="H17" s="38" t="s">
        <v>66</v>
      </c>
      <c r="I17" s="23">
        <v>33019010</v>
      </c>
      <c r="J17" s="39">
        <v>17898563802533</v>
      </c>
      <c r="K17" s="23" t="s">
        <v>67</v>
      </c>
      <c r="L17" s="24">
        <v>4500</v>
      </c>
      <c r="M17" s="40" t="s">
        <v>40</v>
      </c>
      <c r="N17" s="41">
        <v>17</v>
      </c>
      <c r="O17" s="41">
        <v>12</v>
      </c>
      <c r="P17" s="41" t="s">
        <v>41</v>
      </c>
      <c r="Q17" s="41" t="s">
        <v>42</v>
      </c>
      <c r="R17" s="41">
        <v>0.65</v>
      </c>
      <c r="S17" s="34" t="s">
        <v>49</v>
      </c>
      <c r="T17" s="29" t="s">
        <v>42</v>
      </c>
      <c r="U17" s="41">
        <v>3</v>
      </c>
      <c r="V17" s="41" t="s">
        <v>43</v>
      </c>
      <c r="W17" s="41">
        <v>50</v>
      </c>
      <c r="X17" s="18">
        <v>3.2500000000000001E-2</v>
      </c>
      <c r="Y17" s="29">
        <v>101</v>
      </c>
      <c r="Z17" s="42">
        <v>2000600</v>
      </c>
    </row>
    <row r="18" spans="1:26" ht="15.75">
      <c r="A18" s="36" t="s">
        <v>68</v>
      </c>
      <c r="B18" s="37" t="s">
        <v>69</v>
      </c>
      <c r="C18" s="23">
        <v>30</v>
      </c>
      <c r="D18" s="30">
        <v>7.1830000000000007</v>
      </c>
      <c r="E18" s="17">
        <f t="shared" si="0"/>
        <v>215.49</v>
      </c>
      <c r="F18" s="18">
        <v>3.2500000000000001E-2</v>
      </c>
      <c r="G18" s="21" t="s">
        <v>70</v>
      </c>
      <c r="H18" s="38" t="s">
        <v>71</v>
      </c>
      <c r="I18" s="23">
        <v>33019010</v>
      </c>
      <c r="J18" s="39">
        <v>17898563802557</v>
      </c>
      <c r="K18" s="23" t="s">
        <v>57</v>
      </c>
      <c r="L18" s="24">
        <v>7500</v>
      </c>
      <c r="M18" s="40" t="s">
        <v>40</v>
      </c>
      <c r="N18" s="41">
        <v>17</v>
      </c>
      <c r="O18" s="41">
        <v>12</v>
      </c>
      <c r="P18" s="41" t="s">
        <v>41</v>
      </c>
      <c r="Q18" s="41" t="s">
        <v>42</v>
      </c>
      <c r="R18" s="41">
        <v>0.65</v>
      </c>
      <c r="S18" s="34" t="s">
        <v>41</v>
      </c>
      <c r="T18" s="41" t="s">
        <v>42</v>
      </c>
      <c r="U18" s="41">
        <v>3</v>
      </c>
      <c r="V18" s="41" t="s">
        <v>43</v>
      </c>
      <c r="W18" s="41">
        <v>50</v>
      </c>
      <c r="X18" s="18">
        <v>3.2500000000000001E-2</v>
      </c>
      <c r="Y18" s="29">
        <v>101</v>
      </c>
      <c r="Z18" s="42">
        <v>2000600</v>
      </c>
    </row>
    <row r="19" spans="1:26" ht="15.75">
      <c r="A19" s="36" t="s">
        <v>72</v>
      </c>
      <c r="B19" s="37" t="s">
        <v>73</v>
      </c>
      <c r="C19" s="23">
        <v>30</v>
      </c>
      <c r="D19" s="30">
        <v>11.330000000000002</v>
      </c>
      <c r="E19" s="17">
        <f t="shared" si="0"/>
        <v>339.90000000000003</v>
      </c>
      <c r="F19" s="43">
        <v>0</v>
      </c>
      <c r="G19" s="21" t="s">
        <v>74</v>
      </c>
      <c r="H19" s="38" t="s">
        <v>75</v>
      </c>
      <c r="I19" s="21">
        <v>30051010</v>
      </c>
      <c r="J19" s="39" t="s">
        <v>76</v>
      </c>
      <c r="K19" s="23" t="s">
        <v>77</v>
      </c>
      <c r="L19" s="24">
        <v>1050</v>
      </c>
      <c r="M19" s="40" t="s">
        <v>78</v>
      </c>
      <c r="N19" s="41">
        <v>17</v>
      </c>
      <c r="O19" s="41">
        <v>12</v>
      </c>
      <c r="P19" s="41" t="s">
        <v>79</v>
      </c>
      <c r="Q19" s="41" t="s">
        <v>42</v>
      </c>
      <c r="R19" s="41">
        <v>2.1</v>
      </c>
      <c r="S19" s="34" t="s">
        <v>79</v>
      </c>
      <c r="T19" s="41" t="s">
        <v>42</v>
      </c>
      <c r="U19" s="41">
        <v>9.9</v>
      </c>
      <c r="V19" s="41" t="s">
        <v>80</v>
      </c>
      <c r="W19" s="41">
        <v>51</v>
      </c>
      <c r="X19" s="43">
        <v>0</v>
      </c>
      <c r="Y19" s="29">
        <v>101</v>
      </c>
      <c r="Z19" s="42">
        <v>1301001</v>
      </c>
    </row>
    <row r="20" spans="1:26" ht="15.75">
      <c r="A20" s="36" t="s">
        <v>81</v>
      </c>
      <c r="B20" s="37" t="s">
        <v>82</v>
      </c>
      <c r="C20" s="23">
        <v>30</v>
      </c>
      <c r="D20" s="30">
        <v>16.995000000000001</v>
      </c>
      <c r="E20" s="17">
        <f t="shared" si="0"/>
        <v>509.85</v>
      </c>
      <c r="F20" s="43">
        <v>0</v>
      </c>
      <c r="G20" s="21" t="s">
        <v>83</v>
      </c>
      <c r="H20" s="38" t="s">
        <v>84</v>
      </c>
      <c r="I20" s="23">
        <v>30051010</v>
      </c>
      <c r="J20" s="39" t="s">
        <v>85</v>
      </c>
      <c r="K20" s="23" t="s">
        <v>86</v>
      </c>
      <c r="L20" s="24">
        <v>1820</v>
      </c>
      <c r="M20" s="40" t="s">
        <v>78</v>
      </c>
      <c r="N20" s="41">
        <v>17</v>
      </c>
      <c r="O20" s="41">
        <v>12</v>
      </c>
      <c r="P20" s="41" t="s">
        <v>79</v>
      </c>
      <c r="Q20" s="41" t="s">
        <v>42</v>
      </c>
      <c r="R20" s="41">
        <v>2.1</v>
      </c>
      <c r="S20" s="34" t="s">
        <v>79</v>
      </c>
      <c r="T20" s="41" t="s">
        <v>42</v>
      </c>
      <c r="U20" s="41">
        <v>9.9</v>
      </c>
      <c r="V20" s="41" t="s">
        <v>80</v>
      </c>
      <c r="W20" s="41">
        <v>51</v>
      </c>
      <c r="X20" s="43">
        <v>0</v>
      </c>
      <c r="Y20" s="29">
        <v>101</v>
      </c>
      <c r="Z20" s="42">
        <v>1301001</v>
      </c>
    </row>
    <row r="21" spans="1:26" ht="15.75">
      <c r="A21" s="36"/>
      <c r="B21" s="44" t="s">
        <v>87</v>
      </c>
      <c r="C21" s="23"/>
      <c r="D21" s="30"/>
      <c r="E21" s="17"/>
      <c r="F21" s="43"/>
      <c r="G21" s="21"/>
      <c r="H21" s="38"/>
      <c r="I21" s="23"/>
      <c r="J21" s="39"/>
      <c r="K21" s="23"/>
      <c r="L21" s="23"/>
      <c r="M21" s="40"/>
      <c r="N21" s="41"/>
      <c r="O21" s="41"/>
      <c r="P21" s="41"/>
      <c r="Q21" s="41"/>
      <c r="R21" s="41"/>
      <c r="S21" s="34"/>
      <c r="T21" s="41"/>
      <c r="U21" s="41"/>
      <c r="V21" s="41"/>
      <c r="W21" s="41"/>
      <c r="X21" s="43"/>
      <c r="Y21" s="41"/>
      <c r="Z21" s="42"/>
    </row>
    <row r="22" spans="1:26">
      <c r="A22" s="36" t="s">
        <v>88</v>
      </c>
      <c r="B22" s="37" t="s">
        <v>89</v>
      </c>
      <c r="C22" s="23">
        <v>20</v>
      </c>
      <c r="D22" s="30">
        <v>59.788499999999999</v>
      </c>
      <c r="E22" s="17">
        <f>D22*C22</f>
        <v>1195.77</v>
      </c>
      <c r="F22" s="43">
        <v>0</v>
      </c>
      <c r="G22" s="45" t="s">
        <v>90</v>
      </c>
      <c r="H22" s="38" t="s">
        <v>91</v>
      </c>
      <c r="I22" s="23">
        <v>18040000</v>
      </c>
      <c r="J22" s="46" t="s">
        <v>92</v>
      </c>
      <c r="K22" s="23" t="s">
        <v>93</v>
      </c>
      <c r="L22" s="24">
        <v>13800</v>
      </c>
      <c r="M22" s="40" t="s">
        <v>40</v>
      </c>
      <c r="N22" s="41">
        <v>17</v>
      </c>
      <c r="O22" s="41">
        <v>12</v>
      </c>
      <c r="P22" s="41" t="s">
        <v>41</v>
      </c>
      <c r="Q22" s="41" t="s">
        <v>42</v>
      </c>
      <c r="R22" s="41">
        <v>0.65</v>
      </c>
      <c r="S22" s="34" t="s">
        <v>41</v>
      </c>
      <c r="T22" s="41" t="s">
        <v>42</v>
      </c>
      <c r="U22" s="41">
        <v>3</v>
      </c>
      <c r="V22" s="41" t="s">
        <v>94</v>
      </c>
      <c r="W22" s="41">
        <v>51</v>
      </c>
      <c r="X22" s="43">
        <v>0</v>
      </c>
      <c r="Y22" s="41">
        <v>101</v>
      </c>
      <c r="Z22" s="42" t="s">
        <v>95</v>
      </c>
    </row>
    <row r="23" spans="1:26">
      <c r="A23" s="36" t="s">
        <v>96</v>
      </c>
      <c r="B23" s="37" t="s">
        <v>97</v>
      </c>
      <c r="C23" s="23">
        <v>24</v>
      </c>
      <c r="D23" s="30">
        <v>48.400000000000006</v>
      </c>
      <c r="E23" s="17">
        <f>D23*C23</f>
        <v>1161.6000000000001</v>
      </c>
      <c r="F23" s="43">
        <v>0</v>
      </c>
      <c r="G23" s="45" t="s">
        <v>98</v>
      </c>
      <c r="H23" s="38" t="s">
        <v>91</v>
      </c>
      <c r="I23" s="23">
        <v>18040000</v>
      </c>
      <c r="J23" s="46" t="s">
        <v>99</v>
      </c>
      <c r="K23" s="23" t="s">
        <v>100</v>
      </c>
      <c r="L23" s="24">
        <v>10800</v>
      </c>
      <c r="M23" s="40" t="s">
        <v>40</v>
      </c>
      <c r="N23" s="41">
        <v>17</v>
      </c>
      <c r="O23" s="41">
        <v>12</v>
      </c>
      <c r="P23" s="41" t="s">
        <v>41</v>
      </c>
      <c r="Q23" s="41" t="s">
        <v>42</v>
      </c>
      <c r="R23" s="41">
        <v>0.65</v>
      </c>
      <c r="S23" s="34" t="s">
        <v>41</v>
      </c>
      <c r="T23" s="41" t="s">
        <v>42</v>
      </c>
      <c r="U23" s="41">
        <v>3</v>
      </c>
      <c r="V23" s="41" t="s">
        <v>94</v>
      </c>
      <c r="W23" s="41">
        <v>51</v>
      </c>
      <c r="X23" s="43">
        <v>0</v>
      </c>
      <c r="Y23" s="41">
        <v>101</v>
      </c>
      <c r="Z23" s="42" t="s">
        <v>95</v>
      </c>
    </row>
    <row r="24" spans="1:26">
      <c r="A24" s="36" t="s">
        <v>101</v>
      </c>
      <c r="B24" s="37" t="s">
        <v>102</v>
      </c>
      <c r="C24" s="23">
        <v>85</v>
      </c>
      <c r="D24" s="30">
        <v>15.087999999999997</v>
      </c>
      <c r="E24" s="17">
        <f>D24*C24</f>
        <v>1282.4799999999998</v>
      </c>
      <c r="F24" s="43">
        <v>0</v>
      </c>
      <c r="G24" s="45" t="s">
        <v>103</v>
      </c>
      <c r="H24" s="38" t="s">
        <v>91</v>
      </c>
      <c r="I24" s="23">
        <v>18040000</v>
      </c>
      <c r="J24" s="47">
        <v>17898563804919</v>
      </c>
      <c r="K24" s="23" t="s">
        <v>93</v>
      </c>
      <c r="L24" s="24">
        <v>13800</v>
      </c>
      <c r="M24" s="40" t="s">
        <v>78</v>
      </c>
      <c r="N24" s="41">
        <v>17</v>
      </c>
      <c r="O24" s="41">
        <v>12</v>
      </c>
      <c r="P24" s="41" t="s">
        <v>41</v>
      </c>
      <c r="Q24" s="41" t="s">
        <v>104</v>
      </c>
      <c r="R24" s="41">
        <v>0.65</v>
      </c>
      <c r="S24" s="34" t="s">
        <v>49</v>
      </c>
      <c r="T24" s="41" t="s">
        <v>42</v>
      </c>
      <c r="U24" s="41">
        <v>3</v>
      </c>
      <c r="V24" s="41" t="s">
        <v>94</v>
      </c>
      <c r="W24" s="41">
        <v>51</v>
      </c>
      <c r="X24" s="43">
        <v>0</v>
      </c>
      <c r="Y24" s="41">
        <v>101</v>
      </c>
      <c r="Z24" s="42" t="s">
        <v>95</v>
      </c>
    </row>
    <row r="25" spans="1:26">
      <c r="A25" s="36"/>
      <c r="B25" s="48" t="s">
        <v>105</v>
      </c>
      <c r="C25" s="23"/>
      <c r="D25" s="30"/>
      <c r="E25" s="17"/>
      <c r="F25" s="43"/>
      <c r="G25" s="45"/>
      <c r="H25" s="38"/>
      <c r="I25" s="23"/>
      <c r="J25" s="47"/>
      <c r="K25" s="23"/>
      <c r="L25" s="24"/>
      <c r="M25" s="40"/>
      <c r="N25" s="41"/>
      <c r="O25" s="41"/>
      <c r="P25" s="41"/>
      <c r="Q25" s="41"/>
      <c r="R25" s="41"/>
      <c r="S25" s="34"/>
      <c r="T25" s="41"/>
      <c r="U25" s="41"/>
      <c r="V25" s="41"/>
      <c r="W25" s="41"/>
      <c r="X25" s="43"/>
      <c r="Y25" s="41"/>
      <c r="Z25" s="42"/>
    </row>
    <row r="26" spans="1:26">
      <c r="A26" s="36" t="s">
        <v>106</v>
      </c>
      <c r="B26" s="37" t="s">
        <v>107</v>
      </c>
      <c r="C26" s="23">
        <v>30</v>
      </c>
      <c r="D26" s="30">
        <v>8.3710000000000004</v>
      </c>
      <c r="E26" s="17">
        <f>D26*C26</f>
        <v>251.13000000000002</v>
      </c>
      <c r="F26" s="49">
        <v>0.14299999999999999</v>
      </c>
      <c r="G26" s="45" t="s">
        <v>108</v>
      </c>
      <c r="H26" s="38" t="s">
        <v>109</v>
      </c>
      <c r="I26" s="23">
        <v>33049990</v>
      </c>
      <c r="J26" s="47"/>
      <c r="K26" s="23" t="s">
        <v>110</v>
      </c>
      <c r="L26" s="24">
        <v>6000</v>
      </c>
      <c r="M26" s="40" t="s">
        <v>78</v>
      </c>
      <c r="N26" s="41">
        <v>17</v>
      </c>
      <c r="O26" s="41">
        <v>12</v>
      </c>
      <c r="P26" s="41" t="s">
        <v>111</v>
      </c>
      <c r="Q26" s="41" t="s">
        <v>42</v>
      </c>
      <c r="R26" s="41">
        <v>2.2000000000000002</v>
      </c>
      <c r="S26" s="34" t="s">
        <v>79</v>
      </c>
      <c r="T26" s="41" t="s">
        <v>42</v>
      </c>
      <c r="U26" s="41">
        <v>10.3</v>
      </c>
      <c r="V26" s="41" t="s">
        <v>80</v>
      </c>
      <c r="W26" s="41">
        <v>51</v>
      </c>
      <c r="X26" s="49">
        <v>0.14299999999999999</v>
      </c>
      <c r="Y26" s="41">
        <v>101</v>
      </c>
      <c r="Z26" s="42">
        <v>2001500</v>
      </c>
    </row>
    <row r="27" spans="1:26">
      <c r="A27" s="36" t="s">
        <v>112</v>
      </c>
      <c r="B27" s="37" t="s">
        <v>113</v>
      </c>
      <c r="C27" s="23">
        <v>30</v>
      </c>
      <c r="D27" s="30">
        <v>7.524</v>
      </c>
      <c r="E27" s="17">
        <f>D27*C27</f>
        <v>225.72</v>
      </c>
      <c r="F27" s="18">
        <v>6.5000000000000002E-2</v>
      </c>
      <c r="G27" s="45" t="s">
        <v>114</v>
      </c>
      <c r="H27" s="38" t="s">
        <v>61</v>
      </c>
      <c r="I27" s="23">
        <v>34013000</v>
      </c>
      <c r="J27" s="47"/>
      <c r="K27" s="23" t="s">
        <v>115</v>
      </c>
      <c r="L27" s="24">
        <v>7500</v>
      </c>
      <c r="M27" s="40" t="s">
        <v>78</v>
      </c>
      <c r="N27" s="41">
        <v>17</v>
      </c>
      <c r="O27" s="41">
        <v>12</v>
      </c>
      <c r="P27" s="41" t="s">
        <v>49</v>
      </c>
      <c r="Q27" s="41" t="s">
        <v>42</v>
      </c>
      <c r="R27" s="41">
        <v>0.65</v>
      </c>
      <c r="S27" s="34" t="s">
        <v>41</v>
      </c>
      <c r="T27" s="41" t="s">
        <v>42</v>
      </c>
      <c r="U27" s="41">
        <v>3</v>
      </c>
      <c r="V27" s="41" t="s">
        <v>94</v>
      </c>
      <c r="W27" s="41">
        <v>50</v>
      </c>
      <c r="X27" s="18">
        <v>6.5000000000000002E-2</v>
      </c>
      <c r="Y27" s="41">
        <v>101</v>
      </c>
      <c r="Z27" s="42">
        <v>2003700</v>
      </c>
    </row>
    <row r="28" spans="1:26">
      <c r="A28" s="36" t="s">
        <v>116</v>
      </c>
      <c r="B28" s="37" t="s">
        <v>117</v>
      </c>
      <c r="C28" s="23">
        <v>30</v>
      </c>
      <c r="D28" s="30">
        <v>7.5900000000000007</v>
      </c>
      <c r="E28" s="17">
        <f>D28*C28</f>
        <v>227.70000000000002</v>
      </c>
      <c r="F28" s="18">
        <v>0.14299999999999999</v>
      </c>
      <c r="G28" s="45" t="s">
        <v>118</v>
      </c>
      <c r="H28" s="38"/>
      <c r="I28" s="23">
        <v>33049990</v>
      </c>
      <c r="J28" s="47"/>
      <c r="K28" s="23"/>
      <c r="L28" s="24"/>
      <c r="M28" s="40" t="s">
        <v>78</v>
      </c>
      <c r="N28" s="41">
        <v>17</v>
      </c>
      <c r="O28" s="41">
        <v>12</v>
      </c>
      <c r="P28" s="41" t="s">
        <v>79</v>
      </c>
      <c r="Q28" s="41" t="s">
        <v>42</v>
      </c>
      <c r="R28" s="41">
        <v>2.2000000000000002</v>
      </c>
      <c r="S28" s="34" t="s">
        <v>79</v>
      </c>
      <c r="T28" s="41" t="s">
        <v>42</v>
      </c>
      <c r="U28" s="41">
        <v>10.3</v>
      </c>
      <c r="V28" s="41" t="s">
        <v>80</v>
      </c>
      <c r="W28" s="41">
        <v>51</v>
      </c>
      <c r="X28" s="18">
        <v>0.14299999999999999</v>
      </c>
      <c r="Y28" s="41">
        <v>101</v>
      </c>
      <c r="Z28" s="42">
        <v>2001500</v>
      </c>
    </row>
    <row r="29" spans="1:26">
      <c r="A29" s="36"/>
      <c r="B29" s="48" t="s">
        <v>119</v>
      </c>
      <c r="C29" s="23"/>
      <c r="D29" s="30"/>
      <c r="E29" s="17"/>
      <c r="F29" s="43"/>
      <c r="G29" s="45"/>
      <c r="H29" s="38"/>
      <c r="I29" s="23"/>
      <c r="J29" s="47"/>
      <c r="K29" s="23"/>
      <c r="L29" s="24"/>
      <c r="M29" s="40"/>
      <c r="N29" s="41"/>
      <c r="O29" s="41"/>
      <c r="P29" s="41"/>
      <c r="Q29" s="41"/>
      <c r="R29" s="41"/>
      <c r="S29" s="34"/>
      <c r="T29" s="41"/>
      <c r="U29" s="41"/>
      <c r="V29" s="41"/>
      <c r="W29" s="41"/>
      <c r="X29" s="43"/>
      <c r="Y29" s="41"/>
      <c r="Z29" s="42"/>
    </row>
    <row r="30" spans="1:26">
      <c r="A30" s="36" t="s">
        <v>120</v>
      </c>
      <c r="B30" s="50" t="s">
        <v>121</v>
      </c>
      <c r="C30" s="23">
        <v>30</v>
      </c>
      <c r="D30" s="30">
        <v>14.179000000000002</v>
      </c>
      <c r="E30" s="17">
        <f>D30*C30</f>
        <v>425.37000000000006</v>
      </c>
      <c r="F30" s="18">
        <v>4.5499999999999999E-2</v>
      </c>
      <c r="G30" s="45" t="s">
        <v>122</v>
      </c>
      <c r="H30" s="38" t="s">
        <v>123</v>
      </c>
      <c r="I30" s="23">
        <v>33072010</v>
      </c>
      <c r="J30" s="47"/>
      <c r="K30" s="23" t="s">
        <v>124</v>
      </c>
      <c r="L30" s="24">
        <v>1800</v>
      </c>
      <c r="M30" s="40" t="s">
        <v>78</v>
      </c>
      <c r="N30" s="41">
        <v>17</v>
      </c>
      <c r="O30" s="41">
        <v>12</v>
      </c>
      <c r="P30" s="41">
        <v>4</v>
      </c>
      <c r="Q30" s="41" t="s">
        <v>42</v>
      </c>
      <c r="R30" s="41">
        <v>0</v>
      </c>
      <c r="S30" s="34" t="s">
        <v>125</v>
      </c>
      <c r="T30" s="41" t="s">
        <v>42</v>
      </c>
      <c r="U30" s="41">
        <v>0</v>
      </c>
      <c r="V30" s="41" t="s">
        <v>94</v>
      </c>
      <c r="W30" s="41">
        <v>50</v>
      </c>
      <c r="X30" s="18">
        <v>4.5499999999999999E-2</v>
      </c>
      <c r="Y30" s="41">
        <v>101</v>
      </c>
      <c r="Z30" s="42">
        <v>2002701</v>
      </c>
    </row>
    <row r="31" spans="1:26">
      <c r="A31" s="36" t="s">
        <v>126</v>
      </c>
      <c r="B31" s="50" t="s">
        <v>127</v>
      </c>
      <c r="C31" s="23">
        <v>30</v>
      </c>
      <c r="D31" s="30">
        <v>24.398000000000003</v>
      </c>
      <c r="E31" s="17">
        <f t="shared" ref="E31:E32" si="1">D31*C31</f>
        <v>731.94</v>
      </c>
      <c r="F31" s="18">
        <v>7.8E-2</v>
      </c>
      <c r="G31" s="45">
        <v>7898563806572</v>
      </c>
      <c r="H31" s="38" t="s">
        <v>128</v>
      </c>
      <c r="I31" s="23">
        <v>33030020</v>
      </c>
      <c r="J31" s="47"/>
      <c r="K31" s="23">
        <v>0.16500000000000001</v>
      </c>
      <c r="L31" s="24">
        <v>5120</v>
      </c>
      <c r="M31" s="40"/>
      <c r="N31" s="41"/>
      <c r="O31" s="41"/>
      <c r="P31" s="41"/>
      <c r="Q31" s="41"/>
      <c r="R31" s="41"/>
      <c r="S31" s="34"/>
      <c r="T31" s="41"/>
      <c r="U31" s="41"/>
      <c r="V31" s="41"/>
      <c r="W31" s="41"/>
      <c r="X31" s="18"/>
      <c r="Y31" s="41"/>
      <c r="Z31" s="42"/>
    </row>
    <row r="32" spans="1:26">
      <c r="A32" s="36" t="s">
        <v>129</v>
      </c>
      <c r="B32" s="50" t="s">
        <v>130</v>
      </c>
      <c r="C32" s="23">
        <v>30</v>
      </c>
      <c r="D32" s="30">
        <v>24.398000000000003</v>
      </c>
      <c r="E32" s="17">
        <f t="shared" si="1"/>
        <v>731.94</v>
      </c>
      <c r="F32" s="18">
        <v>7.8E-2</v>
      </c>
      <c r="G32" s="45">
        <v>7898563806589</v>
      </c>
      <c r="H32" s="38" t="s">
        <v>128</v>
      </c>
      <c r="I32" s="23">
        <v>33030020</v>
      </c>
      <c r="J32" s="47"/>
      <c r="K32" s="23">
        <v>0.16500000000000001</v>
      </c>
      <c r="L32" s="24">
        <v>5120</v>
      </c>
      <c r="M32" s="40"/>
      <c r="N32" s="41"/>
      <c r="O32" s="41"/>
      <c r="P32" s="41"/>
      <c r="Q32" s="41"/>
      <c r="R32" s="41"/>
      <c r="S32" s="34"/>
      <c r="T32" s="41"/>
      <c r="U32" s="41"/>
      <c r="V32" s="41"/>
      <c r="W32" s="41"/>
      <c r="X32" s="18"/>
      <c r="Y32" s="41"/>
      <c r="Z32" s="42"/>
    </row>
    <row r="33" spans="1:26">
      <c r="A33" s="36" t="s">
        <v>131</v>
      </c>
      <c r="B33" s="50" t="s">
        <v>132</v>
      </c>
      <c r="C33" s="23">
        <v>30</v>
      </c>
      <c r="D33" s="30">
        <v>24.398000000000003</v>
      </c>
      <c r="E33" s="17">
        <f>D33*C33</f>
        <v>731.94</v>
      </c>
      <c r="F33" s="18">
        <v>7.8E-2</v>
      </c>
      <c r="G33" s="45">
        <v>7898563806596</v>
      </c>
      <c r="H33" s="38" t="s">
        <v>128</v>
      </c>
      <c r="I33" s="23">
        <v>33030020</v>
      </c>
      <c r="J33" s="47"/>
      <c r="K33" s="23">
        <v>0.16500000000000001</v>
      </c>
      <c r="L33" s="24">
        <v>5120</v>
      </c>
      <c r="M33" s="40"/>
      <c r="N33" s="41"/>
      <c r="O33" s="41"/>
      <c r="P33" s="41"/>
      <c r="Q33" s="41"/>
      <c r="R33" s="41"/>
      <c r="S33" s="34"/>
      <c r="T33" s="41"/>
      <c r="U33" s="41"/>
      <c r="V33" s="41"/>
      <c r="W33" s="41"/>
      <c r="X33" s="18"/>
      <c r="Y33" s="41"/>
      <c r="Z33" s="42"/>
    </row>
    <row r="34" spans="1:26">
      <c r="A34" s="36"/>
      <c r="B34" s="44" t="s">
        <v>133</v>
      </c>
      <c r="C34" s="23"/>
      <c r="D34" s="30"/>
      <c r="E34" s="17"/>
      <c r="F34" s="43"/>
      <c r="G34" s="45"/>
      <c r="H34" s="38"/>
      <c r="I34" s="23"/>
      <c r="J34" s="47"/>
      <c r="K34" s="23"/>
      <c r="L34" s="23"/>
      <c r="M34" s="40"/>
      <c r="N34" s="41"/>
      <c r="O34" s="41"/>
      <c r="P34" s="41"/>
      <c r="Q34" s="41"/>
      <c r="R34" s="41"/>
      <c r="S34" s="34"/>
      <c r="T34" s="41"/>
      <c r="U34" s="41"/>
      <c r="V34" s="41"/>
      <c r="W34" s="41"/>
      <c r="X34" s="43"/>
      <c r="Y34" s="41"/>
      <c r="Z34" s="42"/>
    </row>
    <row r="35" spans="1:26">
      <c r="A35" s="36" t="s">
        <v>134</v>
      </c>
      <c r="B35" s="37" t="s">
        <v>135</v>
      </c>
      <c r="C35" s="23">
        <v>30</v>
      </c>
      <c r="D35" s="30">
        <v>5.8080000000000007</v>
      </c>
      <c r="E35" s="17">
        <f>D35*C35</f>
        <v>174.24</v>
      </c>
      <c r="F35" s="18">
        <v>3.2500000000000001E-2</v>
      </c>
      <c r="G35" s="45" t="s">
        <v>136</v>
      </c>
      <c r="H35" s="38" t="s">
        <v>137</v>
      </c>
      <c r="I35" s="23">
        <v>34011110</v>
      </c>
      <c r="J35" s="47"/>
      <c r="K35" s="23" t="s">
        <v>57</v>
      </c>
      <c r="L35" s="24">
        <v>7550</v>
      </c>
      <c r="M35" s="40" t="s">
        <v>40</v>
      </c>
      <c r="N35" s="41">
        <v>17</v>
      </c>
      <c r="O35" s="41">
        <v>12</v>
      </c>
      <c r="P35" s="41" t="s">
        <v>41</v>
      </c>
      <c r="Q35" s="41" t="s">
        <v>42</v>
      </c>
      <c r="R35" s="41">
        <v>0.65</v>
      </c>
      <c r="S35" s="34" t="s">
        <v>41</v>
      </c>
      <c r="T35" s="41" t="s">
        <v>42</v>
      </c>
      <c r="U35" s="41">
        <v>3</v>
      </c>
      <c r="V35" s="41" t="s">
        <v>43</v>
      </c>
      <c r="W35" s="41">
        <v>50</v>
      </c>
      <c r="X35" s="18">
        <v>3.2500000000000001E-2</v>
      </c>
      <c r="Y35" s="41">
        <v>101</v>
      </c>
      <c r="Z35" s="42" t="s">
        <v>95</v>
      </c>
    </row>
    <row r="36" spans="1:26">
      <c r="A36" s="36" t="s">
        <v>138</v>
      </c>
      <c r="B36" s="37" t="s">
        <v>139</v>
      </c>
      <c r="C36" s="23">
        <v>30</v>
      </c>
      <c r="D36" s="30">
        <v>5.8080000000000007</v>
      </c>
      <c r="E36" s="17">
        <f>D36*C36</f>
        <v>174.24</v>
      </c>
      <c r="F36" s="18">
        <v>3.2500000000000001E-2</v>
      </c>
      <c r="G36" s="45" t="s">
        <v>140</v>
      </c>
      <c r="H36" s="38" t="s">
        <v>137</v>
      </c>
      <c r="I36" s="23">
        <v>34011110</v>
      </c>
      <c r="J36" s="47"/>
      <c r="K36" s="23" t="s">
        <v>57</v>
      </c>
      <c r="L36" s="24">
        <v>7550</v>
      </c>
      <c r="M36" s="40" t="s">
        <v>40</v>
      </c>
      <c r="N36" s="41">
        <v>17</v>
      </c>
      <c r="O36" s="41">
        <v>12</v>
      </c>
      <c r="P36" s="41" t="s">
        <v>41</v>
      </c>
      <c r="Q36" s="41" t="s">
        <v>42</v>
      </c>
      <c r="R36" s="41">
        <v>0.65</v>
      </c>
      <c r="S36" s="34" t="s">
        <v>41</v>
      </c>
      <c r="T36" s="41" t="s">
        <v>42</v>
      </c>
      <c r="U36" s="41">
        <v>3</v>
      </c>
      <c r="V36" s="41" t="s">
        <v>43</v>
      </c>
      <c r="W36" s="41">
        <v>50</v>
      </c>
      <c r="X36" s="18">
        <v>3.2500000000000001E-2</v>
      </c>
      <c r="Y36" s="41">
        <v>101</v>
      </c>
      <c r="Z36" s="42" t="s">
        <v>95</v>
      </c>
    </row>
    <row r="37" spans="1:26">
      <c r="A37" s="36" t="s">
        <v>141</v>
      </c>
      <c r="B37" s="37" t="s">
        <v>142</v>
      </c>
      <c r="C37" s="23">
        <v>30</v>
      </c>
      <c r="D37" s="30">
        <v>5.8080000000000007</v>
      </c>
      <c r="E37" s="17">
        <f>D37*C37</f>
        <v>174.24</v>
      </c>
      <c r="F37" s="18">
        <v>3.2500000000000001E-2</v>
      </c>
      <c r="G37" s="45" t="s">
        <v>143</v>
      </c>
      <c r="H37" s="38" t="s">
        <v>137</v>
      </c>
      <c r="I37" s="23">
        <v>34011110</v>
      </c>
      <c r="J37" s="47"/>
      <c r="K37" s="23" t="s">
        <v>57</v>
      </c>
      <c r="L37" s="24">
        <v>7550</v>
      </c>
      <c r="M37" s="40" t="s">
        <v>40</v>
      </c>
      <c r="N37" s="41">
        <v>17</v>
      </c>
      <c r="O37" s="41">
        <v>12</v>
      </c>
      <c r="P37" s="41" t="s">
        <v>41</v>
      </c>
      <c r="Q37" s="41" t="s">
        <v>42</v>
      </c>
      <c r="R37" s="41">
        <v>0.65</v>
      </c>
      <c r="S37" s="34" t="s">
        <v>41</v>
      </c>
      <c r="T37" s="41" t="s">
        <v>42</v>
      </c>
      <c r="U37" s="41">
        <v>3</v>
      </c>
      <c r="V37" s="41" t="s">
        <v>43</v>
      </c>
      <c r="W37" s="41">
        <v>50</v>
      </c>
      <c r="X37" s="18">
        <v>3.2500000000000001E-2</v>
      </c>
      <c r="Y37" s="41">
        <v>101</v>
      </c>
      <c r="Z37" s="42" t="s">
        <v>95</v>
      </c>
    </row>
    <row r="38" spans="1:26">
      <c r="A38" s="36" t="s">
        <v>144</v>
      </c>
      <c r="B38" s="37" t="s">
        <v>145</v>
      </c>
      <c r="C38" s="23">
        <v>16</v>
      </c>
      <c r="D38" s="30">
        <v>11.319000000000001</v>
      </c>
      <c r="E38" s="17">
        <f>D38*C38</f>
        <v>181.10400000000001</v>
      </c>
      <c r="F38" s="18">
        <v>3.2500000000000001E-2</v>
      </c>
      <c r="G38" s="45" t="s">
        <v>146</v>
      </c>
      <c r="H38" s="38" t="s">
        <v>147</v>
      </c>
      <c r="I38" s="23">
        <v>34011110</v>
      </c>
      <c r="J38" s="47"/>
      <c r="K38" s="23" t="s">
        <v>148</v>
      </c>
      <c r="L38" s="24">
        <v>6500</v>
      </c>
      <c r="M38" s="40" t="s">
        <v>40</v>
      </c>
      <c r="N38" s="41">
        <v>17</v>
      </c>
      <c r="O38" s="41">
        <v>12</v>
      </c>
      <c r="P38" s="41" t="s">
        <v>41</v>
      </c>
      <c r="Q38" s="41" t="s">
        <v>42</v>
      </c>
      <c r="R38" s="41">
        <v>0.65</v>
      </c>
      <c r="S38" s="34" t="s">
        <v>41</v>
      </c>
      <c r="T38" s="41" t="s">
        <v>42</v>
      </c>
      <c r="U38" s="41">
        <v>3</v>
      </c>
      <c r="V38" s="41" t="s">
        <v>43</v>
      </c>
      <c r="W38" s="41">
        <v>50</v>
      </c>
      <c r="X38" s="18">
        <v>3.2500000000000001E-2</v>
      </c>
      <c r="Y38" s="41">
        <v>101</v>
      </c>
      <c r="Z38" s="42" t="s">
        <v>95</v>
      </c>
    </row>
    <row r="39" spans="1:26">
      <c r="A39" s="36"/>
      <c r="B39" s="48" t="s">
        <v>149</v>
      </c>
      <c r="C39" s="23"/>
      <c r="D39" s="30"/>
      <c r="E39" s="17"/>
      <c r="F39" s="43"/>
      <c r="G39" s="45"/>
      <c r="H39" s="38"/>
      <c r="I39" s="23"/>
      <c r="J39" s="47"/>
      <c r="K39" s="23"/>
      <c r="L39" s="24"/>
      <c r="M39" s="40"/>
      <c r="N39" s="41"/>
      <c r="O39" s="41"/>
      <c r="P39" s="41"/>
      <c r="Q39" s="41"/>
      <c r="R39" s="41"/>
      <c r="S39" s="34"/>
      <c r="T39" s="41"/>
      <c r="U39" s="41"/>
      <c r="V39" s="41"/>
      <c r="W39" s="41"/>
      <c r="X39" s="43"/>
      <c r="Y39" s="41"/>
      <c r="Z39" s="42"/>
    </row>
    <row r="40" spans="1:26">
      <c r="A40" s="36" t="s">
        <v>150</v>
      </c>
      <c r="B40" s="37" t="s">
        <v>151</v>
      </c>
      <c r="C40" s="23">
        <v>50</v>
      </c>
      <c r="D40" s="30">
        <v>4.9830000000000005</v>
      </c>
      <c r="E40" s="17">
        <f>D40*C40</f>
        <v>249.15000000000003</v>
      </c>
      <c r="F40" s="43">
        <v>0</v>
      </c>
      <c r="G40" s="45" t="s">
        <v>152</v>
      </c>
      <c r="H40" s="38" t="s">
        <v>153</v>
      </c>
      <c r="I40" s="51">
        <v>30067000</v>
      </c>
      <c r="J40" s="52"/>
      <c r="K40" s="23" t="s">
        <v>154</v>
      </c>
      <c r="L40" s="24">
        <v>1800</v>
      </c>
      <c r="M40" s="40" t="s">
        <v>78</v>
      </c>
      <c r="N40" s="41">
        <v>17</v>
      </c>
      <c r="O40" s="41">
        <v>12</v>
      </c>
      <c r="P40" s="41" t="s">
        <v>49</v>
      </c>
      <c r="Q40" s="41" t="s">
        <v>42</v>
      </c>
      <c r="R40" s="41">
        <v>0.65</v>
      </c>
      <c r="S40" s="34" t="s">
        <v>41</v>
      </c>
      <c r="T40" s="41" t="s">
        <v>42</v>
      </c>
      <c r="U40" s="41">
        <v>3</v>
      </c>
      <c r="V40" s="41" t="s">
        <v>43</v>
      </c>
      <c r="W40" s="41">
        <v>51</v>
      </c>
      <c r="X40" s="43">
        <v>0</v>
      </c>
      <c r="Y40" s="41">
        <v>101</v>
      </c>
      <c r="Z40" s="42">
        <v>2000500</v>
      </c>
    </row>
    <row r="41" spans="1:26">
      <c r="A41" s="36"/>
      <c r="B41" s="48" t="s">
        <v>155</v>
      </c>
      <c r="C41" s="23"/>
      <c r="D41" s="30"/>
      <c r="E41" s="17"/>
      <c r="F41" s="43"/>
      <c r="G41" s="45"/>
      <c r="H41" s="38"/>
      <c r="I41" s="23"/>
      <c r="J41" s="47"/>
      <c r="K41" s="23"/>
      <c r="L41" s="24"/>
      <c r="M41" s="40"/>
      <c r="N41" s="41"/>
      <c r="O41" s="41"/>
      <c r="P41" s="41"/>
      <c r="Q41" s="41"/>
      <c r="R41" s="41"/>
      <c r="S41" s="34"/>
      <c r="T41" s="41"/>
      <c r="U41" s="41"/>
      <c r="V41" s="41"/>
      <c r="W41" s="41"/>
      <c r="X41" s="43"/>
      <c r="Y41" s="41"/>
      <c r="Z41" s="42"/>
    </row>
    <row r="42" spans="1:26">
      <c r="A42" s="36" t="s">
        <v>156</v>
      </c>
      <c r="B42" s="50" t="s">
        <v>157</v>
      </c>
      <c r="C42" s="53">
        <v>20</v>
      </c>
      <c r="D42" s="30">
        <v>11.902000000000001</v>
      </c>
      <c r="E42" s="17">
        <f>D42*C42</f>
        <v>238.04000000000002</v>
      </c>
      <c r="F42" s="49">
        <v>6.5000000000000002E-2</v>
      </c>
      <c r="G42" s="45" t="s">
        <v>158</v>
      </c>
      <c r="H42" s="38" t="s">
        <v>147</v>
      </c>
      <c r="I42" s="23">
        <v>34013000</v>
      </c>
      <c r="J42" s="47"/>
      <c r="K42" s="23" t="s">
        <v>159</v>
      </c>
      <c r="L42" s="24">
        <v>7000</v>
      </c>
      <c r="M42" s="40" t="s">
        <v>78</v>
      </c>
      <c r="N42" s="41">
        <v>17</v>
      </c>
      <c r="O42" s="41">
        <v>12</v>
      </c>
      <c r="P42" s="41"/>
      <c r="Q42" s="41"/>
      <c r="R42" s="41"/>
      <c r="S42" s="34"/>
      <c r="T42" s="41"/>
      <c r="U42" s="41"/>
      <c r="V42" s="41" t="s">
        <v>94</v>
      </c>
      <c r="W42" s="41"/>
      <c r="X42" s="49">
        <v>6.5000000000000002E-2</v>
      </c>
      <c r="Y42" s="41">
        <v>101</v>
      </c>
      <c r="Z42" s="42">
        <v>2003700</v>
      </c>
    </row>
    <row r="43" spans="1:26">
      <c r="A43" s="36" t="s">
        <v>160</v>
      </c>
      <c r="B43" s="50" t="s">
        <v>161</v>
      </c>
      <c r="C43" s="23">
        <v>16</v>
      </c>
      <c r="D43" s="30">
        <v>9.8010000000000002</v>
      </c>
      <c r="E43" s="17">
        <f t="shared" ref="E43:E45" si="2">D43*C43</f>
        <v>156.816</v>
      </c>
      <c r="F43" s="18">
        <v>3.2500000000000001E-2</v>
      </c>
      <c r="G43" s="45" t="s">
        <v>162</v>
      </c>
      <c r="H43" s="38" t="s">
        <v>163</v>
      </c>
      <c r="I43" s="23">
        <v>34012010</v>
      </c>
      <c r="J43" s="47"/>
      <c r="K43" s="23" t="s">
        <v>164</v>
      </c>
      <c r="L43" s="24">
        <v>8000</v>
      </c>
      <c r="M43" s="40" t="s">
        <v>78</v>
      </c>
      <c r="N43" s="41">
        <v>17</v>
      </c>
      <c r="O43" s="41">
        <v>12</v>
      </c>
      <c r="P43" s="41" t="s">
        <v>79</v>
      </c>
      <c r="Q43" s="41" t="s">
        <v>42</v>
      </c>
      <c r="R43" s="41">
        <v>2.2000000000000002</v>
      </c>
      <c r="S43" s="34" t="s">
        <v>41</v>
      </c>
      <c r="T43" s="41" t="s">
        <v>42</v>
      </c>
      <c r="U43" s="41">
        <v>10.3</v>
      </c>
      <c r="V43" s="41" t="s">
        <v>80</v>
      </c>
      <c r="W43" s="41">
        <v>50</v>
      </c>
      <c r="X43" s="18">
        <v>3.2500000000000001E-2</v>
      </c>
      <c r="Y43" s="41">
        <v>101</v>
      </c>
      <c r="Z43" s="42">
        <v>2003600</v>
      </c>
    </row>
    <row r="44" spans="1:26">
      <c r="A44" s="36" t="s">
        <v>165</v>
      </c>
      <c r="B44" s="50" t="s">
        <v>166</v>
      </c>
      <c r="C44" s="23">
        <v>9</v>
      </c>
      <c r="D44" s="30">
        <v>15.686000000000002</v>
      </c>
      <c r="E44" s="17">
        <f t="shared" si="2"/>
        <v>141.17400000000001</v>
      </c>
      <c r="F44" s="18">
        <v>3.2500000000000001E-2</v>
      </c>
      <c r="G44" s="45" t="s">
        <v>167</v>
      </c>
      <c r="H44" s="38" t="s">
        <v>168</v>
      </c>
      <c r="I44" s="23">
        <v>34012010</v>
      </c>
      <c r="J44" s="47"/>
      <c r="K44" s="23" t="s">
        <v>169</v>
      </c>
      <c r="L44" s="24">
        <v>9550</v>
      </c>
      <c r="M44" s="40" t="s">
        <v>78</v>
      </c>
      <c r="N44" s="41">
        <v>17</v>
      </c>
      <c r="O44" s="41">
        <v>12</v>
      </c>
      <c r="P44" s="41" t="s">
        <v>79</v>
      </c>
      <c r="Q44" s="41" t="s">
        <v>42</v>
      </c>
      <c r="R44" s="41">
        <v>2.2000000000000002</v>
      </c>
      <c r="S44" s="34" t="s">
        <v>41</v>
      </c>
      <c r="T44" s="41" t="s">
        <v>42</v>
      </c>
      <c r="U44" s="41">
        <v>10.3</v>
      </c>
      <c r="V44" s="41" t="s">
        <v>80</v>
      </c>
      <c r="W44" s="41">
        <v>50</v>
      </c>
      <c r="X44" s="18">
        <v>3.2500000000000001E-2</v>
      </c>
      <c r="Y44" s="41">
        <v>101</v>
      </c>
      <c r="Z44" s="42">
        <v>2003600</v>
      </c>
    </row>
    <row r="45" spans="1:26">
      <c r="A45" s="36" t="s">
        <v>170</v>
      </c>
      <c r="B45" s="37" t="s">
        <v>171</v>
      </c>
      <c r="C45" s="23">
        <v>16</v>
      </c>
      <c r="D45" s="30">
        <v>10.295999999999999</v>
      </c>
      <c r="E45" s="17">
        <f t="shared" si="2"/>
        <v>164.73599999999999</v>
      </c>
      <c r="F45" s="18">
        <v>3.2500000000000001E-2</v>
      </c>
      <c r="G45" s="45" t="s">
        <v>172</v>
      </c>
      <c r="H45" s="38" t="s">
        <v>163</v>
      </c>
      <c r="I45" s="23">
        <v>34012010</v>
      </c>
      <c r="J45" s="47"/>
      <c r="K45" s="23" t="s">
        <v>164</v>
      </c>
      <c r="L45" s="24">
        <v>8000</v>
      </c>
      <c r="M45" s="40" t="s">
        <v>78</v>
      </c>
      <c r="N45" s="41">
        <v>17</v>
      </c>
      <c r="O45" s="41">
        <v>12</v>
      </c>
      <c r="P45" s="41" t="s">
        <v>79</v>
      </c>
      <c r="Q45" s="41" t="s">
        <v>42</v>
      </c>
      <c r="R45" s="41">
        <v>2.2000000000000002</v>
      </c>
      <c r="S45" s="34" t="s">
        <v>41</v>
      </c>
      <c r="T45" s="41" t="s">
        <v>42</v>
      </c>
      <c r="U45" s="41">
        <v>10.3</v>
      </c>
      <c r="V45" s="41" t="s">
        <v>80</v>
      </c>
      <c r="W45" s="41">
        <v>50</v>
      </c>
      <c r="X45" s="18">
        <v>3.2500000000000001E-2</v>
      </c>
      <c r="Y45" s="41">
        <v>101</v>
      </c>
      <c r="Z45" s="42">
        <v>2003600</v>
      </c>
    </row>
    <row r="46" spans="1:26">
      <c r="A46" s="36" t="s">
        <v>173</v>
      </c>
      <c r="B46" s="37" t="s">
        <v>174</v>
      </c>
      <c r="C46" s="23">
        <v>9</v>
      </c>
      <c r="D46" s="30">
        <v>17.259</v>
      </c>
      <c r="E46" s="17">
        <f>D46*C46</f>
        <v>155.33100000000002</v>
      </c>
      <c r="F46" s="18">
        <v>3.2500000000000001E-2</v>
      </c>
      <c r="G46" s="45" t="s">
        <v>175</v>
      </c>
      <c r="H46" s="38" t="s">
        <v>168</v>
      </c>
      <c r="I46" s="23">
        <v>34012010</v>
      </c>
      <c r="J46" s="47"/>
      <c r="K46" s="23" t="s">
        <v>169</v>
      </c>
      <c r="L46" s="24">
        <v>9550</v>
      </c>
      <c r="M46" s="40" t="s">
        <v>78</v>
      </c>
      <c r="N46" s="41">
        <v>17</v>
      </c>
      <c r="O46" s="41">
        <v>12</v>
      </c>
      <c r="P46" s="41" t="s">
        <v>79</v>
      </c>
      <c r="Q46" s="41" t="s">
        <v>42</v>
      </c>
      <c r="R46" s="41">
        <v>2.2000000000000002</v>
      </c>
      <c r="S46" s="34" t="s">
        <v>41</v>
      </c>
      <c r="T46" s="41" t="s">
        <v>42</v>
      </c>
      <c r="U46" s="41">
        <v>10.3</v>
      </c>
      <c r="V46" s="41" t="s">
        <v>80</v>
      </c>
      <c r="W46" s="41">
        <v>50</v>
      </c>
      <c r="X46" s="18">
        <v>3.2500000000000001E-2</v>
      </c>
      <c r="Y46" s="41">
        <v>101</v>
      </c>
      <c r="Z46" s="42">
        <v>2003600</v>
      </c>
    </row>
    <row r="47" spans="1:26">
      <c r="A47" s="36"/>
      <c r="B47" s="48" t="s">
        <v>176</v>
      </c>
      <c r="C47" s="23"/>
      <c r="D47" s="30"/>
      <c r="E47" s="17"/>
      <c r="F47" s="43"/>
      <c r="G47" s="45"/>
      <c r="H47" s="38"/>
      <c r="I47" s="23"/>
      <c r="J47" s="47"/>
      <c r="K47" s="23"/>
      <c r="L47" s="24"/>
      <c r="M47" s="40"/>
      <c r="N47" s="41"/>
      <c r="O47" s="41"/>
      <c r="P47" s="41"/>
      <c r="Q47" s="41"/>
      <c r="R47" s="41"/>
      <c r="S47" s="34"/>
      <c r="T47" s="41"/>
      <c r="U47" s="41"/>
      <c r="V47" s="41"/>
      <c r="W47" s="41"/>
      <c r="X47" s="43"/>
      <c r="Y47" s="41"/>
      <c r="Z47" s="42"/>
    </row>
    <row r="48" spans="1:26">
      <c r="A48" s="36" t="s">
        <v>177</v>
      </c>
      <c r="B48" s="37" t="s">
        <v>178</v>
      </c>
      <c r="C48" s="23">
        <v>30</v>
      </c>
      <c r="D48" s="30">
        <v>11.396000000000001</v>
      </c>
      <c r="E48" s="17">
        <f>D48*C48</f>
        <v>341.88</v>
      </c>
      <c r="F48" s="18">
        <v>4.5499999999999999E-2</v>
      </c>
      <c r="G48" s="45" t="s">
        <v>179</v>
      </c>
      <c r="H48" s="38" t="s">
        <v>137</v>
      </c>
      <c r="I48" s="23">
        <v>33072010</v>
      </c>
      <c r="J48" s="46" t="s">
        <v>180</v>
      </c>
      <c r="K48" s="23" t="s">
        <v>33</v>
      </c>
      <c r="L48" s="24">
        <v>6000</v>
      </c>
      <c r="M48" s="40" t="s">
        <v>78</v>
      </c>
      <c r="N48" s="41">
        <v>17</v>
      </c>
      <c r="O48" s="41">
        <v>12</v>
      </c>
      <c r="P48" s="41" t="s">
        <v>125</v>
      </c>
      <c r="Q48" s="41" t="s">
        <v>42</v>
      </c>
      <c r="R48" s="41">
        <v>0</v>
      </c>
      <c r="S48" s="34" t="s">
        <v>125</v>
      </c>
      <c r="T48" s="41" t="s">
        <v>42</v>
      </c>
      <c r="U48" s="41">
        <v>0</v>
      </c>
      <c r="V48" s="41" t="s">
        <v>94</v>
      </c>
      <c r="W48" s="41">
        <v>50</v>
      </c>
      <c r="X48" s="18">
        <v>4.5499999999999999E-2</v>
      </c>
      <c r="Y48" s="41">
        <v>101</v>
      </c>
      <c r="Z48" s="42">
        <v>2002701</v>
      </c>
    </row>
    <row r="49" spans="1:26">
      <c r="A49" s="36" t="s">
        <v>181</v>
      </c>
      <c r="B49" s="37" t="s">
        <v>182</v>
      </c>
      <c r="C49" s="23">
        <v>30</v>
      </c>
      <c r="D49" s="30">
        <v>8.1620000000000008</v>
      </c>
      <c r="E49" s="17">
        <f>D49*C49</f>
        <v>244.86</v>
      </c>
      <c r="F49" s="18">
        <v>6.5000000000000002E-2</v>
      </c>
      <c r="G49" s="45" t="s">
        <v>183</v>
      </c>
      <c r="H49" s="38" t="s">
        <v>137</v>
      </c>
      <c r="I49" s="51">
        <v>34013000</v>
      </c>
      <c r="J49" s="46" t="s">
        <v>184</v>
      </c>
      <c r="K49" s="23" t="s">
        <v>33</v>
      </c>
      <c r="L49" s="24">
        <v>6000</v>
      </c>
      <c r="M49" s="40" t="s">
        <v>78</v>
      </c>
      <c r="N49" s="41">
        <v>17</v>
      </c>
      <c r="O49" s="41">
        <v>12</v>
      </c>
      <c r="P49" s="41" t="s">
        <v>41</v>
      </c>
      <c r="Q49" s="41" t="s">
        <v>42</v>
      </c>
      <c r="R49" s="41">
        <v>0.65</v>
      </c>
      <c r="S49" s="34" t="s">
        <v>41</v>
      </c>
      <c r="T49" s="41" t="s">
        <v>42</v>
      </c>
      <c r="U49" s="41">
        <v>3</v>
      </c>
      <c r="V49" s="41" t="s">
        <v>43</v>
      </c>
      <c r="W49" s="41">
        <v>50</v>
      </c>
      <c r="X49" s="18">
        <v>6.5000000000000002E-2</v>
      </c>
      <c r="Y49" s="41">
        <v>101</v>
      </c>
      <c r="Z49" s="42">
        <v>2003700</v>
      </c>
    </row>
    <row r="50" spans="1:26">
      <c r="A50" s="36" t="s">
        <v>185</v>
      </c>
      <c r="B50" s="37" t="s">
        <v>186</v>
      </c>
      <c r="C50" s="23">
        <v>16</v>
      </c>
      <c r="D50" s="30">
        <v>18.678000000000001</v>
      </c>
      <c r="E50" s="17">
        <f>D50*C50</f>
        <v>298.84800000000001</v>
      </c>
      <c r="F50" s="18">
        <v>4.5499999999999999E-2</v>
      </c>
      <c r="G50" s="54" t="s">
        <v>187</v>
      </c>
      <c r="H50" s="38" t="s">
        <v>147</v>
      </c>
      <c r="I50" s="23">
        <v>33072010</v>
      </c>
      <c r="J50" s="46" t="s">
        <v>188</v>
      </c>
      <c r="K50" s="23" t="s">
        <v>189</v>
      </c>
      <c r="L50" s="24">
        <v>6400</v>
      </c>
      <c r="M50" s="40" t="s">
        <v>78</v>
      </c>
      <c r="N50" s="41">
        <v>17</v>
      </c>
      <c r="O50" s="41">
        <v>12</v>
      </c>
      <c r="P50" s="41" t="s">
        <v>125</v>
      </c>
      <c r="Q50" s="41" t="s">
        <v>42</v>
      </c>
      <c r="R50" s="41">
        <v>0</v>
      </c>
      <c r="S50" s="34" t="s">
        <v>125</v>
      </c>
      <c r="T50" s="41" t="s">
        <v>42</v>
      </c>
      <c r="U50" s="41">
        <v>0</v>
      </c>
      <c r="V50" s="41" t="s">
        <v>94</v>
      </c>
      <c r="W50" s="41">
        <v>50</v>
      </c>
      <c r="X50" s="18">
        <v>4.5499999999999999E-2</v>
      </c>
      <c r="Y50" s="41">
        <v>101</v>
      </c>
      <c r="Z50" s="42">
        <v>2002701</v>
      </c>
    </row>
    <row r="51" spans="1:26">
      <c r="A51" s="36"/>
      <c r="B51" s="44" t="s">
        <v>190</v>
      </c>
      <c r="C51" s="23"/>
      <c r="D51" s="30"/>
      <c r="E51" s="17"/>
      <c r="F51" s="43"/>
      <c r="G51" s="45"/>
      <c r="H51" s="38"/>
      <c r="I51" s="23"/>
      <c r="J51" s="47"/>
      <c r="K51" s="23"/>
      <c r="L51" s="23"/>
      <c r="M51" s="40"/>
      <c r="N51" s="41"/>
      <c r="O51" s="41"/>
      <c r="P51" s="41"/>
      <c r="Q51" s="41"/>
      <c r="R51" s="41"/>
      <c r="S51" s="34"/>
      <c r="T51" s="41"/>
      <c r="U51" s="41"/>
      <c r="V51" s="41"/>
      <c r="W51" s="41"/>
      <c r="X51" s="43"/>
      <c r="Y51" s="41"/>
      <c r="Z51" s="42"/>
    </row>
    <row r="52" spans="1:26">
      <c r="A52" s="36" t="s">
        <v>191</v>
      </c>
      <c r="B52" s="37" t="s">
        <v>192</v>
      </c>
      <c r="C52" s="23">
        <v>30</v>
      </c>
      <c r="D52" s="30">
        <v>15.246</v>
      </c>
      <c r="E52" s="17">
        <f>D52*C52</f>
        <v>457.38</v>
      </c>
      <c r="F52" s="18">
        <v>4.5499999999999999E-2</v>
      </c>
      <c r="G52" s="45" t="s">
        <v>193</v>
      </c>
      <c r="H52" s="38" t="s">
        <v>38</v>
      </c>
      <c r="I52" s="23">
        <v>33072090</v>
      </c>
      <c r="J52" s="46" t="s">
        <v>194</v>
      </c>
      <c r="K52" s="23" t="s">
        <v>67</v>
      </c>
      <c r="L52" s="24">
        <v>3600</v>
      </c>
      <c r="M52" s="40" t="s">
        <v>40</v>
      </c>
      <c r="N52" s="41">
        <v>17</v>
      </c>
      <c r="O52" s="41">
        <v>12</v>
      </c>
      <c r="P52" s="41" t="s">
        <v>79</v>
      </c>
      <c r="Q52" s="41" t="s">
        <v>42</v>
      </c>
      <c r="R52" s="41">
        <v>2.2000000000000002</v>
      </c>
      <c r="S52" s="34" t="s">
        <v>79</v>
      </c>
      <c r="T52" s="41" t="s">
        <v>42</v>
      </c>
      <c r="U52" s="41">
        <v>10.3</v>
      </c>
      <c r="V52" s="41" t="s">
        <v>80</v>
      </c>
      <c r="W52" s="41">
        <v>50</v>
      </c>
      <c r="X52" s="18">
        <v>4.5499999999999999E-2</v>
      </c>
      <c r="Y52" s="41">
        <v>101</v>
      </c>
      <c r="Z52" s="42">
        <v>2002901</v>
      </c>
    </row>
    <row r="53" spans="1:26">
      <c r="A53" s="36" t="s">
        <v>195</v>
      </c>
      <c r="B53" s="37" t="s">
        <v>196</v>
      </c>
      <c r="C53" s="23">
        <v>30</v>
      </c>
      <c r="D53" s="30">
        <v>20.79</v>
      </c>
      <c r="E53" s="17">
        <f>D53*C53</f>
        <v>623.69999999999993</v>
      </c>
      <c r="F53" s="18">
        <v>4.5499999999999999E-2</v>
      </c>
      <c r="G53" s="45" t="s">
        <v>197</v>
      </c>
      <c r="H53" s="38" t="s">
        <v>38</v>
      </c>
      <c r="I53" s="23">
        <v>33072090</v>
      </c>
      <c r="J53" s="46" t="s">
        <v>198</v>
      </c>
      <c r="K53" s="23" t="s">
        <v>29</v>
      </c>
      <c r="L53" s="24">
        <v>2400</v>
      </c>
      <c r="M53" s="40" t="s">
        <v>40</v>
      </c>
      <c r="N53" s="41">
        <v>17</v>
      </c>
      <c r="O53" s="41">
        <v>12</v>
      </c>
      <c r="P53" s="41" t="s">
        <v>79</v>
      </c>
      <c r="Q53" s="41" t="s">
        <v>42</v>
      </c>
      <c r="R53" s="41">
        <v>2.2000000000000002</v>
      </c>
      <c r="S53" s="34" t="s">
        <v>79</v>
      </c>
      <c r="T53" s="41" t="s">
        <v>42</v>
      </c>
      <c r="U53" s="41">
        <v>10.3</v>
      </c>
      <c r="V53" s="41" t="s">
        <v>80</v>
      </c>
      <c r="W53" s="41">
        <v>50</v>
      </c>
      <c r="X53" s="18">
        <v>4.5499999999999999E-2</v>
      </c>
      <c r="Y53" s="41">
        <v>101</v>
      </c>
      <c r="Z53" s="42">
        <v>2002901</v>
      </c>
    </row>
    <row r="54" spans="1:26">
      <c r="A54" s="36" t="s">
        <v>199</v>
      </c>
      <c r="B54" s="37" t="s">
        <v>200</v>
      </c>
      <c r="C54" s="23">
        <v>30</v>
      </c>
      <c r="D54" s="30">
        <v>9.6470000000000002</v>
      </c>
      <c r="E54" s="17">
        <f>D54*C54</f>
        <v>289.41000000000003</v>
      </c>
      <c r="F54" s="18">
        <v>4.5499999999999999E-2</v>
      </c>
      <c r="G54" s="45" t="s">
        <v>201</v>
      </c>
      <c r="H54" s="38" t="s">
        <v>38</v>
      </c>
      <c r="I54" s="23">
        <v>33072090</v>
      </c>
      <c r="J54" s="46" t="s">
        <v>202</v>
      </c>
      <c r="K54" s="23" t="s">
        <v>67</v>
      </c>
      <c r="L54" s="24">
        <v>3600</v>
      </c>
      <c r="M54" s="40" t="s">
        <v>40</v>
      </c>
      <c r="N54" s="41">
        <v>17</v>
      </c>
      <c r="O54" s="41">
        <v>12</v>
      </c>
      <c r="P54" s="41" t="s">
        <v>79</v>
      </c>
      <c r="Q54" s="41" t="s">
        <v>42</v>
      </c>
      <c r="R54" s="41">
        <v>2.2000000000000002</v>
      </c>
      <c r="S54" s="34" t="s">
        <v>79</v>
      </c>
      <c r="T54" s="41" t="s">
        <v>42</v>
      </c>
      <c r="U54" s="41">
        <v>10.3</v>
      </c>
      <c r="V54" s="41" t="s">
        <v>80</v>
      </c>
      <c r="W54" s="41">
        <v>50</v>
      </c>
      <c r="X54" s="18">
        <v>4.5499999999999999E-2</v>
      </c>
      <c r="Y54" s="41">
        <v>101</v>
      </c>
      <c r="Z54" s="42">
        <v>2002901</v>
      </c>
    </row>
    <row r="55" spans="1:26">
      <c r="A55" s="36"/>
      <c r="B55" s="48" t="s">
        <v>203</v>
      </c>
      <c r="C55" s="23"/>
      <c r="D55" s="30"/>
      <c r="E55" s="17"/>
      <c r="F55" s="43"/>
      <c r="G55" s="45"/>
      <c r="H55" s="38"/>
      <c r="I55" s="23"/>
      <c r="J55" s="47"/>
      <c r="K55" s="23"/>
      <c r="L55" s="24"/>
      <c r="M55" s="40"/>
      <c r="N55" s="41"/>
      <c r="O55" s="41"/>
      <c r="P55" s="41"/>
      <c r="Q55" s="41"/>
      <c r="R55" s="41"/>
      <c r="S55" s="34"/>
      <c r="T55" s="41"/>
      <c r="U55" s="41"/>
      <c r="V55" s="41"/>
      <c r="W55" s="41"/>
      <c r="X55" s="43"/>
      <c r="Y55" s="41"/>
      <c r="Z55" s="42"/>
    </row>
    <row r="56" spans="1:26">
      <c r="A56" s="36" t="s">
        <v>204</v>
      </c>
      <c r="B56" s="37" t="s">
        <v>205</v>
      </c>
      <c r="C56" s="23">
        <v>30</v>
      </c>
      <c r="D56" s="30">
        <v>6.5780000000000012</v>
      </c>
      <c r="E56" s="17">
        <f>D56*C56</f>
        <v>197.34000000000003</v>
      </c>
      <c r="F56" s="43">
        <v>0</v>
      </c>
      <c r="G56" s="45" t="s">
        <v>206</v>
      </c>
      <c r="H56" s="38" t="s">
        <v>28</v>
      </c>
      <c r="I56" s="23">
        <v>38089199</v>
      </c>
      <c r="J56" s="46" t="s">
        <v>207</v>
      </c>
      <c r="K56" s="23" t="s">
        <v>208</v>
      </c>
      <c r="L56" s="55">
        <v>3.5</v>
      </c>
      <c r="M56" s="40" t="s">
        <v>40</v>
      </c>
      <c r="N56" s="41">
        <v>17</v>
      </c>
      <c r="O56" s="41">
        <v>12</v>
      </c>
      <c r="P56" s="41" t="s">
        <v>41</v>
      </c>
      <c r="Q56" s="41" t="s">
        <v>42</v>
      </c>
      <c r="R56" s="41">
        <v>0.65</v>
      </c>
      <c r="S56" s="34" t="s">
        <v>41</v>
      </c>
      <c r="T56" s="41" t="s">
        <v>42</v>
      </c>
      <c r="U56" s="41">
        <v>3</v>
      </c>
      <c r="V56" s="41" t="s">
        <v>43</v>
      </c>
      <c r="W56" s="41">
        <v>51</v>
      </c>
      <c r="X56" s="43">
        <v>0</v>
      </c>
      <c r="Y56" s="41">
        <v>101</v>
      </c>
      <c r="Z56" s="42" t="s">
        <v>95</v>
      </c>
    </row>
    <row r="57" spans="1:26">
      <c r="A57" s="36" t="s">
        <v>209</v>
      </c>
      <c r="B57" s="37" t="s">
        <v>210</v>
      </c>
      <c r="C57" s="23">
        <v>30</v>
      </c>
      <c r="D57" s="30">
        <v>10.747</v>
      </c>
      <c r="E57" s="17">
        <f>D57*C57</f>
        <v>322.40999999999997</v>
      </c>
      <c r="F57" s="43">
        <v>0</v>
      </c>
      <c r="G57" s="45" t="s">
        <v>211</v>
      </c>
      <c r="H57" s="38" t="s">
        <v>212</v>
      </c>
      <c r="I57" s="23">
        <v>38089199</v>
      </c>
      <c r="J57" s="46" t="s">
        <v>213</v>
      </c>
      <c r="K57" s="23" t="s">
        <v>214</v>
      </c>
      <c r="L57" s="55">
        <v>6</v>
      </c>
      <c r="M57" s="40" t="s">
        <v>40</v>
      </c>
      <c r="N57" s="41">
        <v>17</v>
      </c>
      <c r="O57" s="41">
        <v>12</v>
      </c>
      <c r="P57" s="41" t="s">
        <v>41</v>
      </c>
      <c r="Q57" s="41" t="s">
        <v>42</v>
      </c>
      <c r="R57" s="41">
        <v>0.65</v>
      </c>
      <c r="S57" s="34" t="s">
        <v>41</v>
      </c>
      <c r="T57" s="41" t="s">
        <v>42</v>
      </c>
      <c r="U57" s="41">
        <v>3</v>
      </c>
      <c r="V57" s="41" t="s">
        <v>43</v>
      </c>
      <c r="W57" s="41">
        <v>51</v>
      </c>
      <c r="X57" s="43">
        <v>0</v>
      </c>
      <c r="Y57" s="41">
        <v>101</v>
      </c>
      <c r="Z57" s="42" t="s">
        <v>95</v>
      </c>
    </row>
    <row r="58" spans="1:26">
      <c r="A58" s="36"/>
      <c r="B58" s="44" t="s">
        <v>215</v>
      </c>
      <c r="C58" s="23"/>
      <c r="D58" s="30"/>
      <c r="E58" s="17"/>
      <c r="F58" s="43"/>
      <c r="G58" s="45"/>
      <c r="H58" s="38"/>
      <c r="I58" s="23"/>
      <c r="J58" s="47"/>
      <c r="K58" s="23"/>
      <c r="L58" s="23"/>
      <c r="M58" s="40"/>
      <c r="N58" s="41"/>
      <c r="O58" s="41"/>
      <c r="P58" s="41"/>
      <c r="Q58" s="41"/>
      <c r="R58" s="41"/>
      <c r="S58" s="34"/>
      <c r="T58" s="41"/>
      <c r="U58" s="41"/>
      <c r="V58" s="41"/>
      <c r="W58" s="41"/>
      <c r="X58" s="43"/>
      <c r="Y58" s="41"/>
      <c r="Z58" s="42"/>
    </row>
    <row r="59" spans="1:26">
      <c r="A59" s="36" t="s">
        <v>216</v>
      </c>
      <c r="B59" s="37" t="s">
        <v>217</v>
      </c>
      <c r="C59" s="23">
        <v>30</v>
      </c>
      <c r="D59" s="30">
        <v>9.0750000000000011</v>
      </c>
      <c r="E59" s="17">
        <f>D59*C59</f>
        <v>272.25000000000006</v>
      </c>
      <c r="F59" s="18">
        <v>4.5499999999999999E-2</v>
      </c>
      <c r="G59" s="45" t="s">
        <v>218</v>
      </c>
      <c r="H59" s="38" t="s">
        <v>219</v>
      </c>
      <c r="I59" s="23">
        <v>33072090</v>
      </c>
      <c r="J59" s="46" t="s">
        <v>220</v>
      </c>
      <c r="K59" s="23" t="s">
        <v>221</v>
      </c>
      <c r="L59" s="24">
        <v>7000</v>
      </c>
      <c r="M59" s="40" t="s">
        <v>40</v>
      </c>
      <c r="N59" s="41">
        <v>17</v>
      </c>
      <c r="O59" s="41">
        <v>12</v>
      </c>
      <c r="P59" s="41" t="s">
        <v>79</v>
      </c>
      <c r="Q59" s="41" t="s">
        <v>42</v>
      </c>
      <c r="R59" s="41">
        <v>2.2000000000000002</v>
      </c>
      <c r="S59" s="34" t="s">
        <v>79</v>
      </c>
      <c r="T59" s="41" t="s">
        <v>42</v>
      </c>
      <c r="U59" s="41">
        <v>10.3</v>
      </c>
      <c r="V59" s="41" t="s">
        <v>80</v>
      </c>
      <c r="W59" s="41">
        <v>50</v>
      </c>
      <c r="X59" s="18">
        <v>4.5499999999999999E-2</v>
      </c>
      <c r="Y59" s="41">
        <v>101</v>
      </c>
      <c r="Z59" s="42">
        <v>2002901</v>
      </c>
    </row>
    <row r="60" spans="1:26">
      <c r="A60" s="36" t="s">
        <v>222</v>
      </c>
      <c r="B60" s="37" t="s">
        <v>223</v>
      </c>
      <c r="C60" s="23">
        <v>30</v>
      </c>
      <c r="D60" s="30">
        <v>6.7650000000000006</v>
      </c>
      <c r="E60" s="17">
        <f>D60*C60</f>
        <v>202.95000000000002</v>
      </c>
      <c r="F60" s="18">
        <v>4.5499999999999999E-2</v>
      </c>
      <c r="G60" s="45" t="s">
        <v>224</v>
      </c>
      <c r="H60" s="38" t="s">
        <v>225</v>
      </c>
      <c r="I60" s="23">
        <v>33072090</v>
      </c>
      <c r="J60" s="46" t="s">
        <v>226</v>
      </c>
      <c r="K60" s="23" t="s">
        <v>221</v>
      </c>
      <c r="L60" s="24">
        <v>7000</v>
      </c>
      <c r="M60" s="40" t="s">
        <v>78</v>
      </c>
      <c r="N60" s="41">
        <v>17</v>
      </c>
      <c r="O60" s="41">
        <v>12</v>
      </c>
      <c r="P60" s="41">
        <v>2</v>
      </c>
      <c r="Q60" s="41" t="s">
        <v>42</v>
      </c>
      <c r="R60" s="41">
        <v>2.2000000000000002</v>
      </c>
      <c r="S60" s="34" t="s">
        <v>79</v>
      </c>
      <c r="T60" s="41" t="s">
        <v>42</v>
      </c>
      <c r="U60" s="41">
        <v>10.3</v>
      </c>
      <c r="V60" s="41" t="s">
        <v>80</v>
      </c>
      <c r="W60" s="41">
        <v>50</v>
      </c>
      <c r="X60" s="18">
        <v>4.5499999999999999E-2</v>
      </c>
      <c r="Y60" s="41">
        <v>101</v>
      </c>
      <c r="Z60" s="42">
        <v>2002901</v>
      </c>
    </row>
    <row r="61" spans="1:26">
      <c r="A61" s="36"/>
      <c r="B61" s="48" t="s">
        <v>227</v>
      </c>
      <c r="C61" s="23"/>
      <c r="D61" s="30"/>
      <c r="E61" s="17"/>
      <c r="F61" s="43"/>
      <c r="G61" s="45"/>
      <c r="H61" s="38"/>
      <c r="I61" s="23"/>
      <c r="J61" s="47"/>
      <c r="K61" s="23"/>
      <c r="L61" s="24"/>
      <c r="M61" s="40"/>
      <c r="N61" s="41"/>
      <c r="O61" s="41"/>
      <c r="P61" s="41"/>
      <c r="Q61" s="41"/>
      <c r="R61" s="41"/>
      <c r="S61" s="34"/>
      <c r="T61" s="41"/>
      <c r="U61" s="41"/>
      <c r="V61" s="41"/>
      <c r="W61" s="41"/>
      <c r="X61" s="43"/>
      <c r="Y61" s="41"/>
      <c r="Z61" s="42"/>
    </row>
    <row r="62" spans="1:26" ht="15.75">
      <c r="A62" s="36" t="s">
        <v>228</v>
      </c>
      <c r="B62" s="37" t="s">
        <v>229</v>
      </c>
      <c r="C62" s="23">
        <v>12</v>
      </c>
      <c r="D62" s="30">
        <v>35.519000000000005</v>
      </c>
      <c r="E62" s="17">
        <f>D62*C62</f>
        <v>426.22800000000007</v>
      </c>
      <c r="F62" s="43">
        <v>0</v>
      </c>
      <c r="G62" s="45" t="s">
        <v>230</v>
      </c>
      <c r="H62" s="38" t="s">
        <v>147</v>
      </c>
      <c r="I62" s="56">
        <v>29051100</v>
      </c>
      <c r="J62" s="46" t="s">
        <v>231</v>
      </c>
      <c r="K62" s="23" t="s">
        <v>232</v>
      </c>
      <c r="L62" s="24">
        <v>9850</v>
      </c>
      <c r="M62" s="40" t="s">
        <v>40</v>
      </c>
      <c r="N62" s="41">
        <v>17</v>
      </c>
      <c r="O62" s="41">
        <v>12</v>
      </c>
      <c r="P62" s="41" t="s">
        <v>41</v>
      </c>
      <c r="Q62" s="41" t="s">
        <v>42</v>
      </c>
      <c r="R62" s="41">
        <v>0.65</v>
      </c>
      <c r="S62" s="34" t="s">
        <v>41</v>
      </c>
      <c r="T62" s="41" t="s">
        <v>42</v>
      </c>
      <c r="U62" s="41">
        <v>3</v>
      </c>
      <c r="V62" s="41" t="s">
        <v>43</v>
      </c>
      <c r="W62" s="41">
        <v>51</v>
      </c>
      <c r="X62" s="43">
        <v>0</v>
      </c>
      <c r="Y62" s="41">
        <v>101</v>
      </c>
      <c r="Z62" s="42" t="s">
        <v>95</v>
      </c>
    </row>
    <row r="63" spans="1:26" ht="15.75">
      <c r="A63" s="36" t="s">
        <v>233</v>
      </c>
      <c r="B63" s="37" t="s">
        <v>234</v>
      </c>
      <c r="C63" s="23">
        <v>16</v>
      </c>
      <c r="D63" s="30">
        <v>9.8230000000000004</v>
      </c>
      <c r="E63" s="17">
        <f>D63*C63</f>
        <v>157.16800000000001</v>
      </c>
      <c r="F63" s="43">
        <v>0</v>
      </c>
      <c r="G63" s="45" t="s">
        <v>235</v>
      </c>
      <c r="H63" s="38" t="s">
        <v>163</v>
      </c>
      <c r="I63" s="56">
        <v>29051100</v>
      </c>
      <c r="J63" s="46" t="s">
        <v>236</v>
      </c>
      <c r="K63" s="23" t="s">
        <v>237</v>
      </c>
      <c r="L63" s="24">
        <v>8</v>
      </c>
      <c r="M63" s="40" t="s">
        <v>40</v>
      </c>
      <c r="N63" s="41">
        <v>17</v>
      </c>
      <c r="O63" s="41">
        <v>12</v>
      </c>
      <c r="P63" s="41" t="s">
        <v>41</v>
      </c>
      <c r="Q63" s="41" t="s">
        <v>42</v>
      </c>
      <c r="R63" s="41">
        <v>0.65</v>
      </c>
      <c r="S63" s="34" t="s">
        <v>41</v>
      </c>
      <c r="T63" s="41" t="s">
        <v>42</v>
      </c>
      <c r="U63" s="41">
        <v>3</v>
      </c>
      <c r="V63" s="41" t="s">
        <v>43</v>
      </c>
      <c r="W63" s="41">
        <v>51</v>
      </c>
      <c r="X63" s="43">
        <v>0</v>
      </c>
      <c r="Y63" s="41">
        <v>101</v>
      </c>
      <c r="Z63" s="42" t="s">
        <v>95</v>
      </c>
    </row>
    <row r="64" spans="1:26">
      <c r="A64" s="36"/>
      <c r="B64" s="44" t="s">
        <v>238</v>
      </c>
      <c r="C64" s="23"/>
      <c r="D64" s="30"/>
      <c r="E64" s="17"/>
      <c r="F64" s="43"/>
      <c r="G64" s="45"/>
      <c r="H64" s="38"/>
      <c r="I64" s="23"/>
      <c r="J64" s="46"/>
      <c r="K64" s="23"/>
      <c r="L64" s="23"/>
      <c r="M64" s="40"/>
      <c r="N64" s="41"/>
      <c r="O64" s="41"/>
      <c r="P64" s="41"/>
      <c r="Q64" s="41"/>
      <c r="R64" s="41"/>
      <c r="S64" s="34"/>
      <c r="T64" s="41"/>
      <c r="U64" s="41"/>
      <c r="V64" s="41"/>
      <c r="W64" s="41"/>
      <c r="X64" s="43"/>
      <c r="Y64" s="41"/>
      <c r="Z64" s="42"/>
    </row>
    <row r="65" spans="1:26">
      <c r="A65" s="36" t="s">
        <v>239</v>
      </c>
      <c r="B65" s="37" t="s">
        <v>240</v>
      </c>
      <c r="C65" s="23">
        <v>30</v>
      </c>
      <c r="D65" s="30">
        <v>15.290000000000001</v>
      </c>
      <c r="E65" s="17">
        <f>D65*C65</f>
        <v>458.70000000000005</v>
      </c>
      <c r="F65" s="43">
        <v>0</v>
      </c>
      <c r="G65" s="21" t="s">
        <v>241</v>
      </c>
      <c r="H65" s="38" t="s">
        <v>66</v>
      </c>
      <c r="I65" s="23" t="s">
        <v>242</v>
      </c>
      <c r="J65" s="46" t="s">
        <v>243</v>
      </c>
      <c r="K65" s="23" t="s">
        <v>67</v>
      </c>
      <c r="L65" s="24">
        <v>4500</v>
      </c>
      <c r="M65" s="40" t="s">
        <v>40</v>
      </c>
      <c r="N65" s="41">
        <v>17</v>
      </c>
      <c r="O65" s="41">
        <v>12</v>
      </c>
      <c r="P65" s="41" t="s">
        <v>79</v>
      </c>
      <c r="Q65" s="41" t="s">
        <v>42</v>
      </c>
      <c r="R65" s="41">
        <v>2.2000000000000002</v>
      </c>
      <c r="S65" s="34" t="s">
        <v>79</v>
      </c>
      <c r="T65" s="41" t="s">
        <v>42</v>
      </c>
      <c r="U65" s="41">
        <v>10.3</v>
      </c>
      <c r="V65" s="41" t="s">
        <v>80</v>
      </c>
      <c r="W65" s="41">
        <v>51</v>
      </c>
      <c r="X65" s="43">
        <v>0</v>
      </c>
      <c r="Y65" s="41">
        <v>101</v>
      </c>
      <c r="Z65" s="42">
        <v>2001600</v>
      </c>
    </row>
    <row r="66" spans="1:26">
      <c r="A66" s="36" t="s">
        <v>244</v>
      </c>
      <c r="B66" s="37" t="s">
        <v>245</v>
      </c>
      <c r="C66" s="23">
        <v>30</v>
      </c>
      <c r="D66" s="30">
        <v>21.373000000000001</v>
      </c>
      <c r="E66" s="17">
        <f t="shared" ref="E66:E67" si="3">D66*C66</f>
        <v>641.19000000000005</v>
      </c>
      <c r="F66" s="43">
        <v>0</v>
      </c>
      <c r="G66" s="45" t="s">
        <v>246</v>
      </c>
      <c r="H66" s="38" t="s">
        <v>66</v>
      </c>
      <c r="I66" s="23" t="s">
        <v>242</v>
      </c>
      <c r="J66" s="46" t="s">
        <v>247</v>
      </c>
      <c r="K66" s="23" t="s">
        <v>67</v>
      </c>
      <c r="L66" s="24">
        <v>4500</v>
      </c>
      <c r="M66" s="40" t="s">
        <v>40</v>
      </c>
      <c r="N66" s="41">
        <v>17</v>
      </c>
      <c r="O66" s="41">
        <v>12</v>
      </c>
      <c r="P66" s="41" t="s">
        <v>79</v>
      </c>
      <c r="Q66" s="41" t="s">
        <v>42</v>
      </c>
      <c r="R66" s="41">
        <v>2.2000000000000002</v>
      </c>
      <c r="S66" s="34" t="s">
        <v>79</v>
      </c>
      <c r="T66" s="41" t="s">
        <v>42</v>
      </c>
      <c r="U66" s="41">
        <v>10.3</v>
      </c>
      <c r="V66" s="41" t="s">
        <v>80</v>
      </c>
      <c r="W66" s="41">
        <v>51</v>
      </c>
      <c r="X66" s="43">
        <v>0</v>
      </c>
      <c r="Y66" s="41">
        <v>101</v>
      </c>
      <c r="Z66" s="42">
        <v>2001600</v>
      </c>
    </row>
    <row r="67" spans="1:26">
      <c r="A67" s="36" t="s">
        <v>248</v>
      </c>
      <c r="B67" s="37" t="s">
        <v>249</v>
      </c>
      <c r="C67" s="23">
        <v>30</v>
      </c>
      <c r="D67" s="30">
        <v>9.229000000000001</v>
      </c>
      <c r="E67" s="17">
        <f t="shared" si="3"/>
        <v>276.87</v>
      </c>
      <c r="F67" s="18">
        <v>3.2500000000000001E-2</v>
      </c>
      <c r="G67" s="45" t="s">
        <v>250</v>
      </c>
      <c r="H67" s="38" t="s">
        <v>137</v>
      </c>
      <c r="I67" s="23">
        <v>33012990</v>
      </c>
      <c r="J67" s="46" t="s">
        <v>251</v>
      </c>
      <c r="K67" s="23" t="s">
        <v>252</v>
      </c>
      <c r="L67" s="24">
        <v>6000</v>
      </c>
      <c r="M67" s="40" t="s">
        <v>78</v>
      </c>
      <c r="N67" s="41">
        <v>17</v>
      </c>
      <c r="O67" s="41">
        <v>12</v>
      </c>
      <c r="P67" s="41">
        <v>50</v>
      </c>
      <c r="Q67" s="41" t="s">
        <v>42</v>
      </c>
      <c r="R67" s="41">
        <v>0.65</v>
      </c>
      <c r="S67" s="34">
        <v>50</v>
      </c>
      <c r="T67" s="41" t="s">
        <v>42</v>
      </c>
      <c r="U67" s="41">
        <v>3</v>
      </c>
      <c r="V67" s="41" t="s">
        <v>43</v>
      </c>
      <c r="W67" s="41">
        <v>50</v>
      </c>
      <c r="X67" s="18">
        <v>3.2500000000000001E-2</v>
      </c>
      <c r="Y67" s="41">
        <v>101</v>
      </c>
      <c r="Z67" s="42">
        <v>2000600</v>
      </c>
    </row>
    <row r="68" spans="1:26">
      <c r="A68" s="36" t="s">
        <v>253</v>
      </c>
      <c r="B68" s="37" t="s">
        <v>254</v>
      </c>
      <c r="C68" s="23">
        <v>30</v>
      </c>
      <c r="D68" s="30">
        <v>15.191000000000003</v>
      </c>
      <c r="E68" s="17">
        <f>D68*C68</f>
        <v>455.73000000000008</v>
      </c>
      <c r="F68" s="18">
        <v>0</v>
      </c>
      <c r="G68" s="45" t="s">
        <v>255</v>
      </c>
      <c r="H68" s="38" t="s">
        <v>256</v>
      </c>
      <c r="I68" s="23" t="s">
        <v>242</v>
      </c>
      <c r="J68" s="46" t="s">
        <v>257</v>
      </c>
      <c r="K68" s="23" t="s">
        <v>258</v>
      </c>
      <c r="L68" s="24">
        <v>2100</v>
      </c>
      <c r="M68" s="40" t="s">
        <v>78</v>
      </c>
      <c r="N68" s="41">
        <v>17</v>
      </c>
      <c r="O68" s="41">
        <v>12</v>
      </c>
      <c r="P68" s="41">
        <v>2</v>
      </c>
      <c r="Q68" s="41" t="s">
        <v>42</v>
      </c>
      <c r="R68" s="41">
        <v>2.2000000000000002</v>
      </c>
      <c r="S68" s="34">
        <v>2</v>
      </c>
      <c r="T68" s="41" t="s">
        <v>42</v>
      </c>
      <c r="U68" s="41">
        <v>10.029999999999999</v>
      </c>
      <c r="V68" s="41" t="s">
        <v>80</v>
      </c>
      <c r="W68" s="41">
        <v>51</v>
      </c>
      <c r="X68" s="18">
        <v>0</v>
      </c>
      <c r="Y68" s="41">
        <v>101</v>
      </c>
      <c r="Z68" s="42">
        <v>2001600</v>
      </c>
    </row>
    <row r="69" spans="1:26">
      <c r="A69" s="36"/>
      <c r="B69" s="44" t="s">
        <v>259</v>
      </c>
      <c r="C69" s="23"/>
      <c r="D69" s="30"/>
      <c r="E69" s="17"/>
      <c r="F69" s="18"/>
      <c r="G69" s="45"/>
      <c r="H69" s="38"/>
      <c r="I69" s="23"/>
      <c r="J69" s="47"/>
      <c r="K69" s="23"/>
      <c r="L69" s="24"/>
      <c r="M69" s="40"/>
      <c r="N69" s="41"/>
      <c r="O69" s="41"/>
      <c r="P69" s="41"/>
      <c r="Q69" s="41"/>
      <c r="R69" s="41"/>
      <c r="S69" s="34"/>
      <c r="T69" s="41"/>
      <c r="U69" s="41"/>
      <c r="V69" s="41"/>
      <c r="W69" s="41"/>
      <c r="X69" s="18"/>
      <c r="Y69" s="41"/>
      <c r="Z69" s="42"/>
    </row>
    <row r="70" spans="1:26">
      <c r="A70" s="57" t="s">
        <v>260</v>
      </c>
      <c r="B70" s="37" t="s">
        <v>261</v>
      </c>
      <c r="C70" s="23">
        <v>56</v>
      </c>
      <c r="D70" s="30">
        <v>7.5900000000000007</v>
      </c>
      <c r="E70" s="17">
        <f>D70*C70</f>
        <v>425.04</v>
      </c>
      <c r="F70" s="18">
        <v>0.14299999999999999</v>
      </c>
      <c r="G70" s="45">
        <v>7898563805933</v>
      </c>
      <c r="H70" s="38" t="s">
        <v>262</v>
      </c>
      <c r="I70" s="23">
        <v>33049990</v>
      </c>
      <c r="J70" s="47"/>
      <c r="K70" s="23" t="s">
        <v>93</v>
      </c>
      <c r="L70" s="58" t="s">
        <v>263</v>
      </c>
      <c r="M70" s="40" t="s">
        <v>78</v>
      </c>
      <c r="N70" s="41">
        <v>19</v>
      </c>
      <c r="O70" s="41">
        <v>12</v>
      </c>
      <c r="P70" s="41" t="s">
        <v>111</v>
      </c>
      <c r="Q70" s="41" t="s">
        <v>42</v>
      </c>
      <c r="R70" s="41">
        <v>2.2000000000000002</v>
      </c>
      <c r="S70" s="34" t="s">
        <v>79</v>
      </c>
      <c r="T70" s="41" t="s">
        <v>42</v>
      </c>
      <c r="U70" s="41">
        <v>10.3</v>
      </c>
      <c r="V70" s="41" t="s">
        <v>80</v>
      </c>
      <c r="W70" s="41">
        <v>51</v>
      </c>
      <c r="X70" s="49">
        <v>0.14299999999999999</v>
      </c>
      <c r="Y70" s="41">
        <v>101</v>
      </c>
      <c r="Z70" s="42">
        <v>2001500</v>
      </c>
    </row>
    <row r="71" spans="1:26">
      <c r="A71" s="57" t="s">
        <v>264</v>
      </c>
      <c r="B71" s="37" t="s">
        <v>265</v>
      </c>
      <c r="C71" s="23">
        <v>56</v>
      </c>
      <c r="D71" s="30">
        <v>7.5900000000000007</v>
      </c>
      <c r="E71" s="17">
        <f t="shared" ref="E71:E72" si="4">D71*C71</f>
        <v>425.04</v>
      </c>
      <c r="F71" s="18">
        <v>0.14299999999999999</v>
      </c>
      <c r="G71" s="45">
        <v>7898563805926</v>
      </c>
      <c r="H71" s="38" t="s">
        <v>262</v>
      </c>
      <c r="I71" s="23">
        <v>33049990</v>
      </c>
      <c r="J71" s="47"/>
      <c r="K71" s="23" t="s">
        <v>93</v>
      </c>
      <c r="L71" s="58" t="s">
        <v>263</v>
      </c>
      <c r="M71" s="40" t="s">
        <v>78</v>
      </c>
      <c r="N71" s="41">
        <v>19</v>
      </c>
      <c r="O71" s="41">
        <v>12</v>
      </c>
      <c r="P71" s="41" t="s">
        <v>111</v>
      </c>
      <c r="Q71" s="41" t="s">
        <v>42</v>
      </c>
      <c r="R71" s="41">
        <v>2.2000000000000002</v>
      </c>
      <c r="S71" s="34" t="s">
        <v>79</v>
      </c>
      <c r="T71" s="41" t="s">
        <v>42</v>
      </c>
      <c r="U71" s="41">
        <v>10.3</v>
      </c>
      <c r="V71" s="41" t="s">
        <v>80</v>
      </c>
      <c r="W71" s="41">
        <v>51</v>
      </c>
      <c r="X71" s="49">
        <v>0.14299999999999999</v>
      </c>
      <c r="Y71" s="41">
        <v>101</v>
      </c>
      <c r="Z71" s="42">
        <v>2001500</v>
      </c>
    </row>
    <row r="72" spans="1:26">
      <c r="A72" s="59" t="s">
        <v>266</v>
      </c>
      <c r="B72" s="60" t="s">
        <v>267</v>
      </c>
      <c r="C72" s="61">
        <v>56</v>
      </c>
      <c r="D72" s="30">
        <v>7.5900000000000007</v>
      </c>
      <c r="E72" s="17">
        <f t="shared" si="4"/>
        <v>425.04</v>
      </c>
      <c r="F72" s="18">
        <v>0.14299999999999999</v>
      </c>
      <c r="G72" s="45">
        <v>7898563805940</v>
      </c>
      <c r="H72" s="38" t="s">
        <v>262</v>
      </c>
      <c r="I72" s="23">
        <v>33049990</v>
      </c>
      <c r="J72" s="47"/>
      <c r="K72" s="23" t="s">
        <v>93</v>
      </c>
      <c r="L72" s="58" t="s">
        <v>263</v>
      </c>
      <c r="M72" s="40" t="s">
        <v>78</v>
      </c>
      <c r="N72" s="41">
        <v>19</v>
      </c>
      <c r="O72" s="41">
        <v>12</v>
      </c>
      <c r="P72" s="41" t="s">
        <v>111</v>
      </c>
      <c r="Q72" s="41" t="s">
        <v>42</v>
      </c>
      <c r="R72" s="41">
        <v>2.2000000000000002</v>
      </c>
      <c r="S72" s="34" t="s">
        <v>79</v>
      </c>
      <c r="T72" s="41" t="s">
        <v>42</v>
      </c>
      <c r="U72" s="41">
        <v>10.3</v>
      </c>
      <c r="V72" s="41" t="s">
        <v>80</v>
      </c>
      <c r="W72" s="41">
        <v>51</v>
      </c>
      <c r="X72" s="49">
        <v>0.14299999999999999</v>
      </c>
      <c r="Y72" s="41">
        <v>101</v>
      </c>
      <c r="Z72" s="42">
        <v>2001500</v>
      </c>
    </row>
    <row r="73" spans="1:26">
      <c r="A73" s="59" t="s">
        <v>268</v>
      </c>
      <c r="B73" s="60" t="s">
        <v>269</v>
      </c>
      <c r="C73" s="61">
        <v>56</v>
      </c>
      <c r="D73" s="30">
        <v>7.5900000000000007</v>
      </c>
      <c r="E73" s="17">
        <f>D73*C73</f>
        <v>425.04</v>
      </c>
      <c r="F73" s="18">
        <v>0.14299999999999999</v>
      </c>
      <c r="G73" s="45">
        <v>7898563805957</v>
      </c>
      <c r="H73" s="38" t="s">
        <v>262</v>
      </c>
      <c r="I73" s="23">
        <v>33049990</v>
      </c>
      <c r="J73" s="47"/>
      <c r="K73" s="23" t="s">
        <v>93</v>
      </c>
      <c r="L73" s="58" t="s">
        <v>263</v>
      </c>
      <c r="M73" s="40" t="s">
        <v>78</v>
      </c>
      <c r="N73" s="41">
        <v>19</v>
      </c>
      <c r="O73" s="41">
        <v>12</v>
      </c>
      <c r="P73" s="41" t="s">
        <v>111</v>
      </c>
      <c r="Q73" s="41" t="s">
        <v>42</v>
      </c>
      <c r="R73" s="41">
        <v>2.2000000000000002</v>
      </c>
      <c r="S73" s="34" t="s">
        <v>79</v>
      </c>
      <c r="T73" s="41" t="s">
        <v>42</v>
      </c>
      <c r="U73" s="41">
        <v>10.3</v>
      </c>
      <c r="V73" s="41" t="s">
        <v>80</v>
      </c>
      <c r="W73" s="41">
        <v>51</v>
      </c>
      <c r="X73" s="49">
        <v>0.14299999999999999</v>
      </c>
      <c r="Y73" s="41">
        <v>101</v>
      </c>
      <c r="Z73" s="42">
        <v>2001500</v>
      </c>
    </row>
    <row r="74" spans="1:26">
      <c r="A74" s="59"/>
      <c r="B74" s="62" t="s">
        <v>270</v>
      </c>
      <c r="C74" s="61"/>
      <c r="D74" s="30"/>
      <c r="E74" s="17"/>
      <c r="F74" s="63"/>
      <c r="G74" s="18"/>
      <c r="H74" s="45"/>
      <c r="I74" s="38"/>
      <c r="J74" s="23"/>
      <c r="K74" s="23"/>
      <c r="L74" s="58"/>
      <c r="M74" s="40"/>
      <c r="N74" s="41"/>
      <c r="O74" s="41"/>
      <c r="P74" s="41"/>
      <c r="Q74" s="41"/>
      <c r="R74" s="41"/>
      <c r="S74" s="34"/>
      <c r="T74" s="41"/>
      <c r="U74" s="41"/>
      <c r="V74" s="41"/>
      <c r="W74" s="41"/>
      <c r="X74" s="49"/>
      <c r="Y74" s="41"/>
      <c r="Z74" s="42"/>
    </row>
    <row r="75" spans="1:26">
      <c r="A75" s="64" t="s">
        <v>271</v>
      </c>
      <c r="B75" s="65" t="s">
        <v>272</v>
      </c>
      <c r="C75" s="61">
        <v>30</v>
      </c>
      <c r="D75" s="30">
        <v>25.19</v>
      </c>
      <c r="E75" s="17">
        <f>D75*C75</f>
        <v>755.7</v>
      </c>
      <c r="F75" s="49">
        <v>7.8E-2</v>
      </c>
      <c r="G75" s="45">
        <v>7898563806527</v>
      </c>
      <c r="H75" s="38" t="s">
        <v>273</v>
      </c>
      <c r="I75" s="23">
        <v>33030020</v>
      </c>
      <c r="J75" s="23"/>
      <c r="K75" s="23"/>
      <c r="L75" s="58"/>
      <c r="M75" s="40"/>
      <c r="N75" s="41"/>
      <c r="O75" s="41"/>
      <c r="P75" s="41"/>
      <c r="Q75" s="41"/>
      <c r="R75" s="41"/>
      <c r="S75" s="34"/>
      <c r="T75" s="41"/>
      <c r="U75" s="41"/>
      <c r="V75" s="41"/>
      <c r="W75" s="41"/>
      <c r="X75" s="49"/>
      <c r="Y75" s="41"/>
      <c r="Z75" s="42"/>
    </row>
    <row r="76" spans="1:26">
      <c r="A76" s="66" t="s">
        <v>274</v>
      </c>
      <c r="B76" s="50" t="s">
        <v>275</v>
      </c>
      <c r="C76" s="23">
        <v>30</v>
      </c>
      <c r="D76" s="30">
        <v>25.19</v>
      </c>
      <c r="E76" s="17">
        <f>D76*C76</f>
        <v>755.7</v>
      </c>
      <c r="F76" s="49">
        <v>7.8E-2</v>
      </c>
      <c r="G76" s="45">
        <v>7898563806534</v>
      </c>
      <c r="H76" s="38" t="s">
        <v>273</v>
      </c>
      <c r="I76" s="23">
        <v>33030020</v>
      </c>
      <c r="J76" s="23"/>
      <c r="K76" s="23"/>
      <c r="L76" s="58"/>
      <c r="M76" s="40"/>
      <c r="N76" s="41"/>
      <c r="O76" s="41"/>
      <c r="P76" s="41"/>
      <c r="Q76" s="41"/>
      <c r="R76" s="41"/>
      <c r="S76" s="34"/>
      <c r="T76" s="41"/>
      <c r="U76" s="41"/>
      <c r="V76" s="41"/>
      <c r="W76" s="41"/>
      <c r="X76" s="49"/>
      <c r="Y76" s="41"/>
      <c r="Z76" s="42"/>
    </row>
    <row r="77" spans="1:26">
      <c r="A77" s="66" t="s">
        <v>276</v>
      </c>
      <c r="B77" s="50" t="s">
        <v>277</v>
      </c>
      <c r="C77" s="23">
        <v>30</v>
      </c>
      <c r="D77" s="30">
        <v>25.19</v>
      </c>
      <c r="E77" s="17">
        <f>D77*C77</f>
        <v>755.7</v>
      </c>
      <c r="F77" s="49">
        <v>7.8E-2</v>
      </c>
      <c r="G77" s="45">
        <v>7898563806541</v>
      </c>
      <c r="H77" s="38" t="s">
        <v>273</v>
      </c>
      <c r="I77" s="23">
        <v>33030020</v>
      </c>
      <c r="J77" s="23"/>
      <c r="K77" s="23"/>
      <c r="L77" s="58"/>
      <c r="M77" s="40"/>
      <c r="N77" s="41"/>
      <c r="O77" s="41"/>
      <c r="P77" s="41"/>
      <c r="Q77" s="41"/>
      <c r="R77" s="41"/>
      <c r="S77" s="34"/>
      <c r="T77" s="41"/>
      <c r="U77" s="41"/>
      <c r="V77" s="41"/>
      <c r="W77" s="41"/>
      <c r="X77" s="49"/>
      <c r="Y77" s="41"/>
      <c r="Z77" s="42"/>
    </row>
    <row r="78" spans="1:26">
      <c r="A78" s="36"/>
      <c r="B78" s="44" t="s">
        <v>278</v>
      </c>
      <c r="C78" s="23"/>
      <c r="D78" s="30"/>
      <c r="E78" s="17"/>
      <c r="F78" s="43"/>
      <c r="G78" s="23"/>
      <c r="H78" s="38"/>
      <c r="I78" s="23"/>
      <c r="J78" s="47"/>
      <c r="K78" s="23"/>
      <c r="L78" s="23"/>
      <c r="M78" s="41"/>
      <c r="N78" s="41"/>
      <c r="O78" s="41"/>
      <c r="P78" s="41"/>
      <c r="Q78" s="41"/>
      <c r="R78" s="41"/>
      <c r="S78" s="34"/>
      <c r="T78" s="41"/>
      <c r="U78" s="41"/>
      <c r="V78" s="41"/>
      <c r="W78" s="41"/>
      <c r="X78" s="43"/>
      <c r="Y78" s="41"/>
      <c r="Z78" s="42"/>
    </row>
    <row r="79" spans="1:26">
      <c r="A79" s="36" t="s">
        <v>279</v>
      </c>
      <c r="B79" s="37" t="s">
        <v>280</v>
      </c>
      <c r="C79" s="23">
        <v>30</v>
      </c>
      <c r="D79" s="30">
        <v>41.777999999999999</v>
      </c>
      <c r="E79" s="17">
        <f>D79*C79</f>
        <v>1253.3399999999999</v>
      </c>
      <c r="F79" s="49">
        <v>7.8E-2</v>
      </c>
      <c r="G79" s="45" t="s">
        <v>281</v>
      </c>
      <c r="H79" s="38" t="s">
        <v>282</v>
      </c>
      <c r="I79" s="23">
        <v>33030020</v>
      </c>
      <c r="J79" s="47"/>
      <c r="K79" s="23" t="s">
        <v>57</v>
      </c>
      <c r="L79" s="24">
        <v>8800</v>
      </c>
      <c r="M79" s="41" t="s">
        <v>78</v>
      </c>
      <c r="N79" s="41">
        <v>17</v>
      </c>
      <c r="O79" s="41">
        <v>12</v>
      </c>
      <c r="P79" s="41" t="s">
        <v>79</v>
      </c>
      <c r="Q79" s="41" t="s">
        <v>42</v>
      </c>
      <c r="R79" s="41">
        <v>2.2000000000000002</v>
      </c>
      <c r="S79" s="34" t="s">
        <v>79</v>
      </c>
      <c r="T79" s="41" t="s">
        <v>42</v>
      </c>
      <c r="U79" s="41">
        <v>10.3</v>
      </c>
      <c r="V79" s="41" t="s">
        <v>80</v>
      </c>
      <c r="W79" s="41">
        <v>50</v>
      </c>
      <c r="X79" s="49">
        <v>7.8E-2</v>
      </c>
      <c r="Y79" s="41">
        <v>101</v>
      </c>
      <c r="Z79" s="42">
        <v>2000800</v>
      </c>
    </row>
    <row r="80" spans="1:26">
      <c r="A80" s="36" t="s">
        <v>283</v>
      </c>
      <c r="B80" s="37" t="s">
        <v>284</v>
      </c>
      <c r="C80" s="23">
        <v>30</v>
      </c>
      <c r="D80" s="30">
        <v>51.051000000000002</v>
      </c>
      <c r="E80" s="17">
        <f t="shared" ref="E80:E87" si="5">D80*C80</f>
        <v>1531.53</v>
      </c>
      <c r="F80" s="49">
        <v>7.8E-2</v>
      </c>
      <c r="G80" s="45" t="s">
        <v>285</v>
      </c>
      <c r="H80" s="38" t="s">
        <v>286</v>
      </c>
      <c r="I80" s="23">
        <v>33030020</v>
      </c>
      <c r="J80" s="47"/>
      <c r="K80" s="23" t="s">
        <v>57</v>
      </c>
      <c r="L80" s="24">
        <v>7950</v>
      </c>
      <c r="M80" s="41" t="s">
        <v>78</v>
      </c>
      <c r="N80" s="41">
        <v>17</v>
      </c>
      <c r="O80" s="41">
        <v>12</v>
      </c>
      <c r="P80" s="41" t="s">
        <v>79</v>
      </c>
      <c r="Q80" s="41" t="s">
        <v>42</v>
      </c>
      <c r="R80" s="41">
        <v>2.2000000000000002</v>
      </c>
      <c r="S80" s="34" t="s">
        <v>79</v>
      </c>
      <c r="T80" s="41" t="s">
        <v>42</v>
      </c>
      <c r="U80" s="41">
        <v>10.3</v>
      </c>
      <c r="V80" s="41" t="s">
        <v>80</v>
      </c>
      <c r="W80" s="41">
        <v>50</v>
      </c>
      <c r="X80" s="49">
        <v>7.8E-2</v>
      </c>
      <c r="Y80" s="41">
        <v>101</v>
      </c>
      <c r="Z80" s="42">
        <v>2000800</v>
      </c>
    </row>
    <row r="81" spans="1:26">
      <c r="A81" s="36" t="s">
        <v>287</v>
      </c>
      <c r="B81" s="37" t="s">
        <v>288</v>
      </c>
      <c r="C81" s="23">
        <v>30</v>
      </c>
      <c r="D81" s="30">
        <v>51.051000000000002</v>
      </c>
      <c r="E81" s="17">
        <f t="shared" si="5"/>
        <v>1531.53</v>
      </c>
      <c r="F81" s="49">
        <v>7.8E-2</v>
      </c>
      <c r="G81" s="45" t="s">
        <v>289</v>
      </c>
      <c r="H81" s="38" t="s">
        <v>286</v>
      </c>
      <c r="I81" s="23">
        <v>33030020</v>
      </c>
      <c r="J81" s="47"/>
      <c r="K81" s="23" t="s">
        <v>57</v>
      </c>
      <c r="L81" s="24">
        <v>8100</v>
      </c>
      <c r="M81" s="41" t="s">
        <v>78</v>
      </c>
      <c r="N81" s="41">
        <v>17</v>
      </c>
      <c r="O81" s="41">
        <v>12</v>
      </c>
      <c r="P81" s="41" t="s">
        <v>79</v>
      </c>
      <c r="Q81" s="41" t="s">
        <v>42</v>
      </c>
      <c r="R81" s="41">
        <v>2.2000000000000002</v>
      </c>
      <c r="S81" s="34" t="s">
        <v>79</v>
      </c>
      <c r="T81" s="41" t="s">
        <v>42</v>
      </c>
      <c r="U81" s="41">
        <v>10.3</v>
      </c>
      <c r="V81" s="41" t="s">
        <v>80</v>
      </c>
      <c r="W81" s="41">
        <v>50</v>
      </c>
      <c r="X81" s="49">
        <v>7.8E-2</v>
      </c>
      <c r="Y81" s="41">
        <v>101</v>
      </c>
      <c r="Z81" s="42">
        <v>2000800</v>
      </c>
    </row>
    <row r="82" spans="1:26">
      <c r="A82" s="36" t="s">
        <v>290</v>
      </c>
      <c r="B82" s="37" t="s">
        <v>291</v>
      </c>
      <c r="C82" s="23">
        <v>30</v>
      </c>
      <c r="D82" s="30">
        <v>51.051000000000002</v>
      </c>
      <c r="E82" s="17">
        <f t="shared" si="5"/>
        <v>1531.53</v>
      </c>
      <c r="F82" s="49">
        <v>7.8E-2</v>
      </c>
      <c r="G82" s="45" t="s">
        <v>292</v>
      </c>
      <c r="H82" s="38" t="s">
        <v>282</v>
      </c>
      <c r="I82" s="23">
        <v>33030020</v>
      </c>
      <c r="J82" s="47"/>
      <c r="K82" s="23" t="s">
        <v>57</v>
      </c>
      <c r="L82" s="24">
        <v>8800</v>
      </c>
      <c r="M82" s="41" t="s">
        <v>78</v>
      </c>
      <c r="N82" s="41">
        <v>17</v>
      </c>
      <c r="O82" s="41">
        <v>12</v>
      </c>
      <c r="P82" s="41" t="s">
        <v>79</v>
      </c>
      <c r="Q82" s="41" t="s">
        <v>42</v>
      </c>
      <c r="R82" s="41">
        <v>2.2000000000000002</v>
      </c>
      <c r="S82" s="34" t="s">
        <v>79</v>
      </c>
      <c r="T82" s="41" t="s">
        <v>42</v>
      </c>
      <c r="U82" s="41">
        <v>10.3</v>
      </c>
      <c r="V82" s="41" t="s">
        <v>80</v>
      </c>
      <c r="W82" s="41">
        <v>50</v>
      </c>
      <c r="X82" s="49">
        <v>7.8E-2</v>
      </c>
      <c r="Y82" s="41">
        <v>101</v>
      </c>
      <c r="Z82" s="42">
        <v>2000800</v>
      </c>
    </row>
    <row r="83" spans="1:26">
      <c r="A83" s="36" t="s">
        <v>293</v>
      </c>
      <c r="B83" s="67" t="s">
        <v>294</v>
      </c>
      <c r="C83" s="23">
        <v>30</v>
      </c>
      <c r="D83" s="30">
        <v>41.777999999999999</v>
      </c>
      <c r="E83" s="17">
        <f t="shared" si="5"/>
        <v>1253.3399999999999</v>
      </c>
      <c r="F83" s="49">
        <v>7.8E-2</v>
      </c>
      <c r="G83" s="45" t="s">
        <v>295</v>
      </c>
      <c r="H83" s="38" t="s">
        <v>296</v>
      </c>
      <c r="I83" s="23">
        <v>33030020</v>
      </c>
      <c r="J83" s="47"/>
      <c r="K83" s="23" t="s">
        <v>297</v>
      </c>
      <c r="L83" s="24">
        <v>7880</v>
      </c>
      <c r="M83" s="41" t="s">
        <v>78</v>
      </c>
      <c r="N83" s="41">
        <v>17</v>
      </c>
      <c r="O83" s="41">
        <v>12</v>
      </c>
      <c r="P83" s="41" t="s">
        <v>79</v>
      </c>
      <c r="Q83" s="41" t="s">
        <v>42</v>
      </c>
      <c r="R83" s="41">
        <v>2.2000000000000002</v>
      </c>
      <c r="S83" s="34" t="s">
        <v>79</v>
      </c>
      <c r="T83" s="41" t="s">
        <v>42</v>
      </c>
      <c r="U83" s="41">
        <v>10.3</v>
      </c>
      <c r="V83" s="41" t="s">
        <v>80</v>
      </c>
      <c r="W83" s="41">
        <v>50</v>
      </c>
      <c r="X83" s="49">
        <v>7.8E-2</v>
      </c>
      <c r="Y83" s="41">
        <v>101</v>
      </c>
      <c r="Z83" s="42">
        <v>2000800</v>
      </c>
    </row>
    <row r="84" spans="1:26">
      <c r="A84" s="36" t="s">
        <v>298</v>
      </c>
      <c r="B84" s="67" t="s">
        <v>299</v>
      </c>
      <c r="C84" s="23">
        <v>30</v>
      </c>
      <c r="D84" s="30">
        <v>51.051000000000002</v>
      </c>
      <c r="E84" s="17">
        <f t="shared" si="5"/>
        <v>1531.53</v>
      </c>
      <c r="F84" s="49">
        <v>7.8E-2</v>
      </c>
      <c r="G84" s="45" t="s">
        <v>300</v>
      </c>
      <c r="H84" s="38" t="s">
        <v>282</v>
      </c>
      <c r="I84" s="23">
        <v>33030020</v>
      </c>
      <c r="J84" s="47"/>
      <c r="K84" s="68" t="s">
        <v>57</v>
      </c>
      <c r="L84" s="24">
        <v>7880</v>
      </c>
      <c r="M84" s="41" t="s">
        <v>78</v>
      </c>
      <c r="N84" s="41">
        <v>17</v>
      </c>
      <c r="O84" s="41">
        <v>12</v>
      </c>
      <c r="P84" s="41" t="s">
        <v>79</v>
      </c>
      <c r="Q84" s="41" t="s">
        <v>42</v>
      </c>
      <c r="R84" s="41">
        <v>2.2000000000000002</v>
      </c>
      <c r="S84" s="34" t="s">
        <v>79</v>
      </c>
      <c r="T84" s="41" t="s">
        <v>42</v>
      </c>
      <c r="U84" s="41">
        <v>10.3</v>
      </c>
      <c r="V84" s="41" t="s">
        <v>80</v>
      </c>
      <c r="W84" s="41">
        <v>50</v>
      </c>
      <c r="X84" s="49">
        <v>7.8E-2</v>
      </c>
      <c r="Y84" s="41">
        <v>101</v>
      </c>
      <c r="Z84" s="42">
        <v>2000800</v>
      </c>
    </row>
    <row r="85" spans="1:26">
      <c r="A85" s="36" t="s">
        <v>301</v>
      </c>
      <c r="B85" s="67" t="s">
        <v>302</v>
      </c>
      <c r="C85" s="23">
        <v>30</v>
      </c>
      <c r="D85" s="30">
        <v>51.051000000000002</v>
      </c>
      <c r="E85" s="17">
        <f t="shared" si="5"/>
        <v>1531.53</v>
      </c>
      <c r="F85" s="49">
        <v>7.8E-2</v>
      </c>
      <c r="G85" s="45" t="s">
        <v>303</v>
      </c>
      <c r="H85" s="38" t="s">
        <v>282</v>
      </c>
      <c r="I85" s="23">
        <v>33030020</v>
      </c>
      <c r="J85" s="47"/>
      <c r="K85" s="68" t="s">
        <v>57</v>
      </c>
      <c r="L85" s="24">
        <v>7880</v>
      </c>
      <c r="M85" s="41" t="s">
        <v>78</v>
      </c>
      <c r="N85" s="41">
        <v>17</v>
      </c>
      <c r="O85" s="41">
        <v>12</v>
      </c>
      <c r="P85" s="41" t="s">
        <v>79</v>
      </c>
      <c r="Q85" s="41" t="s">
        <v>42</v>
      </c>
      <c r="R85" s="41">
        <v>2.2000000000000002</v>
      </c>
      <c r="S85" s="34" t="s">
        <v>79</v>
      </c>
      <c r="T85" s="41" t="s">
        <v>42</v>
      </c>
      <c r="U85" s="41">
        <v>10.3</v>
      </c>
      <c r="V85" s="41" t="s">
        <v>80</v>
      </c>
      <c r="W85" s="41">
        <v>50</v>
      </c>
      <c r="X85" s="49">
        <v>7.8E-2</v>
      </c>
      <c r="Y85" s="41">
        <v>101</v>
      </c>
      <c r="Z85" s="42">
        <v>2000800</v>
      </c>
    </row>
    <row r="86" spans="1:26">
      <c r="A86" s="36" t="s">
        <v>304</v>
      </c>
      <c r="B86" s="67" t="s">
        <v>305</v>
      </c>
      <c r="C86" s="23">
        <v>30</v>
      </c>
      <c r="D86" s="30">
        <v>51.051000000000002</v>
      </c>
      <c r="E86" s="17">
        <f t="shared" si="5"/>
        <v>1531.53</v>
      </c>
      <c r="F86" s="49">
        <v>7.8E-2</v>
      </c>
      <c r="G86" s="45" t="s">
        <v>306</v>
      </c>
      <c r="H86" s="38" t="s">
        <v>168</v>
      </c>
      <c r="I86" s="23">
        <v>33030020</v>
      </c>
      <c r="J86" s="47"/>
      <c r="K86" s="68" t="s">
        <v>57</v>
      </c>
      <c r="L86" s="24">
        <v>7880</v>
      </c>
      <c r="M86" s="41" t="s">
        <v>78</v>
      </c>
      <c r="N86" s="41">
        <v>17</v>
      </c>
      <c r="O86" s="41">
        <v>12</v>
      </c>
      <c r="P86" s="41" t="s">
        <v>79</v>
      </c>
      <c r="Q86" s="41" t="s">
        <v>42</v>
      </c>
      <c r="R86" s="41">
        <v>2.2000000000000002</v>
      </c>
      <c r="S86" s="34" t="s">
        <v>79</v>
      </c>
      <c r="T86" s="41" t="s">
        <v>42</v>
      </c>
      <c r="U86" s="41">
        <v>10.3</v>
      </c>
      <c r="V86" s="41" t="s">
        <v>80</v>
      </c>
      <c r="W86" s="41">
        <v>50</v>
      </c>
      <c r="X86" s="49">
        <v>7.8E-2</v>
      </c>
      <c r="Y86" s="41">
        <v>101</v>
      </c>
      <c r="Z86" s="42">
        <v>2000800</v>
      </c>
    </row>
    <row r="87" spans="1:26">
      <c r="A87" s="36" t="s">
        <v>307</v>
      </c>
      <c r="B87" s="67" t="s">
        <v>308</v>
      </c>
      <c r="C87" s="23">
        <v>30</v>
      </c>
      <c r="D87" s="30">
        <v>51.051000000000002</v>
      </c>
      <c r="E87" s="17">
        <f t="shared" si="5"/>
        <v>1531.53</v>
      </c>
      <c r="F87" s="49">
        <v>7.8E-2</v>
      </c>
      <c r="G87" s="45">
        <v>7898563805421</v>
      </c>
      <c r="H87" s="38" t="s">
        <v>168</v>
      </c>
      <c r="I87" s="23">
        <v>33030020</v>
      </c>
      <c r="J87" s="47"/>
      <c r="K87" s="68"/>
      <c r="L87" s="24"/>
      <c r="M87" s="41"/>
      <c r="N87" s="41"/>
      <c r="O87" s="41"/>
      <c r="P87" s="41"/>
      <c r="Q87" s="41"/>
      <c r="R87" s="41"/>
      <c r="S87" s="34"/>
      <c r="T87" s="41"/>
      <c r="U87" s="41"/>
      <c r="V87" s="41" t="s">
        <v>80</v>
      </c>
      <c r="W87" s="41">
        <v>50</v>
      </c>
      <c r="X87" s="49">
        <v>7.8E-2</v>
      </c>
      <c r="Y87" s="41"/>
      <c r="Z87" s="42">
        <v>2000800</v>
      </c>
    </row>
    <row r="88" spans="1:26">
      <c r="A88" s="36"/>
      <c r="B88" s="48" t="s">
        <v>309</v>
      </c>
      <c r="C88" s="23"/>
      <c r="D88" s="30"/>
      <c r="E88" s="17"/>
      <c r="F88" s="43"/>
      <c r="G88" s="45"/>
      <c r="H88" s="38"/>
      <c r="I88" s="45"/>
      <c r="J88" s="47"/>
      <c r="K88" s="23"/>
      <c r="L88" s="23"/>
      <c r="M88" s="41"/>
      <c r="N88" s="41"/>
      <c r="O88" s="41"/>
      <c r="P88" s="41"/>
      <c r="Q88" s="41"/>
      <c r="R88" s="41"/>
      <c r="S88" s="34"/>
      <c r="T88" s="41"/>
      <c r="U88" s="41"/>
      <c r="V88" s="41"/>
      <c r="W88" s="41"/>
      <c r="X88" s="43"/>
      <c r="Y88" s="41"/>
      <c r="Z88" s="42"/>
    </row>
    <row r="89" spans="1:26">
      <c r="A89" s="36" t="s">
        <v>310</v>
      </c>
      <c r="B89" s="37" t="s">
        <v>311</v>
      </c>
      <c r="C89" s="23">
        <v>30</v>
      </c>
      <c r="D89" s="30">
        <v>41.777999999999999</v>
      </c>
      <c r="E89" s="17">
        <f>D89*C89</f>
        <v>1253.3399999999999</v>
      </c>
      <c r="F89" s="49">
        <v>7.8E-2</v>
      </c>
      <c r="G89" s="23" t="s">
        <v>312</v>
      </c>
      <c r="H89" s="38" t="s">
        <v>56</v>
      </c>
      <c r="I89" s="23">
        <v>33030020</v>
      </c>
      <c r="J89" s="47"/>
      <c r="K89" s="23" t="s">
        <v>57</v>
      </c>
      <c r="L89" s="24">
        <v>7800</v>
      </c>
      <c r="M89" s="41" t="s">
        <v>78</v>
      </c>
      <c r="N89" s="41">
        <v>17</v>
      </c>
      <c r="O89" s="41">
        <v>12</v>
      </c>
      <c r="P89" s="41" t="s">
        <v>79</v>
      </c>
      <c r="Q89" s="41" t="s">
        <v>42</v>
      </c>
      <c r="R89" s="41">
        <v>2.2000000000000002</v>
      </c>
      <c r="S89" s="34" t="s">
        <v>79</v>
      </c>
      <c r="T89" s="41" t="s">
        <v>42</v>
      </c>
      <c r="U89" s="41">
        <v>10.3</v>
      </c>
      <c r="V89" s="41" t="s">
        <v>80</v>
      </c>
      <c r="W89" s="41">
        <v>50</v>
      </c>
      <c r="X89" s="49">
        <v>7.8E-2</v>
      </c>
      <c r="Y89" s="41">
        <v>101</v>
      </c>
      <c r="Z89" s="42">
        <v>2000800</v>
      </c>
    </row>
    <row r="90" spans="1:26">
      <c r="A90" s="36" t="s">
        <v>313</v>
      </c>
      <c r="B90" s="37" t="s">
        <v>314</v>
      </c>
      <c r="C90" s="23">
        <v>30</v>
      </c>
      <c r="D90" s="30">
        <v>51.051000000000002</v>
      </c>
      <c r="E90" s="17">
        <f t="shared" ref="E90:E96" si="6">D90*C90</f>
        <v>1531.53</v>
      </c>
      <c r="F90" s="49">
        <v>7.8E-2</v>
      </c>
      <c r="G90" s="23" t="s">
        <v>315</v>
      </c>
      <c r="H90" s="38" t="s">
        <v>316</v>
      </c>
      <c r="I90" s="23">
        <v>33030020</v>
      </c>
      <c r="J90" s="47"/>
      <c r="K90" s="23" t="s">
        <v>33</v>
      </c>
      <c r="L90" s="24">
        <v>5700</v>
      </c>
      <c r="M90" s="41" t="s">
        <v>78</v>
      </c>
      <c r="N90" s="41">
        <v>17</v>
      </c>
      <c r="O90" s="41">
        <v>12</v>
      </c>
      <c r="P90" s="41" t="s">
        <v>79</v>
      </c>
      <c r="Q90" s="41" t="s">
        <v>42</v>
      </c>
      <c r="R90" s="41">
        <v>2.2000000000000002</v>
      </c>
      <c r="S90" s="34" t="s">
        <v>79</v>
      </c>
      <c r="T90" s="41" t="s">
        <v>42</v>
      </c>
      <c r="U90" s="41">
        <v>10.3</v>
      </c>
      <c r="V90" s="41" t="s">
        <v>80</v>
      </c>
      <c r="W90" s="41">
        <v>50</v>
      </c>
      <c r="X90" s="49">
        <v>7.8E-2</v>
      </c>
      <c r="Y90" s="41">
        <v>101</v>
      </c>
      <c r="Z90" s="42">
        <v>2000800</v>
      </c>
    </row>
    <row r="91" spans="1:26">
      <c r="A91" s="36" t="s">
        <v>317</v>
      </c>
      <c r="B91" s="37" t="s">
        <v>318</v>
      </c>
      <c r="C91" s="23">
        <v>30</v>
      </c>
      <c r="D91" s="30">
        <v>51.051000000000002</v>
      </c>
      <c r="E91" s="17">
        <f t="shared" si="6"/>
        <v>1531.53</v>
      </c>
      <c r="F91" s="49">
        <v>7.8E-2</v>
      </c>
      <c r="G91" s="23" t="s">
        <v>319</v>
      </c>
      <c r="H91" s="38" t="s">
        <v>320</v>
      </c>
      <c r="I91" s="23">
        <v>33030020</v>
      </c>
      <c r="J91" s="47"/>
      <c r="K91" s="23" t="s">
        <v>321</v>
      </c>
      <c r="L91" s="24">
        <v>7100</v>
      </c>
      <c r="M91" s="41" t="s">
        <v>78</v>
      </c>
      <c r="N91" s="41">
        <v>17</v>
      </c>
      <c r="O91" s="41">
        <v>12</v>
      </c>
      <c r="P91" s="41" t="s">
        <v>79</v>
      </c>
      <c r="Q91" s="41" t="s">
        <v>42</v>
      </c>
      <c r="R91" s="41">
        <v>2.2000000000000002</v>
      </c>
      <c r="S91" s="34" t="s">
        <v>79</v>
      </c>
      <c r="T91" s="41" t="s">
        <v>42</v>
      </c>
      <c r="U91" s="41">
        <v>10.3</v>
      </c>
      <c r="V91" s="41" t="s">
        <v>80</v>
      </c>
      <c r="W91" s="41">
        <v>50</v>
      </c>
      <c r="X91" s="49">
        <v>7.8E-2</v>
      </c>
      <c r="Y91" s="41">
        <v>101</v>
      </c>
      <c r="Z91" s="42">
        <v>2000800</v>
      </c>
    </row>
    <row r="92" spans="1:26">
      <c r="A92" s="36" t="s">
        <v>322</v>
      </c>
      <c r="B92" s="37" t="s">
        <v>323</v>
      </c>
      <c r="C92" s="23">
        <v>30</v>
      </c>
      <c r="D92" s="30">
        <v>51.051000000000002</v>
      </c>
      <c r="E92" s="17">
        <f t="shared" si="6"/>
        <v>1531.53</v>
      </c>
      <c r="F92" s="49">
        <v>7.8E-2</v>
      </c>
      <c r="G92" s="21" t="s">
        <v>324</v>
      </c>
      <c r="H92" s="38" t="s">
        <v>320</v>
      </c>
      <c r="I92" s="23">
        <v>33030020</v>
      </c>
      <c r="J92" s="47"/>
      <c r="K92" s="23" t="s">
        <v>325</v>
      </c>
      <c r="L92" s="24">
        <v>10605</v>
      </c>
      <c r="M92" s="41" t="s">
        <v>78</v>
      </c>
      <c r="N92" s="41">
        <v>17</v>
      </c>
      <c r="O92" s="41">
        <v>12</v>
      </c>
      <c r="P92" s="41" t="s">
        <v>79</v>
      </c>
      <c r="Q92" s="41" t="s">
        <v>42</v>
      </c>
      <c r="R92" s="41">
        <v>2.2000000000000002</v>
      </c>
      <c r="S92" s="34" t="s">
        <v>79</v>
      </c>
      <c r="T92" s="41" t="s">
        <v>42</v>
      </c>
      <c r="U92" s="41">
        <v>10.3</v>
      </c>
      <c r="V92" s="41" t="s">
        <v>80</v>
      </c>
      <c r="W92" s="41">
        <v>50</v>
      </c>
      <c r="X92" s="49">
        <v>7.8E-2</v>
      </c>
      <c r="Y92" s="41">
        <v>101</v>
      </c>
      <c r="Z92" s="42">
        <v>2000800</v>
      </c>
    </row>
    <row r="93" spans="1:26">
      <c r="A93" s="36" t="s">
        <v>326</v>
      </c>
      <c r="B93" s="37" t="s">
        <v>327</v>
      </c>
      <c r="C93" s="23">
        <v>30</v>
      </c>
      <c r="D93" s="30">
        <v>51.051000000000002</v>
      </c>
      <c r="E93" s="17">
        <f t="shared" si="6"/>
        <v>1531.53</v>
      </c>
      <c r="F93" s="49">
        <v>7.8E-2</v>
      </c>
      <c r="G93" s="21" t="s">
        <v>328</v>
      </c>
      <c r="H93" s="38" t="s">
        <v>168</v>
      </c>
      <c r="I93" s="23">
        <v>33030020</v>
      </c>
      <c r="J93" s="47"/>
      <c r="K93" s="23" t="s">
        <v>325</v>
      </c>
      <c r="L93" s="24">
        <v>10605</v>
      </c>
      <c r="M93" s="41" t="s">
        <v>78</v>
      </c>
      <c r="N93" s="41">
        <v>17</v>
      </c>
      <c r="O93" s="41">
        <v>12</v>
      </c>
      <c r="P93" s="41" t="s">
        <v>79</v>
      </c>
      <c r="Q93" s="41" t="s">
        <v>42</v>
      </c>
      <c r="R93" s="41">
        <v>2.2000000000000002</v>
      </c>
      <c r="S93" s="34" t="s">
        <v>79</v>
      </c>
      <c r="T93" s="41" t="s">
        <v>42</v>
      </c>
      <c r="U93" s="41">
        <v>10.3</v>
      </c>
      <c r="V93" s="41" t="s">
        <v>80</v>
      </c>
      <c r="W93" s="41">
        <v>50</v>
      </c>
      <c r="X93" s="49">
        <v>7.8E-2</v>
      </c>
      <c r="Y93" s="41">
        <v>101</v>
      </c>
      <c r="Z93" s="42">
        <v>2000800</v>
      </c>
    </row>
    <row r="94" spans="1:26">
      <c r="A94" s="36" t="s">
        <v>329</v>
      </c>
      <c r="B94" s="37" t="s">
        <v>330</v>
      </c>
      <c r="C94" s="23">
        <v>30</v>
      </c>
      <c r="D94" s="30">
        <v>51.051000000000002</v>
      </c>
      <c r="E94" s="17">
        <f t="shared" si="6"/>
        <v>1531.53</v>
      </c>
      <c r="F94" s="49">
        <v>7.8E-2</v>
      </c>
      <c r="G94" s="21" t="s">
        <v>331</v>
      </c>
      <c r="H94" s="38" t="s">
        <v>168</v>
      </c>
      <c r="I94" s="23">
        <v>33030020</v>
      </c>
      <c r="J94" s="47"/>
      <c r="K94" s="23" t="s">
        <v>332</v>
      </c>
      <c r="L94" s="24">
        <v>9</v>
      </c>
      <c r="M94" s="41" t="s">
        <v>78</v>
      </c>
      <c r="N94" s="41">
        <v>17</v>
      </c>
      <c r="O94" s="41">
        <v>12</v>
      </c>
      <c r="P94" s="41" t="s">
        <v>79</v>
      </c>
      <c r="Q94" s="41" t="s">
        <v>42</v>
      </c>
      <c r="R94" s="41">
        <v>2.2000000000000002</v>
      </c>
      <c r="S94" s="34" t="s">
        <v>79</v>
      </c>
      <c r="T94" s="41" t="s">
        <v>42</v>
      </c>
      <c r="U94" s="41">
        <v>10.3</v>
      </c>
      <c r="V94" s="41" t="s">
        <v>80</v>
      </c>
      <c r="W94" s="41">
        <v>50</v>
      </c>
      <c r="X94" s="49">
        <v>7.8E-2</v>
      </c>
      <c r="Y94" s="41">
        <v>101</v>
      </c>
      <c r="Z94" s="42">
        <v>2000800</v>
      </c>
    </row>
    <row r="95" spans="1:26">
      <c r="A95" s="36" t="s">
        <v>333</v>
      </c>
      <c r="B95" s="37" t="s">
        <v>334</v>
      </c>
      <c r="C95" s="23">
        <v>30</v>
      </c>
      <c r="D95" s="30">
        <v>51.051000000000002</v>
      </c>
      <c r="E95" s="17">
        <f t="shared" si="6"/>
        <v>1531.53</v>
      </c>
      <c r="F95" s="49">
        <v>7.8E-2</v>
      </c>
      <c r="G95" s="21" t="s">
        <v>335</v>
      </c>
      <c r="H95" s="38" t="s">
        <v>168</v>
      </c>
      <c r="I95" s="23">
        <v>33030020</v>
      </c>
      <c r="J95" s="47"/>
      <c r="K95" s="23" t="s">
        <v>332</v>
      </c>
      <c r="L95" s="24">
        <v>9</v>
      </c>
      <c r="M95" s="41" t="s">
        <v>78</v>
      </c>
      <c r="N95" s="41">
        <v>17</v>
      </c>
      <c r="O95" s="41">
        <v>12</v>
      </c>
      <c r="P95" s="41" t="s">
        <v>79</v>
      </c>
      <c r="Q95" s="41" t="s">
        <v>42</v>
      </c>
      <c r="R95" s="41">
        <v>2.2000000000000002</v>
      </c>
      <c r="S95" s="34" t="s">
        <v>79</v>
      </c>
      <c r="T95" s="41" t="s">
        <v>42</v>
      </c>
      <c r="U95" s="41">
        <v>10.3</v>
      </c>
      <c r="V95" s="41" t="s">
        <v>80</v>
      </c>
      <c r="W95" s="41">
        <v>50</v>
      </c>
      <c r="X95" s="49">
        <v>7.8E-2</v>
      </c>
      <c r="Y95" s="41">
        <v>101</v>
      </c>
      <c r="Z95" s="42">
        <v>2000800</v>
      </c>
    </row>
    <row r="96" spans="1:26">
      <c r="A96" s="36" t="s">
        <v>336</v>
      </c>
      <c r="B96" s="37" t="s">
        <v>337</v>
      </c>
      <c r="C96" s="23">
        <v>30</v>
      </c>
      <c r="D96" s="30">
        <v>51.051000000000002</v>
      </c>
      <c r="E96" s="17">
        <f t="shared" si="6"/>
        <v>1531.53</v>
      </c>
      <c r="F96" s="49">
        <v>7.8E-2</v>
      </c>
      <c r="G96" s="21">
        <v>7898563805438</v>
      </c>
      <c r="H96" s="38" t="s">
        <v>338</v>
      </c>
      <c r="I96" s="23">
        <v>33030020</v>
      </c>
      <c r="J96" s="47"/>
      <c r="K96" s="23" t="s">
        <v>332</v>
      </c>
      <c r="L96" s="24">
        <v>9</v>
      </c>
      <c r="M96" s="41" t="s">
        <v>40</v>
      </c>
      <c r="N96" s="41">
        <v>17</v>
      </c>
      <c r="O96" s="41">
        <v>12</v>
      </c>
      <c r="P96" s="41" t="s">
        <v>79</v>
      </c>
      <c r="Q96" s="41" t="s">
        <v>42</v>
      </c>
      <c r="R96" s="41">
        <v>2.2000000000000002</v>
      </c>
      <c r="S96" s="34" t="s">
        <v>79</v>
      </c>
      <c r="T96" s="41" t="s">
        <v>42</v>
      </c>
      <c r="U96" s="41">
        <v>10.3</v>
      </c>
      <c r="V96" s="41" t="s">
        <v>80</v>
      </c>
      <c r="W96" s="41">
        <v>50</v>
      </c>
      <c r="X96" s="49">
        <v>7.8E-2</v>
      </c>
      <c r="Y96" s="41">
        <v>101</v>
      </c>
      <c r="Z96" s="42">
        <v>2000800</v>
      </c>
    </row>
    <row r="97" spans="1:26">
      <c r="A97" s="36"/>
      <c r="B97" s="48" t="s">
        <v>339</v>
      </c>
      <c r="C97" s="23"/>
      <c r="D97" s="30"/>
      <c r="E97" s="17"/>
      <c r="F97" s="69"/>
      <c r="G97" s="69"/>
      <c r="H97" s="17"/>
      <c r="I97" s="43"/>
      <c r="J97" s="47"/>
      <c r="K97" s="38"/>
      <c r="L97" s="45"/>
      <c r="M97" s="47"/>
      <c r="N97" s="23"/>
      <c r="O97" s="23"/>
      <c r="P97" s="41"/>
      <c r="Q97" s="41"/>
      <c r="R97" s="41"/>
      <c r="S97" s="41"/>
      <c r="T97" s="41"/>
      <c r="U97" s="41"/>
      <c r="V97" s="34"/>
      <c r="W97" s="41"/>
      <c r="X97" s="41"/>
      <c r="Y97" s="41"/>
      <c r="Z97" s="41"/>
    </row>
    <row r="98" spans="1:26">
      <c r="A98" s="36" t="s">
        <v>340</v>
      </c>
      <c r="B98" s="37" t="s">
        <v>341</v>
      </c>
      <c r="C98" s="23">
        <v>30</v>
      </c>
      <c r="D98" s="30">
        <v>48.994</v>
      </c>
      <c r="E98" s="17">
        <f>D98*C98</f>
        <v>1469.82</v>
      </c>
      <c r="F98" s="49">
        <v>7.8E-2</v>
      </c>
      <c r="G98" s="45" t="s">
        <v>342</v>
      </c>
      <c r="H98" s="38" t="s">
        <v>316</v>
      </c>
      <c r="I98" s="23">
        <v>33030020</v>
      </c>
      <c r="J98" s="47"/>
      <c r="K98" s="23" t="s">
        <v>57</v>
      </c>
      <c r="L98" s="24">
        <v>8800</v>
      </c>
      <c r="M98" s="41" t="s">
        <v>78</v>
      </c>
      <c r="N98" s="41">
        <v>17</v>
      </c>
      <c r="O98" s="41">
        <v>12</v>
      </c>
      <c r="P98" s="41" t="s">
        <v>79</v>
      </c>
      <c r="Q98" s="41" t="s">
        <v>42</v>
      </c>
      <c r="R98" s="41">
        <v>2.2000000000000002</v>
      </c>
      <c r="S98" s="34" t="s">
        <v>79</v>
      </c>
      <c r="T98" s="41" t="s">
        <v>42</v>
      </c>
      <c r="U98" s="41">
        <v>10.3</v>
      </c>
      <c r="V98" s="41" t="s">
        <v>80</v>
      </c>
      <c r="W98" s="41">
        <v>50</v>
      </c>
      <c r="X98" s="49">
        <v>7.8E-2</v>
      </c>
      <c r="Y98" s="41">
        <v>101</v>
      </c>
      <c r="Z98" s="42">
        <v>2000800</v>
      </c>
    </row>
    <row r="99" spans="1:26">
      <c r="A99" s="36" t="s">
        <v>343</v>
      </c>
      <c r="B99" s="37" t="s">
        <v>344</v>
      </c>
      <c r="C99" s="23">
        <v>30</v>
      </c>
      <c r="D99" s="30">
        <v>48.994</v>
      </c>
      <c r="E99" s="17">
        <f>D99*C99</f>
        <v>1469.82</v>
      </c>
      <c r="F99" s="49">
        <v>7.8E-2</v>
      </c>
      <c r="G99" s="45" t="s">
        <v>345</v>
      </c>
      <c r="H99" s="38" t="s">
        <v>316</v>
      </c>
      <c r="I99" s="23">
        <v>33030020</v>
      </c>
      <c r="J99" s="47"/>
      <c r="K99" s="23" t="s">
        <v>57</v>
      </c>
      <c r="L99" s="24">
        <v>8800</v>
      </c>
      <c r="M99" s="41" t="s">
        <v>78</v>
      </c>
      <c r="N99" s="41">
        <v>17</v>
      </c>
      <c r="O99" s="41">
        <v>12</v>
      </c>
      <c r="P99" s="41" t="s">
        <v>79</v>
      </c>
      <c r="Q99" s="41" t="s">
        <v>42</v>
      </c>
      <c r="R99" s="41">
        <v>2.2000000000000002</v>
      </c>
      <c r="S99" s="34" t="s">
        <v>79</v>
      </c>
      <c r="T99" s="41" t="s">
        <v>42</v>
      </c>
      <c r="U99" s="41">
        <v>10.3</v>
      </c>
      <c r="V99" s="41" t="s">
        <v>80</v>
      </c>
      <c r="W99" s="41">
        <v>50</v>
      </c>
      <c r="X99" s="49">
        <v>7.8E-2</v>
      </c>
      <c r="Y99" s="41">
        <v>101</v>
      </c>
      <c r="Z99" s="42">
        <v>2000800</v>
      </c>
    </row>
  </sheetData>
  <mergeCells count="2">
    <mergeCell ref="A1:L6"/>
    <mergeCell ref="A7:L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- FARMA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Trol Pharma</dc:creator>
  <cp:lastModifiedBy>Julio Santos</cp:lastModifiedBy>
  <dcterms:created xsi:type="dcterms:W3CDTF">2026-04-07T13:16:22Z</dcterms:created>
  <dcterms:modified xsi:type="dcterms:W3CDTF">2026-04-08T19:24:59Z</dcterms:modified>
</cp:coreProperties>
</file>