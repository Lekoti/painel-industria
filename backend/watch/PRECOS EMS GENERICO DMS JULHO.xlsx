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0049669\Desktop\Políticas Completas\MS\DIMEBRAS\"/>
    </mc:Choice>
  </mc:AlternateContent>
  <xr:revisionPtr revIDLastSave="0" documentId="13_ncr:1_{13DC7711-FEA8-4196-B083-996ADEE256BB}" xr6:coauthVersionLast="47" xr6:coauthVersionMax="47" xr10:uidLastSave="{00000000-0000-0000-0000-000000000000}"/>
  <bookViews>
    <workbookView xWindow="-110" yWindow="-110" windowWidth="19420" windowHeight="10300" xr2:uid="{825E0577-341F-46C2-89F7-A43E507641D6}"/>
  </bookViews>
  <sheets>
    <sheet name="Política Comercial" sheetId="1" r:id="rId1"/>
  </sheets>
  <definedNames>
    <definedName name="_xlnm._FilterDatabase" localSheetId="0" hidden="1">'Política Comercial'!$A$1:$AH$453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53" i="1" l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  <c r="AE2" i="1"/>
  <c r="N453" i="1" l="1"/>
  <c r="P453" i="1" s="1"/>
  <c r="N452" i="1"/>
  <c r="P452" i="1" s="1"/>
  <c r="N451" i="1"/>
  <c r="P451" i="1" s="1"/>
  <c r="R451" i="1" s="1"/>
  <c r="N450" i="1"/>
  <c r="P450" i="1" s="1"/>
  <c r="N449" i="1"/>
  <c r="P449" i="1" s="1"/>
  <c r="N448" i="1"/>
  <c r="P448" i="1" s="1"/>
  <c r="N447" i="1"/>
  <c r="P447" i="1" s="1"/>
  <c r="N446" i="1"/>
  <c r="P446" i="1" s="1"/>
  <c r="N445" i="1"/>
  <c r="P445" i="1" s="1"/>
  <c r="N444" i="1"/>
  <c r="P444" i="1" s="1"/>
  <c r="R444" i="1" s="1"/>
  <c r="N443" i="1"/>
  <c r="P443" i="1" s="1"/>
  <c r="N442" i="1"/>
  <c r="P442" i="1" s="1"/>
  <c r="N441" i="1"/>
  <c r="P441" i="1" s="1"/>
  <c r="N440" i="1"/>
  <c r="P440" i="1" s="1"/>
  <c r="N439" i="1"/>
  <c r="P439" i="1" s="1"/>
  <c r="R439" i="1" s="1"/>
  <c r="T439" i="1" s="1"/>
  <c r="N438" i="1"/>
  <c r="P438" i="1" s="1"/>
  <c r="R438" i="1" s="1"/>
  <c r="N437" i="1"/>
  <c r="P437" i="1" s="1"/>
  <c r="N436" i="1"/>
  <c r="P436" i="1" s="1"/>
  <c r="N435" i="1"/>
  <c r="P435" i="1" s="1"/>
  <c r="N434" i="1"/>
  <c r="P434" i="1" s="1"/>
  <c r="N433" i="1"/>
  <c r="P433" i="1" s="1"/>
  <c r="N432" i="1"/>
  <c r="P432" i="1" s="1"/>
  <c r="N431" i="1"/>
  <c r="P431" i="1" s="1"/>
  <c r="N430" i="1"/>
  <c r="P430" i="1" s="1"/>
  <c r="N429" i="1"/>
  <c r="P429" i="1" s="1"/>
  <c r="N428" i="1"/>
  <c r="P428" i="1" s="1"/>
  <c r="N427" i="1"/>
  <c r="P427" i="1" s="1"/>
  <c r="R427" i="1" s="1"/>
  <c r="T427" i="1" s="1"/>
  <c r="N426" i="1"/>
  <c r="P426" i="1" s="1"/>
  <c r="R426" i="1" s="1"/>
  <c r="T426" i="1" s="1"/>
  <c r="N425" i="1"/>
  <c r="P425" i="1" s="1"/>
  <c r="R425" i="1" s="1"/>
  <c r="N424" i="1"/>
  <c r="P424" i="1" s="1"/>
  <c r="N423" i="1"/>
  <c r="P423" i="1" s="1"/>
  <c r="N422" i="1"/>
  <c r="P422" i="1" s="1"/>
  <c r="N421" i="1"/>
  <c r="P421" i="1" s="1"/>
  <c r="N420" i="1"/>
  <c r="P420" i="1" s="1"/>
  <c r="R420" i="1" s="1"/>
  <c r="N419" i="1"/>
  <c r="P419" i="1" s="1"/>
  <c r="N418" i="1"/>
  <c r="P418" i="1" s="1"/>
  <c r="N417" i="1"/>
  <c r="P417" i="1" s="1"/>
  <c r="N416" i="1"/>
  <c r="P416" i="1" s="1"/>
  <c r="N415" i="1"/>
  <c r="P415" i="1" s="1"/>
  <c r="N414" i="1"/>
  <c r="P414" i="1" s="1"/>
  <c r="R414" i="1" s="1"/>
  <c r="T414" i="1" s="1"/>
  <c r="N413" i="1"/>
  <c r="P413" i="1" s="1"/>
  <c r="R413" i="1" s="1"/>
  <c r="T413" i="1" s="1"/>
  <c r="N412" i="1"/>
  <c r="P412" i="1" s="1"/>
  <c r="N411" i="1"/>
  <c r="P411" i="1" s="1"/>
  <c r="N410" i="1"/>
  <c r="P410" i="1" s="1"/>
  <c r="N409" i="1"/>
  <c r="P409" i="1" s="1"/>
  <c r="N408" i="1"/>
  <c r="P408" i="1" s="1"/>
  <c r="N407" i="1"/>
  <c r="P407" i="1" s="1"/>
  <c r="N406" i="1"/>
  <c r="P406" i="1" s="1"/>
  <c r="N405" i="1"/>
  <c r="P405" i="1" s="1"/>
  <c r="N404" i="1"/>
  <c r="P404" i="1" s="1"/>
  <c r="N403" i="1"/>
  <c r="P403" i="1" s="1"/>
  <c r="R403" i="1" s="1"/>
  <c r="N402" i="1"/>
  <c r="P402" i="1" s="1"/>
  <c r="N401" i="1"/>
  <c r="P401" i="1" s="1"/>
  <c r="N400" i="1"/>
  <c r="P400" i="1" s="1"/>
  <c r="N399" i="1"/>
  <c r="P399" i="1" s="1"/>
  <c r="N398" i="1"/>
  <c r="P398" i="1" s="1"/>
  <c r="N397" i="1"/>
  <c r="P397" i="1" s="1"/>
  <c r="N396" i="1"/>
  <c r="P396" i="1" s="1"/>
  <c r="N395" i="1"/>
  <c r="P395" i="1" s="1"/>
  <c r="N394" i="1"/>
  <c r="P394" i="1" s="1"/>
  <c r="R394" i="1" s="1"/>
  <c r="N393" i="1"/>
  <c r="P393" i="1" s="1"/>
  <c r="N392" i="1"/>
  <c r="P392" i="1" s="1"/>
  <c r="N391" i="1"/>
  <c r="P391" i="1" s="1"/>
  <c r="N390" i="1"/>
  <c r="P390" i="1" s="1"/>
  <c r="N389" i="1"/>
  <c r="P389" i="1" s="1"/>
  <c r="N388" i="1"/>
  <c r="P388" i="1" s="1"/>
  <c r="N387" i="1"/>
  <c r="P387" i="1" s="1"/>
  <c r="N386" i="1"/>
  <c r="P386" i="1" s="1"/>
  <c r="N385" i="1"/>
  <c r="P385" i="1" s="1"/>
  <c r="N384" i="1"/>
  <c r="P384" i="1" s="1"/>
  <c r="N383" i="1"/>
  <c r="P383" i="1" s="1"/>
  <c r="N382" i="1"/>
  <c r="P382" i="1" s="1"/>
  <c r="N381" i="1"/>
  <c r="P381" i="1" s="1"/>
  <c r="R381" i="1" s="1"/>
  <c r="T381" i="1" s="1"/>
  <c r="N380" i="1"/>
  <c r="P380" i="1" s="1"/>
  <c r="N379" i="1"/>
  <c r="P379" i="1" s="1"/>
  <c r="R379" i="1" s="1"/>
  <c r="N378" i="1"/>
  <c r="P378" i="1" s="1"/>
  <c r="N377" i="1"/>
  <c r="P377" i="1" s="1"/>
  <c r="N376" i="1"/>
  <c r="P376" i="1" s="1"/>
  <c r="N375" i="1"/>
  <c r="P375" i="1" s="1"/>
  <c r="N374" i="1"/>
  <c r="P374" i="1" s="1"/>
  <c r="N373" i="1"/>
  <c r="P373" i="1" s="1"/>
  <c r="N372" i="1"/>
  <c r="P372" i="1" s="1"/>
  <c r="N371" i="1"/>
  <c r="P371" i="1" s="1"/>
  <c r="N370" i="1"/>
  <c r="P370" i="1" s="1"/>
  <c r="N369" i="1"/>
  <c r="P369" i="1" s="1"/>
  <c r="N368" i="1"/>
  <c r="P368" i="1" s="1"/>
  <c r="R368" i="1" s="1"/>
  <c r="N367" i="1"/>
  <c r="P367" i="1" s="1"/>
  <c r="R367" i="1" s="1"/>
  <c r="N366" i="1"/>
  <c r="P366" i="1" s="1"/>
  <c r="N365" i="1"/>
  <c r="P365" i="1" s="1"/>
  <c r="N364" i="1"/>
  <c r="P364" i="1" s="1"/>
  <c r="N363" i="1"/>
  <c r="P363" i="1" s="1"/>
  <c r="N362" i="1"/>
  <c r="P362" i="1" s="1"/>
  <c r="N361" i="1"/>
  <c r="P361" i="1" s="1"/>
  <c r="N360" i="1"/>
  <c r="P360" i="1" s="1"/>
  <c r="N359" i="1"/>
  <c r="P359" i="1" s="1"/>
  <c r="N358" i="1"/>
  <c r="P358" i="1" s="1"/>
  <c r="N357" i="1"/>
  <c r="P357" i="1" s="1"/>
  <c r="N356" i="1"/>
  <c r="P356" i="1" s="1"/>
  <c r="N355" i="1"/>
  <c r="P355" i="1" s="1"/>
  <c r="N354" i="1"/>
  <c r="P354" i="1" s="1"/>
  <c r="R354" i="1" s="1"/>
  <c r="T354" i="1" s="1"/>
  <c r="N353" i="1"/>
  <c r="P353" i="1" s="1"/>
  <c r="N352" i="1"/>
  <c r="P352" i="1" s="1"/>
  <c r="N351" i="1"/>
  <c r="P351" i="1" s="1"/>
  <c r="N350" i="1"/>
  <c r="P350" i="1" s="1"/>
  <c r="N349" i="1"/>
  <c r="P349" i="1" s="1"/>
  <c r="N348" i="1"/>
  <c r="P348" i="1" s="1"/>
  <c r="N347" i="1"/>
  <c r="P347" i="1" s="1"/>
  <c r="N346" i="1"/>
  <c r="P346" i="1" s="1"/>
  <c r="N345" i="1"/>
  <c r="P345" i="1" s="1"/>
  <c r="N344" i="1"/>
  <c r="P344" i="1" s="1"/>
  <c r="N343" i="1"/>
  <c r="P343" i="1" s="1"/>
  <c r="N342" i="1"/>
  <c r="P342" i="1" s="1"/>
  <c r="N341" i="1"/>
  <c r="P341" i="1" s="1"/>
  <c r="N340" i="1"/>
  <c r="P340" i="1" s="1"/>
  <c r="N339" i="1"/>
  <c r="P339" i="1" s="1"/>
  <c r="N338" i="1"/>
  <c r="P338" i="1" s="1"/>
  <c r="N337" i="1"/>
  <c r="P337" i="1" s="1"/>
  <c r="N336" i="1"/>
  <c r="P336" i="1" s="1"/>
  <c r="N335" i="1"/>
  <c r="P335" i="1" s="1"/>
  <c r="N334" i="1"/>
  <c r="P334" i="1" s="1"/>
  <c r="N333" i="1"/>
  <c r="P333" i="1" s="1"/>
  <c r="N332" i="1"/>
  <c r="P332" i="1" s="1"/>
  <c r="N331" i="1"/>
  <c r="P331" i="1" s="1"/>
  <c r="N330" i="1"/>
  <c r="P330" i="1" s="1"/>
  <c r="N329" i="1"/>
  <c r="P329" i="1" s="1"/>
  <c r="N328" i="1"/>
  <c r="P328" i="1" s="1"/>
  <c r="N327" i="1"/>
  <c r="P327" i="1" s="1"/>
  <c r="N326" i="1"/>
  <c r="P326" i="1" s="1"/>
  <c r="N325" i="1"/>
  <c r="P325" i="1" s="1"/>
  <c r="N324" i="1"/>
  <c r="P324" i="1" s="1"/>
  <c r="N323" i="1"/>
  <c r="P323" i="1" s="1"/>
  <c r="N322" i="1"/>
  <c r="P322" i="1" s="1"/>
  <c r="R322" i="1" s="1"/>
  <c r="N321" i="1"/>
  <c r="P321" i="1" s="1"/>
  <c r="R321" i="1" s="1"/>
  <c r="T321" i="1" s="1"/>
  <c r="N320" i="1"/>
  <c r="P320" i="1" s="1"/>
  <c r="R320" i="1" s="1"/>
  <c r="N319" i="1"/>
  <c r="P319" i="1" s="1"/>
  <c r="N318" i="1"/>
  <c r="P318" i="1" s="1"/>
  <c r="N317" i="1"/>
  <c r="P317" i="1" s="1"/>
  <c r="N316" i="1"/>
  <c r="P316" i="1" s="1"/>
  <c r="N315" i="1"/>
  <c r="P315" i="1" s="1"/>
  <c r="N314" i="1"/>
  <c r="P314" i="1" s="1"/>
  <c r="N313" i="1"/>
  <c r="P313" i="1" s="1"/>
  <c r="N312" i="1"/>
  <c r="P312" i="1" s="1"/>
  <c r="N311" i="1"/>
  <c r="P311" i="1" s="1"/>
  <c r="N310" i="1"/>
  <c r="P310" i="1" s="1"/>
  <c r="N309" i="1"/>
  <c r="P309" i="1" s="1"/>
  <c r="R309" i="1" s="1"/>
  <c r="N308" i="1"/>
  <c r="P308" i="1" s="1"/>
  <c r="N307" i="1"/>
  <c r="P307" i="1" s="1"/>
  <c r="N306" i="1"/>
  <c r="P306" i="1" s="1"/>
  <c r="N305" i="1"/>
  <c r="P305" i="1" s="1"/>
  <c r="N304" i="1"/>
  <c r="P304" i="1" s="1"/>
  <c r="N303" i="1"/>
  <c r="P303" i="1" s="1"/>
  <c r="N302" i="1"/>
  <c r="P302" i="1" s="1"/>
  <c r="N301" i="1"/>
  <c r="P301" i="1" s="1"/>
  <c r="R301" i="1" s="1"/>
  <c r="N300" i="1"/>
  <c r="P300" i="1" s="1"/>
  <c r="N299" i="1"/>
  <c r="P299" i="1" s="1"/>
  <c r="N298" i="1"/>
  <c r="P298" i="1" s="1"/>
  <c r="R298" i="1" s="1"/>
  <c r="N297" i="1"/>
  <c r="P297" i="1" s="1"/>
  <c r="N296" i="1"/>
  <c r="P296" i="1" s="1"/>
  <c r="N295" i="1"/>
  <c r="P295" i="1" s="1"/>
  <c r="N294" i="1"/>
  <c r="P294" i="1" s="1"/>
  <c r="N293" i="1"/>
  <c r="P293" i="1" s="1"/>
  <c r="N292" i="1"/>
  <c r="P292" i="1" s="1"/>
  <c r="N291" i="1"/>
  <c r="P291" i="1" s="1"/>
  <c r="N290" i="1"/>
  <c r="P290" i="1" s="1"/>
  <c r="N289" i="1"/>
  <c r="P289" i="1" s="1"/>
  <c r="N288" i="1"/>
  <c r="P288" i="1" s="1"/>
  <c r="N287" i="1"/>
  <c r="P287" i="1" s="1"/>
  <c r="N286" i="1"/>
  <c r="P286" i="1" s="1"/>
  <c r="N285" i="1"/>
  <c r="P285" i="1" s="1"/>
  <c r="N284" i="1"/>
  <c r="P284" i="1" s="1"/>
  <c r="R284" i="1" s="1"/>
  <c r="T284" i="1" s="1"/>
  <c r="N283" i="1"/>
  <c r="P283" i="1" s="1"/>
  <c r="N282" i="1"/>
  <c r="P282" i="1" s="1"/>
  <c r="N281" i="1"/>
  <c r="P281" i="1" s="1"/>
  <c r="N280" i="1"/>
  <c r="P280" i="1" s="1"/>
  <c r="N279" i="1"/>
  <c r="P279" i="1" s="1"/>
  <c r="N278" i="1"/>
  <c r="P278" i="1" s="1"/>
  <c r="N277" i="1"/>
  <c r="P277" i="1" s="1"/>
  <c r="R277" i="1" s="1"/>
  <c r="N276" i="1"/>
  <c r="P276" i="1" s="1"/>
  <c r="N275" i="1"/>
  <c r="P275" i="1" s="1"/>
  <c r="N274" i="1"/>
  <c r="P274" i="1" s="1"/>
  <c r="N273" i="1"/>
  <c r="P273" i="1" s="1"/>
  <c r="N272" i="1"/>
  <c r="P272" i="1" s="1"/>
  <c r="N271" i="1"/>
  <c r="P271" i="1" s="1"/>
  <c r="N270" i="1"/>
  <c r="P270" i="1" s="1"/>
  <c r="N269" i="1"/>
  <c r="P269" i="1" s="1"/>
  <c r="N268" i="1"/>
  <c r="P268" i="1" s="1"/>
  <c r="N267" i="1"/>
  <c r="P267" i="1" s="1"/>
  <c r="N266" i="1"/>
  <c r="P266" i="1" s="1"/>
  <c r="N265" i="1"/>
  <c r="P265" i="1" s="1"/>
  <c r="N264" i="1"/>
  <c r="P264" i="1" s="1"/>
  <c r="N263" i="1"/>
  <c r="P263" i="1" s="1"/>
  <c r="N262" i="1"/>
  <c r="P262" i="1" s="1"/>
  <c r="R262" i="1" s="1"/>
  <c r="N261" i="1"/>
  <c r="P261" i="1" s="1"/>
  <c r="N260" i="1"/>
  <c r="P260" i="1" s="1"/>
  <c r="N259" i="1"/>
  <c r="P259" i="1" s="1"/>
  <c r="N258" i="1"/>
  <c r="P258" i="1" s="1"/>
  <c r="N257" i="1"/>
  <c r="P257" i="1" s="1"/>
  <c r="N256" i="1"/>
  <c r="P256" i="1" s="1"/>
  <c r="N255" i="1"/>
  <c r="P255" i="1" s="1"/>
  <c r="N254" i="1"/>
  <c r="P254" i="1" s="1"/>
  <c r="R254" i="1" s="1"/>
  <c r="N253" i="1"/>
  <c r="P253" i="1" s="1"/>
  <c r="N252" i="1"/>
  <c r="P252" i="1" s="1"/>
  <c r="N251" i="1"/>
  <c r="P251" i="1" s="1"/>
  <c r="R251" i="1" s="1"/>
  <c r="N250" i="1"/>
  <c r="P250" i="1" s="1"/>
  <c r="N249" i="1"/>
  <c r="P249" i="1" s="1"/>
  <c r="N248" i="1"/>
  <c r="P248" i="1" s="1"/>
  <c r="N247" i="1"/>
  <c r="P247" i="1" s="1"/>
  <c r="N246" i="1"/>
  <c r="P246" i="1" s="1"/>
  <c r="N245" i="1"/>
  <c r="P245" i="1" s="1"/>
  <c r="N244" i="1"/>
  <c r="P244" i="1" s="1"/>
  <c r="N243" i="1"/>
  <c r="P243" i="1" s="1"/>
  <c r="N242" i="1"/>
  <c r="P242" i="1" s="1"/>
  <c r="N241" i="1"/>
  <c r="P241" i="1" s="1"/>
  <c r="N240" i="1"/>
  <c r="P240" i="1" s="1"/>
  <c r="N239" i="1"/>
  <c r="P239" i="1" s="1"/>
  <c r="R239" i="1" s="1"/>
  <c r="N238" i="1"/>
  <c r="P238" i="1" s="1"/>
  <c r="N237" i="1"/>
  <c r="P237" i="1" s="1"/>
  <c r="N236" i="1"/>
  <c r="P236" i="1" s="1"/>
  <c r="N235" i="1"/>
  <c r="P235" i="1" s="1"/>
  <c r="N234" i="1"/>
  <c r="P234" i="1" s="1"/>
  <c r="N233" i="1"/>
  <c r="P233" i="1" s="1"/>
  <c r="N232" i="1"/>
  <c r="P232" i="1" s="1"/>
  <c r="N231" i="1"/>
  <c r="P231" i="1" s="1"/>
  <c r="N230" i="1"/>
  <c r="P230" i="1" s="1"/>
  <c r="N229" i="1"/>
  <c r="P229" i="1" s="1"/>
  <c r="N228" i="1"/>
  <c r="P228" i="1" s="1"/>
  <c r="N227" i="1"/>
  <c r="P227" i="1" s="1"/>
  <c r="N226" i="1"/>
  <c r="P226" i="1" s="1"/>
  <c r="N225" i="1"/>
  <c r="P225" i="1" s="1"/>
  <c r="N224" i="1"/>
  <c r="P224" i="1" s="1"/>
  <c r="N223" i="1"/>
  <c r="P223" i="1" s="1"/>
  <c r="N222" i="1"/>
  <c r="P222" i="1" s="1"/>
  <c r="N221" i="1"/>
  <c r="P221" i="1" s="1"/>
  <c r="N220" i="1"/>
  <c r="P220" i="1" s="1"/>
  <c r="N219" i="1"/>
  <c r="P219" i="1" s="1"/>
  <c r="N218" i="1"/>
  <c r="P218" i="1" s="1"/>
  <c r="N217" i="1"/>
  <c r="P217" i="1" s="1"/>
  <c r="N216" i="1"/>
  <c r="P216" i="1" s="1"/>
  <c r="N215" i="1"/>
  <c r="P215" i="1" s="1"/>
  <c r="R215" i="1" s="1"/>
  <c r="N214" i="1"/>
  <c r="P214" i="1" s="1"/>
  <c r="N213" i="1"/>
  <c r="P213" i="1" s="1"/>
  <c r="N212" i="1"/>
  <c r="P212" i="1" s="1"/>
  <c r="N211" i="1"/>
  <c r="P211" i="1" s="1"/>
  <c r="N210" i="1"/>
  <c r="P210" i="1" s="1"/>
  <c r="N209" i="1"/>
  <c r="P209" i="1" s="1"/>
  <c r="N208" i="1"/>
  <c r="P208" i="1" s="1"/>
  <c r="N207" i="1"/>
  <c r="P207" i="1" s="1"/>
  <c r="R207" i="1" s="1"/>
  <c r="N206" i="1"/>
  <c r="P206" i="1" s="1"/>
  <c r="N205" i="1"/>
  <c r="P205" i="1" s="1"/>
  <c r="N204" i="1"/>
  <c r="P204" i="1" s="1"/>
  <c r="N203" i="1"/>
  <c r="P203" i="1" s="1"/>
  <c r="N202" i="1"/>
  <c r="P202" i="1" s="1"/>
  <c r="N201" i="1"/>
  <c r="P201" i="1" s="1"/>
  <c r="N200" i="1"/>
  <c r="P200" i="1" s="1"/>
  <c r="N199" i="1"/>
  <c r="P199" i="1" s="1"/>
  <c r="N198" i="1"/>
  <c r="P198" i="1" s="1"/>
  <c r="N197" i="1"/>
  <c r="P197" i="1" s="1"/>
  <c r="N196" i="1"/>
  <c r="P196" i="1" s="1"/>
  <c r="N195" i="1"/>
  <c r="P195" i="1" s="1"/>
  <c r="N194" i="1"/>
  <c r="P194" i="1" s="1"/>
  <c r="N193" i="1"/>
  <c r="P193" i="1" s="1"/>
  <c r="N192" i="1"/>
  <c r="P192" i="1" s="1"/>
  <c r="N191" i="1"/>
  <c r="P191" i="1" s="1"/>
  <c r="N190" i="1"/>
  <c r="P190" i="1" s="1"/>
  <c r="N189" i="1"/>
  <c r="P189" i="1" s="1"/>
  <c r="N188" i="1"/>
  <c r="P188" i="1" s="1"/>
  <c r="N187" i="1"/>
  <c r="P187" i="1" s="1"/>
  <c r="N186" i="1"/>
  <c r="P186" i="1" s="1"/>
  <c r="N185" i="1"/>
  <c r="P185" i="1" s="1"/>
  <c r="N184" i="1"/>
  <c r="P184" i="1" s="1"/>
  <c r="N183" i="1"/>
  <c r="P183" i="1" s="1"/>
  <c r="N182" i="1"/>
  <c r="P182" i="1" s="1"/>
  <c r="N181" i="1"/>
  <c r="P181" i="1" s="1"/>
  <c r="N180" i="1"/>
  <c r="P180" i="1" s="1"/>
  <c r="N179" i="1"/>
  <c r="P179" i="1" s="1"/>
  <c r="N178" i="1"/>
  <c r="P178" i="1" s="1"/>
  <c r="N177" i="1"/>
  <c r="P177" i="1" s="1"/>
  <c r="N176" i="1"/>
  <c r="P176" i="1" s="1"/>
  <c r="N175" i="1"/>
  <c r="P175" i="1" s="1"/>
  <c r="N174" i="1"/>
  <c r="P174" i="1" s="1"/>
  <c r="N173" i="1"/>
  <c r="P173" i="1" s="1"/>
  <c r="N172" i="1"/>
  <c r="P172" i="1" s="1"/>
  <c r="N171" i="1"/>
  <c r="P171" i="1" s="1"/>
  <c r="N170" i="1"/>
  <c r="P170" i="1" s="1"/>
  <c r="N169" i="1"/>
  <c r="P169" i="1" s="1"/>
  <c r="N168" i="1"/>
  <c r="P168" i="1" s="1"/>
  <c r="N167" i="1"/>
  <c r="P167" i="1" s="1"/>
  <c r="N166" i="1"/>
  <c r="P166" i="1" s="1"/>
  <c r="N165" i="1"/>
  <c r="P165" i="1" s="1"/>
  <c r="N164" i="1"/>
  <c r="P164" i="1" s="1"/>
  <c r="N163" i="1"/>
  <c r="P163" i="1" s="1"/>
  <c r="N162" i="1"/>
  <c r="P162" i="1" s="1"/>
  <c r="N161" i="1"/>
  <c r="P161" i="1" s="1"/>
  <c r="N160" i="1"/>
  <c r="P160" i="1" s="1"/>
  <c r="N159" i="1"/>
  <c r="P159" i="1" s="1"/>
  <c r="N158" i="1"/>
  <c r="P158" i="1" s="1"/>
  <c r="N157" i="1"/>
  <c r="P157" i="1" s="1"/>
  <c r="N156" i="1"/>
  <c r="P156" i="1" s="1"/>
  <c r="N155" i="1"/>
  <c r="P155" i="1" s="1"/>
  <c r="N154" i="1"/>
  <c r="P154" i="1" s="1"/>
  <c r="N153" i="1"/>
  <c r="P153" i="1" s="1"/>
  <c r="N152" i="1"/>
  <c r="P152" i="1" s="1"/>
  <c r="N151" i="1"/>
  <c r="P151" i="1" s="1"/>
  <c r="N150" i="1"/>
  <c r="P150" i="1" s="1"/>
  <c r="N149" i="1"/>
  <c r="P149" i="1" s="1"/>
  <c r="N148" i="1"/>
  <c r="P148" i="1" s="1"/>
  <c r="N147" i="1"/>
  <c r="P147" i="1" s="1"/>
  <c r="N146" i="1"/>
  <c r="P146" i="1" s="1"/>
  <c r="N145" i="1"/>
  <c r="P145" i="1" s="1"/>
  <c r="N144" i="1"/>
  <c r="P144" i="1" s="1"/>
  <c r="N143" i="1"/>
  <c r="P143" i="1" s="1"/>
  <c r="N142" i="1"/>
  <c r="P142" i="1" s="1"/>
  <c r="N141" i="1"/>
  <c r="P141" i="1" s="1"/>
  <c r="N140" i="1"/>
  <c r="P140" i="1" s="1"/>
  <c r="N139" i="1"/>
  <c r="P139" i="1" s="1"/>
  <c r="N138" i="1"/>
  <c r="P138" i="1" s="1"/>
  <c r="N137" i="1"/>
  <c r="P137" i="1" s="1"/>
  <c r="N136" i="1"/>
  <c r="P136" i="1" s="1"/>
  <c r="N135" i="1"/>
  <c r="P135" i="1" s="1"/>
  <c r="N134" i="1"/>
  <c r="P134" i="1" s="1"/>
  <c r="N133" i="1"/>
  <c r="P133" i="1" s="1"/>
  <c r="N132" i="1"/>
  <c r="P132" i="1" s="1"/>
  <c r="N131" i="1"/>
  <c r="P131" i="1" s="1"/>
  <c r="N130" i="1"/>
  <c r="P130" i="1" s="1"/>
  <c r="N129" i="1"/>
  <c r="P129" i="1" s="1"/>
  <c r="N128" i="1"/>
  <c r="P128" i="1" s="1"/>
  <c r="N127" i="1"/>
  <c r="P127" i="1" s="1"/>
  <c r="N126" i="1"/>
  <c r="P126" i="1" s="1"/>
  <c r="N125" i="1"/>
  <c r="P125" i="1" s="1"/>
  <c r="N124" i="1"/>
  <c r="P124" i="1" s="1"/>
  <c r="N123" i="1"/>
  <c r="P123" i="1" s="1"/>
  <c r="N122" i="1"/>
  <c r="P122" i="1" s="1"/>
  <c r="N121" i="1"/>
  <c r="P121" i="1" s="1"/>
  <c r="N120" i="1"/>
  <c r="P120" i="1" s="1"/>
  <c r="N119" i="1"/>
  <c r="P119" i="1" s="1"/>
  <c r="N118" i="1"/>
  <c r="P118" i="1" s="1"/>
  <c r="N117" i="1"/>
  <c r="P117" i="1" s="1"/>
  <c r="N116" i="1"/>
  <c r="P116" i="1" s="1"/>
  <c r="N115" i="1"/>
  <c r="P115" i="1" s="1"/>
  <c r="N114" i="1"/>
  <c r="P114" i="1" s="1"/>
  <c r="N113" i="1"/>
  <c r="P113" i="1" s="1"/>
  <c r="N112" i="1"/>
  <c r="P112" i="1" s="1"/>
  <c r="N111" i="1"/>
  <c r="P111" i="1" s="1"/>
  <c r="N110" i="1"/>
  <c r="P110" i="1" s="1"/>
  <c r="N109" i="1"/>
  <c r="P109" i="1" s="1"/>
  <c r="N108" i="1"/>
  <c r="P108" i="1" s="1"/>
  <c r="N107" i="1"/>
  <c r="P107" i="1" s="1"/>
  <c r="N106" i="1"/>
  <c r="P106" i="1" s="1"/>
  <c r="N105" i="1"/>
  <c r="P105" i="1" s="1"/>
  <c r="N104" i="1"/>
  <c r="P104" i="1" s="1"/>
  <c r="N103" i="1"/>
  <c r="P103" i="1" s="1"/>
  <c r="N102" i="1"/>
  <c r="P102" i="1" s="1"/>
  <c r="N101" i="1"/>
  <c r="P101" i="1" s="1"/>
  <c r="N100" i="1"/>
  <c r="P100" i="1" s="1"/>
  <c r="N99" i="1"/>
  <c r="P99" i="1" s="1"/>
  <c r="N98" i="1"/>
  <c r="P98" i="1" s="1"/>
  <c r="N97" i="1"/>
  <c r="P97" i="1" s="1"/>
  <c r="N96" i="1"/>
  <c r="P96" i="1" s="1"/>
  <c r="N95" i="1"/>
  <c r="P95" i="1" s="1"/>
  <c r="N94" i="1"/>
  <c r="P94" i="1" s="1"/>
  <c r="N93" i="1"/>
  <c r="P93" i="1" s="1"/>
  <c r="N92" i="1"/>
  <c r="P92" i="1" s="1"/>
  <c r="N91" i="1"/>
  <c r="P91" i="1" s="1"/>
  <c r="N90" i="1"/>
  <c r="P90" i="1" s="1"/>
  <c r="N89" i="1"/>
  <c r="P89" i="1" s="1"/>
  <c r="N88" i="1"/>
  <c r="P88" i="1" s="1"/>
  <c r="N87" i="1"/>
  <c r="P87" i="1" s="1"/>
  <c r="N86" i="1"/>
  <c r="P86" i="1" s="1"/>
  <c r="N85" i="1"/>
  <c r="P85" i="1" s="1"/>
  <c r="N84" i="1"/>
  <c r="P84" i="1" s="1"/>
  <c r="N83" i="1"/>
  <c r="P83" i="1" s="1"/>
  <c r="N82" i="1"/>
  <c r="P82" i="1" s="1"/>
  <c r="N81" i="1"/>
  <c r="P81" i="1" s="1"/>
  <c r="N80" i="1"/>
  <c r="P80" i="1" s="1"/>
  <c r="N79" i="1"/>
  <c r="P79" i="1" s="1"/>
  <c r="N78" i="1"/>
  <c r="P78" i="1" s="1"/>
  <c r="N77" i="1"/>
  <c r="P77" i="1" s="1"/>
  <c r="N76" i="1"/>
  <c r="P76" i="1" s="1"/>
  <c r="N75" i="1"/>
  <c r="P75" i="1" s="1"/>
  <c r="N74" i="1"/>
  <c r="P74" i="1" s="1"/>
  <c r="N73" i="1"/>
  <c r="P73" i="1" s="1"/>
  <c r="N72" i="1"/>
  <c r="P72" i="1" s="1"/>
  <c r="N71" i="1"/>
  <c r="P71" i="1" s="1"/>
  <c r="N70" i="1"/>
  <c r="P70" i="1" s="1"/>
  <c r="N69" i="1"/>
  <c r="P69" i="1" s="1"/>
  <c r="N68" i="1"/>
  <c r="P68" i="1" s="1"/>
  <c r="N67" i="1"/>
  <c r="P67" i="1" s="1"/>
  <c r="N66" i="1"/>
  <c r="P66" i="1" s="1"/>
  <c r="N65" i="1"/>
  <c r="P65" i="1" s="1"/>
  <c r="N64" i="1"/>
  <c r="P64" i="1" s="1"/>
  <c r="N63" i="1"/>
  <c r="P63" i="1" s="1"/>
  <c r="N62" i="1"/>
  <c r="P62" i="1" s="1"/>
  <c r="N61" i="1"/>
  <c r="P61" i="1" s="1"/>
  <c r="N60" i="1"/>
  <c r="P60" i="1" s="1"/>
  <c r="N59" i="1"/>
  <c r="P59" i="1" s="1"/>
  <c r="N58" i="1"/>
  <c r="P58" i="1" s="1"/>
  <c r="N57" i="1"/>
  <c r="P57" i="1" s="1"/>
  <c r="N56" i="1"/>
  <c r="P56" i="1" s="1"/>
  <c r="N55" i="1"/>
  <c r="P55" i="1" s="1"/>
  <c r="N54" i="1"/>
  <c r="P54" i="1" s="1"/>
  <c r="N53" i="1"/>
  <c r="P53" i="1" s="1"/>
  <c r="N52" i="1"/>
  <c r="P52" i="1" s="1"/>
  <c r="N51" i="1"/>
  <c r="P51" i="1" s="1"/>
  <c r="N50" i="1"/>
  <c r="P50" i="1" s="1"/>
  <c r="N49" i="1"/>
  <c r="P49" i="1" s="1"/>
  <c r="N48" i="1"/>
  <c r="P48" i="1" s="1"/>
  <c r="N47" i="1"/>
  <c r="P47" i="1" s="1"/>
  <c r="N46" i="1"/>
  <c r="P46" i="1" s="1"/>
  <c r="N45" i="1"/>
  <c r="P45" i="1" s="1"/>
  <c r="N44" i="1"/>
  <c r="P44" i="1" s="1"/>
  <c r="N43" i="1"/>
  <c r="P43" i="1" s="1"/>
  <c r="N42" i="1"/>
  <c r="P42" i="1" s="1"/>
  <c r="N41" i="1"/>
  <c r="P41" i="1" s="1"/>
  <c r="N40" i="1"/>
  <c r="P40" i="1" s="1"/>
  <c r="N39" i="1"/>
  <c r="P39" i="1" s="1"/>
  <c r="N38" i="1"/>
  <c r="P38" i="1" s="1"/>
  <c r="N37" i="1"/>
  <c r="P37" i="1" s="1"/>
  <c r="N36" i="1"/>
  <c r="P36" i="1" s="1"/>
  <c r="N35" i="1"/>
  <c r="P35" i="1" s="1"/>
  <c r="N34" i="1"/>
  <c r="P34" i="1" s="1"/>
  <c r="N33" i="1"/>
  <c r="P33" i="1" s="1"/>
  <c r="N32" i="1"/>
  <c r="P32" i="1" s="1"/>
  <c r="N31" i="1"/>
  <c r="P31" i="1" s="1"/>
  <c r="N30" i="1"/>
  <c r="P30" i="1" s="1"/>
  <c r="N29" i="1"/>
  <c r="P29" i="1" s="1"/>
  <c r="N28" i="1"/>
  <c r="P28" i="1" s="1"/>
  <c r="N27" i="1"/>
  <c r="P27" i="1" s="1"/>
  <c r="N26" i="1"/>
  <c r="P26" i="1" s="1"/>
  <c r="N25" i="1"/>
  <c r="P25" i="1" s="1"/>
  <c r="N24" i="1"/>
  <c r="P24" i="1" s="1"/>
  <c r="N23" i="1"/>
  <c r="P23" i="1" s="1"/>
  <c r="N22" i="1"/>
  <c r="P22" i="1" s="1"/>
  <c r="N21" i="1"/>
  <c r="P21" i="1" s="1"/>
  <c r="N20" i="1"/>
  <c r="P20" i="1" s="1"/>
  <c r="N19" i="1"/>
  <c r="P19" i="1" s="1"/>
  <c r="N18" i="1"/>
  <c r="P18" i="1" s="1"/>
  <c r="N17" i="1"/>
  <c r="P17" i="1" s="1"/>
  <c r="N16" i="1"/>
  <c r="P16" i="1" s="1"/>
  <c r="N15" i="1"/>
  <c r="P15" i="1" s="1"/>
  <c r="N14" i="1"/>
  <c r="P14" i="1" s="1"/>
  <c r="N13" i="1"/>
  <c r="P13" i="1" s="1"/>
  <c r="N12" i="1"/>
  <c r="P12" i="1" s="1"/>
  <c r="N11" i="1"/>
  <c r="P11" i="1" s="1"/>
  <c r="N10" i="1"/>
  <c r="P10" i="1" s="1"/>
  <c r="N9" i="1"/>
  <c r="P9" i="1" s="1"/>
  <c r="N8" i="1"/>
  <c r="P8" i="1" s="1"/>
  <c r="N7" i="1"/>
  <c r="P7" i="1" s="1"/>
  <c r="N6" i="1"/>
  <c r="P6" i="1" s="1"/>
  <c r="N5" i="1"/>
  <c r="P5" i="1" s="1"/>
  <c r="N4" i="1"/>
  <c r="P4" i="1" s="1"/>
  <c r="N3" i="1"/>
  <c r="P3" i="1" s="1"/>
  <c r="N2" i="1"/>
  <c r="P2" i="1" s="1"/>
  <c r="AH453" i="1"/>
  <c r="AG453" i="1"/>
  <c r="AE453" i="1"/>
  <c r="AD453" i="1"/>
  <c r="AF453" i="1" s="1"/>
  <c r="AH452" i="1"/>
  <c r="AG452" i="1"/>
  <c r="AE452" i="1"/>
  <c r="AD452" i="1"/>
  <c r="AF452" i="1" s="1"/>
  <c r="AH451" i="1"/>
  <c r="AG451" i="1"/>
  <c r="AE451" i="1"/>
  <c r="AD451" i="1"/>
  <c r="AF451" i="1" s="1"/>
  <c r="AH450" i="1"/>
  <c r="AG450" i="1"/>
  <c r="AE450" i="1"/>
  <c r="AD450" i="1"/>
  <c r="AF450" i="1" s="1"/>
  <c r="AH449" i="1"/>
  <c r="AG449" i="1"/>
  <c r="AE449" i="1"/>
  <c r="AD449" i="1"/>
  <c r="AF449" i="1" s="1"/>
  <c r="AH448" i="1"/>
  <c r="AG448" i="1"/>
  <c r="AE448" i="1"/>
  <c r="AD448" i="1"/>
  <c r="AF448" i="1" s="1"/>
  <c r="AH447" i="1"/>
  <c r="AG447" i="1"/>
  <c r="AE447" i="1"/>
  <c r="AD447" i="1"/>
  <c r="AF447" i="1" s="1"/>
  <c r="AH446" i="1"/>
  <c r="AG446" i="1"/>
  <c r="AE446" i="1"/>
  <c r="AD446" i="1"/>
  <c r="AF446" i="1" s="1"/>
  <c r="AH445" i="1"/>
  <c r="AG445" i="1"/>
  <c r="AE445" i="1"/>
  <c r="AD445" i="1"/>
  <c r="AF445" i="1" s="1"/>
  <c r="T368" i="1" l="1"/>
  <c r="Q368" i="1"/>
  <c r="R334" i="1"/>
  <c r="S334" i="1" s="1"/>
  <c r="R10" i="1"/>
  <c r="U22" i="1"/>
  <c r="Q22" i="1"/>
  <c r="X22" i="1" s="1"/>
  <c r="R22" i="1"/>
  <c r="T22" i="1" s="1"/>
  <c r="R34" i="1"/>
  <c r="R45" i="1"/>
  <c r="R57" i="1"/>
  <c r="R69" i="1"/>
  <c r="R105" i="1"/>
  <c r="R129" i="1"/>
  <c r="R141" i="1"/>
  <c r="R153" i="1"/>
  <c r="R165" i="1"/>
  <c r="S165" i="1" s="1"/>
  <c r="R177" i="1"/>
  <c r="R189" i="1"/>
  <c r="R225" i="1"/>
  <c r="R237" i="1"/>
  <c r="R271" i="1"/>
  <c r="S271" i="1" s="1"/>
  <c r="R295" i="1"/>
  <c r="R307" i="1"/>
  <c r="R331" i="1"/>
  <c r="R353" i="1"/>
  <c r="R376" i="1"/>
  <c r="R400" i="1"/>
  <c r="S400" i="1" s="1"/>
  <c r="R424" i="1"/>
  <c r="R11" i="1"/>
  <c r="R23" i="1"/>
  <c r="R35" i="1"/>
  <c r="R46" i="1"/>
  <c r="R58" i="1"/>
  <c r="S58" i="1" s="1"/>
  <c r="R70" i="1"/>
  <c r="R82" i="1"/>
  <c r="R94" i="1"/>
  <c r="R118" i="1"/>
  <c r="R142" i="1"/>
  <c r="R154" i="1"/>
  <c r="S154" i="1" s="1"/>
  <c r="R166" i="1"/>
  <c r="R178" i="1"/>
  <c r="R190" i="1"/>
  <c r="R202" i="1"/>
  <c r="R214" i="1"/>
  <c r="R226" i="1"/>
  <c r="S226" i="1" s="1"/>
  <c r="R260" i="1"/>
  <c r="R272" i="1"/>
  <c r="R296" i="1"/>
  <c r="R308" i="1"/>
  <c r="S308" i="1" s="1"/>
  <c r="T425" i="1"/>
  <c r="Q425" i="1"/>
  <c r="R47" i="1"/>
  <c r="R191" i="1"/>
  <c r="R227" i="1"/>
  <c r="R297" i="1"/>
  <c r="T451" i="1"/>
  <c r="Q451" i="1"/>
  <c r="R2" i="1"/>
  <c r="S2" i="1" s="1"/>
  <c r="R14" i="1"/>
  <c r="R26" i="1"/>
  <c r="R38" i="1"/>
  <c r="R49" i="1"/>
  <c r="R61" i="1"/>
  <c r="S61" i="1" s="1"/>
  <c r="R73" i="1"/>
  <c r="S73" i="1" s="1"/>
  <c r="R85" i="1"/>
  <c r="R97" i="1"/>
  <c r="R109" i="1"/>
  <c r="R121" i="1"/>
  <c r="R133" i="1"/>
  <c r="S133" i="1" s="1"/>
  <c r="R145" i="1"/>
  <c r="S145" i="1" s="1"/>
  <c r="R157" i="1"/>
  <c r="S157" i="1" s="1"/>
  <c r="R169" i="1"/>
  <c r="R181" i="1"/>
  <c r="U193" i="1"/>
  <c r="Q193" i="1"/>
  <c r="R193" i="1"/>
  <c r="T193" i="1" s="1"/>
  <c r="R205" i="1"/>
  <c r="S205" i="1" s="1"/>
  <c r="R217" i="1"/>
  <c r="S217" i="1" s="1"/>
  <c r="R229" i="1"/>
  <c r="R240" i="1"/>
  <c r="R252" i="1"/>
  <c r="R263" i="1"/>
  <c r="S263" i="1" s="1"/>
  <c r="R275" i="1"/>
  <c r="S275" i="1" s="1"/>
  <c r="R287" i="1"/>
  <c r="S287" i="1" s="1"/>
  <c r="R299" i="1"/>
  <c r="R311" i="1"/>
  <c r="R323" i="1"/>
  <c r="R335" i="1"/>
  <c r="R346" i="1"/>
  <c r="S346" i="1" s="1"/>
  <c r="R357" i="1"/>
  <c r="S357" i="1" s="1"/>
  <c r="R12" i="1"/>
  <c r="R59" i="1"/>
  <c r="R95" i="1"/>
  <c r="R167" i="1"/>
  <c r="R238" i="1"/>
  <c r="S238" i="1" s="1"/>
  <c r="R3" i="1"/>
  <c r="R27" i="1"/>
  <c r="R50" i="1"/>
  <c r="R62" i="1"/>
  <c r="R74" i="1"/>
  <c r="R86" i="1"/>
  <c r="S86" i="1" s="1"/>
  <c r="R98" i="1"/>
  <c r="R110" i="1"/>
  <c r="R122" i="1"/>
  <c r="R134" i="1"/>
  <c r="R146" i="1"/>
  <c r="R170" i="1"/>
  <c r="S170" i="1" s="1"/>
  <c r="T215" i="1"/>
  <c r="Q215" i="1"/>
  <c r="R37" i="1"/>
  <c r="R48" i="1"/>
  <c r="R60" i="1"/>
  <c r="S60" i="1" s="1"/>
  <c r="R72" i="1"/>
  <c r="R96" i="1"/>
  <c r="S96" i="1" s="1"/>
  <c r="R108" i="1"/>
  <c r="R168" i="1"/>
  <c r="R180" i="1"/>
  <c r="R192" i="1"/>
  <c r="S192" i="1" s="1"/>
  <c r="R204" i="1"/>
  <c r="S204" i="1" s="1"/>
  <c r="T239" i="1"/>
  <c r="Q239" i="1"/>
  <c r="T262" i="1"/>
  <c r="Q262" i="1"/>
  <c r="T298" i="1"/>
  <c r="Q298" i="1"/>
  <c r="T322" i="1"/>
  <c r="Q322" i="1"/>
  <c r="T207" i="1"/>
  <c r="Q207" i="1"/>
  <c r="T254" i="1"/>
  <c r="Q254" i="1"/>
  <c r="T277" i="1"/>
  <c r="Q277" i="1"/>
  <c r="T301" i="1"/>
  <c r="Q301" i="1"/>
  <c r="T394" i="1"/>
  <c r="Q394" i="1"/>
  <c r="T420" i="1"/>
  <c r="Q420" i="1"/>
  <c r="Q438" i="1"/>
  <c r="T438" i="1"/>
  <c r="R5" i="1"/>
  <c r="R17" i="1"/>
  <c r="S17" i="1" s="1"/>
  <c r="R41" i="1"/>
  <c r="R64" i="1"/>
  <c r="R76" i="1"/>
  <c r="R88" i="1"/>
  <c r="R100" i="1"/>
  <c r="R112" i="1"/>
  <c r="S112" i="1" s="1"/>
  <c r="R124" i="1"/>
  <c r="R136" i="1"/>
  <c r="R148" i="1"/>
  <c r="R160" i="1"/>
  <c r="R184" i="1"/>
  <c r="R196" i="1"/>
  <c r="R208" i="1"/>
  <c r="R220" i="1"/>
  <c r="R243" i="1"/>
  <c r="R255" i="1"/>
  <c r="R278" i="1"/>
  <c r="R290" i="1"/>
  <c r="S290" i="1" s="1"/>
  <c r="R314" i="1"/>
  <c r="R326" i="1"/>
  <c r="S326" i="1" s="1"/>
  <c r="R360" i="1"/>
  <c r="S360" i="1" s="1"/>
  <c r="R383" i="1"/>
  <c r="R395" i="1"/>
  <c r="S395" i="1" s="1"/>
  <c r="R407" i="1"/>
  <c r="R419" i="1"/>
  <c r="R431" i="1"/>
  <c r="R443" i="1"/>
  <c r="S443" i="1" s="1"/>
  <c r="R24" i="1"/>
  <c r="R83" i="1"/>
  <c r="R131" i="1"/>
  <c r="R155" i="1"/>
  <c r="R203" i="1"/>
  <c r="R273" i="1"/>
  <c r="S273" i="1" s="1"/>
  <c r="R6" i="1"/>
  <c r="S6" i="1" s="1"/>
  <c r="R18" i="1"/>
  <c r="S18" i="1" s="1"/>
  <c r="R30" i="1"/>
  <c r="R53" i="1"/>
  <c r="R77" i="1"/>
  <c r="R89" i="1"/>
  <c r="S89" i="1" s="1"/>
  <c r="R101" i="1"/>
  <c r="R113" i="1"/>
  <c r="R125" i="1"/>
  <c r="R137" i="1"/>
  <c r="R149" i="1"/>
  <c r="R161" i="1"/>
  <c r="S161" i="1" s="1"/>
  <c r="R173" i="1"/>
  <c r="R197" i="1"/>
  <c r="R209" i="1"/>
  <c r="R221" i="1"/>
  <c r="R233" i="1"/>
  <c r="R244" i="1"/>
  <c r="S244" i="1" s="1"/>
  <c r="R256" i="1"/>
  <c r="R267" i="1"/>
  <c r="R279" i="1"/>
  <c r="R291" i="1"/>
  <c r="R303" i="1"/>
  <c r="R315" i="1"/>
  <c r="R338" i="1"/>
  <c r="S338" i="1" s="1"/>
  <c r="R361" i="1"/>
  <c r="R384" i="1"/>
  <c r="R408" i="1"/>
  <c r="R432" i="1"/>
  <c r="R36" i="1"/>
  <c r="S36" i="1" s="1"/>
  <c r="R71" i="1"/>
  <c r="R179" i="1"/>
  <c r="R261" i="1"/>
  <c r="S261" i="1" s="1"/>
  <c r="R7" i="1"/>
  <c r="R19" i="1"/>
  <c r="R31" i="1"/>
  <c r="S31" i="1" s="1"/>
  <c r="R66" i="1"/>
  <c r="R90" i="1"/>
  <c r="R102" i="1"/>
  <c r="R114" i="1"/>
  <c r="S114" i="1" s="1"/>
  <c r="R126" i="1"/>
  <c r="S126" i="1" s="1"/>
  <c r="R138" i="1"/>
  <c r="S138" i="1" s="1"/>
  <c r="R150" i="1"/>
  <c r="R162" i="1"/>
  <c r="S162" i="1" s="1"/>
  <c r="R174" i="1"/>
  <c r="R186" i="1"/>
  <c r="R210" i="1"/>
  <c r="S210" i="1" s="1"/>
  <c r="R222" i="1"/>
  <c r="R245" i="1"/>
  <c r="R257" i="1"/>
  <c r="R280" i="1"/>
  <c r="S280" i="1" s="1"/>
  <c r="R292" i="1"/>
  <c r="R316" i="1"/>
  <c r="S316" i="1" s="1"/>
  <c r="R328" i="1"/>
  <c r="R339" i="1"/>
  <c r="R350" i="1"/>
  <c r="S350" i="1" s="1"/>
  <c r="R362" i="1"/>
  <c r="R373" i="1"/>
  <c r="R385" i="1"/>
  <c r="S385" i="1" s="1"/>
  <c r="R397" i="1"/>
  <c r="R409" i="1"/>
  <c r="R421" i="1"/>
  <c r="S421" i="1" s="1"/>
  <c r="R433" i="1"/>
  <c r="R445" i="1"/>
  <c r="S445" i="1" s="1"/>
  <c r="R25" i="1"/>
  <c r="S25" i="1" s="1"/>
  <c r="R84" i="1"/>
  <c r="S84" i="1" s="1"/>
  <c r="R8" i="1"/>
  <c r="R20" i="1"/>
  <c r="R32" i="1"/>
  <c r="R43" i="1"/>
  <c r="S43" i="1" s="1"/>
  <c r="R55" i="1"/>
  <c r="R79" i="1"/>
  <c r="R103" i="1"/>
  <c r="R115" i="1"/>
  <c r="R127" i="1"/>
  <c r="S127" i="1" s="1"/>
  <c r="R139" i="1"/>
  <c r="S139" i="1" s="1"/>
  <c r="R151" i="1"/>
  <c r="R163" i="1"/>
  <c r="R175" i="1"/>
  <c r="R187" i="1"/>
  <c r="R199" i="1"/>
  <c r="R211" i="1"/>
  <c r="S211" i="1" s="1"/>
  <c r="R223" i="1"/>
  <c r="R235" i="1"/>
  <c r="R246" i="1"/>
  <c r="R258" i="1"/>
  <c r="R269" i="1"/>
  <c r="R281" i="1"/>
  <c r="S281" i="1" s="1"/>
  <c r="R293" i="1"/>
  <c r="R305" i="1"/>
  <c r="R317" i="1"/>
  <c r="S317" i="1" s="1"/>
  <c r="R329" i="1"/>
  <c r="R340" i="1"/>
  <c r="R351" i="1"/>
  <c r="S351" i="1" s="1"/>
  <c r="R363" i="1"/>
  <c r="R374" i="1"/>
  <c r="R386" i="1"/>
  <c r="R398" i="1"/>
  <c r="R410" i="1"/>
  <c r="R422" i="1"/>
  <c r="S422" i="1" s="1"/>
  <c r="R434" i="1"/>
  <c r="R446" i="1"/>
  <c r="R9" i="1"/>
  <c r="S9" i="1" s="1"/>
  <c r="R21" i="1"/>
  <c r="R33" i="1"/>
  <c r="S33" i="1" s="1"/>
  <c r="R44" i="1"/>
  <c r="S44" i="1" s="1"/>
  <c r="R56" i="1"/>
  <c r="S56" i="1" s="1"/>
  <c r="R116" i="1"/>
  <c r="S116" i="1" s="1"/>
  <c r="R128" i="1"/>
  <c r="S128" i="1" s="1"/>
  <c r="R140" i="1"/>
  <c r="R152" i="1"/>
  <c r="S152" i="1" s="1"/>
  <c r="R164" i="1"/>
  <c r="S164" i="1" s="1"/>
  <c r="R176" i="1"/>
  <c r="S176" i="1" s="1"/>
  <c r="R188" i="1"/>
  <c r="S188" i="1" s="1"/>
  <c r="R212" i="1"/>
  <c r="S212" i="1" s="1"/>
  <c r="R224" i="1"/>
  <c r="R236" i="1"/>
  <c r="S236" i="1" s="1"/>
  <c r="R259" i="1"/>
  <c r="S259" i="1" s="1"/>
  <c r="R270" i="1"/>
  <c r="S270" i="1" s="1"/>
  <c r="R294" i="1"/>
  <c r="S294" i="1" s="1"/>
  <c r="R306" i="1"/>
  <c r="S306" i="1" s="1"/>
  <c r="R318" i="1"/>
  <c r="R330" i="1"/>
  <c r="S330" i="1" s="1"/>
  <c r="R341" i="1"/>
  <c r="S341" i="1" s="1"/>
  <c r="R352" i="1"/>
  <c r="S352" i="1" s="1"/>
  <c r="R364" i="1"/>
  <c r="S364" i="1" s="1"/>
  <c r="R375" i="1"/>
  <c r="S375" i="1" s="1"/>
  <c r="R387" i="1"/>
  <c r="R399" i="1"/>
  <c r="S399" i="1" s="1"/>
  <c r="R411" i="1"/>
  <c r="S411" i="1" s="1"/>
  <c r="R423" i="1"/>
  <c r="S423" i="1" s="1"/>
  <c r="R435" i="1"/>
  <c r="S435" i="1" s="1"/>
  <c r="R447" i="1"/>
  <c r="S447" i="1" s="1"/>
  <c r="R392" i="1"/>
  <c r="S392" i="1" s="1"/>
  <c r="R404" i="1"/>
  <c r="R416" i="1"/>
  <c r="R428" i="1"/>
  <c r="S428" i="1" s="1"/>
  <c r="R39" i="1"/>
  <c r="S39" i="1" s="1"/>
  <c r="R52" i="1"/>
  <c r="S52" i="1" s="1"/>
  <c r="R65" i="1"/>
  <c r="S65" i="1" s="1"/>
  <c r="R91" i="1"/>
  <c r="R104" i="1"/>
  <c r="R117" i="1"/>
  <c r="R143" i="1"/>
  <c r="S143" i="1" s="1"/>
  <c r="R156" i="1"/>
  <c r="S156" i="1" s="1"/>
  <c r="R182" i="1"/>
  <c r="S182" i="1" s="1"/>
  <c r="R198" i="1"/>
  <c r="S198" i="1" s="1"/>
  <c r="R213" i="1"/>
  <c r="R232" i="1"/>
  <c r="S232" i="1" s="1"/>
  <c r="R266" i="1"/>
  <c r="R282" i="1"/>
  <c r="R302" i="1"/>
  <c r="R319" i="1"/>
  <c r="R365" i="1"/>
  <c r="S365" i="1" s="1"/>
  <c r="R436" i="1"/>
  <c r="S436" i="1" s="1"/>
  <c r="R369" i="1"/>
  <c r="S369" i="1" s="1"/>
  <c r="U194" i="1"/>
  <c r="Q194" i="1"/>
  <c r="X194" i="1" s="1"/>
  <c r="R194" i="1"/>
  <c r="T194" i="1" s="1"/>
  <c r="R206" i="1"/>
  <c r="R218" i="1"/>
  <c r="S218" i="1" s="1"/>
  <c r="R230" i="1"/>
  <c r="R241" i="1"/>
  <c r="R264" i="1"/>
  <c r="S264" i="1" s="1"/>
  <c r="R288" i="1"/>
  <c r="R300" i="1"/>
  <c r="S300" i="1" s="1"/>
  <c r="R312" i="1"/>
  <c r="R324" i="1"/>
  <c r="R347" i="1"/>
  <c r="S347" i="1" s="1"/>
  <c r="R358" i="1"/>
  <c r="R370" i="1"/>
  <c r="S370" i="1" s="1"/>
  <c r="S381" i="1"/>
  <c r="U381" i="1" s="1"/>
  <c r="R405" i="1"/>
  <c r="S405" i="1" s="1"/>
  <c r="R417" i="1"/>
  <c r="S417" i="1" s="1"/>
  <c r="R429" i="1"/>
  <c r="S429" i="1" s="1"/>
  <c r="R441" i="1"/>
  <c r="R92" i="1"/>
  <c r="S92" i="1" s="1"/>
  <c r="R144" i="1"/>
  <c r="R248" i="1"/>
  <c r="R283" i="1"/>
  <c r="Q414" i="1"/>
  <c r="Q354" i="1"/>
  <c r="R336" i="1"/>
  <c r="Q321" i="1"/>
  <c r="Q284" i="1"/>
  <c r="R75" i="1"/>
  <c r="S75" i="1" s="1"/>
  <c r="R135" i="1"/>
  <c r="S135" i="1" s="1"/>
  <c r="R219" i="1"/>
  <c r="S219" i="1" s="1"/>
  <c r="R313" i="1"/>
  <c r="S313" i="1" s="1"/>
  <c r="R382" i="1"/>
  <c r="R430" i="1"/>
  <c r="S430" i="1" s="1"/>
  <c r="R54" i="1"/>
  <c r="S54" i="1" s="1"/>
  <c r="R93" i="1"/>
  <c r="S93" i="1" s="1"/>
  <c r="R158" i="1"/>
  <c r="S158" i="1" s="1"/>
  <c r="R249" i="1"/>
  <c r="R349" i="1"/>
  <c r="R372" i="1"/>
  <c r="S372" i="1" s="1"/>
  <c r="R68" i="1"/>
  <c r="R81" i="1"/>
  <c r="R107" i="1"/>
  <c r="R120" i="1"/>
  <c r="R201" i="1"/>
  <c r="R250" i="1"/>
  <c r="S250" i="1" s="1"/>
  <c r="Q427" i="1"/>
  <c r="Q413" i="1"/>
  <c r="Q381" i="1"/>
  <c r="T367" i="1"/>
  <c r="Q367" i="1"/>
  <c r="R242" i="1"/>
  <c r="R412" i="1"/>
  <c r="R380" i="1"/>
  <c r="S380" i="1" s="1"/>
  <c r="R216" i="1"/>
  <c r="S216" i="1" s="1"/>
  <c r="R13" i="1"/>
  <c r="S13" i="1" s="1"/>
  <c r="R16" i="1"/>
  <c r="R123" i="1"/>
  <c r="U195" i="1"/>
  <c r="Q195" i="1"/>
  <c r="R195" i="1"/>
  <c r="T195" i="1" s="1"/>
  <c r="R265" i="1"/>
  <c r="R418" i="1"/>
  <c r="S418" i="1" s="1"/>
  <c r="R42" i="1"/>
  <c r="S42" i="1" s="1"/>
  <c r="R132" i="1"/>
  <c r="S132" i="1" s="1"/>
  <c r="R185" i="1"/>
  <c r="S185" i="1" s="1"/>
  <c r="R396" i="1"/>
  <c r="S396" i="1" s="1"/>
  <c r="R440" i="1"/>
  <c r="S440" i="1" s="1"/>
  <c r="Q426" i="1"/>
  <c r="T379" i="1"/>
  <c r="Q379" i="1"/>
  <c r="R348" i="1"/>
  <c r="R276" i="1"/>
  <c r="R253" i="1"/>
  <c r="R4" i="1"/>
  <c r="S4" i="1" s="1"/>
  <c r="R51" i="1"/>
  <c r="S51" i="1" s="1"/>
  <c r="R159" i="1"/>
  <c r="S159" i="1" s="1"/>
  <c r="R231" i="1"/>
  <c r="S231" i="1" s="1"/>
  <c r="R325" i="1"/>
  <c r="S325" i="1" s="1"/>
  <c r="S394" i="1"/>
  <c r="R15" i="1"/>
  <c r="R106" i="1"/>
  <c r="S106" i="1" s="1"/>
  <c r="R304" i="1"/>
  <c r="R393" i="1"/>
  <c r="R247" i="1"/>
  <c r="S247" i="1" s="1"/>
  <c r="S444" i="1"/>
  <c r="S309" i="1"/>
  <c r="R40" i="1"/>
  <c r="R171" i="1"/>
  <c r="S301" i="1"/>
  <c r="R29" i="1"/>
  <c r="S29" i="1" s="1"/>
  <c r="R453" i="1"/>
  <c r="S453" i="1" s="1"/>
  <c r="Q439" i="1"/>
  <c r="S438" i="1"/>
  <c r="R28" i="1"/>
  <c r="R111" i="1"/>
  <c r="S207" i="1"/>
  <c r="R289" i="1"/>
  <c r="S289" i="1" s="1"/>
  <c r="R67" i="1"/>
  <c r="S284" i="1"/>
  <c r="U284" i="1" s="1"/>
  <c r="R448" i="1"/>
  <c r="S448" i="1" s="1"/>
  <c r="R406" i="1"/>
  <c r="S406" i="1" s="1"/>
  <c r="R388" i="1"/>
  <c r="S388" i="1" s="1"/>
  <c r="R342" i="1"/>
  <c r="S342" i="1" s="1"/>
  <c r="R200" i="1"/>
  <c r="R63" i="1"/>
  <c r="S63" i="1" s="1"/>
  <c r="R147" i="1"/>
  <c r="S147" i="1" s="1"/>
  <c r="S254" i="1"/>
  <c r="R359" i="1"/>
  <c r="R442" i="1"/>
  <c r="R80" i="1"/>
  <c r="S215" i="1"/>
  <c r="T444" i="1"/>
  <c r="Q444" i="1"/>
  <c r="S320" i="1"/>
  <c r="R332" i="1"/>
  <c r="S332" i="1" s="1"/>
  <c r="R343" i="1"/>
  <c r="S343" i="1" s="1"/>
  <c r="S354" i="1"/>
  <c r="U354" i="1" s="1"/>
  <c r="R366" i="1"/>
  <c r="R377" i="1"/>
  <c r="S377" i="1" s="1"/>
  <c r="R389" i="1"/>
  <c r="S389" i="1" s="1"/>
  <c r="S413" i="1"/>
  <c r="U413" i="1" s="1"/>
  <c r="S425" i="1"/>
  <c r="R437" i="1"/>
  <c r="S437" i="1" s="1"/>
  <c r="R449" i="1"/>
  <c r="S449" i="1" s="1"/>
  <c r="R452" i="1"/>
  <c r="R327" i="1"/>
  <c r="S327" i="1" s="1"/>
  <c r="R268" i="1"/>
  <c r="S268" i="1" s="1"/>
  <c r="R78" i="1"/>
  <c r="S251" i="1"/>
  <c r="R99" i="1"/>
  <c r="R337" i="1"/>
  <c r="Q320" i="1"/>
  <c r="T320" i="1"/>
  <c r="T309" i="1"/>
  <c r="Q309" i="1"/>
  <c r="S321" i="1"/>
  <c r="U321" i="1" s="1"/>
  <c r="R333" i="1"/>
  <c r="S333" i="1" s="1"/>
  <c r="R344" i="1"/>
  <c r="S367" i="1"/>
  <c r="R378" i="1"/>
  <c r="S378" i="1" s="1"/>
  <c r="R390" i="1"/>
  <c r="S390" i="1" s="1"/>
  <c r="R402" i="1"/>
  <c r="S414" i="1"/>
  <c r="U414" i="1" s="1"/>
  <c r="S426" i="1"/>
  <c r="U426" i="1" s="1"/>
  <c r="R450" i="1"/>
  <c r="S450" i="1" s="1"/>
  <c r="R401" i="1"/>
  <c r="R355" i="1"/>
  <c r="S355" i="1" s="1"/>
  <c r="R285" i="1"/>
  <c r="S403" i="1"/>
  <c r="R87" i="1"/>
  <c r="S87" i="1" s="1"/>
  <c r="R183" i="1"/>
  <c r="S277" i="1"/>
  <c r="R371" i="1"/>
  <c r="S371" i="1" s="1"/>
  <c r="R119" i="1"/>
  <c r="R172" i="1"/>
  <c r="R234" i="1"/>
  <c r="S234" i="1" s="1"/>
  <c r="S420" i="1"/>
  <c r="R228" i="1"/>
  <c r="S239" i="1"/>
  <c r="T251" i="1"/>
  <c r="Q251" i="1"/>
  <c r="S262" i="1"/>
  <c r="R274" i="1"/>
  <c r="S274" i="1" s="1"/>
  <c r="R286" i="1"/>
  <c r="S298" i="1"/>
  <c r="R310" i="1"/>
  <c r="S322" i="1"/>
  <c r="R345" i="1"/>
  <c r="R356" i="1"/>
  <c r="S368" i="1"/>
  <c r="S379" i="1"/>
  <c r="R391" i="1"/>
  <c r="T403" i="1"/>
  <c r="Q403" i="1"/>
  <c r="R415" i="1"/>
  <c r="S427" i="1"/>
  <c r="U427" i="1" s="1"/>
  <c r="S439" i="1"/>
  <c r="U439" i="1" s="1"/>
  <c r="S451" i="1"/>
  <c r="R130" i="1"/>
  <c r="S130" i="1" s="1"/>
  <c r="U368" i="1" l="1"/>
  <c r="X195" i="1"/>
  <c r="X193" i="1"/>
  <c r="T334" i="1"/>
  <c r="U334" i="1" s="1"/>
  <c r="U239" i="1"/>
  <c r="V239" i="1" s="1"/>
  <c r="Q334" i="1"/>
  <c r="V368" i="1"/>
  <c r="W368" i="1" s="1"/>
  <c r="U425" i="1"/>
  <c r="V425" i="1" s="1"/>
  <c r="W425" i="1" s="1"/>
  <c r="U438" i="1"/>
  <c r="V438" i="1" s="1"/>
  <c r="W438" i="1" s="1"/>
  <c r="S193" i="1"/>
  <c r="U298" i="1"/>
  <c r="V298" i="1" s="1"/>
  <c r="W298" i="1" s="1"/>
  <c r="U262" i="1"/>
  <c r="V262" i="1" s="1"/>
  <c r="W262" i="1" s="1"/>
  <c r="U301" i="1"/>
  <c r="V301" i="1" s="1"/>
  <c r="W301" i="1" s="1"/>
  <c r="U309" i="1"/>
  <c r="V309" i="1" s="1"/>
  <c r="W309" i="1" s="1"/>
  <c r="U215" i="1"/>
  <c r="V215" i="1" s="1"/>
  <c r="W215" i="1" s="1"/>
  <c r="V426" i="1"/>
  <c r="W426" i="1" s="1"/>
  <c r="V284" i="1"/>
  <c r="W284" i="1" s="1"/>
  <c r="V193" i="1"/>
  <c r="W193" i="1" s="1"/>
  <c r="U277" i="1"/>
  <c r="V277" i="1" s="1"/>
  <c r="U379" i="1"/>
  <c r="V379" i="1" s="1"/>
  <c r="W379" i="1" s="1"/>
  <c r="V321" i="1"/>
  <c r="W321" i="1" s="1"/>
  <c r="U207" i="1"/>
  <c r="V207" i="1" s="1"/>
  <c r="W207" i="1" s="1"/>
  <c r="V413" i="1"/>
  <c r="W413" i="1" s="1"/>
  <c r="U394" i="1"/>
  <c r="V394" i="1" s="1"/>
  <c r="W394" i="1" s="1"/>
  <c r="U322" i="1"/>
  <c r="V322" i="1" s="1"/>
  <c r="W322" i="1" s="1"/>
  <c r="U420" i="1"/>
  <c r="V420" i="1" s="1"/>
  <c r="W420" i="1" s="1"/>
  <c r="Q345" i="1"/>
  <c r="T345" i="1"/>
  <c r="T315" i="1"/>
  <c r="Q315" i="1"/>
  <c r="T196" i="1"/>
  <c r="Q196" i="1"/>
  <c r="T57" i="1"/>
  <c r="Q57" i="1"/>
  <c r="S345" i="1"/>
  <c r="Q333" i="1"/>
  <c r="T333" i="1"/>
  <c r="U333" i="1" s="1"/>
  <c r="Q78" i="1"/>
  <c r="T78" i="1"/>
  <c r="T63" i="1"/>
  <c r="U63" i="1" s="1"/>
  <c r="Q63" i="1"/>
  <c r="Q289" i="1"/>
  <c r="T289" i="1"/>
  <c r="U289" i="1" s="1"/>
  <c r="T4" i="1"/>
  <c r="U4" i="1" s="1"/>
  <c r="Q4" i="1"/>
  <c r="Q185" i="1"/>
  <c r="T185" i="1"/>
  <c r="U185" i="1" s="1"/>
  <c r="V195" i="1"/>
  <c r="W195" i="1" s="1"/>
  <c r="T412" i="1"/>
  <c r="Q412" i="1"/>
  <c r="Q430" i="1"/>
  <c r="T430" i="1"/>
  <c r="U430" i="1" s="1"/>
  <c r="T370" i="1"/>
  <c r="U370" i="1" s="1"/>
  <c r="Q370" i="1"/>
  <c r="T365" i="1"/>
  <c r="U365" i="1" s="1"/>
  <c r="Q365" i="1"/>
  <c r="T232" i="1"/>
  <c r="U232" i="1" s="1"/>
  <c r="Q232" i="1"/>
  <c r="T39" i="1"/>
  <c r="U39" i="1" s="1"/>
  <c r="Q39" i="1"/>
  <c r="T399" i="1"/>
  <c r="U399" i="1" s="1"/>
  <c r="Q399" i="1"/>
  <c r="T330" i="1"/>
  <c r="U330" i="1" s="1"/>
  <c r="Q330" i="1"/>
  <c r="T236" i="1"/>
  <c r="U236" i="1" s="1"/>
  <c r="Q236" i="1"/>
  <c r="T152" i="1"/>
  <c r="U152" i="1" s="1"/>
  <c r="Q152" i="1"/>
  <c r="T33" i="1"/>
  <c r="U33" i="1" s="1"/>
  <c r="Q33" i="1"/>
  <c r="Q351" i="1"/>
  <c r="T351" i="1"/>
  <c r="U351" i="1" s="1"/>
  <c r="Q281" i="1"/>
  <c r="T281" i="1"/>
  <c r="U281" i="1" s="1"/>
  <c r="Q211" i="1"/>
  <c r="T211" i="1"/>
  <c r="U211" i="1" s="1"/>
  <c r="T445" i="1"/>
  <c r="U445" i="1" s="1"/>
  <c r="Q445" i="1"/>
  <c r="T210" i="1"/>
  <c r="U210" i="1" s="1"/>
  <c r="Q210" i="1"/>
  <c r="T126" i="1"/>
  <c r="U126" i="1" s="1"/>
  <c r="Q126" i="1"/>
  <c r="Q36" i="1"/>
  <c r="T36" i="1"/>
  <c r="U36" i="1" s="1"/>
  <c r="S315" i="1"/>
  <c r="S196" i="1"/>
  <c r="Q205" i="1"/>
  <c r="T205" i="1"/>
  <c r="U205" i="1" s="1"/>
  <c r="S57" i="1"/>
  <c r="T165" i="1"/>
  <c r="U165" i="1" s="1"/>
  <c r="Q165" i="1"/>
  <c r="T415" i="1"/>
  <c r="Q415" i="1"/>
  <c r="T228" i="1"/>
  <c r="Q228" i="1"/>
  <c r="Q268" i="1"/>
  <c r="T268" i="1"/>
  <c r="U268" i="1" s="1"/>
  <c r="T171" i="1"/>
  <c r="Q171" i="1"/>
  <c r="T15" i="1"/>
  <c r="Q15" i="1"/>
  <c r="S195" i="1"/>
  <c r="T201" i="1"/>
  <c r="Q201" i="1"/>
  <c r="T349" i="1"/>
  <c r="Q349" i="1"/>
  <c r="T288" i="1"/>
  <c r="Q288" i="1"/>
  <c r="T206" i="1"/>
  <c r="Q206" i="1"/>
  <c r="T117" i="1"/>
  <c r="Q117" i="1"/>
  <c r="Q410" i="1"/>
  <c r="T410" i="1"/>
  <c r="Q340" i="1"/>
  <c r="T340" i="1"/>
  <c r="Q269" i="1"/>
  <c r="T269" i="1"/>
  <c r="Q199" i="1"/>
  <c r="T199" i="1"/>
  <c r="Q32" i="1"/>
  <c r="T32" i="1"/>
  <c r="T373" i="1"/>
  <c r="Q373" i="1"/>
  <c r="T292" i="1"/>
  <c r="Q292" i="1"/>
  <c r="Q186" i="1"/>
  <c r="T186" i="1"/>
  <c r="Q19" i="1"/>
  <c r="T19" i="1"/>
  <c r="T432" i="1"/>
  <c r="Q432" i="1"/>
  <c r="T303" i="1"/>
  <c r="Q303" i="1"/>
  <c r="T233" i="1"/>
  <c r="Q233" i="1"/>
  <c r="T149" i="1"/>
  <c r="Q149" i="1"/>
  <c r="Q77" i="1"/>
  <c r="T77" i="1"/>
  <c r="T203" i="1"/>
  <c r="Q203" i="1"/>
  <c r="T431" i="1"/>
  <c r="Q431" i="1"/>
  <c r="T278" i="1"/>
  <c r="Q278" i="1"/>
  <c r="T184" i="1"/>
  <c r="Q184" i="1"/>
  <c r="T100" i="1"/>
  <c r="Q100" i="1"/>
  <c r="Q5" i="1"/>
  <c r="T5" i="1"/>
  <c r="Q72" i="1"/>
  <c r="T72" i="1"/>
  <c r="T146" i="1"/>
  <c r="Q146" i="1"/>
  <c r="T74" i="1"/>
  <c r="Q74" i="1"/>
  <c r="T167" i="1"/>
  <c r="Q167" i="1"/>
  <c r="Q335" i="1"/>
  <c r="T335" i="1"/>
  <c r="T214" i="1"/>
  <c r="Q214" i="1"/>
  <c r="T142" i="1"/>
  <c r="Q142" i="1"/>
  <c r="T46" i="1"/>
  <c r="Q46" i="1"/>
  <c r="Q376" i="1"/>
  <c r="T376" i="1"/>
  <c r="T153" i="1"/>
  <c r="Q153" i="1"/>
  <c r="T45" i="1"/>
  <c r="Q45" i="1"/>
  <c r="T154" i="1"/>
  <c r="U154" i="1" s="1"/>
  <c r="Q154" i="1"/>
  <c r="S415" i="1"/>
  <c r="T310" i="1"/>
  <c r="Q310" i="1"/>
  <c r="S228" i="1"/>
  <c r="T183" i="1"/>
  <c r="Q183" i="1"/>
  <c r="Q402" i="1"/>
  <c r="T402" i="1"/>
  <c r="Q327" i="1"/>
  <c r="T327" i="1"/>
  <c r="U327" i="1" s="1"/>
  <c r="Q377" i="1"/>
  <c r="T377" i="1"/>
  <c r="U377" i="1" s="1"/>
  <c r="T200" i="1"/>
  <c r="Q200" i="1"/>
  <c r="S171" i="1"/>
  <c r="S15" i="1"/>
  <c r="T253" i="1"/>
  <c r="Q253" i="1"/>
  <c r="T242" i="1"/>
  <c r="Q242" i="1"/>
  <c r="S201" i="1"/>
  <c r="S349" i="1"/>
  <c r="T382" i="1"/>
  <c r="Q382" i="1"/>
  <c r="T336" i="1"/>
  <c r="Q336" i="1"/>
  <c r="T441" i="1"/>
  <c r="Q441" i="1"/>
  <c r="T358" i="1"/>
  <c r="Q358" i="1"/>
  <c r="S288" i="1"/>
  <c r="S206" i="1"/>
  <c r="T213" i="1"/>
  <c r="Q213" i="1"/>
  <c r="S117" i="1"/>
  <c r="T387" i="1"/>
  <c r="Q387" i="1"/>
  <c r="T318" i="1"/>
  <c r="Q318" i="1"/>
  <c r="T224" i="1"/>
  <c r="Q224" i="1"/>
  <c r="T140" i="1"/>
  <c r="Q140" i="1"/>
  <c r="T21" i="1"/>
  <c r="Q21" i="1"/>
  <c r="S410" i="1"/>
  <c r="S340" i="1"/>
  <c r="S269" i="1"/>
  <c r="S199" i="1"/>
  <c r="Q127" i="1"/>
  <c r="T127" i="1"/>
  <c r="U127" i="1" s="1"/>
  <c r="S32" i="1"/>
  <c r="S373" i="1"/>
  <c r="S292" i="1"/>
  <c r="S186" i="1"/>
  <c r="T114" i="1"/>
  <c r="U114" i="1" s="1"/>
  <c r="Q114" i="1"/>
  <c r="S19" i="1"/>
  <c r="S432" i="1"/>
  <c r="S303" i="1"/>
  <c r="S233" i="1"/>
  <c r="S149" i="1"/>
  <c r="S77" i="1"/>
  <c r="S203" i="1"/>
  <c r="S431" i="1"/>
  <c r="Q360" i="1"/>
  <c r="T360" i="1"/>
  <c r="U360" i="1" s="1"/>
  <c r="S278" i="1"/>
  <c r="S184" i="1"/>
  <c r="S100" i="1"/>
  <c r="S5" i="1"/>
  <c r="Q204" i="1"/>
  <c r="T204" i="1"/>
  <c r="U204" i="1" s="1"/>
  <c r="S72" i="1"/>
  <c r="S146" i="1"/>
  <c r="S74" i="1"/>
  <c r="S167" i="1"/>
  <c r="S335" i="1"/>
  <c r="Q263" i="1"/>
  <c r="T263" i="1"/>
  <c r="U263" i="1" s="1"/>
  <c r="Q133" i="1"/>
  <c r="T133" i="1"/>
  <c r="U133" i="1" s="1"/>
  <c r="Q61" i="1"/>
  <c r="T61" i="1"/>
  <c r="U61" i="1" s="1"/>
  <c r="T308" i="1"/>
  <c r="U308" i="1" s="1"/>
  <c r="Q308" i="1"/>
  <c r="S214" i="1"/>
  <c r="S142" i="1"/>
  <c r="S46" i="1"/>
  <c r="S376" i="1"/>
  <c r="S153" i="1"/>
  <c r="S45" i="1"/>
  <c r="Q371" i="1"/>
  <c r="T371" i="1"/>
  <c r="U371" i="1" s="1"/>
  <c r="T389" i="1"/>
  <c r="U389" i="1" s="1"/>
  <c r="Q389" i="1"/>
  <c r="T92" i="1"/>
  <c r="U92" i="1" s="1"/>
  <c r="Q92" i="1"/>
  <c r="Q139" i="1"/>
  <c r="T139" i="1"/>
  <c r="U139" i="1" s="1"/>
  <c r="T385" i="1"/>
  <c r="U385" i="1" s="1"/>
  <c r="Q385" i="1"/>
  <c r="Q31" i="1"/>
  <c r="T31" i="1"/>
  <c r="U31" i="1" s="1"/>
  <c r="T273" i="1"/>
  <c r="U273" i="1" s="1"/>
  <c r="Q273" i="1"/>
  <c r="T170" i="1"/>
  <c r="U170" i="1" s="1"/>
  <c r="Q170" i="1"/>
  <c r="T238" i="1"/>
  <c r="U238" i="1" s="1"/>
  <c r="Q238" i="1"/>
  <c r="Q346" i="1"/>
  <c r="T346" i="1"/>
  <c r="U346" i="1" s="1"/>
  <c r="Q275" i="1"/>
  <c r="T275" i="1"/>
  <c r="U275" i="1" s="1"/>
  <c r="T271" i="1"/>
  <c r="U271" i="1" s="1"/>
  <c r="Q271" i="1"/>
  <c r="S310" i="1"/>
  <c r="S183" i="1"/>
  <c r="S402" i="1"/>
  <c r="Q452" i="1"/>
  <c r="T452" i="1"/>
  <c r="T366" i="1"/>
  <c r="Q366" i="1"/>
  <c r="T80" i="1"/>
  <c r="Q80" i="1"/>
  <c r="T342" i="1"/>
  <c r="U342" i="1" s="1"/>
  <c r="Q342" i="1"/>
  <c r="T111" i="1"/>
  <c r="Q111" i="1"/>
  <c r="T40" i="1"/>
  <c r="Q40" i="1"/>
  <c r="T276" i="1"/>
  <c r="Q276" i="1"/>
  <c r="T132" i="1"/>
  <c r="U132" i="1" s="1"/>
  <c r="Q132" i="1"/>
  <c r="T123" i="1"/>
  <c r="Q123" i="1"/>
  <c r="S242" i="1"/>
  <c r="T120" i="1"/>
  <c r="Q120" i="1"/>
  <c r="T249" i="1"/>
  <c r="Q249" i="1"/>
  <c r="S382" i="1"/>
  <c r="V354" i="1"/>
  <c r="W354" i="1" s="1"/>
  <c r="S441" i="1"/>
  <c r="S358" i="1"/>
  <c r="S276" i="1"/>
  <c r="T319" i="1"/>
  <c r="Q319" i="1"/>
  <c r="S213" i="1"/>
  <c r="T104" i="1"/>
  <c r="Q104" i="1"/>
  <c r="S452" i="1"/>
  <c r="S387" i="1"/>
  <c r="S318" i="1"/>
  <c r="S224" i="1"/>
  <c r="S140" i="1"/>
  <c r="S21" i="1"/>
  <c r="Q398" i="1"/>
  <c r="T398" i="1"/>
  <c r="Q329" i="1"/>
  <c r="T329" i="1"/>
  <c r="Q258" i="1"/>
  <c r="T258" i="1"/>
  <c r="Q187" i="1"/>
  <c r="T187" i="1"/>
  <c r="Q115" i="1"/>
  <c r="T115" i="1"/>
  <c r="Q20" i="1"/>
  <c r="T20" i="1"/>
  <c r="T433" i="1"/>
  <c r="Q433" i="1"/>
  <c r="T362" i="1"/>
  <c r="Q362" i="1"/>
  <c r="T174" i="1"/>
  <c r="Q174" i="1"/>
  <c r="Q102" i="1"/>
  <c r="T102" i="1"/>
  <c r="Q7" i="1"/>
  <c r="T7" i="1"/>
  <c r="T408" i="1"/>
  <c r="Q408" i="1"/>
  <c r="T291" i="1"/>
  <c r="Q291" i="1"/>
  <c r="T221" i="1"/>
  <c r="Q221" i="1"/>
  <c r="T137" i="1"/>
  <c r="Q137" i="1"/>
  <c r="Q53" i="1"/>
  <c r="T53" i="1"/>
  <c r="T155" i="1"/>
  <c r="Q155" i="1"/>
  <c r="T419" i="1"/>
  <c r="Q419" i="1"/>
  <c r="T255" i="1"/>
  <c r="Q255" i="1"/>
  <c r="T160" i="1"/>
  <c r="Q160" i="1"/>
  <c r="T88" i="1"/>
  <c r="Q88" i="1"/>
  <c r="T134" i="1"/>
  <c r="Q134" i="1"/>
  <c r="T62" i="1"/>
  <c r="Q62" i="1"/>
  <c r="Q95" i="1"/>
  <c r="T95" i="1"/>
  <c r="Q323" i="1"/>
  <c r="T323" i="1"/>
  <c r="Q252" i="1"/>
  <c r="T252" i="1"/>
  <c r="Q121" i="1"/>
  <c r="T121" i="1"/>
  <c r="Q49" i="1"/>
  <c r="T49" i="1"/>
  <c r="T297" i="1"/>
  <c r="Q297" i="1"/>
  <c r="T296" i="1"/>
  <c r="Q296" i="1"/>
  <c r="T202" i="1"/>
  <c r="Q202" i="1"/>
  <c r="T118" i="1"/>
  <c r="Q118" i="1"/>
  <c r="Q35" i="1"/>
  <c r="T35" i="1"/>
  <c r="Q353" i="1"/>
  <c r="T353" i="1"/>
  <c r="T237" i="1"/>
  <c r="Q237" i="1"/>
  <c r="T141" i="1"/>
  <c r="Q141" i="1"/>
  <c r="T34" i="1"/>
  <c r="Q34" i="1"/>
  <c r="U251" i="1"/>
  <c r="V251" i="1" s="1"/>
  <c r="T372" i="1"/>
  <c r="U372" i="1" s="1"/>
  <c r="Q372" i="1"/>
  <c r="T300" i="1"/>
  <c r="U300" i="1" s="1"/>
  <c r="Q300" i="1"/>
  <c r="Q316" i="1"/>
  <c r="T316" i="1"/>
  <c r="U316" i="1" s="1"/>
  <c r="Q89" i="1"/>
  <c r="T89" i="1"/>
  <c r="U89" i="1" s="1"/>
  <c r="T87" i="1"/>
  <c r="U87" i="1" s="1"/>
  <c r="Q87" i="1"/>
  <c r="T390" i="1"/>
  <c r="U390" i="1" s="1"/>
  <c r="Q390" i="1"/>
  <c r="T449" i="1"/>
  <c r="U449" i="1" s="1"/>
  <c r="Q449" i="1"/>
  <c r="S366" i="1"/>
  <c r="S80" i="1"/>
  <c r="T388" i="1"/>
  <c r="U388" i="1" s="1"/>
  <c r="Q388" i="1"/>
  <c r="S111" i="1"/>
  <c r="S40" i="1"/>
  <c r="T325" i="1"/>
  <c r="U325" i="1" s="1"/>
  <c r="Q325" i="1"/>
  <c r="T348" i="1"/>
  <c r="Q348" i="1"/>
  <c r="Q42" i="1"/>
  <c r="T42" i="1"/>
  <c r="U42" i="1" s="1"/>
  <c r="S123" i="1"/>
  <c r="S120" i="1"/>
  <c r="S249" i="1"/>
  <c r="T313" i="1"/>
  <c r="U313" i="1" s="1"/>
  <c r="Q313" i="1"/>
  <c r="V414" i="1"/>
  <c r="W414" i="1" s="1"/>
  <c r="Q429" i="1"/>
  <c r="T429" i="1"/>
  <c r="U429" i="1" s="1"/>
  <c r="T347" i="1"/>
  <c r="U347" i="1" s="1"/>
  <c r="Q347" i="1"/>
  <c r="T264" i="1"/>
  <c r="U264" i="1" s="1"/>
  <c r="Q264" i="1"/>
  <c r="V194" i="1"/>
  <c r="W194" i="1" s="1"/>
  <c r="S319" i="1"/>
  <c r="S104" i="1"/>
  <c r="T447" i="1"/>
  <c r="U447" i="1" s="1"/>
  <c r="Q447" i="1"/>
  <c r="T375" i="1"/>
  <c r="U375" i="1" s="1"/>
  <c r="Q375" i="1"/>
  <c r="T306" i="1"/>
  <c r="U306" i="1" s="1"/>
  <c r="Q306" i="1"/>
  <c r="T212" i="1"/>
  <c r="U212" i="1" s="1"/>
  <c r="Q212" i="1"/>
  <c r="T128" i="1"/>
  <c r="U128" i="1" s="1"/>
  <c r="Q128" i="1"/>
  <c r="T9" i="1"/>
  <c r="U9" i="1" s="1"/>
  <c r="Q9" i="1"/>
  <c r="S398" i="1"/>
  <c r="S329" i="1"/>
  <c r="S258" i="1"/>
  <c r="S187" i="1"/>
  <c r="S115" i="1"/>
  <c r="S20" i="1"/>
  <c r="S433" i="1"/>
  <c r="S362" i="1"/>
  <c r="T280" i="1"/>
  <c r="U280" i="1" s="1"/>
  <c r="Q280" i="1"/>
  <c r="S174" i="1"/>
  <c r="S102" i="1"/>
  <c r="S7" i="1"/>
  <c r="S408" i="1"/>
  <c r="S291" i="1"/>
  <c r="S221" i="1"/>
  <c r="S137" i="1"/>
  <c r="S53" i="1"/>
  <c r="S155" i="1"/>
  <c r="S419" i="1"/>
  <c r="S255" i="1"/>
  <c r="S160" i="1"/>
  <c r="S88" i="1"/>
  <c r="Q192" i="1"/>
  <c r="T192" i="1"/>
  <c r="U192" i="1" s="1"/>
  <c r="Q60" i="1"/>
  <c r="T60" i="1"/>
  <c r="U60" i="1" s="1"/>
  <c r="S134" i="1"/>
  <c r="S62" i="1"/>
  <c r="S95" i="1"/>
  <c r="S323" i="1"/>
  <c r="S252" i="1"/>
  <c r="S121" i="1"/>
  <c r="S49" i="1"/>
  <c r="S297" i="1"/>
  <c r="S296" i="1"/>
  <c r="S202" i="1"/>
  <c r="S118" i="1"/>
  <c r="S35" i="1"/>
  <c r="S353" i="1"/>
  <c r="S237" i="1"/>
  <c r="S141" i="1"/>
  <c r="S34" i="1"/>
  <c r="T400" i="1"/>
  <c r="U400" i="1" s="1"/>
  <c r="Q400" i="1"/>
  <c r="T391" i="1"/>
  <c r="Q391" i="1"/>
  <c r="Q286" i="1"/>
  <c r="T286" i="1"/>
  <c r="T442" i="1"/>
  <c r="Q442" i="1"/>
  <c r="T406" i="1"/>
  <c r="U406" i="1" s="1"/>
  <c r="Q406" i="1"/>
  <c r="T28" i="1"/>
  <c r="Q28" i="1"/>
  <c r="T16" i="1"/>
  <c r="Q16" i="1"/>
  <c r="T107" i="1"/>
  <c r="Q107" i="1"/>
  <c r="S200" i="1"/>
  <c r="T283" i="1"/>
  <c r="Q283" i="1"/>
  <c r="S194" i="1"/>
  <c r="T302" i="1"/>
  <c r="Q302" i="1"/>
  <c r="T198" i="1"/>
  <c r="U198" i="1" s="1"/>
  <c r="Q198" i="1"/>
  <c r="Q91" i="1"/>
  <c r="T91" i="1"/>
  <c r="Q386" i="1"/>
  <c r="T386" i="1"/>
  <c r="Q246" i="1"/>
  <c r="T246" i="1"/>
  <c r="Q175" i="1"/>
  <c r="T175" i="1"/>
  <c r="Q103" i="1"/>
  <c r="T103" i="1"/>
  <c r="Q8" i="1"/>
  <c r="T8" i="1"/>
  <c r="T257" i="1"/>
  <c r="Q257" i="1"/>
  <c r="Q90" i="1"/>
  <c r="T90" i="1"/>
  <c r="T384" i="1"/>
  <c r="Q384" i="1"/>
  <c r="T279" i="1"/>
  <c r="Q279" i="1"/>
  <c r="T209" i="1"/>
  <c r="Q209" i="1"/>
  <c r="T125" i="1"/>
  <c r="Q125" i="1"/>
  <c r="Q30" i="1"/>
  <c r="T30" i="1"/>
  <c r="T131" i="1"/>
  <c r="Q131" i="1"/>
  <c r="T407" i="1"/>
  <c r="Q407" i="1"/>
  <c r="T243" i="1"/>
  <c r="Q243" i="1"/>
  <c r="T148" i="1"/>
  <c r="Q148" i="1"/>
  <c r="T76" i="1"/>
  <c r="Q76" i="1"/>
  <c r="T180" i="1"/>
  <c r="Q180" i="1"/>
  <c r="Q48" i="1"/>
  <c r="T48" i="1"/>
  <c r="T122" i="1"/>
  <c r="Q122" i="1"/>
  <c r="T50" i="1"/>
  <c r="Q50" i="1"/>
  <c r="Q59" i="1"/>
  <c r="T59" i="1"/>
  <c r="Q311" i="1"/>
  <c r="T311" i="1"/>
  <c r="Q240" i="1"/>
  <c r="T240" i="1"/>
  <c r="Q181" i="1"/>
  <c r="T181" i="1"/>
  <c r="Q109" i="1"/>
  <c r="T109" i="1"/>
  <c r="Q38" i="1"/>
  <c r="T38" i="1"/>
  <c r="T227" i="1"/>
  <c r="Q227" i="1"/>
  <c r="T272" i="1"/>
  <c r="Q272" i="1"/>
  <c r="T190" i="1"/>
  <c r="Q190" i="1"/>
  <c r="T94" i="1"/>
  <c r="Q94" i="1"/>
  <c r="Q23" i="1"/>
  <c r="T23" i="1"/>
  <c r="T331" i="1"/>
  <c r="Q331" i="1"/>
  <c r="T225" i="1"/>
  <c r="Q225" i="1"/>
  <c r="T129" i="1"/>
  <c r="Q129" i="1"/>
  <c r="T106" i="1"/>
  <c r="U106" i="1" s="1"/>
  <c r="Q106" i="1"/>
  <c r="T218" i="1"/>
  <c r="U218" i="1" s="1"/>
  <c r="Q218" i="1"/>
  <c r="Q392" i="1"/>
  <c r="T392" i="1"/>
  <c r="U392" i="1" s="1"/>
  <c r="Q43" i="1"/>
  <c r="T43" i="1"/>
  <c r="U43" i="1" s="1"/>
  <c r="T112" i="1"/>
  <c r="U112" i="1" s="1"/>
  <c r="Q112" i="1"/>
  <c r="Q96" i="1"/>
  <c r="T96" i="1"/>
  <c r="U96" i="1" s="1"/>
  <c r="T226" i="1"/>
  <c r="U226" i="1" s="1"/>
  <c r="Q226" i="1"/>
  <c r="S391" i="1"/>
  <c r="S286" i="1"/>
  <c r="T234" i="1"/>
  <c r="U234" i="1" s="1"/>
  <c r="Q234" i="1"/>
  <c r="U403" i="1"/>
  <c r="V403" i="1" s="1"/>
  <c r="W403" i="1" s="1"/>
  <c r="S442" i="1"/>
  <c r="T448" i="1"/>
  <c r="U448" i="1" s="1"/>
  <c r="Q448" i="1"/>
  <c r="S28" i="1"/>
  <c r="U444" i="1"/>
  <c r="V444" i="1" s="1"/>
  <c r="W444" i="1" s="1"/>
  <c r="T231" i="1"/>
  <c r="U231" i="1" s="1"/>
  <c r="Q231" i="1"/>
  <c r="T418" i="1"/>
  <c r="U418" i="1" s="1"/>
  <c r="Q418" i="1"/>
  <c r="S16" i="1"/>
  <c r="V381" i="1"/>
  <c r="W381" i="1" s="1"/>
  <c r="S107" i="1"/>
  <c r="T158" i="1"/>
  <c r="U158" i="1" s="1"/>
  <c r="Q158" i="1"/>
  <c r="T219" i="1"/>
  <c r="U219" i="1" s="1"/>
  <c r="Q219" i="1"/>
  <c r="S283" i="1"/>
  <c r="T417" i="1"/>
  <c r="U417" i="1" s="1"/>
  <c r="Q417" i="1"/>
  <c r="S336" i="1"/>
  <c r="S253" i="1"/>
  <c r="S302" i="1"/>
  <c r="T182" i="1"/>
  <c r="U182" i="1" s="1"/>
  <c r="Q182" i="1"/>
  <c r="S91" i="1"/>
  <c r="Q428" i="1"/>
  <c r="T428" i="1"/>
  <c r="U428" i="1" s="1"/>
  <c r="T435" i="1"/>
  <c r="U435" i="1" s="1"/>
  <c r="Q435" i="1"/>
  <c r="T364" i="1"/>
  <c r="U364" i="1" s="1"/>
  <c r="Q364" i="1"/>
  <c r="T294" i="1"/>
  <c r="U294" i="1" s="1"/>
  <c r="Q294" i="1"/>
  <c r="T188" i="1"/>
  <c r="U188" i="1" s="1"/>
  <c r="Q188" i="1"/>
  <c r="T116" i="1"/>
  <c r="U116" i="1" s="1"/>
  <c r="Q116" i="1"/>
  <c r="Q446" i="1"/>
  <c r="T446" i="1"/>
  <c r="S386" i="1"/>
  <c r="Q317" i="1"/>
  <c r="T317" i="1"/>
  <c r="U317" i="1" s="1"/>
  <c r="S246" i="1"/>
  <c r="S175" i="1"/>
  <c r="S103" i="1"/>
  <c r="S8" i="1"/>
  <c r="T421" i="1"/>
  <c r="U421" i="1" s="1"/>
  <c r="Q421" i="1"/>
  <c r="Q350" i="1"/>
  <c r="T350" i="1"/>
  <c r="U350" i="1" s="1"/>
  <c r="S257" i="1"/>
  <c r="T162" i="1"/>
  <c r="U162" i="1" s="1"/>
  <c r="Q162" i="1"/>
  <c r="S90" i="1"/>
  <c r="Q261" i="1"/>
  <c r="T261" i="1"/>
  <c r="U261" i="1" s="1"/>
  <c r="S384" i="1"/>
  <c r="S279" i="1"/>
  <c r="S209" i="1"/>
  <c r="S125" i="1"/>
  <c r="S30" i="1"/>
  <c r="S131" i="1"/>
  <c r="S407" i="1"/>
  <c r="S243" i="1"/>
  <c r="S148" i="1"/>
  <c r="S76" i="1"/>
  <c r="S180" i="1"/>
  <c r="S48" i="1"/>
  <c r="S122" i="1"/>
  <c r="S50" i="1"/>
  <c r="S59" i="1"/>
  <c r="S311" i="1"/>
  <c r="S240" i="1"/>
  <c r="S181" i="1"/>
  <c r="S109" i="1"/>
  <c r="S38" i="1"/>
  <c r="S227" i="1"/>
  <c r="S272" i="1"/>
  <c r="S190" i="1"/>
  <c r="S94" i="1"/>
  <c r="S23" i="1"/>
  <c r="S331" i="1"/>
  <c r="S225" i="1"/>
  <c r="S129" i="1"/>
  <c r="V22" i="1"/>
  <c r="W22" i="1" s="1"/>
  <c r="T58" i="1"/>
  <c r="U58" i="1" s="1"/>
  <c r="Q58" i="1"/>
  <c r="T172" i="1"/>
  <c r="Q172" i="1"/>
  <c r="T285" i="1"/>
  <c r="Q285" i="1"/>
  <c r="Q378" i="1"/>
  <c r="T378" i="1"/>
  <c r="U378" i="1" s="1"/>
  <c r="T337" i="1"/>
  <c r="Q337" i="1"/>
  <c r="Q437" i="1"/>
  <c r="T437" i="1"/>
  <c r="U437" i="1" s="1"/>
  <c r="T343" i="1"/>
  <c r="U343" i="1" s="1"/>
  <c r="Q343" i="1"/>
  <c r="Q359" i="1"/>
  <c r="T359" i="1"/>
  <c r="T247" i="1"/>
  <c r="U247" i="1" s="1"/>
  <c r="Q247" i="1"/>
  <c r="Q13" i="1"/>
  <c r="T13" i="1"/>
  <c r="U13" i="1" s="1"/>
  <c r="T81" i="1"/>
  <c r="Q81" i="1"/>
  <c r="T248" i="1"/>
  <c r="Q248" i="1"/>
  <c r="T324" i="1"/>
  <c r="Q324" i="1"/>
  <c r="T241" i="1"/>
  <c r="Q241" i="1"/>
  <c r="Q369" i="1"/>
  <c r="T369" i="1"/>
  <c r="U369" i="1" s="1"/>
  <c r="T282" i="1"/>
  <c r="Q282" i="1"/>
  <c r="S78" i="1"/>
  <c r="Q416" i="1"/>
  <c r="T416" i="1"/>
  <c r="Q374" i="1"/>
  <c r="T374" i="1"/>
  <c r="Q305" i="1"/>
  <c r="T305" i="1"/>
  <c r="Q235" i="1"/>
  <c r="T235" i="1"/>
  <c r="Q163" i="1"/>
  <c r="T163" i="1"/>
  <c r="Q79" i="1"/>
  <c r="T79" i="1"/>
  <c r="T409" i="1"/>
  <c r="Q409" i="1"/>
  <c r="T339" i="1"/>
  <c r="Q339" i="1"/>
  <c r="T245" i="1"/>
  <c r="Q245" i="1"/>
  <c r="T150" i="1"/>
  <c r="Q150" i="1"/>
  <c r="Q66" i="1"/>
  <c r="T66" i="1"/>
  <c r="Q179" i="1"/>
  <c r="T179" i="1"/>
  <c r="T361" i="1"/>
  <c r="Q361" i="1"/>
  <c r="T267" i="1"/>
  <c r="Q267" i="1"/>
  <c r="T197" i="1"/>
  <c r="Q197" i="1"/>
  <c r="Q113" i="1"/>
  <c r="T113" i="1"/>
  <c r="Q83" i="1"/>
  <c r="T83" i="1"/>
  <c r="T220" i="1"/>
  <c r="Q220" i="1"/>
  <c r="T136" i="1"/>
  <c r="Q136" i="1"/>
  <c r="T64" i="1"/>
  <c r="Q64" i="1"/>
  <c r="T168" i="1"/>
  <c r="Q168" i="1"/>
  <c r="Q37" i="1"/>
  <c r="T37" i="1"/>
  <c r="T110" i="1"/>
  <c r="Q110" i="1"/>
  <c r="T27" i="1"/>
  <c r="Q27" i="1"/>
  <c r="Q12" i="1"/>
  <c r="T12" i="1"/>
  <c r="Q299" i="1"/>
  <c r="T299" i="1"/>
  <c r="Q229" i="1"/>
  <c r="T229" i="1"/>
  <c r="Q169" i="1"/>
  <c r="T169" i="1"/>
  <c r="Q97" i="1"/>
  <c r="T97" i="1"/>
  <c r="Q26" i="1"/>
  <c r="T26" i="1"/>
  <c r="T191" i="1"/>
  <c r="Q191" i="1"/>
  <c r="T260" i="1"/>
  <c r="Q260" i="1"/>
  <c r="T178" i="1"/>
  <c r="Q178" i="1"/>
  <c r="T82" i="1"/>
  <c r="Q82" i="1"/>
  <c r="Q11" i="1"/>
  <c r="T11" i="1"/>
  <c r="Q307" i="1"/>
  <c r="T307" i="1"/>
  <c r="T189" i="1"/>
  <c r="Q189" i="1"/>
  <c r="T105" i="1"/>
  <c r="Q105" i="1"/>
  <c r="Q344" i="1"/>
  <c r="T344" i="1"/>
  <c r="Q380" i="1"/>
  <c r="T380" i="1"/>
  <c r="U380" i="1" s="1"/>
  <c r="T161" i="1"/>
  <c r="U161" i="1" s="1"/>
  <c r="Q161" i="1"/>
  <c r="T290" i="1"/>
  <c r="U290" i="1" s="1"/>
  <c r="Q290" i="1"/>
  <c r="T86" i="1"/>
  <c r="U86" i="1" s="1"/>
  <c r="Q86" i="1"/>
  <c r="Q73" i="1"/>
  <c r="T73" i="1"/>
  <c r="U73" i="1" s="1"/>
  <c r="Q274" i="1"/>
  <c r="T274" i="1"/>
  <c r="U274" i="1" s="1"/>
  <c r="S172" i="1"/>
  <c r="T355" i="1"/>
  <c r="U355" i="1" s="1"/>
  <c r="Q355" i="1"/>
  <c r="U367" i="1"/>
  <c r="V367" i="1" s="1"/>
  <c r="W367" i="1" s="1"/>
  <c r="S337" i="1"/>
  <c r="T332" i="1"/>
  <c r="U332" i="1" s="1"/>
  <c r="Q332" i="1"/>
  <c r="S359" i="1"/>
  <c r="V439" i="1"/>
  <c r="W439" i="1" s="1"/>
  <c r="T393" i="1"/>
  <c r="Q393" i="1"/>
  <c r="T159" i="1"/>
  <c r="U159" i="1" s="1"/>
  <c r="Q159" i="1"/>
  <c r="Q440" i="1"/>
  <c r="T440" i="1"/>
  <c r="U440" i="1" s="1"/>
  <c r="S348" i="1"/>
  <c r="T216" i="1"/>
  <c r="U216" i="1" s="1"/>
  <c r="Q216" i="1"/>
  <c r="V427" i="1"/>
  <c r="W427" i="1" s="1"/>
  <c r="S81" i="1"/>
  <c r="T93" i="1"/>
  <c r="U93" i="1" s="1"/>
  <c r="Q93" i="1"/>
  <c r="T135" i="1"/>
  <c r="U135" i="1" s="1"/>
  <c r="Q135" i="1"/>
  <c r="S248" i="1"/>
  <c r="T405" i="1"/>
  <c r="U405" i="1" s="1"/>
  <c r="Q405" i="1"/>
  <c r="S324" i="1"/>
  <c r="S241" i="1"/>
  <c r="Q436" i="1"/>
  <c r="T436" i="1"/>
  <c r="U436" i="1" s="1"/>
  <c r="S282" i="1"/>
  <c r="T156" i="1"/>
  <c r="U156" i="1" s="1"/>
  <c r="Q156" i="1"/>
  <c r="Q65" i="1"/>
  <c r="T65" i="1"/>
  <c r="U65" i="1" s="1"/>
  <c r="S416" i="1"/>
  <c r="T423" i="1"/>
  <c r="U423" i="1" s="1"/>
  <c r="Q423" i="1"/>
  <c r="T352" i="1"/>
  <c r="U352" i="1" s="1"/>
  <c r="Q352" i="1"/>
  <c r="T270" i="1"/>
  <c r="U270" i="1" s="1"/>
  <c r="Q270" i="1"/>
  <c r="T176" i="1"/>
  <c r="U176" i="1" s="1"/>
  <c r="Q176" i="1"/>
  <c r="T56" i="1"/>
  <c r="U56" i="1" s="1"/>
  <c r="Q56" i="1"/>
  <c r="S446" i="1"/>
  <c r="S374" i="1"/>
  <c r="S305" i="1"/>
  <c r="S235" i="1"/>
  <c r="S163" i="1"/>
  <c r="S79" i="1"/>
  <c r="Q84" i="1"/>
  <c r="T84" i="1"/>
  <c r="U84" i="1" s="1"/>
  <c r="S409" i="1"/>
  <c r="S339" i="1"/>
  <c r="U339" i="1" s="1"/>
  <c r="S245" i="1"/>
  <c r="S150" i="1"/>
  <c r="S66" i="1"/>
  <c r="S179" i="1"/>
  <c r="S361" i="1"/>
  <c r="S267" i="1"/>
  <c r="S197" i="1"/>
  <c r="S113" i="1"/>
  <c r="Q18" i="1"/>
  <c r="T18" i="1"/>
  <c r="U18" i="1" s="1"/>
  <c r="S83" i="1"/>
  <c r="T395" i="1"/>
  <c r="U395" i="1" s="1"/>
  <c r="Q395" i="1"/>
  <c r="Q326" i="1"/>
  <c r="T326" i="1"/>
  <c r="U326" i="1" s="1"/>
  <c r="S220" i="1"/>
  <c r="S136" i="1"/>
  <c r="S64" i="1"/>
  <c r="S168" i="1"/>
  <c r="S37" i="1"/>
  <c r="S110" i="1"/>
  <c r="S27" i="1"/>
  <c r="S12" i="1"/>
  <c r="S299" i="1"/>
  <c r="S229" i="1"/>
  <c r="S169" i="1"/>
  <c r="S97" i="1"/>
  <c r="S26" i="1"/>
  <c r="S191" i="1"/>
  <c r="S260" i="1"/>
  <c r="S178" i="1"/>
  <c r="S82" i="1"/>
  <c r="S11" i="1"/>
  <c r="S307" i="1"/>
  <c r="S189" i="1"/>
  <c r="S105" i="1"/>
  <c r="S22" i="1"/>
  <c r="Q422" i="1"/>
  <c r="T422" i="1"/>
  <c r="U422" i="1" s="1"/>
  <c r="T244" i="1"/>
  <c r="U244" i="1" s="1"/>
  <c r="Q244" i="1"/>
  <c r="T443" i="1"/>
  <c r="U443" i="1" s="1"/>
  <c r="Q443" i="1"/>
  <c r="Q17" i="1"/>
  <c r="T17" i="1"/>
  <c r="U17" i="1" s="1"/>
  <c r="Q145" i="1"/>
  <c r="T145" i="1"/>
  <c r="U145" i="1" s="1"/>
  <c r="T130" i="1"/>
  <c r="U130" i="1" s="1"/>
  <c r="Q130" i="1"/>
  <c r="T356" i="1"/>
  <c r="Q356" i="1"/>
  <c r="T119" i="1"/>
  <c r="Q119" i="1"/>
  <c r="T401" i="1"/>
  <c r="Q401" i="1"/>
  <c r="T99" i="1"/>
  <c r="Q99" i="1"/>
  <c r="U254" i="1"/>
  <c r="V254" i="1" s="1"/>
  <c r="W254" i="1" s="1"/>
  <c r="Q67" i="1"/>
  <c r="T67" i="1"/>
  <c r="T453" i="1"/>
  <c r="U453" i="1" s="1"/>
  <c r="Q453" i="1"/>
  <c r="T304" i="1"/>
  <c r="Q304" i="1"/>
  <c r="T265" i="1"/>
  <c r="Q265" i="1"/>
  <c r="S285" i="1"/>
  <c r="T68" i="1"/>
  <c r="Q68" i="1"/>
  <c r="T144" i="1"/>
  <c r="Q144" i="1"/>
  <c r="T312" i="1"/>
  <c r="Q312" i="1"/>
  <c r="T230" i="1"/>
  <c r="Q230" i="1"/>
  <c r="T266" i="1"/>
  <c r="Q266" i="1"/>
  <c r="Q404" i="1"/>
  <c r="T404" i="1"/>
  <c r="Q434" i="1"/>
  <c r="T434" i="1"/>
  <c r="Q363" i="1"/>
  <c r="T363" i="1"/>
  <c r="Q293" i="1"/>
  <c r="T293" i="1"/>
  <c r="Q223" i="1"/>
  <c r="T223" i="1"/>
  <c r="Q151" i="1"/>
  <c r="T151" i="1"/>
  <c r="Q55" i="1"/>
  <c r="T55" i="1"/>
  <c r="T397" i="1"/>
  <c r="Q397" i="1"/>
  <c r="T328" i="1"/>
  <c r="Q328" i="1"/>
  <c r="T222" i="1"/>
  <c r="Q222" i="1"/>
  <c r="Q71" i="1"/>
  <c r="T71" i="1"/>
  <c r="Q256" i="1"/>
  <c r="T256" i="1"/>
  <c r="Q173" i="1"/>
  <c r="T173" i="1"/>
  <c r="T101" i="1"/>
  <c r="Q101" i="1"/>
  <c r="Q24" i="1"/>
  <c r="T24" i="1"/>
  <c r="T383" i="1"/>
  <c r="Q383" i="1"/>
  <c r="T314" i="1"/>
  <c r="Q314" i="1"/>
  <c r="T208" i="1"/>
  <c r="Q208" i="1"/>
  <c r="T124" i="1"/>
  <c r="Q124" i="1"/>
  <c r="T41" i="1"/>
  <c r="Q41" i="1"/>
  <c r="T108" i="1"/>
  <c r="Q108" i="1"/>
  <c r="T98" i="1"/>
  <c r="Q98" i="1"/>
  <c r="Q3" i="1"/>
  <c r="T3" i="1"/>
  <c r="Q85" i="1"/>
  <c r="T85" i="1"/>
  <c r="Q14" i="1"/>
  <c r="T14" i="1"/>
  <c r="Q47" i="1"/>
  <c r="T47" i="1"/>
  <c r="T166" i="1"/>
  <c r="Q166" i="1"/>
  <c r="T70" i="1"/>
  <c r="Q70" i="1"/>
  <c r="T424" i="1"/>
  <c r="Q424" i="1"/>
  <c r="T295" i="1"/>
  <c r="Q295" i="1"/>
  <c r="T177" i="1"/>
  <c r="Q177" i="1"/>
  <c r="T69" i="1"/>
  <c r="Q69" i="1"/>
  <c r="T10" i="1"/>
  <c r="Q10" i="1"/>
  <c r="T2" i="1"/>
  <c r="U2" i="1" s="1"/>
  <c r="Q2" i="1"/>
  <c r="U451" i="1"/>
  <c r="V451" i="1" s="1"/>
  <c r="W451" i="1" s="1"/>
  <c r="S356" i="1"/>
  <c r="S119" i="1"/>
  <c r="T450" i="1"/>
  <c r="U450" i="1" s="1"/>
  <c r="Q450" i="1"/>
  <c r="S344" i="1"/>
  <c r="S99" i="1"/>
  <c r="S401" i="1"/>
  <c r="U320" i="1"/>
  <c r="V320" i="1" s="1"/>
  <c r="W320" i="1" s="1"/>
  <c r="T147" i="1"/>
  <c r="U147" i="1" s="1"/>
  <c r="Q147" i="1"/>
  <c r="S67" i="1"/>
  <c r="Q29" i="1"/>
  <c r="T29" i="1"/>
  <c r="U29" i="1" s="1"/>
  <c r="S304" i="1"/>
  <c r="T51" i="1"/>
  <c r="U51" i="1" s="1"/>
  <c r="Q51" i="1"/>
  <c r="Q396" i="1"/>
  <c r="T396" i="1"/>
  <c r="U396" i="1" s="1"/>
  <c r="S265" i="1"/>
  <c r="T250" i="1"/>
  <c r="U250" i="1" s="1"/>
  <c r="Q250" i="1"/>
  <c r="S68" i="1"/>
  <c r="Q54" i="1"/>
  <c r="T54" i="1"/>
  <c r="U54" i="1" s="1"/>
  <c r="T75" i="1"/>
  <c r="U75" i="1" s="1"/>
  <c r="Q75" i="1"/>
  <c r="S144" i="1"/>
  <c r="S393" i="1"/>
  <c r="S312" i="1"/>
  <c r="S230" i="1"/>
  <c r="S412" i="1"/>
  <c r="S266" i="1"/>
  <c r="T143" i="1"/>
  <c r="U143" i="1" s="1"/>
  <c r="Q143" i="1"/>
  <c r="T52" i="1"/>
  <c r="U52" i="1" s="1"/>
  <c r="Q52" i="1"/>
  <c r="S404" i="1"/>
  <c r="T411" i="1"/>
  <c r="U411" i="1" s="1"/>
  <c r="Q411" i="1"/>
  <c r="T341" i="1"/>
  <c r="U341" i="1" s="1"/>
  <c r="Q341" i="1"/>
  <c r="T259" i="1"/>
  <c r="U259" i="1" s="1"/>
  <c r="Q259" i="1"/>
  <c r="T164" i="1"/>
  <c r="U164" i="1" s="1"/>
  <c r="Q164" i="1"/>
  <c r="T44" i="1"/>
  <c r="U44" i="1" s="1"/>
  <c r="Q44" i="1"/>
  <c r="S434" i="1"/>
  <c r="S363" i="1"/>
  <c r="S293" i="1"/>
  <c r="S223" i="1"/>
  <c r="S151" i="1"/>
  <c r="S55" i="1"/>
  <c r="Q25" i="1"/>
  <c r="T25" i="1"/>
  <c r="U25" i="1" s="1"/>
  <c r="S397" i="1"/>
  <c r="S328" i="1"/>
  <c r="S222" i="1"/>
  <c r="T138" i="1"/>
  <c r="U138" i="1" s="1"/>
  <c r="Q138" i="1"/>
  <c r="S71" i="1"/>
  <c r="T338" i="1"/>
  <c r="U338" i="1" s="1"/>
  <c r="Q338" i="1"/>
  <c r="S256" i="1"/>
  <c r="S173" i="1"/>
  <c r="S101" i="1"/>
  <c r="Q6" i="1"/>
  <c r="T6" i="1"/>
  <c r="U6" i="1" s="1"/>
  <c r="S24" i="1"/>
  <c r="S383" i="1"/>
  <c r="S314" i="1"/>
  <c r="S208" i="1"/>
  <c r="S124" i="1"/>
  <c r="S41" i="1"/>
  <c r="S108" i="1"/>
  <c r="S98" i="1"/>
  <c r="S3" i="1"/>
  <c r="Q357" i="1"/>
  <c r="T357" i="1"/>
  <c r="U357" i="1" s="1"/>
  <c r="Q287" i="1"/>
  <c r="T287" i="1"/>
  <c r="U287" i="1" s="1"/>
  <c r="Q217" i="1"/>
  <c r="T217" i="1"/>
  <c r="U217" i="1" s="1"/>
  <c r="Q157" i="1"/>
  <c r="T157" i="1"/>
  <c r="U157" i="1" s="1"/>
  <c r="S85" i="1"/>
  <c r="S14" i="1"/>
  <c r="S47" i="1"/>
  <c r="S166" i="1"/>
  <c r="S70" i="1"/>
  <c r="S424" i="1"/>
  <c r="S295" i="1"/>
  <c r="S177" i="1"/>
  <c r="S69" i="1"/>
  <c r="S10" i="1"/>
  <c r="U110" i="1" l="1"/>
  <c r="U32" i="1"/>
  <c r="U125" i="1"/>
  <c r="U230" i="1"/>
  <c r="U59" i="1"/>
  <c r="X394" i="1"/>
  <c r="X420" i="1"/>
  <c r="W239" i="1"/>
  <c r="X239" i="1" s="1"/>
  <c r="U227" i="1"/>
  <c r="V227" i="1" s="1"/>
  <c r="W227" i="1" s="1"/>
  <c r="U148" i="1"/>
  <c r="V148" i="1" s="1"/>
  <c r="W148" i="1" s="1"/>
  <c r="X368" i="1"/>
  <c r="X284" i="1"/>
  <c r="X427" i="1"/>
  <c r="X309" i="1"/>
  <c r="X379" i="1"/>
  <c r="X425" i="1"/>
  <c r="X322" i="1"/>
  <c r="X215" i="1"/>
  <c r="V334" i="1"/>
  <c r="W334" i="1" s="1"/>
  <c r="X262" i="1"/>
  <c r="X444" i="1"/>
  <c r="X301" i="1"/>
  <c r="X414" i="1"/>
  <c r="X439" i="1"/>
  <c r="X438" i="1"/>
  <c r="X413" i="1"/>
  <c r="X321" i="1"/>
  <c r="X403" i="1"/>
  <c r="X367" i="1"/>
  <c r="X451" i="1"/>
  <c r="X354" i="1"/>
  <c r="X426" i="1"/>
  <c r="X207" i="1"/>
  <c r="X381" i="1"/>
  <c r="X298" i="1"/>
  <c r="X254" i="1"/>
  <c r="X320" i="1"/>
  <c r="U8" i="1"/>
  <c r="V8" i="1" s="1"/>
  <c r="W8" i="1" s="1"/>
  <c r="U349" i="1"/>
  <c r="V349" i="1" s="1"/>
  <c r="W349" i="1" s="1"/>
  <c r="U401" i="1"/>
  <c r="V401" i="1" s="1"/>
  <c r="W401" i="1" s="1"/>
  <c r="U169" i="1"/>
  <c r="V169" i="1" s="1"/>
  <c r="W169" i="1" s="1"/>
  <c r="U285" i="1"/>
  <c r="V285" i="1" s="1"/>
  <c r="U324" i="1"/>
  <c r="V324" i="1" s="1"/>
  <c r="W324" i="1" s="1"/>
  <c r="U267" i="1"/>
  <c r="V267" i="1" s="1"/>
  <c r="W267" i="1" s="1"/>
  <c r="U391" i="1"/>
  <c r="V391" i="1" s="1"/>
  <c r="W391" i="1" s="1"/>
  <c r="U76" i="1"/>
  <c r="V76" i="1" s="1"/>
  <c r="W76" i="1" s="1"/>
  <c r="U297" i="1"/>
  <c r="V297" i="1" s="1"/>
  <c r="W297" i="1" s="1"/>
  <c r="U237" i="1"/>
  <c r="V237" i="1" s="1"/>
  <c r="W237" i="1" s="1"/>
  <c r="U62" i="1"/>
  <c r="V62" i="1" s="1"/>
  <c r="W62" i="1" s="1"/>
  <c r="U292" i="1"/>
  <c r="V292" i="1" s="1"/>
  <c r="W292" i="1" s="1"/>
  <c r="U363" i="1"/>
  <c r="V363" i="1" s="1"/>
  <c r="W363" i="1" s="1"/>
  <c r="U140" i="1"/>
  <c r="V140" i="1" s="1"/>
  <c r="W140" i="1" s="1"/>
  <c r="U78" i="1"/>
  <c r="V78" i="1" s="1"/>
  <c r="W78" i="1" s="1"/>
  <c r="U253" i="1"/>
  <c r="V253" i="1" s="1"/>
  <c r="W253" i="1" s="1"/>
  <c r="U14" i="1"/>
  <c r="V14" i="1" s="1"/>
  <c r="W14" i="1" s="1"/>
  <c r="U242" i="1"/>
  <c r="V242" i="1" s="1"/>
  <c r="U252" i="1"/>
  <c r="V252" i="1" s="1"/>
  <c r="W252" i="1" s="1"/>
  <c r="U366" i="1"/>
  <c r="V366" i="1" s="1"/>
  <c r="W366" i="1" s="1"/>
  <c r="U20" i="1"/>
  <c r="V20" i="1" s="1"/>
  <c r="W20" i="1" s="1"/>
  <c r="U220" i="1"/>
  <c r="V220" i="1" s="1"/>
  <c r="W220" i="1" s="1"/>
  <c r="U11" i="1"/>
  <c r="V11" i="1" s="1"/>
  <c r="W11" i="1" s="1"/>
  <c r="U225" i="1"/>
  <c r="U197" i="1"/>
  <c r="V197" i="1" s="1"/>
  <c r="W197" i="1" s="1"/>
  <c r="U108" i="1"/>
  <c r="V108" i="1" s="1"/>
  <c r="W108" i="1" s="1"/>
  <c r="U245" i="1"/>
  <c r="V245" i="1" s="1"/>
  <c r="W245" i="1" s="1"/>
  <c r="U307" i="1"/>
  <c r="V307" i="1" s="1"/>
  <c r="W307" i="1" s="1"/>
  <c r="U107" i="1"/>
  <c r="V107" i="1" s="1"/>
  <c r="W107" i="1" s="1"/>
  <c r="U255" i="1"/>
  <c r="V255" i="1" s="1"/>
  <c r="W255" i="1" s="1"/>
  <c r="U26" i="1"/>
  <c r="V26" i="1" s="1"/>
  <c r="W26" i="1" s="1"/>
  <c r="U286" i="1"/>
  <c r="V286" i="1" s="1"/>
  <c r="W286" i="1" s="1"/>
  <c r="U314" i="1"/>
  <c r="V314" i="1" s="1"/>
  <c r="W314" i="1" s="1"/>
  <c r="U248" i="1"/>
  <c r="U434" i="1"/>
  <c r="V434" i="1" s="1"/>
  <c r="W434" i="1" s="1"/>
  <c r="U199" i="1"/>
  <c r="V199" i="1" s="1"/>
  <c r="W199" i="1" s="1"/>
  <c r="U424" i="1"/>
  <c r="V424" i="1" s="1"/>
  <c r="W424" i="1" s="1"/>
  <c r="U409" i="1"/>
  <c r="V409" i="1" s="1"/>
  <c r="W409" i="1" s="1"/>
  <c r="U27" i="1"/>
  <c r="V27" i="1" s="1"/>
  <c r="W27" i="1" s="1"/>
  <c r="U144" i="1"/>
  <c r="V144" i="1" s="1"/>
  <c r="W144" i="1" s="1"/>
  <c r="U136" i="1"/>
  <c r="V136" i="1" s="1"/>
  <c r="W136" i="1" s="1"/>
  <c r="U361" i="1"/>
  <c r="V361" i="1" s="1"/>
  <c r="W361" i="1" s="1"/>
  <c r="U412" i="1"/>
  <c r="V412" i="1" s="1"/>
  <c r="W412" i="1" s="1"/>
  <c r="U243" i="1"/>
  <c r="V243" i="1" s="1"/>
  <c r="W243" i="1" s="1"/>
  <c r="U109" i="1"/>
  <c r="V109" i="1" s="1"/>
  <c r="W109" i="1" s="1"/>
  <c r="U23" i="1"/>
  <c r="V23" i="1" s="1"/>
  <c r="W23" i="1" s="1"/>
  <c r="U142" i="1"/>
  <c r="V142" i="1" s="1"/>
  <c r="W142" i="1" s="1"/>
  <c r="U70" i="1"/>
  <c r="V70" i="1" s="1"/>
  <c r="W70" i="1" s="1"/>
  <c r="U53" i="1"/>
  <c r="V53" i="1" s="1"/>
  <c r="W53" i="1" s="1"/>
  <c r="U310" i="1"/>
  <c r="V310" i="1" s="1"/>
  <c r="W310" i="1" s="1"/>
  <c r="U186" i="1"/>
  <c r="V186" i="1" s="1"/>
  <c r="W186" i="1" s="1"/>
  <c r="U408" i="1"/>
  <c r="V408" i="1" s="1"/>
  <c r="W408" i="1" s="1"/>
  <c r="U331" i="1"/>
  <c r="V331" i="1" s="1"/>
  <c r="W331" i="1" s="1"/>
  <c r="U50" i="1"/>
  <c r="V50" i="1" s="1"/>
  <c r="W50" i="1" s="1"/>
  <c r="U302" i="1"/>
  <c r="V302" i="1" s="1"/>
  <c r="W302" i="1" s="1"/>
  <c r="U74" i="1"/>
  <c r="V74" i="1" s="1"/>
  <c r="W74" i="1" s="1"/>
  <c r="U200" i="1"/>
  <c r="V200" i="1" s="1"/>
  <c r="W200" i="1" s="1"/>
  <c r="U98" i="1"/>
  <c r="V98" i="1" s="1"/>
  <c r="W98" i="1" s="1"/>
  <c r="U151" i="1"/>
  <c r="V151" i="1" s="1"/>
  <c r="W151" i="1" s="1"/>
  <c r="U393" i="1"/>
  <c r="V393" i="1" s="1"/>
  <c r="W393" i="1" s="1"/>
  <c r="U344" i="1"/>
  <c r="V344" i="1" s="1"/>
  <c r="W344" i="1" s="1"/>
  <c r="U175" i="1"/>
  <c r="V175" i="1" s="1"/>
  <c r="W175" i="1" s="1"/>
  <c r="U49" i="1"/>
  <c r="V49" i="1" s="1"/>
  <c r="W49" i="1" s="1"/>
  <c r="U323" i="1"/>
  <c r="V323" i="1" s="1"/>
  <c r="W323" i="1" s="1"/>
  <c r="U382" i="1"/>
  <c r="V382" i="1" s="1"/>
  <c r="W382" i="1" s="1"/>
  <c r="U77" i="1"/>
  <c r="V77" i="1" s="1"/>
  <c r="W77" i="1" s="1"/>
  <c r="U95" i="1"/>
  <c r="V95" i="1" s="1"/>
  <c r="W95" i="1" s="1"/>
  <c r="U419" i="1"/>
  <c r="V419" i="1" s="1"/>
  <c r="W419" i="1" s="1"/>
  <c r="U362" i="1"/>
  <c r="V362" i="1" s="1"/>
  <c r="W362" i="1" s="1"/>
  <c r="U72" i="1"/>
  <c r="V72" i="1" s="1"/>
  <c r="W72" i="1" s="1"/>
  <c r="U149" i="1"/>
  <c r="V149" i="1" s="1"/>
  <c r="W149" i="1" s="1"/>
  <c r="W277" i="1"/>
  <c r="W251" i="1"/>
  <c r="U146" i="1"/>
  <c r="V146" i="1" s="1"/>
  <c r="W146" i="1" s="1"/>
  <c r="U105" i="1"/>
  <c r="V105" i="1" s="1"/>
  <c r="U240" i="1"/>
  <c r="V240" i="1" s="1"/>
  <c r="U256" i="1"/>
  <c r="V256" i="1" s="1"/>
  <c r="W256" i="1" s="1"/>
  <c r="U55" i="1"/>
  <c r="V55" i="1" s="1"/>
  <c r="U155" i="1"/>
  <c r="V155" i="1" s="1"/>
  <c r="W155" i="1" s="1"/>
  <c r="U183" i="1"/>
  <c r="V183" i="1" s="1"/>
  <c r="W183" i="1" s="1"/>
  <c r="U223" i="1"/>
  <c r="V223" i="1" s="1"/>
  <c r="W223" i="1" s="1"/>
  <c r="U35" i="1"/>
  <c r="V35" i="1" s="1"/>
  <c r="W35" i="1" s="1"/>
  <c r="U432" i="1"/>
  <c r="V432" i="1" s="1"/>
  <c r="W432" i="1" s="1"/>
  <c r="U71" i="1"/>
  <c r="V71" i="1" s="1"/>
  <c r="W71" i="1" s="1"/>
  <c r="U279" i="1"/>
  <c r="V279" i="1" s="1"/>
  <c r="W279" i="1" s="1"/>
  <c r="U118" i="1"/>
  <c r="V118" i="1" s="1"/>
  <c r="W118" i="1" s="1"/>
  <c r="U187" i="1"/>
  <c r="V187" i="1" s="1"/>
  <c r="U10" i="1"/>
  <c r="V10" i="1" s="1"/>
  <c r="W10" i="1" s="1"/>
  <c r="U208" i="1"/>
  <c r="V208" i="1" s="1"/>
  <c r="W208" i="1" s="1"/>
  <c r="U163" i="1"/>
  <c r="V163" i="1" s="1"/>
  <c r="W163" i="1" s="1"/>
  <c r="U348" i="1"/>
  <c r="V348" i="1" s="1"/>
  <c r="W348" i="1" s="1"/>
  <c r="U94" i="1"/>
  <c r="V94" i="1" s="1"/>
  <c r="W94" i="1" s="1"/>
  <c r="U40" i="1"/>
  <c r="V40" i="1" s="1"/>
  <c r="U184" i="1"/>
  <c r="V184" i="1" s="1"/>
  <c r="U69" i="1"/>
  <c r="V69" i="1" s="1"/>
  <c r="W69" i="1" s="1"/>
  <c r="U260" i="1"/>
  <c r="V260" i="1" s="1"/>
  <c r="U336" i="1"/>
  <c r="U111" i="1"/>
  <c r="V111" i="1" s="1"/>
  <c r="U201" i="1"/>
  <c r="V201" i="1" s="1"/>
  <c r="U305" i="1"/>
  <c r="V305" i="1" s="1"/>
  <c r="W305" i="1" s="1"/>
  <c r="U272" i="1"/>
  <c r="V272" i="1" s="1"/>
  <c r="U7" i="1"/>
  <c r="V7" i="1" s="1"/>
  <c r="U276" i="1"/>
  <c r="V276" i="1" s="1"/>
  <c r="W276" i="1" s="1"/>
  <c r="U206" i="1"/>
  <c r="V206" i="1" s="1"/>
  <c r="W206" i="1" s="1"/>
  <c r="V332" i="1"/>
  <c r="W332" i="1" s="1"/>
  <c r="U90" i="1"/>
  <c r="V90" i="1" s="1"/>
  <c r="W90" i="1" s="1"/>
  <c r="U88" i="1"/>
  <c r="V88" i="1" s="1"/>
  <c r="U102" i="1"/>
  <c r="V102" i="1" s="1"/>
  <c r="W102" i="1" s="1"/>
  <c r="U104" i="1"/>
  <c r="V104" i="1" s="1"/>
  <c r="U446" i="1"/>
  <c r="V446" i="1" s="1"/>
  <c r="W446" i="1" s="1"/>
  <c r="U121" i="1"/>
  <c r="V121" i="1" s="1"/>
  <c r="W121" i="1" s="1"/>
  <c r="U160" i="1"/>
  <c r="V160" i="1" s="1"/>
  <c r="U174" i="1"/>
  <c r="V174" i="1" s="1"/>
  <c r="U120" i="1"/>
  <c r="V120" i="1" s="1"/>
  <c r="W120" i="1" s="1"/>
  <c r="U46" i="1"/>
  <c r="V46" i="1" s="1"/>
  <c r="W46" i="1" s="1"/>
  <c r="U167" i="1"/>
  <c r="V167" i="1" s="1"/>
  <c r="W167" i="1" s="1"/>
  <c r="U398" i="1"/>
  <c r="V398" i="1" s="1"/>
  <c r="W398" i="1" s="1"/>
  <c r="V132" i="1"/>
  <c r="W132" i="1" s="1"/>
  <c r="V327" i="1"/>
  <c r="W327" i="1" s="1"/>
  <c r="U295" i="1"/>
  <c r="V295" i="1" s="1"/>
  <c r="W295" i="1" s="1"/>
  <c r="U24" i="1"/>
  <c r="V24" i="1" s="1"/>
  <c r="U181" i="1"/>
  <c r="V181" i="1" s="1"/>
  <c r="W181" i="1" s="1"/>
  <c r="U21" i="1"/>
  <c r="V21" i="1" s="1"/>
  <c r="W21" i="1" s="1"/>
  <c r="U288" i="1"/>
  <c r="V288" i="1" s="1"/>
  <c r="U37" i="1"/>
  <c r="V37" i="1" s="1"/>
  <c r="W37" i="1" s="1"/>
  <c r="U113" i="1"/>
  <c r="V113" i="1" s="1"/>
  <c r="W113" i="1" s="1"/>
  <c r="U319" i="1"/>
  <c r="V319" i="1" s="1"/>
  <c r="U80" i="1"/>
  <c r="V80" i="1" s="1"/>
  <c r="U178" i="1"/>
  <c r="V178" i="1" s="1"/>
  <c r="W178" i="1" s="1"/>
  <c r="U168" i="1"/>
  <c r="V168" i="1" s="1"/>
  <c r="W168" i="1" s="1"/>
  <c r="U123" i="1"/>
  <c r="V123" i="1" s="1"/>
  <c r="W123" i="1" s="1"/>
  <c r="U203" i="1"/>
  <c r="V203" i="1" s="1"/>
  <c r="W203" i="1" s="1"/>
  <c r="U64" i="1"/>
  <c r="V64" i="1" s="1"/>
  <c r="U235" i="1"/>
  <c r="V235" i="1" s="1"/>
  <c r="W235" i="1" s="1"/>
  <c r="V182" i="1"/>
  <c r="W182" i="1" s="1"/>
  <c r="U3" i="1"/>
  <c r="V3" i="1" s="1"/>
  <c r="W3" i="1" s="1"/>
  <c r="U173" i="1"/>
  <c r="V173" i="1" s="1"/>
  <c r="W173" i="1" s="1"/>
  <c r="U265" i="1"/>
  <c r="V265" i="1" s="1"/>
  <c r="W265" i="1" s="1"/>
  <c r="U191" i="1"/>
  <c r="V191" i="1" s="1"/>
  <c r="W191" i="1" s="1"/>
  <c r="U209" i="1"/>
  <c r="V209" i="1" s="1"/>
  <c r="W209" i="1" s="1"/>
  <c r="U141" i="1"/>
  <c r="V141" i="1" s="1"/>
  <c r="U47" i="1"/>
  <c r="V47" i="1" s="1"/>
  <c r="U312" i="1"/>
  <c r="V312" i="1" s="1"/>
  <c r="U99" i="1"/>
  <c r="V99" i="1" s="1"/>
  <c r="W99" i="1" s="1"/>
  <c r="U374" i="1"/>
  <c r="V374" i="1" s="1"/>
  <c r="W374" i="1" s="1"/>
  <c r="U416" i="1"/>
  <c r="V416" i="1" s="1"/>
  <c r="W416" i="1" s="1"/>
  <c r="V159" i="1"/>
  <c r="W159" i="1" s="1"/>
  <c r="U172" i="1"/>
  <c r="V172" i="1" s="1"/>
  <c r="W172" i="1" s="1"/>
  <c r="U122" i="1"/>
  <c r="V122" i="1" s="1"/>
  <c r="U16" i="1"/>
  <c r="V16" i="1" s="1"/>
  <c r="W16" i="1" s="1"/>
  <c r="U433" i="1"/>
  <c r="V433" i="1" s="1"/>
  <c r="W433" i="1" s="1"/>
  <c r="U452" i="1"/>
  <c r="V452" i="1" s="1"/>
  <c r="W452" i="1" s="1"/>
  <c r="U171" i="1"/>
  <c r="V171" i="1" s="1"/>
  <c r="W171" i="1" s="1"/>
  <c r="U48" i="1"/>
  <c r="V48" i="1" s="1"/>
  <c r="U103" i="1"/>
  <c r="V103" i="1" s="1"/>
  <c r="W103" i="1" s="1"/>
  <c r="U85" i="1"/>
  <c r="V85" i="1" s="1"/>
  <c r="U115" i="1"/>
  <c r="V115" i="1" s="1"/>
  <c r="W115" i="1" s="1"/>
  <c r="U5" i="1"/>
  <c r="V5" i="1" s="1"/>
  <c r="W5" i="1" s="1"/>
  <c r="U269" i="1"/>
  <c r="V269" i="1" s="1"/>
  <c r="W269" i="1" s="1"/>
  <c r="U293" i="1"/>
  <c r="V293" i="1" s="1"/>
  <c r="W293" i="1" s="1"/>
  <c r="U246" i="1"/>
  <c r="V246" i="1" s="1"/>
  <c r="W246" i="1" s="1"/>
  <c r="U213" i="1"/>
  <c r="V213" i="1" s="1"/>
  <c r="W213" i="1" s="1"/>
  <c r="U100" i="1"/>
  <c r="V100" i="1" s="1"/>
  <c r="W100" i="1" s="1"/>
  <c r="U19" i="1"/>
  <c r="V19" i="1" s="1"/>
  <c r="W19" i="1" s="1"/>
  <c r="U340" i="1"/>
  <c r="V340" i="1" s="1"/>
  <c r="W340" i="1" s="1"/>
  <c r="U117" i="1"/>
  <c r="V117" i="1" s="1"/>
  <c r="W117" i="1" s="1"/>
  <c r="V333" i="1"/>
  <c r="W333" i="1" s="1"/>
  <c r="U119" i="1"/>
  <c r="V119" i="1" s="1"/>
  <c r="W119" i="1" s="1"/>
  <c r="U410" i="1"/>
  <c r="V410" i="1" s="1"/>
  <c r="V36" i="1"/>
  <c r="W36" i="1" s="1"/>
  <c r="V351" i="1"/>
  <c r="W351" i="1" s="1"/>
  <c r="U345" i="1"/>
  <c r="V345" i="1" s="1"/>
  <c r="W345" i="1" s="1"/>
  <c r="V341" i="1"/>
  <c r="W341" i="1" s="1"/>
  <c r="V453" i="1"/>
  <c r="W453" i="1" s="1"/>
  <c r="V18" i="1"/>
  <c r="W18" i="1" s="1"/>
  <c r="V84" i="1"/>
  <c r="W84" i="1" s="1"/>
  <c r="V436" i="1"/>
  <c r="W436" i="1" s="1"/>
  <c r="V216" i="1"/>
  <c r="W216" i="1" s="1"/>
  <c r="V188" i="1"/>
  <c r="W188" i="1" s="1"/>
  <c r="V9" i="1"/>
  <c r="W9" i="1" s="1"/>
  <c r="U249" i="1"/>
  <c r="V249" i="1" s="1"/>
  <c r="W249" i="1" s="1"/>
  <c r="V388" i="1"/>
  <c r="W388" i="1" s="1"/>
  <c r="V273" i="1"/>
  <c r="W273" i="1" s="1"/>
  <c r="U214" i="1"/>
  <c r="V214" i="1" s="1"/>
  <c r="W214" i="1" s="1"/>
  <c r="V126" i="1"/>
  <c r="W126" i="1" s="1"/>
  <c r="V33" i="1"/>
  <c r="W33" i="1" s="1"/>
  <c r="V232" i="1"/>
  <c r="W232" i="1" s="1"/>
  <c r="V270" i="1"/>
  <c r="W270" i="1" s="1"/>
  <c r="V338" i="1"/>
  <c r="W338" i="1" s="1"/>
  <c r="V396" i="1"/>
  <c r="W396" i="1" s="1"/>
  <c r="U82" i="1"/>
  <c r="V82" i="1" s="1"/>
  <c r="U79" i="1"/>
  <c r="V79" i="1" s="1"/>
  <c r="W79" i="1" s="1"/>
  <c r="V352" i="1"/>
  <c r="W352" i="1" s="1"/>
  <c r="U241" i="1"/>
  <c r="V241" i="1" s="1"/>
  <c r="U337" i="1"/>
  <c r="V337" i="1" s="1"/>
  <c r="W337" i="1" s="1"/>
  <c r="V290" i="1"/>
  <c r="W290" i="1" s="1"/>
  <c r="V247" i="1"/>
  <c r="W247" i="1" s="1"/>
  <c r="V378" i="1"/>
  <c r="W378" i="1" s="1"/>
  <c r="V234" i="1"/>
  <c r="W234" i="1" s="1"/>
  <c r="V406" i="1"/>
  <c r="W406" i="1" s="1"/>
  <c r="V400" i="1"/>
  <c r="W400" i="1" s="1"/>
  <c r="V316" i="1"/>
  <c r="W316" i="1" s="1"/>
  <c r="V342" i="1"/>
  <c r="W342" i="1" s="1"/>
  <c r="V308" i="1"/>
  <c r="W308" i="1" s="1"/>
  <c r="V185" i="1"/>
  <c r="W185" i="1" s="1"/>
  <c r="U41" i="1"/>
  <c r="V41" i="1" s="1"/>
  <c r="W41" i="1" s="1"/>
  <c r="V411" i="1"/>
  <c r="W411" i="1" s="1"/>
  <c r="V51" i="1"/>
  <c r="W51" i="1" s="1"/>
  <c r="V450" i="1"/>
  <c r="W450" i="1" s="1"/>
  <c r="U384" i="1"/>
  <c r="V384" i="1" s="1"/>
  <c r="W384" i="1" s="1"/>
  <c r="V294" i="1"/>
  <c r="W294" i="1" s="1"/>
  <c r="V418" i="1"/>
  <c r="W418" i="1" s="1"/>
  <c r="V43" i="1"/>
  <c r="W43" i="1" s="1"/>
  <c r="V225" i="1"/>
  <c r="W225" i="1" s="1"/>
  <c r="V280" i="1"/>
  <c r="W280" i="1" s="1"/>
  <c r="V128" i="1"/>
  <c r="W128" i="1" s="1"/>
  <c r="V271" i="1"/>
  <c r="W271" i="1" s="1"/>
  <c r="V389" i="1"/>
  <c r="W389" i="1" s="1"/>
  <c r="U233" i="1"/>
  <c r="V233" i="1" s="1"/>
  <c r="W233" i="1" s="1"/>
  <c r="V127" i="1"/>
  <c r="W127" i="1" s="1"/>
  <c r="V32" i="1"/>
  <c r="W32" i="1" s="1"/>
  <c r="V210" i="1"/>
  <c r="W210" i="1" s="1"/>
  <c r="V152" i="1"/>
  <c r="W152" i="1" s="1"/>
  <c r="V365" i="1"/>
  <c r="W365" i="1" s="1"/>
  <c r="V4" i="1"/>
  <c r="W4" i="1" s="1"/>
  <c r="U124" i="1"/>
  <c r="V124" i="1" s="1"/>
  <c r="W124" i="1" s="1"/>
  <c r="V75" i="1"/>
  <c r="W75" i="1" s="1"/>
  <c r="V130" i="1"/>
  <c r="W130" i="1" s="1"/>
  <c r="V422" i="1"/>
  <c r="W422" i="1" s="1"/>
  <c r="V423" i="1"/>
  <c r="W423" i="1" s="1"/>
  <c r="V405" i="1"/>
  <c r="W405" i="1" s="1"/>
  <c r="V355" i="1"/>
  <c r="W355" i="1" s="1"/>
  <c r="V161" i="1"/>
  <c r="W161" i="1" s="1"/>
  <c r="V248" i="1"/>
  <c r="W248" i="1" s="1"/>
  <c r="U190" i="1"/>
  <c r="V190" i="1" s="1"/>
  <c r="U180" i="1"/>
  <c r="V180" i="1" s="1"/>
  <c r="W180" i="1" s="1"/>
  <c r="V59" i="1"/>
  <c r="W59" i="1" s="1"/>
  <c r="U34" i="1"/>
  <c r="V34" i="1" s="1"/>
  <c r="V264" i="1"/>
  <c r="W264" i="1" s="1"/>
  <c r="V31" i="1"/>
  <c r="W31" i="1" s="1"/>
  <c r="V204" i="1"/>
  <c r="W204" i="1" s="1"/>
  <c r="U303" i="1"/>
  <c r="V303" i="1" s="1"/>
  <c r="W303" i="1" s="1"/>
  <c r="V165" i="1"/>
  <c r="W165" i="1" s="1"/>
  <c r="V157" i="1"/>
  <c r="W157" i="1" s="1"/>
  <c r="U404" i="1"/>
  <c r="V404" i="1" s="1"/>
  <c r="W404" i="1" s="1"/>
  <c r="U304" i="1"/>
  <c r="V304" i="1" s="1"/>
  <c r="W304" i="1" s="1"/>
  <c r="V440" i="1"/>
  <c r="W440" i="1" s="1"/>
  <c r="V261" i="1"/>
  <c r="W261" i="1" s="1"/>
  <c r="V364" i="1"/>
  <c r="W364" i="1" s="1"/>
  <c r="V417" i="1"/>
  <c r="W417" i="1" s="1"/>
  <c r="V231" i="1"/>
  <c r="W231" i="1" s="1"/>
  <c r="V125" i="1"/>
  <c r="W125" i="1" s="1"/>
  <c r="V198" i="1"/>
  <c r="W198" i="1" s="1"/>
  <c r="V212" i="1"/>
  <c r="W212" i="1" s="1"/>
  <c r="V449" i="1"/>
  <c r="W449" i="1" s="1"/>
  <c r="V300" i="1"/>
  <c r="W300" i="1" s="1"/>
  <c r="V385" i="1"/>
  <c r="W385" i="1" s="1"/>
  <c r="V61" i="1"/>
  <c r="W61" i="1" s="1"/>
  <c r="U15" i="1"/>
  <c r="V15" i="1" s="1"/>
  <c r="W15" i="1" s="1"/>
  <c r="U228" i="1"/>
  <c r="V228" i="1" s="1"/>
  <c r="W228" i="1" s="1"/>
  <c r="V445" i="1"/>
  <c r="W445" i="1" s="1"/>
  <c r="V236" i="1"/>
  <c r="W236" i="1" s="1"/>
  <c r="V370" i="1"/>
  <c r="W370" i="1" s="1"/>
  <c r="V138" i="1"/>
  <c r="W138" i="1" s="1"/>
  <c r="V52" i="1"/>
  <c r="W52" i="1" s="1"/>
  <c r="U179" i="1"/>
  <c r="V179" i="1" s="1"/>
  <c r="W179" i="1" s="1"/>
  <c r="V226" i="1"/>
  <c r="W226" i="1" s="1"/>
  <c r="V392" i="1"/>
  <c r="W392" i="1" s="1"/>
  <c r="V347" i="1"/>
  <c r="W347" i="1" s="1"/>
  <c r="V42" i="1"/>
  <c r="W42" i="1" s="1"/>
  <c r="V275" i="1"/>
  <c r="W275" i="1" s="1"/>
  <c r="V371" i="1"/>
  <c r="W371" i="1" s="1"/>
  <c r="V336" i="1"/>
  <c r="W336" i="1" s="1"/>
  <c r="U57" i="1"/>
  <c r="V57" i="1" s="1"/>
  <c r="W57" i="1" s="1"/>
  <c r="V289" i="1"/>
  <c r="W289" i="1" s="1"/>
  <c r="U177" i="1"/>
  <c r="V177" i="1" s="1"/>
  <c r="W177" i="1" s="1"/>
  <c r="V217" i="1"/>
  <c r="W217" i="1" s="1"/>
  <c r="U383" i="1"/>
  <c r="V383" i="1" s="1"/>
  <c r="W383" i="1" s="1"/>
  <c r="V44" i="1"/>
  <c r="W44" i="1" s="1"/>
  <c r="V54" i="1"/>
  <c r="W54" i="1" s="1"/>
  <c r="V29" i="1"/>
  <c r="W29" i="1" s="1"/>
  <c r="U356" i="1"/>
  <c r="V356" i="1" s="1"/>
  <c r="W356" i="1" s="1"/>
  <c r="V230" i="1"/>
  <c r="W230" i="1" s="1"/>
  <c r="V145" i="1"/>
  <c r="W145" i="1" s="1"/>
  <c r="U97" i="1"/>
  <c r="V97" i="1" s="1"/>
  <c r="W97" i="1" s="1"/>
  <c r="U66" i="1"/>
  <c r="V66" i="1" s="1"/>
  <c r="W66" i="1" s="1"/>
  <c r="V135" i="1"/>
  <c r="W135" i="1" s="1"/>
  <c r="V343" i="1"/>
  <c r="W343" i="1" s="1"/>
  <c r="U38" i="1"/>
  <c r="V38" i="1" s="1"/>
  <c r="W38" i="1" s="1"/>
  <c r="V162" i="1"/>
  <c r="W162" i="1" s="1"/>
  <c r="V317" i="1"/>
  <c r="W317" i="1" s="1"/>
  <c r="V435" i="1"/>
  <c r="W435" i="1" s="1"/>
  <c r="U283" i="1"/>
  <c r="V283" i="1" s="1"/>
  <c r="W283" i="1" s="1"/>
  <c r="V218" i="1"/>
  <c r="W218" i="1" s="1"/>
  <c r="U353" i="1"/>
  <c r="V353" i="1" s="1"/>
  <c r="W353" i="1" s="1"/>
  <c r="U134" i="1"/>
  <c r="V134" i="1" s="1"/>
  <c r="W134" i="1" s="1"/>
  <c r="V306" i="1"/>
  <c r="W306" i="1" s="1"/>
  <c r="V390" i="1"/>
  <c r="W390" i="1" s="1"/>
  <c r="V372" i="1"/>
  <c r="W372" i="1" s="1"/>
  <c r="U358" i="1"/>
  <c r="V358" i="1" s="1"/>
  <c r="W358" i="1" s="1"/>
  <c r="U45" i="1"/>
  <c r="V45" i="1" s="1"/>
  <c r="W45" i="1" s="1"/>
  <c r="V133" i="1"/>
  <c r="W133" i="1" s="1"/>
  <c r="V114" i="1"/>
  <c r="W114" i="1" s="1"/>
  <c r="V330" i="1"/>
  <c r="W330" i="1" s="1"/>
  <c r="V63" i="1"/>
  <c r="W63" i="1" s="1"/>
  <c r="V89" i="1"/>
  <c r="W89" i="1" s="1"/>
  <c r="V92" i="1"/>
  <c r="W92" i="1" s="1"/>
  <c r="U222" i="1"/>
  <c r="V222" i="1" s="1"/>
  <c r="W222" i="1" s="1"/>
  <c r="V143" i="1"/>
  <c r="W143" i="1" s="1"/>
  <c r="U68" i="1"/>
  <c r="V68" i="1" s="1"/>
  <c r="W68" i="1" s="1"/>
  <c r="U67" i="1"/>
  <c r="V67" i="1" s="1"/>
  <c r="W67" i="1" s="1"/>
  <c r="V326" i="1"/>
  <c r="W326" i="1" s="1"/>
  <c r="U150" i="1"/>
  <c r="V150" i="1" s="1"/>
  <c r="W150" i="1" s="1"/>
  <c r="V56" i="1"/>
  <c r="W56" i="1" s="1"/>
  <c r="V65" i="1"/>
  <c r="W65" i="1" s="1"/>
  <c r="V274" i="1"/>
  <c r="W274" i="1" s="1"/>
  <c r="V339" i="1"/>
  <c r="W339" i="1" s="1"/>
  <c r="V58" i="1"/>
  <c r="W58" i="1" s="1"/>
  <c r="U386" i="1"/>
  <c r="V386" i="1" s="1"/>
  <c r="W386" i="1" s="1"/>
  <c r="V219" i="1"/>
  <c r="W219" i="1" s="1"/>
  <c r="U28" i="1"/>
  <c r="V28" i="1" s="1"/>
  <c r="W28" i="1" s="1"/>
  <c r="U137" i="1"/>
  <c r="V137" i="1" s="1"/>
  <c r="W137" i="1" s="1"/>
  <c r="U441" i="1"/>
  <c r="V441" i="1" s="1"/>
  <c r="W441" i="1" s="1"/>
  <c r="V346" i="1"/>
  <c r="W346" i="1" s="1"/>
  <c r="V139" i="1"/>
  <c r="W139" i="1" s="1"/>
  <c r="U153" i="1"/>
  <c r="V153" i="1" s="1"/>
  <c r="W153" i="1" s="1"/>
  <c r="U278" i="1"/>
  <c r="V278" i="1" s="1"/>
  <c r="W278" i="1" s="1"/>
  <c r="U415" i="1"/>
  <c r="V415" i="1" s="1"/>
  <c r="W415" i="1" s="1"/>
  <c r="V205" i="1"/>
  <c r="W205" i="1" s="1"/>
  <c r="V211" i="1"/>
  <c r="W211" i="1" s="1"/>
  <c r="V430" i="1"/>
  <c r="W430" i="1" s="1"/>
  <c r="V25" i="1"/>
  <c r="W25" i="1" s="1"/>
  <c r="V287" i="1"/>
  <c r="W287" i="1" s="1"/>
  <c r="U328" i="1"/>
  <c r="V328" i="1" s="1"/>
  <c r="W328" i="1" s="1"/>
  <c r="V164" i="1"/>
  <c r="W164" i="1" s="1"/>
  <c r="V250" i="1"/>
  <c r="W250" i="1" s="1"/>
  <c r="V147" i="1"/>
  <c r="W147" i="1" s="1"/>
  <c r="V2" i="1"/>
  <c r="W2" i="1" s="1"/>
  <c r="V17" i="1"/>
  <c r="W17" i="1" s="1"/>
  <c r="U229" i="1"/>
  <c r="V229" i="1" s="1"/>
  <c r="W229" i="1" s="1"/>
  <c r="V395" i="1"/>
  <c r="W395" i="1" s="1"/>
  <c r="V156" i="1"/>
  <c r="W156" i="1" s="1"/>
  <c r="V93" i="1"/>
  <c r="W93" i="1" s="1"/>
  <c r="V110" i="1"/>
  <c r="W110" i="1" s="1"/>
  <c r="U407" i="1"/>
  <c r="V407" i="1" s="1"/>
  <c r="W407" i="1" s="1"/>
  <c r="U257" i="1"/>
  <c r="V257" i="1" s="1"/>
  <c r="W257" i="1" s="1"/>
  <c r="V448" i="1"/>
  <c r="W448" i="1" s="1"/>
  <c r="V96" i="1"/>
  <c r="W96" i="1" s="1"/>
  <c r="V106" i="1"/>
  <c r="W106" i="1" s="1"/>
  <c r="V60" i="1"/>
  <c r="W60" i="1" s="1"/>
  <c r="U221" i="1"/>
  <c r="V221" i="1" s="1"/>
  <c r="W221" i="1" s="1"/>
  <c r="V375" i="1"/>
  <c r="W375" i="1" s="1"/>
  <c r="V429" i="1"/>
  <c r="W429" i="1" s="1"/>
  <c r="V325" i="1"/>
  <c r="W325" i="1" s="1"/>
  <c r="V87" i="1"/>
  <c r="W87" i="1" s="1"/>
  <c r="U224" i="1"/>
  <c r="V224" i="1" s="1"/>
  <c r="W224" i="1" s="1"/>
  <c r="V238" i="1"/>
  <c r="W238" i="1" s="1"/>
  <c r="V263" i="1"/>
  <c r="W263" i="1" s="1"/>
  <c r="V154" i="1"/>
  <c r="W154" i="1" s="1"/>
  <c r="U196" i="1"/>
  <c r="V196" i="1" s="1"/>
  <c r="W196" i="1" s="1"/>
  <c r="V399" i="1"/>
  <c r="W399" i="1" s="1"/>
  <c r="V86" i="1"/>
  <c r="W86" i="1" s="1"/>
  <c r="V6" i="1"/>
  <c r="W6" i="1" s="1"/>
  <c r="U397" i="1"/>
  <c r="V397" i="1" s="1"/>
  <c r="W397" i="1" s="1"/>
  <c r="U266" i="1"/>
  <c r="V266" i="1" s="1"/>
  <c r="W266" i="1" s="1"/>
  <c r="V443" i="1"/>
  <c r="W443" i="1" s="1"/>
  <c r="U299" i="1"/>
  <c r="V299" i="1" s="1"/>
  <c r="V176" i="1"/>
  <c r="W176" i="1" s="1"/>
  <c r="V73" i="1"/>
  <c r="W73" i="1" s="1"/>
  <c r="V369" i="1"/>
  <c r="W369" i="1" s="1"/>
  <c r="V437" i="1"/>
  <c r="W437" i="1" s="1"/>
  <c r="U131" i="1"/>
  <c r="V131" i="1" s="1"/>
  <c r="W131" i="1" s="1"/>
  <c r="V428" i="1"/>
  <c r="W428" i="1" s="1"/>
  <c r="V158" i="1"/>
  <c r="W158" i="1" s="1"/>
  <c r="V112" i="1"/>
  <c r="W112" i="1" s="1"/>
  <c r="U202" i="1"/>
  <c r="V202" i="1" s="1"/>
  <c r="U291" i="1"/>
  <c r="V291" i="1" s="1"/>
  <c r="W291" i="1" s="1"/>
  <c r="U258" i="1"/>
  <c r="V258" i="1" s="1"/>
  <c r="W258" i="1" s="1"/>
  <c r="U318" i="1"/>
  <c r="V318" i="1" s="1"/>
  <c r="W318" i="1" s="1"/>
  <c r="U376" i="1"/>
  <c r="V376" i="1" s="1"/>
  <c r="W376" i="1" s="1"/>
  <c r="U335" i="1"/>
  <c r="V335" i="1" s="1"/>
  <c r="W335" i="1" s="1"/>
  <c r="V360" i="1"/>
  <c r="W360" i="1" s="1"/>
  <c r="V377" i="1"/>
  <c r="W377" i="1" s="1"/>
  <c r="V268" i="1"/>
  <c r="W268" i="1" s="1"/>
  <c r="U315" i="1"/>
  <c r="V315" i="1" s="1"/>
  <c r="W315" i="1" s="1"/>
  <c r="V281" i="1"/>
  <c r="W281" i="1" s="1"/>
  <c r="V244" i="1"/>
  <c r="W244" i="1" s="1"/>
  <c r="V421" i="1"/>
  <c r="W421" i="1" s="1"/>
  <c r="U166" i="1"/>
  <c r="V166" i="1" s="1"/>
  <c r="W166" i="1" s="1"/>
  <c r="V357" i="1"/>
  <c r="W357" i="1" s="1"/>
  <c r="U101" i="1"/>
  <c r="V101" i="1" s="1"/>
  <c r="W101" i="1" s="1"/>
  <c r="V259" i="1"/>
  <c r="W259" i="1" s="1"/>
  <c r="U189" i="1"/>
  <c r="V189" i="1" s="1"/>
  <c r="W189" i="1" s="1"/>
  <c r="U12" i="1"/>
  <c r="V12" i="1" s="1"/>
  <c r="W12" i="1" s="1"/>
  <c r="U83" i="1"/>
  <c r="V83" i="1" s="1"/>
  <c r="W83" i="1" s="1"/>
  <c r="U282" i="1"/>
  <c r="V282" i="1" s="1"/>
  <c r="W282" i="1" s="1"/>
  <c r="U81" i="1"/>
  <c r="V81" i="1" s="1"/>
  <c r="W81" i="1" s="1"/>
  <c r="U359" i="1"/>
  <c r="V359" i="1" s="1"/>
  <c r="W359" i="1" s="1"/>
  <c r="V380" i="1"/>
  <c r="W380" i="1" s="1"/>
  <c r="V13" i="1"/>
  <c r="W13" i="1" s="1"/>
  <c r="U129" i="1"/>
  <c r="V129" i="1" s="1"/>
  <c r="W129" i="1" s="1"/>
  <c r="U311" i="1"/>
  <c r="V311" i="1" s="1"/>
  <c r="W311" i="1" s="1"/>
  <c r="U30" i="1"/>
  <c r="V30" i="1" s="1"/>
  <c r="V350" i="1"/>
  <c r="W350" i="1" s="1"/>
  <c r="V116" i="1"/>
  <c r="W116" i="1" s="1"/>
  <c r="U91" i="1"/>
  <c r="V91" i="1" s="1"/>
  <c r="W91" i="1" s="1"/>
  <c r="U442" i="1"/>
  <c r="V442" i="1" s="1"/>
  <c r="W442" i="1" s="1"/>
  <c r="U296" i="1"/>
  <c r="V296" i="1" s="1"/>
  <c r="W296" i="1" s="1"/>
  <c r="V192" i="1"/>
  <c r="W192" i="1" s="1"/>
  <c r="U329" i="1"/>
  <c r="V329" i="1" s="1"/>
  <c r="W329" i="1" s="1"/>
  <c r="V447" i="1"/>
  <c r="W447" i="1" s="1"/>
  <c r="V313" i="1"/>
  <c r="W313" i="1" s="1"/>
  <c r="U387" i="1"/>
  <c r="V387" i="1" s="1"/>
  <c r="U402" i="1"/>
  <c r="V402" i="1" s="1"/>
  <c r="W402" i="1" s="1"/>
  <c r="V170" i="1"/>
  <c r="W170" i="1" s="1"/>
  <c r="U431" i="1"/>
  <c r="V431" i="1" s="1"/>
  <c r="W431" i="1" s="1"/>
  <c r="U373" i="1"/>
  <c r="V373" i="1" s="1"/>
  <c r="W373" i="1" s="1"/>
  <c r="V39" i="1"/>
  <c r="W39" i="1" s="1"/>
  <c r="X422" i="1" l="1"/>
  <c r="X318" i="1"/>
  <c r="X225" i="1"/>
  <c r="X168" i="1"/>
  <c r="X286" i="1"/>
  <c r="X323" i="1"/>
  <c r="X377" i="1"/>
  <c r="X126" i="1"/>
  <c r="X220" i="1"/>
  <c r="X77" i="1"/>
  <c r="X448" i="1"/>
  <c r="X173" i="1"/>
  <c r="X140" i="1"/>
  <c r="W184" i="1"/>
  <c r="X184" i="1" s="1"/>
  <c r="X170" i="1"/>
  <c r="X27" i="1"/>
  <c r="X68" i="1"/>
  <c r="X101" i="1"/>
  <c r="X83" i="1"/>
  <c r="X44" i="1"/>
  <c r="X10" i="1"/>
  <c r="X63" i="1"/>
  <c r="X14" i="1"/>
  <c r="X292" i="1"/>
  <c r="X45" i="1"/>
  <c r="X300" i="1"/>
  <c r="X200" i="1"/>
  <c r="X95" i="1"/>
  <c r="X356" i="1"/>
  <c r="X445" i="1"/>
  <c r="X265" i="1"/>
  <c r="X8" i="1"/>
  <c r="X176" i="1"/>
  <c r="X219" i="1"/>
  <c r="X261" i="1"/>
  <c r="W40" i="1"/>
  <c r="X40" i="1" s="1"/>
  <c r="W285" i="1"/>
  <c r="X285" i="1" s="1"/>
  <c r="X103" i="1"/>
  <c r="X404" i="1"/>
  <c r="X118" i="1"/>
  <c r="X217" i="1"/>
  <c r="X213" i="1"/>
  <c r="X59" i="1"/>
  <c r="X61" i="1"/>
  <c r="X397" i="1"/>
  <c r="X349" i="1"/>
  <c r="X400" i="1"/>
  <c r="X363" i="1"/>
  <c r="X452" i="1"/>
  <c r="X339" i="1"/>
  <c r="X41" i="1"/>
  <c r="X336" i="1"/>
  <c r="X58" i="1"/>
  <c r="X130" i="1"/>
  <c r="X92" i="1"/>
  <c r="X107" i="1"/>
  <c r="X178" i="1"/>
  <c r="X399" i="1"/>
  <c r="X246" i="1"/>
  <c r="X453" i="1"/>
  <c r="X429" i="1"/>
  <c r="X369" i="1"/>
  <c r="X385" i="1"/>
  <c r="X167" i="1"/>
  <c r="X87" i="1"/>
  <c r="X97" i="1"/>
  <c r="X149" i="1"/>
  <c r="X38" i="1"/>
  <c r="X5" i="1"/>
  <c r="X42" i="1"/>
  <c r="X290" i="1"/>
  <c r="X164" i="1"/>
  <c r="X371" i="1"/>
  <c r="X182" i="1"/>
  <c r="X29" i="1"/>
  <c r="X273" i="1"/>
  <c r="X116" i="1"/>
  <c r="X124" i="1"/>
  <c r="X203" i="1"/>
  <c r="X91" i="1"/>
  <c r="X155" i="1"/>
  <c r="X267" i="1"/>
  <c r="X295" i="1"/>
  <c r="X127" i="1"/>
  <c r="X343" i="1"/>
  <c r="X293" i="1"/>
  <c r="X238" i="1"/>
  <c r="X131" i="1"/>
  <c r="X135" i="1"/>
  <c r="X206" i="1"/>
  <c r="X223" i="1"/>
  <c r="X345" i="1"/>
  <c r="X375" i="1"/>
  <c r="X150" i="1"/>
  <c r="X362" i="1"/>
  <c r="X325" i="1"/>
  <c r="X11" i="1"/>
  <c r="X335" i="1"/>
  <c r="X100" i="1"/>
  <c r="X43" i="1"/>
  <c r="X256" i="1"/>
  <c r="X327" i="1"/>
  <c r="X212" i="1"/>
  <c r="X216" i="1"/>
  <c r="X421" i="1"/>
  <c r="X52" i="1"/>
  <c r="X249" i="1"/>
  <c r="X350" i="1"/>
  <c r="X424" i="1"/>
  <c r="X142" i="1"/>
  <c r="X75" i="1"/>
  <c r="X134" i="1"/>
  <c r="X411" i="1"/>
  <c r="X308" i="1"/>
  <c r="X324" i="1"/>
  <c r="X408" i="1"/>
  <c r="X180" i="1"/>
  <c r="X303" i="1"/>
  <c r="X181" i="1"/>
  <c r="X430" i="1"/>
  <c r="X60" i="1"/>
  <c r="X183" i="1"/>
  <c r="X283" i="1"/>
  <c r="X355" i="1"/>
  <c r="X263" i="1"/>
  <c r="X347" i="1"/>
  <c r="X153" i="1"/>
  <c r="X282" i="1"/>
  <c r="X3" i="1"/>
  <c r="X21" i="1"/>
  <c r="X406" i="1"/>
  <c r="X436" i="1"/>
  <c r="X337" i="1"/>
  <c r="X138" i="1"/>
  <c r="X437" i="1"/>
  <c r="X157" i="1"/>
  <c r="X154" i="1"/>
  <c r="X311" i="1"/>
  <c r="X316" i="1"/>
  <c r="X15" i="1"/>
  <c r="X333" i="1"/>
  <c r="X276" i="1"/>
  <c r="X305" i="1"/>
  <c r="X419" i="1"/>
  <c r="X222" i="1"/>
  <c r="X278" i="1"/>
  <c r="X172" i="1"/>
  <c r="X25" i="1"/>
  <c r="X211" i="1"/>
  <c r="X384" i="1"/>
  <c r="X440" i="1"/>
  <c r="X442" i="1"/>
  <c r="X253" i="1"/>
  <c r="X175" i="1"/>
  <c r="X405" i="1"/>
  <c r="X221" i="1"/>
  <c r="X79" i="1"/>
  <c r="X147" i="1"/>
  <c r="X114" i="1"/>
  <c r="X302" i="1"/>
  <c r="X84" i="1"/>
  <c r="X102" i="1"/>
  <c r="X81" i="1"/>
  <c r="X128" i="1"/>
  <c r="X409" i="1"/>
  <c r="X382" i="1"/>
  <c r="X158" i="1"/>
  <c r="X9" i="1"/>
  <c r="X402" i="1"/>
  <c r="X39" i="1"/>
  <c r="X20" i="1"/>
  <c r="X229" i="1"/>
  <c r="X450" i="1"/>
  <c r="X62" i="1"/>
  <c r="X106" i="1"/>
  <c r="X177" i="1"/>
  <c r="X74" i="1"/>
  <c r="X334" i="1"/>
  <c r="X205" i="1"/>
  <c r="X407" i="1"/>
  <c r="X230" i="1"/>
  <c r="X166" i="1"/>
  <c r="X358" i="1"/>
  <c r="X109" i="1"/>
  <c r="X423" i="1"/>
  <c r="X279" i="1"/>
  <c r="X412" i="1"/>
  <c r="X31" i="1"/>
  <c r="X179" i="1"/>
  <c r="X143" i="1"/>
  <c r="X133" i="1"/>
  <c r="X209" i="1"/>
  <c r="X18" i="1"/>
  <c r="X196" i="1"/>
  <c r="X53" i="1"/>
  <c r="X416" i="1"/>
  <c r="X280" i="1"/>
  <c r="X361" i="1"/>
  <c r="X204" i="1"/>
  <c r="X428" i="1"/>
  <c r="X351" i="1"/>
  <c r="X16" i="1"/>
  <c r="X93" i="1"/>
  <c r="X255" i="1"/>
  <c r="X268" i="1"/>
  <c r="X388" i="1"/>
  <c r="X344" i="1"/>
  <c r="X51" i="1"/>
  <c r="X297" i="1"/>
  <c r="X435" i="1"/>
  <c r="X396" i="1"/>
  <c r="X441" i="1"/>
  <c r="X235" i="1"/>
  <c r="X171" i="1"/>
  <c r="X94" i="1"/>
  <c r="X383" i="1"/>
  <c r="X360" i="1"/>
  <c r="X23" i="1"/>
  <c r="X244" i="1"/>
  <c r="X418" i="1"/>
  <c r="X342" i="1"/>
  <c r="X26" i="1"/>
  <c r="X271" i="1"/>
  <c r="X243" i="1"/>
  <c r="X17" i="1"/>
  <c r="X365" i="1"/>
  <c r="X121" i="1"/>
  <c r="X12" i="1"/>
  <c r="X4" i="1"/>
  <c r="X28" i="1"/>
  <c r="X136" i="1"/>
  <c r="X446" i="1"/>
  <c r="X36" i="1"/>
  <c r="X257" i="1"/>
  <c r="X156" i="1"/>
  <c r="X391" i="1"/>
  <c r="X274" i="1"/>
  <c r="X338" i="1"/>
  <c r="X237" i="1"/>
  <c r="X317" i="1"/>
  <c r="X341" i="1"/>
  <c r="X139" i="1"/>
  <c r="X113" i="1"/>
  <c r="X306" i="1"/>
  <c r="X224" i="1"/>
  <c r="X218" i="1"/>
  <c r="X108" i="1"/>
  <c r="X275" i="1"/>
  <c r="X392" i="1"/>
  <c r="X119" i="1"/>
  <c r="X378" i="1"/>
  <c r="X315" i="1"/>
  <c r="X258" i="1"/>
  <c r="X307" i="1"/>
  <c r="X120" i="1"/>
  <c r="X50" i="1"/>
  <c r="X208" i="1"/>
  <c r="X152" i="1"/>
  <c r="X35" i="1"/>
  <c r="X332" i="1"/>
  <c r="X415" i="1"/>
  <c r="X198" i="1"/>
  <c r="X191" i="1"/>
  <c r="X57" i="1"/>
  <c r="X115" i="1"/>
  <c r="X248" i="1"/>
  <c r="X228" i="1"/>
  <c r="X76" i="1"/>
  <c r="X395" i="1"/>
  <c r="X294" i="1"/>
  <c r="X432" i="1"/>
  <c r="X386" i="1"/>
  <c r="X393" i="1"/>
  <c r="X281" i="1"/>
  <c r="X89" i="1"/>
  <c r="X162" i="1"/>
  <c r="X346" i="1"/>
  <c r="X37" i="1"/>
  <c r="X433" i="1"/>
  <c r="X226" i="1"/>
  <c r="X330" i="1"/>
  <c r="X304" i="1"/>
  <c r="X161" i="1"/>
  <c r="X289" i="1"/>
  <c r="X252" i="1"/>
  <c r="X352" i="1"/>
  <c r="X331" i="1"/>
  <c r="X70" i="1"/>
  <c r="X210" i="1"/>
  <c r="X372" i="1"/>
  <c r="X270" i="1"/>
  <c r="X269" i="1"/>
  <c r="X125" i="1"/>
  <c r="X189" i="1"/>
  <c r="X185" i="1"/>
  <c r="X374" i="1"/>
  <c r="X199" i="1"/>
  <c r="X67" i="1"/>
  <c r="X13" i="1"/>
  <c r="X431" i="1"/>
  <c r="X90" i="1"/>
  <c r="X65" i="1"/>
  <c r="X32" i="1"/>
  <c r="X313" i="1"/>
  <c r="X359" i="1"/>
  <c r="X366" i="1"/>
  <c r="X169" i="1"/>
  <c r="X314" i="1"/>
  <c r="X291" i="1"/>
  <c r="X231" i="1"/>
  <c r="X69" i="1"/>
  <c r="X117" i="1"/>
  <c r="X123" i="1"/>
  <c r="X247" i="1"/>
  <c r="X151" i="1"/>
  <c r="X98" i="1"/>
  <c r="X370" i="1"/>
  <c r="X390" i="1"/>
  <c r="X443" i="1"/>
  <c r="X165" i="1"/>
  <c r="X234" i="1"/>
  <c r="X2" i="1"/>
  <c r="X449" i="1"/>
  <c r="X99" i="1"/>
  <c r="X19" i="1"/>
  <c r="X148" i="1"/>
  <c r="X86" i="1"/>
  <c r="X232" i="1"/>
  <c r="X49" i="1"/>
  <c r="X129" i="1"/>
  <c r="X144" i="1"/>
  <c r="X110" i="1"/>
  <c r="X146" i="1"/>
  <c r="X56" i="1"/>
  <c r="X376" i="1"/>
  <c r="X447" i="1"/>
  <c r="X245" i="1"/>
  <c r="X132" i="1"/>
  <c r="X380" i="1"/>
  <c r="X250" i="1"/>
  <c r="X417" i="1"/>
  <c r="X259" i="1"/>
  <c r="X373" i="1"/>
  <c r="X163" i="1"/>
  <c r="X71" i="1"/>
  <c r="X251" i="1"/>
  <c r="X186" i="1"/>
  <c r="X236" i="1"/>
  <c r="X348" i="1"/>
  <c r="X401" i="1"/>
  <c r="X340" i="1"/>
  <c r="X137" i="1"/>
  <c r="X188" i="1"/>
  <c r="X54" i="1"/>
  <c r="X214" i="1"/>
  <c r="X264" i="1"/>
  <c r="X434" i="1"/>
  <c r="X72" i="1"/>
  <c r="X227" i="1"/>
  <c r="X145" i="1"/>
  <c r="X33" i="1"/>
  <c r="X353" i="1"/>
  <c r="X73" i="1"/>
  <c r="X389" i="1"/>
  <c r="X112" i="1"/>
  <c r="X328" i="1"/>
  <c r="X266" i="1"/>
  <c r="X46" i="1"/>
  <c r="X96" i="1"/>
  <c r="X326" i="1"/>
  <c r="X310" i="1"/>
  <c r="X192" i="1"/>
  <c r="X197" i="1"/>
  <c r="X78" i="1"/>
  <c r="X398" i="1"/>
  <c r="X159" i="1"/>
  <c r="X287" i="1"/>
  <c r="X296" i="1"/>
  <c r="X364" i="1"/>
  <c r="X357" i="1"/>
  <c r="X233" i="1"/>
  <c r="X329" i="1"/>
  <c r="X66" i="1"/>
  <c r="X6" i="1"/>
  <c r="X277" i="1"/>
  <c r="W242" i="1"/>
  <c r="W104" i="1"/>
  <c r="X104" i="1" s="1"/>
  <c r="W174" i="1"/>
  <c r="X174" i="1" s="1"/>
  <c r="W160" i="1"/>
  <c r="W241" i="1"/>
  <c r="W122" i="1"/>
  <c r="X122" i="1" s="1"/>
  <c r="W319" i="1"/>
  <c r="W55" i="1"/>
  <c r="X55" i="1" s="1"/>
  <c r="W387" i="1"/>
  <c r="X387" i="1" s="1"/>
  <c r="W85" i="1"/>
  <c r="X85" i="1" s="1"/>
  <c r="W272" i="1"/>
  <c r="X272" i="1" s="1"/>
  <c r="W34" i="1"/>
  <c r="W82" i="1"/>
  <c r="W288" i="1"/>
  <c r="W30" i="1"/>
  <c r="W190" i="1"/>
  <c r="W48" i="1"/>
  <c r="X48" i="1" s="1"/>
  <c r="W312" i="1"/>
  <c r="X312" i="1" s="1"/>
  <c r="W64" i="1"/>
  <c r="W240" i="1"/>
  <c r="W260" i="1"/>
  <c r="W410" i="1"/>
  <c r="W47" i="1"/>
  <c r="W202" i="1"/>
  <c r="W141" i="1"/>
  <c r="W24" i="1"/>
  <c r="X24" i="1" s="1"/>
  <c r="W105" i="1"/>
  <c r="X105" i="1" s="1"/>
  <c r="W299" i="1"/>
  <c r="X299" i="1" s="1"/>
  <c r="W7" i="1"/>
  <c r="X7" i="1" s="1"/>
  <c r="W201" i="1"/>
  <c r="X201" i="1" s="1"/>
  <c r="W88" i="1"/>
  <c r="X88" i="1" s="1"/>
  <c r="W111" i="1"/>
  <c r="X111" i="1" s="1"/>
  <c r="W187" i="1"/>
  <c r="X187" i="1" s="1"/>
  <c r="W80" i="1"/>
  <c r="X80" i="1" s="1"/>
  <c r="X141" i="1" l="1"/>
  <c r="X47" i="1"/>
  <c r="X240" i="1"/>
  <c r="X160" i="1"/>
  <c r="X288" i="1"/>
  <c r="X319" i="1"/>
  <c r="X410" i="1"/>
  <c r="X241" i="1"/>
  <c r="X260" i="1"/>
  <c r="X242" i="1"/>
  <c r="X82" i="1"/>
  <c r="X34" i="1"/>
  <c r="X64" i="1"/>
  <c r="X190" i="1"/>
  <c r="X30" i="1"/>
  <c r="X202" i="1"/>
  <c r="AH444" i="1" l="1"/>
  <c r="AG444" i="1"/>
  <c r="AE444" i="1"/>
  <c r="AD444" i="1"/>
  <c r="AF444" i="1" s="1"/>
  <c r="AH443" i="1"/>
  <c r="AG443" i="1"/>
  <c r="AE443" i="1"/>
  <c r="AD443" i="1"/>
  <c r="AF443" i="1" s="1"/>
  <c r="AH442" i="1"/>
  <c r="AG442" i="1"/>
  <c r="AE442" i="1"/>
  <c r="AD442" i="1"/>
  <c r="AF442" i="1" s="1"/>
  <c r="AH441" i="1"/>
  <c r="AG441" i="1"/>
  <c r="AE441" i="1"/>
  <c r="AD441" i="1"/>
  <c r="AF441" i="1" s="1"/>
  <c r="AH440" i="1"/>
  <c r="AG440" i="1"/>
  <c r="AE440" i="1"/>
  <c r="AD440" i="1"/>
  <c r="AF440" i="1" s="1"/>
  <c r="AH439" i="1"/>
  <c r="AG439" i="1"/>
  <c r="AE439" i="1"/>
  <c r="AD439" i="1"/>
  <c r="AF439" i="1" s="1"/>
  <c r="AH438" i="1"/>
  <c r="AG438" i="1"/>
  <c r="AE438" i="1"/>
  <c r="AD438" i="1"/>
  <c r="AF438" i="1" s="1"/>
  <c r="AH437" i="1"/>
  <c r="AG437" i="1"/>
  <c r="AE437" i="1"/>
  <c r="AD437" i="1"/>
  <c r="AF437" i="1" s="1"/>
  <c r="AH436" i="1" l="1"/>
  <c r="AG436" i="1"/>
  <c r="AE436" i="1"/>
  <c r="AD436" i="1"/>
  <c r="AF436" i="1" s="1"/>
  <c r="AH435" i="1"/>
  <c r="AG435" i="1"/>
  <c r="AE435" i="1"/>
  <c r="AD435" i="1"/>
  <c r="AF435" i="1" s="1"/>
  <c r="AH434" i="1"/>
  <c r="AG434" i="1"/>
  <c r="AE434" i="1"/>
  <c r="AD434" i="1"/>
  <c r="AF434" i="1" s="1"/>
  <c r="AH433" i="1"/>
  <c r="AG433" i="1"/>
  <c r="AE433" i="1"/>
  <c r="AD433" i="1"/>
  <c r="AF433" i="1" s="1"/>
  <c r="AH432" i="1"/>
  <c r="AG432" i="1"/>
  <c r="AE432" i="1"/>
  <c r="AD432" i="1"/>
  <c r="AF432" i="1" s="1"/>
  <c r="AH431" i="1"/>
  <c r="AG431" i="1"/>
  <c r="AE431" i="1"/>
  <c r="AD431" i="1"/>
  <c r="AF431" i="1" s="1"/>
  <c r="AH2" i="1" l="1"/>
  <c r="AG2" i="1"/>
  <c r="AH430" i="1"/>
  <c r="AG430" i="1"/>
  <c r="AE430" i="1"/>
  <c r="AD430" i="1"/>
  <c r="AF430" i="1" s="1"/>
  <c r="AH429" i="1"/>
  <c r="AG429" i="1"/>
  <c r="AE429" i="1"/>
  <c r="AD429" i="1"/>
  <c r="AF429" i="1" s="1"/>
  <c r="AH428" i="1"/>
  <c r="AG428" i="1"/>
  <c r="AE428" i="1"/>
  <c r="AD428" i="1"/>
  <c r="AF428" i="1" s="1"/>
  <c r="AH427" i="1"/>
  <c r="AG427" i="1"/>
  <c r="AE427" i="1"/>
  <c r="AD427" i="1"/>
  <c r="AF427" i="1" s="1"/>
  <c r="AH426" i="1"/>
  <c r="AG426" i="1"/>
  <c r="AE426" i="1"/>
  <c r="AD426" i="1"/>
  <c r="AF426" i="1" s="1"/>
  <c r="AH425" i="1"/>
  <c r="AG425" i="1"/>
  <c r="AE425" i="1"/>
  <c r="AD425" i="1"/>
  <c r="AF425" i="1" s="1"/>
  <c r="AH424" i="1"/>
  <c r="AG424" i="1"/>
  <c r="AE424" i="1"/>
  <c r="AD424" i="1"/>
  <c r="AF424" i="1" s="1"/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E423" i="1"/>
  <c r="AD423" i="1"/>
  <c r="AF423" i="1" s="1"/>
  <c r="AE422" i="1"/>
  <c r="AD422" i="1"/>
  <c r="AF422" i="1" s="1"/>
  <c r="AE421" i="1"/>
  <c r="AD421" i="1"/>
  <c r="AF421" i="1" s="1"/>
  <c r="AE420" i="1"/>
  <c r="AD420" i="1"/>
  <c r="AF420" i="1" s="1"/>
  <c r="AE419" i="1"/>
  <c r="AD419" i="1"/>
  <c r="AF419" i="1" s="1"/>
  <c r="AE418" i="1"/>
  <c r="AD418" i="1"/>
  <c r="AF418" i="1" s="1"/>
  <c r="AE417" i="1"/>
  <c r="AD417" i="1"/>
  <c r="AF417" i="1" s="1"/>
  <c r="AE416" i="1"/>
  <c r="AD416" i="1"/>
  <c r="AF416" i="1" s="1"/>
  <c r="AE415" i="1"/>
  <c r="AD415" i="1"/>
  <c r="AF415" i="1" s="1"/>
  <c r="AE414" i="1"/>
  <c r="AD414" i="1"/>
  <c r="AF414" i="1" s="1"/>
  <c r="AE413" i="1" l="1"/>
  <c r="AD413" i="1"/>
  <c r="AF413" i="1" s="1"/>
  <c r="AE412" i="1" l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D188" i="1" l="1"/>
  <c r="AF188" i="1" s="1"/>
  <c r="AD3" i="1" l="1"/>
  <c r="AF3" i="1" s="1"/>
  <c r="AD4" i="1"/>
  <c r="AF4" i="1" s="1"/>
  <c r="AD5" i="1"/>
  <c r="AF5" i="1" s="1"/>
  <c r="AD6" i="1"/>
  <c r="AF6" i="1" s="1"/>
  <c r="AD7" i="1"/>
  <c r="AF7" i="1" s="1"/>
  <c r="AD8" i="1"/>
  <c r="AF8" i="1" s="1"/>
  <c r="AD9" i="1"/>
  <c r="AF9" i="1" s="1"/>
  <c r="AD10" i="1"/>
  <c r="AF10" i="1" s="1"/>
  <c r="AD11" i="1"/>
  <c r="AF11" i="1" s="1"/>
  <c r="AD12" i="1"/>
  <c r="AF12" i="1" s="1"/>
  <c r="AD13" i="1"/>
  <c r="AF13" i="1" s="1"/>
  <c r="AD14" i="1"/>
  <c r="AF14" i="1" s="1"/>
  <c r="AD15" i="1"/>
  <c r="AF15" i="1" s="1"/>
  <c r="AD16" i="1"/>
  <c r="AF16" i="1" s="1"/>
  <c r="AD17" i="1"/>
  <c r="AF17" i="1" s="1"/>
  <c r="AD18" i="1"/>
  <c r="AF18" i="1" s="1"/>
  <c r="AD19" i="1"/>
  <c r="AF19" i="1" s="1"/>
  <c r="AD20" i="1"/>
  <c r="AF20" i="1" s="1"/>
  <c r="AD21" i="1"/>
  <c r="AF21" i="1" s="1"/>
  <c r="AD22" i="1"/>
  <c r="AF22" i="1" s="1"/>
  <c r="AD23" i="1"/>
  <c r="AF23" i="1" s="1"/>
  <c r="AD24" i="1"/>
  <c r="AF24" i="1" s="1"/>
  <c r="AD25" i="1"/>
  <c r="AF25" i="1" s="1"/>
  <c r="AD26" i="1"/>
  <c r="AF26" i="1" s="1"/>
  <c r="AD27" i="1"/>
  <c r="AF27" i="1" s="1"/>
  <c r="AD28" i="1"/>
  <c r="AF28" i="1" s="1"/>
  <c r="AD29" i="1"/>
  <c r="AF29" i="1" s="1"/>
  <c r="AD30" i="1"/>
  <c r="AF30" i="1" s="1"/>
  <c r="AD31" i="1"/>
  <c r="AF31" i="1" s="1"/>
  <c r="AD32" i="1"/>
  <c r="AF32" i="1" s="1"/>
  <c r="AD33" i="1"/>
  <c r="AF33" i="1" s="1"/>
  <c r="AD34" i="1"/>
  <c r="AF34" i="1" s="1"/>
  <c r="AD35" i="1"/>
  <c r="AF35" i="1" s="1"/>
  <c r="AD36" i="1"/>
  <c r="AF36" i="1" s="1"/>
  <c r="AD37" i="1"/>
  <c r="AF37" i="1" s="1"/>
  <c r="AD38" i="1"/>
  <c r="AF38" i="1" s="1"/>
  <c r="AD39" i="1"/>
  <c r="AF39" i="1" s="1"/>
  <c r="AD40" i="1"/>
  <c r="AF40" i="1" s="1"/>
  <c r="AD41" i="1"/>
  <c r="AF41" i="1" s="1"/>
  <c r="AD42" i="1"/>
  <c r="AF42" i="1" s="1"/>
  <c r="AD43" i="1"/>
  <c r="AF43" i="1" s="1"/>
  <c r="AD44" i="1"/>
  <c r="AF44" i="1" s="1"/>
  <c r="AD45" i="1"/>
  <c r="AF45" i="1" s="1"/>
  <c r="AD46" i="1"/>
  <c r="AF46" i="1" s="1"/>
  <c r="AD47" i="1"/>
  <c r="AF47" i="1" s="1"/>
  <c r="AD48" i="1"/>
  <c r="AF48" i="1" s="1"/>
  <c r="AD49" i="1"/>
  <c r="AF49" i="1" s="1"/>
  <c r="AD50" i="1"/>
  <c r="AF50" i="1" s="1"/>
  <c r="AD51" i="1"/>
  <c r="AF51" i="1" s="1"/>
  <c r="AD52" i="1"/>
  <c r="AF52" i="1" s="1"/>
  <c r="AD53" i="1"/>
  <c r="AF53" i="1" s="1"/>
  <c r="AD54" i="1"/>
  <c r="AF54" i="1" s="1"/>
  <c r="AD55" i="1"/>
  <c r="AF55" i="1" s="1"/>
  <c r="AD56" i="1"/>
  <c r="AF56" i="1" s="1"/>
  <c r="AD57" i="1"/>
  <c r="AF57" i="1" s="1"/>
  <c r="AD58" i="1"/>
  <c r="AF58" i="1" s="1"/>
  <c r="AD59" i="1"/>
  <c r="AF59" i="1" s="1"/>
  <c r="AD60" i="1"/>
  <c r="AF60" i="1" s="1"/>
  <c r="AD61" i="1"/>
  <c r="AF61" i="1" s="1"/>
  <c r="AD62" i="1"/>
  <c r="AF62" i="1" s="1"/>
  <c r="AD63" i="1"/>
  <c r="AF63" i="1" s="1"/>
  <c r="AD64" i="1"/>
  <c r="AF64" i="1" s="1"/>
  <c r="AD65" i="1"/>
  <c r="AF65" i="1" s="1"/>
  <c r="AD66" i="1"/>
  <c r="AF66" i="1" s="1"/>
  <c r="AD67" i="1"/>
  <c r="AF67" i="1" s="1"/>
  <c r="AD68" i="1"/>
  <c r="AF68" i="1" s="1"/>
  <c r="AD69" i="1"/>
  <c r="AF69" i="1" s="1"/>
  <c r="AD70" i="1"/>
  <c r="AF70" i="1" s="1"/>
  <c r="AD71" i="1"/>
  <c r="AF71" i="1" s="1"/>
  <c r="AD72" i="1"/>
  <c r="AF72" i="1" s="1"/>
  <c r="AD73" i="1"/>
  <c r="AF73" i="1" s="1"/>
  <c r="AD74" i="1"/>
  <c r="AF74" i="1" s="1"/>
  <c r="AD75" i="1"/>
  <c r="AF75" i="1" s="1"/>
  <c r="AD76" i="1"/>
  <c r="AF76" i="1" s="1"/>
  <c r="AD77" i="1"/>
  <c r="AF77" i="1" s="1"/>
  <c r="AD78" i="1"/>
  <c r="AF78" i="1" s="1"/>
  <c r="AD79" i="1"/>
  <c r="AF79" i="1" s="1"/>
  <c r="AD80" i="1"/>
  <c r="AF80" i="1" s="1"/>
  <c r="AD81" i="1"/>
  <c r="AF81" i="1" s="1"/>
  <c r="AD82" i="1"/>
  <c r="AF82" i="1" s="1"/>
  <c r="AD83" i="1"/>
  <c r="AF83" i="1" s="1"/>
  <c r="AD84" i="1"/>
  <c r="AF84" i="1" s="1"/>
  <c r="AD85" i="1"/>
  <c r="AF85" i="1" s="1"/>
  <c r="AD86" i="1"/>
  <c r="AF86" i="1" s="1"/>
  <c r="AD87" i="1"/>
  <c r="AF87" i="1" s="1"/>
  <c r="AD88" i="1"/>
  <c r="AF88" i="1" s="1"/>
  <c r="AD89" i="1"/>
  <c r="AF89" i="1" s="1"/>
  <c r="AD90" i="1"/>
  <c r="AF90" i="1" s="1"/>
  <c r="AD91" i="1"/>
  <c r="AF91" i="1" s="1"/>
  <c r="AD92" i="1"/>
  <c r="AF92" i="1" s="1"/>
  <c r="AD93" i="1"/>
  <c r="AF93" i="1" s="1"/>
  <c r="AD94" i="1"/>
  <c r="AF94" i="1" s="1"/>
  <c r="AD95" i="1"/>
  <c r="AF95" i="1" s="1"/>
  <c r="AD96" i="1"/>
  <c r="AF96" i="1" s="1"/>
  <c r="AD97" i="1"/>
  <c r="AF97" i="1" s="1"/>
  <c r="AD98" i="1"/>
  <c r="AF98" i="1" s="1"/>
  <c r="AD99" i="1"/>
  <c r="AF99" i="1" s="1"/>
  <c r="AD100" i="1"/>
  <c r="AF100" i="1" s="1"/>
  <c r="AD101" i="1"/>
  <c r="AF101" i="1" s="1"/>
  <c r="AD102" i="1"/>
  <c r="AF102" i="1" s="1"/>
  <c r="AD103" i="1"/>
  <c r="AF103" i="1" s="1"/>
  <c r="AD104" i="1"/>
  <c r="AF104" i="1" s="1"/>
  <c r="AD105" i="1"/>
  <c r="AF105" i="1" s="1"/>
  <c r="AD106" i="1"/>
  <c r="AF106" i="1" s="1"/>
  <c r="AD107" i="1"/>
  <c r="AF107" i="1" s="1"/>
  <c r="AD108" i="1"/>
  <c r="AF108" i="1" s="1"/>
  <c r="AD109" i="1"/>
  <c r="AF109" i="1" s="1"/>
  <c r="AD110" i="1"/>
  <c r="AF110" i="1" s="1"/>
  <c r="AD111" i="1"/>
  <c r="AF111" i="1" s="1"/>
  <c r="AD112" i="1"/>
  <c r="AF112" i="1" s="1"/>
  <c r="AD113" i="1"/>
  <c r="AF113" i="1" s="1"/>
  <c r="AD114" i="1"/>
  <c r="AF114" i="1" s="1"/>
  <c r="AD115" i="1"/>
  <c r="AF115" i="1" s="1"/>
  <c r="AD116" i="1"/>
  <c r="AF116" i="1" s="1"/>
  <c r="AD117" i="1"/>
  <c r="AF117" i="1" s="1"/>
  <c r="AD118" i="1"/>
  <c r="AF118" i="1" s="1"/>
  <c r="AD119" i="1"/>
  <c r="AF119" i="1" s="1"/>
  <c r="AD120" i="1"/>
  <c r="AF120" i="1" s="1"/>
  <c r="AD121" i="1"/>
  <c r="AF121" i="1" s="1"/>
  <c r="AD122" i="1"/>
  <c r="AF122" i="1" s="1"/>
  <c r="AD123" i="1"/>
  <c r="AF123" i="1" s="1"/>
  <c r="AD124" i="1"/>
  <c r="AF124" i="1" s="1"/>
  <c r="AD125" i="1"/>
  <c r="AF125" i="1" s="1"/>
  <c r="AD126" i="1"/>
  <c r="AF126" i="1" s="1"/>
  <c r="AD127" i="1"/>
  <c r="AF127" i="1" s="1"/>
  <c r="AD128" i="1"/>
  <c r="AF128" i="1" s="1"/>
  <c r="AD129" i="1"/>
  <c r="AF129" i="1" s="1"/>
  <c r="AD130" i="1"/>
  <c r="AF130" i="1" s="1"/>
  <c r="AD131" i="1"/>
  <c r="AF131" i="1" s="1"/>
  <c r="AD132" i="1"/>
  <c r="AF132" i="1" s="1"/>
  <c r="AD133" i="1"/>
  <c r="AF133" i="1" s="1"/>
  <c r="AD134" i="1"/>
  <c r="AF134" i="1" s="1"/>
  <c r="AD135" i="1"/>
  <c r="AF135" i="1" s="1"/>
  <c r="AD136" i="1"/>
  <c r="AF136" i="1" s="1"/>
  <c r="AD137" i="1"/>
  <c r="AF137" i="1" s="1"/>
  <c r="AD138" i="1"/>
  <c r="AF138" i="1" s="1"/>
  <c r="AD139" i="1"/>
  <c r="AF139" i="1" s="1"/>
  <c r="AD140" i="1"/>
  <c r="AF140" i="1" s="1"/>
  <c r="AD141" i="1"/>
  <c r="AF141" i="1" s="1"/>
  <c r="AD142" i="1"/>
  <c r="AF142" i="1" s="1"/>
  <c r="AD143" i="1"/>
  <c r="AF143" i="1" s="1"/>
  <c r="AD144" i="1"/>
  <c r="AF144" i="1" s="1"/>
  <c r="AD145" i="1"/>
  <c r="AF145" i="1" s="1"/>
  <c r="AD146" i="1"/>
  <c r="AF146" i="1" s="1"/>
  <c r="AD147" i="1"/>
  <c r="AF147" i="1" s="1"/>
  <c r="AD148" i="1"/>
  <c r="AF148" i="1" s="1"/>
  <c r="AD149" i="1"/>
  <c r="AF149" i="1" s="1"/>
  <c r="AD150" i="1"/>
  <c r="AF150" i="1" s="1"/>
  <c r="AD151" i="1"/>
  <c r="AF151" i="1" s="1"/>
  <c r="AD152" i="1"/>
  <c r="AF152" i="1" s="1"/>
  <c r="AD153" i="1"/>
  <c r="AF153" i="1" s="1"/>
  <c r="AD154" i="1"/>
  <c r="AF154" i="1" s="1"/>
  <c r="AD155" i="1"/>
  <c r="AF155" i="1" s="1"/>
  <c r="AD156" i="1"/>
  <c r="AF156" i="1" s="1"/>
  <c r="AD157" i="1"/>
  <c r="AF157" i="1" s="1"/>
  <c r="AD158" i="1"/>
  <c r="AF158" i="1" s="1"/>
  <c r="AD159" i="1"/>
  <c r="AF159" i="1" s="1"/>
  <c r="AD160" i="1"/>
  <c r="AF160" i="1" s="1"/>
  <c r="AD161" i="1"/>
  <c r="AF161" i="1" s="1"/>
  <c r="AD162" i="1"/>
  <c r="AF162" i="1" s="1"/>
  <c r="AD163" i="1"/>
  <c r="AF163" i="1" s="1"/>
  <c r="AD164" i="1"/>
  <c r="AF164" i="1" s="1"/>
  <c r="AD165" i="1"/>
  <c r="AF165" i="1" s="1"/>
  <c r="AD166" i="1"/>
  <c r="AF166" i="1" s="1"/>
  <c r="AD167" i="1"/>
  <c r="AF167" i="1" s="1"/>
  <c r="AD168" i="1"/>
  <c r="AF168" i="1" s="1"/>
  <c r="AD169" i="1"/>
  <c r="AF169" i="1" s="1"/>
  <c r="AD170" i="1"/>
  <c r="AF170" i="1" s="1"/>
  <c r="AD171" i="1"/>
  <c r="AF171" i="1" s="1"/>
  <c r="AD172" i="1"/>
  <c r="AF172" i="1" s="1"/>
  <c r="AD173" i="1"/>
  <c r="AF173" i="1" s="1"/>
  <c r="AD174" i="1"/>
  <c r="AF174" i="1" s="1"/>
  <c r="AD175" i="1"/>
  <c r="AF175" i="1" s="1"/>
  <c r="AD176" i="1"/>
  <c r="AF176" i="1" s="1"/>
  <c r="AD177" i="1"/>
  <c r="AF177" i="1" s="1"/>
  <c r="AD178" i="1"/>
  <c r="AF178" i="1" s="1"/>
  <c r="AD179" i="1"/>
  <c r="AF179" i="1" s="1"/>
  <c r="AD180" i="1"/>
  <c r="AF180" i="1" s="1"/>
  <c r="AD181" i="1"/>
  <c r="AF181" i="1" s="1"/>
  <c r="AD182" i="1"/>
  <c r="AF182" i="1" s="1"/>
  <c r="AD183" i="1"/>
  <c r="AF183" i="1" s="1"/>
  <c r="AD184" i="1"/>
  <c r="AF184" i="1" s="1"/>
  <c r="AD185" i="1"/>
  <c r="AF185" i="1" s="1"/>
  <c r="AD186" i="1"/>
  <c r="AF186" i="1" s="1"/>
  <c r="AD187" i="1"/>
  <c r="AF187" i="1" s="1"/>
  <c r="AD189" i="1"/>
  <c r="AF189" i="1" s="1"/>
  <c r="AD190" i="1"/>
  <c r="AF190" i="1" s="1"/>
  <c r="AD191" i="1"/>
  <c r="AF191" i="1" s="1"/>
  <c r="AD192" i="1"/>
  <c r="AF192" i="1" s="1"/>
  <c r="AD193" i="1"/>
  <c r="AF193" i="1" s="1"/>
  <c r="AD194" i="1"/>
  <c r="AF194" i="1" s="1"/>
  <c r="AD195" i="1"/>
  <c r="AF195" i="1" s="1"/>
  <c r="AD196" i="1"/>
  <c r="AF196" i="1" s="1"/>
  <c r="AD197" i="1"/>
  <c r="AF197" i="1" s="1"/>
  <c r="AD198" i="1"/>
  <c r="AF198" i="1" s="1"/>
  <c r="AD199" i="1"/>
  <c r="AF199" i="1" s="1"/>
  <c r="AD200" i="1"/>
  <c r="AF200" i="1" s="1"/>
  <c r="AD201" i="1"/>
  <c r="AF201" i="1" s="1"/>
  <c r="AD202" i="1"/>
  <c r="AF202" i="1" s="1"/>
  <c r="AD203" i="1"/>
  <c r="AF203" i="1" s="1"/>
  <c r="AD204" i="1"/>
  <c r="AF204" i="1" s="1"/>
  <c r="AD205" i="1"/>
  <c r="AF205" i="1" s="1"/>
  <c r="AD206" i="1"/>
  <c r="AF206" i="1" s="1"/>
  <c r="AD207" i="1"/>
  <c r="AF207" i="1" s="1"/>
  <c r="AD208" i="1"/>
  <c r="AF208" i="1" s="1"/>
  <c r="AD209" i="1"/>
  <c r="AF209" i="1" s="1"/>
  <c r="AD210" i="1"/>
  <c r="AF210" i="1" s="1"/>
  <c r="AD211" i="1"/>
  <c r="AF211" i="1" s="1"/>
  <c r="AD212" i="1"/>
  <c r="AF212" i="1" s="1"/>
  <c r="AD213" i="1"/>
  <c r="AF213" i="1" s="1"/>
  <c r="AD214" i="1"/>
  <c r="AF214" i="1" s="1"/>
  <c r="AD215" i="1"/>
  <c r="AF215" i="1" s="1"/>
  <c r="AD216" i="1"/>
  <c r="AF216" i="1" s="1"/>
  <c r="AD217" i="1"/>
  <c r="AF217" i="1" s="1"/>
  <c r="AD218" i="1"/>
  <c r="AF218" i="1" s="1"/>
  <c r="AD219" i="1"/>
  <c r="AF219" i="1" s="1"/>
  <c r="AD220" i="1"/>
  <c r="AF220" i="1" s="1"/>
  <c r="AD221" i="1"/>
  <c r="AF221" i="1" s="1"/>
  <c r="AD222" i="1"/>
  <c r="AF222" i="1" s="1"/>
  <c r="AD223" i="1"/>
  <c r="AF223" i="1" s="1"/>
  <c r="AD224" i="1"/>
  <c r="AF224" i="1" s="1"/>
  <c r="AD225" i="1"/>
  <c r="AF225" i="1" s="1"/>
  <c r="AD226" i="1"/>
  <c r="AF226" i="1" s="1"/>
  <c r="AD227" i="1"/>
  <c r="AF227" i="1" s="1"/>
  <c r="AD228" i="1"/>
  <c r="AF228" i="1" s="1"/>
  <c r="AD229" i="1"/>
  <c r="AF229" i="1" s="1"/>
  <c r="AD230" i="1"/>
  <c r="AF230" i="1" s="1"/>
  <c r="AD231" i="1"/>
  <c r="AF231" i="1" s="1"/>
  <c r="AD232" i="1"/>
  <c r="AF232" i="1" s="1"/>
  <c r="AD233" i="1"/>
  <c r="AF233" i="1" s="1"/>
  <c r="AD234" i="1"/>
  <c r="AF234" i="1" s="1"/>
  <c r="AD235" i="1"/>
  <c r="AF235" i="1" s="1"/>
  <c r="AD236" i="1"/>
  <c r="AF236" i="1" s="1"/>
  <c r="AD237" i="1"/>
  <c r="AF237" i="1" s="1"/>
  <c r="AD238" i="1"/>
  <c r="AF238" i="1" s="1"/>
  <c r="AD239" i="1"/>
  <c r="AF239" i="1" s="1"/>
  <c r="AD240" i="1"/>
  <c r="AF240" i="1" s="1"/>
  <c r="AD241" i="1"/>
  <c r="AF241" i="1" s="1"/>
  <c r="AD242" i="1"/>
  <c r="AF242" i="1" s="1"/>
  <c r="AD243" i="1"/>
  <c r="AF243" i="1" s="1"/>
  <c r="AD244" i="1"/>
  <c r="AF244" i="1" s="1"/>
  <c r="AD245" i="1"/>
  <c r="AF245" i="1" s="1"/>
  <c r="AD246" i="1"/>
  <c r="AF246" i="1" s="1"/>
  <c r="AD247" i="1"/>
  <c r="AF247" i="1" s="1"/>
  <c r="AD248" i="1"/>
  <c r="AF248" i="1" s="1"/>
  <c r="AD249" i="1"/>
  <c r="AF249" i="1" s="1"/>
  <c r="AD250" i="1"/>
  <c r="AF250" i="1" s="1"/>
  <c r="AD251" i="1"/>
  <c r="AF251" i="1" s="1"/>
  <c r="AD252" i="1"/>
  <c r="AF252" i="1" s="1"/>
  <c r="AD253" i="1"/>
  <c r="AF253" i="1" s="1"/>
  <c r="AD254" i="1"/>
  <c r="AF254" i="1" s="1"/>
  <c r="AD255" i="1"/>
  <c r="AF255" i="1" s="1"/>
  <c r="AD256" i="1"/>
  <c r="AF256" i="1" s="1"/>
  <c r="AD257" i="1"/>
  <c r="AF257" i="1" s="1"/>
  <c r="AD258" i="1"/>
  <c r="AF258" i="1" s="1"/>
  <c r="AD259" i="1"/>
  <c r="AF259" i="1" s="1"/>
  <c r="AD260" i="1"/>
  <c r="AF260" i="1" s="1"/>
  <c r="AD261" i="1"/>
  <c r="AF261" i="1" s="1"/>
  <c r="AD262" i="1"/>
  <c r="AF262" i="1" s="1"/>
  <c r="AD263" i="1"/>
  <c r="AF263" i="1" s="1"/>
  <c r="AD264" i="1"/>
  <c r="AF264" i="1" s="1"/>
  <c r="AD265" i="1"/>
  <c r="AF265" i="1" s="1"/>
  <c r="AD266" i="1"/>
  <c r="AF266" i="1" s="1"/>
  <c r="AD267" i="1"/>
  <c r="AF267" i="1" s="1"/>
  <c r="AD268" i="1"/>
  <c r="AF268" i="1" s="1"/>
  <c r="AD269" i="1"/>
  <c r="AF269" i="1" s="1"/>
  <c r="AD270" i="1"/>
  <c r="AF270" i="1" s="1"/>
  <c r="AD271" i="1"/>
  <c r="AF271" i="1" s="1"/>
  <c r="AD272" i="1"/>
  <c r="AF272" i="1" s="1"/>
  <c r="AD273" i="1"/>
  <c r="AF273" i="1" s="1"/>
  <c r="AD274" i="1"/>
  <c r="AF274" i="1" s="1"/>
  <c r="AD275" i="1"/>
  <c r="AF275" i="1" s="1"/>
  <c r="AD276" i="1"/>
  <c r="AF276" i="1" s="1"/>
  <c r="AD277" i="1"/>
  <c r="AF277" i="1" s="1"/>
  <c r="AD278" i="1"/>
  <c r="AF278" i="1" s="1"/>
  <c r="AD279" i="1"/>
  <c r="AF279" i="1" s="1"/>
  <c r="AD280" i="1"/>
  <c r="AF280" i="1" s="1"/>
  <c r="AD281" i="1"/>
  <c r="AF281" i="1" s="1"/>
  <c r="AD282" i="1"/>
  <c r="AF282" i="1" s="1"/>
  <c r="AD283" i="1"/>
  <c r="AF283" i="1" s="1"/>
  <c r="AD284" i="1"/>
  <c r="AF284" i="1" s="1"/>
  <c r="AD285" i="1"/>
  <c r="AF285" i="1" s="1"/>
  <c r="AD286" i="1"/>
  <c r="AF286" i="1" s="1"/>
  <c r="AD287" i="1"/>
  <c r="AF287" i="1" s="1"/>
  <c r="AD288" i="1"/>
  <c r="AF288" i="1" s="1"/>
  <c r="AD289" i="1"/>
  <c r="AF289" i="1" s="1"/>
  <c r="AD290" i="1"/>
  <c r="AF290" i="1" s="1"/>
  <c r="AD291" i="1"/>
  <c r="AF291" i="1" s="1"/>
  <c r="AD292" i="1"/>
  <c r="AF292" i="1" s="1"/>
  <c r="AD293" i="1"/>
  <c r="AF293" i="1" s="1"/>
  <c r="AD294" i="1"/>
  <c r="AF294" i="1" s="1"/>
  <c r="AD295" i="1"/>
  <c r="AF295" i="1" s="1"/>
  <c r="AD296" i="1"/>
  <c r="AF296" i="1" s="1"/>
  <c r="AD297" i="1"/>
  <c r="AF297" i="1" s="1"/>
  <c r="AD298" i="1"/>
  <c r="AF298" i="1" s="1"/>
  <c r="AD299" i="1"/>
  <c r="AF299" i="1" s="1"/>
  <c r="AD300" i="1"/>
  <c r="AF300" i="1" s="1"/>
  <c r="AD301" i="1"/>
  <c r="AF301" i="1" s="1"/>
  <c r="AD302" i="1"/>
  <c r="AF302" i="1" s="1"/>
  <c r="AD303" i="1"/>
  <c r="AF303" i="1" s="1"/>
  <c r="AD304" i="1"/>
  <c r="AF304" i="1" s="1"/>
  <c r="AD305" i="1"/>
  <c r="AF305" i="1" s="1"/>
  <c r="AD306" i="1"/>
  <c r="AF306" i="1" s="1"/>
  <c r="AD307" i="1"/>
  <c r="AF307" i="1" s="1"/>
  <c r="AD308" i="1"/>
  <c r="AF308" i="1" s="1"/>
  <c r="AD309" i="1"/>
  <c r="AF309" i="1" s="1"/>
  <c r="AD310" i="1"/>
  <c r="AF310" i="1" s="1"/>
  <c r="AD311" i="1"/>
  <c r="AF311" i="1" s="1"/>
  <c r="AD312" i="1"/>
  <c r="AF312" i="1" s="1"/>
  <c r="AD313" i="1"/>
  <c r="AF313" i="1" s="1"/>
  <c r="AD314" i="1"/>
  <c r="AF314" i="1" s="1"/>
  <c r="AD315" i="1"/>
  <c r="AF315" i="1" s="1"/>
  <c r="AD316" i="1"/>
  <c r="AF316" i="1" s="1"/>
  <c r="AD317" i="1"/>
  <c r="AF317" i="1" s="1"/>
  <c r="AD318" i="1"/>
  <c r="AF318" i="1" s="1"/>
  <c r="AD319" i="1"/>
  <c r="AF319" i="1" s="1"/>
  <c r="AD320" i="1"/>
  <c r="AF320" i="1" s="1"/>
  <c r="AD321" i="1"/>
  <c r="AF321" i="1" s="1"/>
  <c r="AD322" i="1"/>
  <c r="AF322" i="1" s="1"/>
  <c r="AD323" i="1"/>
  <c r="AF323" i="1" s="1"/>
  <c r="AD324" i="1"/>
  <c r="AF324" i="1" s="1"/>
  <c r="AD325" i="1"/>
  <c r="AF325" i="1" s="1"/>
  <c r="AD326" i="1"/>
  <c r="AF326" i="1" s="1"/>
  <c r="AD327" i="1"/>
  <c r="AF327" i="1" s="1"/>
  <c r="AD328" i="1"/>
  <c r="AF328" i="1" s="1"/>
  <c r="AD329" i="1"/>
  <c r="AF329" i="1" s="1"/>
  <c r="AD330" i="1"/>
  <c r="AF330" i="1" s="1"/>
  <c r="AD331" i="1"/>
  <c r="AF331" i="1" s="1"/>
  <c r="AD332" i="1"/>
  <c r="AF332" i="1" s="1"/>
  <c r="AD333" i="1"/>
  <c r="AF333" i="1" s="1"/>
  <c r="AD334" i="1"/>
  <c r="AF334" i="1" s="1"/>
  <c r="AD335" i="1"/>
  <c r="AF335" i="1" s="1"/>
  <c r="AD336" i="1"/>
  <c r="AF336" i="1" s="1"/>
  <c r="AD337" i="1"/>
  <c r="AF337" i="1" s="1"/>
  <c r="AD338" i="1"/>
  <c r="AF338" i="1" s="1"/>
  <c r="AD339" i="1"/>
  <c r="AF339" i="1" s="1"/>
  <c r="AD340" i="1"/>
  <c r="AF340" i="1" s="1"/>
  <c r="AD341" i="1"/>
  <c r="AF341" i="1" s="1"/>
  <c r="AD342" i="1"/>
  <c r="AF342" i="1" s="1"/>
  <c r="AD343" i="1"/>
  <c r="AF343" i="1" s="1"/>
  <c r="AD344" i="1"/>
  <c r="AF344" i="1" s="1"/>
  <c r="AD345" i="1"/>
  <c r="AF345" i="1" s="1"/>
  <c r="AD346" i="1"/>
  <c r="AF346" i="1" s="1"/>
  <c r="AD347" i="1"/>
  <c r="AF347" i="1" s="1"/>
  <c r="AD348" i="1"/>
  <c r="AF348" i="1" s="1"/>
  <c r="AD349" i="1"/>
  <c r="AF349" i="1" s="1"/>
  <c r="AD350" i="1"/>
  <c r="AF350" i="1" s="1"/>
  <c r="AD351" i="1"/>
  <c r="AF351" i="1" s="1"/>
  <c r="AD352" i="1"/>
  <c r="AF352" i="1" s="1"/>
  <c r="AD353" i="1"/>
  <c r="AF353" i="1" s="1"/>
  <c r="AD354" i="1"/>
  <c r="AF354" i="1" s="1"/>
  <c r="AD355" i="1"/>
  <c r="AF355" i="1" s="1"/>
  <c r="AD356" i="1"/>
  <c r="AF356" i="1" s="1"/>
  <c r="AD357" i="1"/>
  <c r="AF357" i="1" s="1"/>
  <c r="AD358" i="1"/>
  <c r="AF358" i="1" s="1"/>
  <c r="AD359" i="1"/>
  <c r="AF359" i="1" s="1"/>
  <c r="AD360" i="1"/>
  <c r="AF360" i="1" s="1"/>
  <c r="AD361" i="1"/>
  <c r="AF361" i="1" s="1"/>
  <c r="AD362" i="1"/>
  <c r="AF362" i="1" s="1"/>
  <c r="AD363" i="1"/>
  <c r="AF363" i="1" s="1"/>
  <c r="AD364" i="1"/>
  <c r="AF364" i="1" s="1"/>
  <c r="AD365" i="1"/>
  <c r="AF365" i="1" s="1"/>
  <c r="AD366" i="1"/>
  <c r="AF366" i="1" s="1"/>
  <c r="AD367" i="1"/>
  <c r="AF367" i="1" s="1"/>
  <c r="AD368" i="1"/>
  <c r="AF368" i="1" s="1"/>
  <c r="AD369" i="1"/>
  <c r="AF369" i="1" s="1"/>
  <c r="AD370" i="1"/>
  <c r="AF370" i="1" s="1"/>
  <c r="AD371" i="1"/>
  <c r="AF371" i="1" s="1"/>
  <c r="AD372" i="1"/>
  <c r="AF372" i="1" s="1"/>
  <c r="AD373" i="1"/>
  <c r="AF373" i="1" s="1"/>
  <c r="AD374" i="1"/>
  <c r="AF374" i="1" s="1"/>
  <c r="AD375" i="1"/>
  <c r="AF375" i="1" s="1"/>
  <c r="AD376" i="1"/>
  <c r="AF376" i="1" s="1"/>
  <c r="AD377" i="1"/>
  <c r="AF377" i="1" s="1"/>
  <c r="AD378" i="1"/>
  <c r="AF378" i="1" s="1"/>
  <c r="AD379" i="1"/>
  <c r="AF379" i="1" s="1"/>
  <c r="AD380" i="1"/>
  <c r="AF380" i="1" s="1"/>
  <c r="AD381" i="1"/>
  <c r="AF381" i="1" s="1"/>
  <c r="AD382" i="1"/>
  <c r="AF382" i="1" s="1"/>
  <c r="AD383" i="1"/>
  <c r="AF383" i="1" s="1"/>
  <c r="AD384" i="1"/>
  <c r="AF384" i="1" s="1"/>
  <c r="AD385" i="1"/>
  <c r="AF385" i="1" s="1"/>
  <c r="AD386" i="1"/>
  <c r="AF386" i="1" s="1"/>
  <c r="AD387" i="1"/>
  <c r="AF387" i="1" s="1"/>
  <c r="AD388" i="1"/>
  <c r="AF388" i="1" s="1"/>
  <c r="AD389" i="1"/>
  <c r="AF389" i="1" s="1"/>
  <c r="AD390" i="1"/>
  <c r="AF390" i="1" s="1"/>
  <c r="AD391" i="1"/>
  <c r="AF391" i="1" s="1"/>
  <c r="AD392" i="1"/>
  <c r="AF392" i="1" s="1"/>
  <c r="AD393" i="1"/>
  <c r="AF393" i="1" s="1"/>
  <c r="AD394" i="1"/>
  <c r="AF394" i="1" s="1"/>
  <c r="AD395" i="1"/>
  <c r="AF395" i="1" s="1"/>
  <c r="AD396" i="1"/>
  <c r="AF396" i="1" s="1"/>
  <c r="AD397" i="1"/>
  <c r="AF397" i="1" s="1"/>
  <c r="AD398" i="1"/>
  <c r="AF398" i="1" s="1"/>
  <c r="AD399" i="1"/>
  <c r="AF399" i="1" s="1"/>
  <c r="AD400" i="1"/>
  <c r="AF400" i="1" s="1"/>
  <c r="AD401" i="1"/>
  <c r="AF401" i="1" s="1"/>
  <c r="AD402" i="1"/>
  <c r="AF402" i="1" s="1"/>
  <c r="AD403" i="1"/>
  <c r="AF403" i="1" s="1"/>
  <c r="AD404" i="1"/>
  <c r="AF404" i="1" s="1"/>
  <c r="AD405" i="1"/>
  <c r="AF405" i="1" s="1"/>
  <c r="AD406" i="1"/>
  <c r="AF406" i="1" s="1"/>
  <c r="AD407" i="1"/>
  <c r="AF407" i="1" s="1"/>
  <c r="AD408" i="1"/>
  <c r="AF408" i="1" s="1"/>
  <c r="AD409" i="1"/>
  <c r="AF409" i="1" s="1"/>
  <c r="AD410" i="1"/>
  <c r="AF410" i="1" s="1"/>
  <c r="AD411" i="1"/>
  <c r="AF411" i="1" s="1"/>
  <c r="AD412" i="1"/>
  <c r="AF412" i="1" s="1"/>
  <c r="AD2" i="1"/>
  <c r="AF2" i="1" s="1"/>
</calcChain>
</file>

<file path=xl/sharedStrings.xml><?xml version="1.0" encoding="utf-8"?>
<sst xmlns="http://schemas.openxmlformats.org/spreadsheetml/2006/main" count="3653" uniqueCount="1243">
  <si>
    <t>BU</t>
  </si>
  <si>
    <t>CONCENTRAÇÃO</t>
  </si>
  <si>
    <t>DOSE</t>
  </si>
  <si>
    <t>-</t>
  </si>
  <si>
    <t>REPASSE</t>
  </si>
  <si>
    <t>LISTA</t>
  </si>
  <si>
    <t>EAN</t>
  </si>
  <si>
    <t>SAP</t>
  </si>
  <si>
    <t>PREÇO BRUTO</t>
  </si>
  <si>
    <t>PREÇO SELL OUT</t>
  </si>
  <si>
    <t>PMC</t>
  </si>
  <si>
    <t>CEST</t>
  </si>
  <si>
    <t>13.004.01</t>
  </si>
  <si>
    <t>100</t>
  </si>
  <si>
    <t>400</t>
  </si>
  <si>
    <t>13.003.00</t>
  </si>
  <si>
    <t>10</t>
  </si>
  <si>
    <t>8</t>
  </si>
  <si>
    <t>4</t>
  </si>
  <si>
    <t>40</t>
  </si>
  <si>
    <t>50</t>
  </si>
  <si>
    <t>500</t>
  </si>
  <si>
    <t>15</t>
  </si>
  <si>
    <t>20</t>
  </si>
  <si>
    <t>3</t>
  </si>
  <si>
    <t>5</t>
  </si>
  <si>
    <t>(%) DESCONTO SELL OUT</t>
  </si>
  <si>
    <t>PB + REPASSE</t>
  </si>
  <si>
    <t>ST BRUTA</t>
  </si>
  <si>
    <t>CRÉDITO PRÓPRIO</t>
  </si>
  <si>
    <t>CALC 1</t>
  </si>
  <si>
    <t>CALC 2</t>
  </si>
  <si>
    <t xml:space="preserve">ST CRÉDITO </t>
  </si>
  <si>
    <t>CRÉDITO OUTORGADO</t>
  </si>
  <si>
    <t>PRÓ DESENVOLVE</t>
  </si>
  <si>
    <t>ST FINAL</t>
  </si>
  <si>
    <t>DESCONTO SELLIN (%)</t>
  </si>
  <si>
    <t>PREÇO BRUTO FINAL</t>
  </si>
  <si>
    <t>MARGEM</t>
  </si>
  <si>
    <t>30</t>
  </si>
  <si>
    <t>6</t>
  </si>
  <si>
    <t>120</t>
  </si>
  <si>
    <t>600</t>
  </si>
  <si>
    <t>180</t>
  </si>
  <si>
    <t>10410</t>
  </si>
  <si>
    <t>7896004710464</t>
  </si>
  <si>
    <t>10411</t>
  </si>
  <si>
    <t>7896004710471</t>
  </si>
  <si>
    <t>10815</t>
  </si>
  <si>
    <t>7896004722122</t>
  </si>
  <si>
    <t>10579</t>
  </si>
  <si>
    <t>7896004715292</t>
  </si>
  <si>
    <t>10358</t>
  </si>
  <si>
    <t>7896004708706</t>
  </si>
  <si>
    <t>10539</t>
  </si>
  <si>
    <t>7896004713366</t>
  </si>
  <si>
    <t>10538</t>
  </si>
  <si>
    <t>7896004713342</t>
  </si>
  <si>
    <t>10531</t>
  </si>
  <si>
    <t>7896004713182</t>
  </si>
  <si>
    <t>10424</t>
  </si>
  <si>
    <t>7896004710907</t>
  </si>
  <si>
    <t>10425</t>
  </si>
  <si>
    <t>7896004710891</t>
  </si>
  <si>
    <t>11858</t>
  </si>
  <si>
    <t>7896004775043</t>
  </si>
  <si>
    <t>11791</t>
  </si>
  <si>
    <t>7896004771199</t>
  </si>
  <si>
    <t>11360</t>
  </si>
  <si>
    <t>7896004752471</t>
  </si>
  <si>
    <t>10085</t>
  </si>
  <si>
    <t>7896004702452</t>
  </si>
  <si>
    <t>10581</t>
  </si>
  <si>
    <t>7896004715322</t>
  </si>
  <si>
    <t>10554</t>
  </si>
  <si>
    <t>7896004713618</t>
  </si>
  <si>
    <t>10644</t>
  </si>
  <si>
    <t>7896004718811</t>
  </si>
  <si>
    <t>10645</t>
  </si>
  <si>
    <t>7896004718804</t>
  </si>
  <si>
    <t>10646</t>
  </si>
  <si>
    <t>7896004718828</t>
  </si>
  <si>
    <t>10648</t>
  </si>
  <si>
    <t>7896004718842</t>
  </si>
  <si>
    <t>10105</t>
  </si>
  <si>
    <t>7896004701288</t>
  </si>
  <si>
    <t>37278</t>
  </si>
  <si>
    <t>7894916372787</t>
  </si>
  <si>
    <t>10190</t>
  </si>
  <si>
    <t>7896004706290</t>
  </si>
  <si>
    <t>10423</t>
  </si>
  <si>
    <t>7896004710860</t>
  </si>
  <si>
    <t>10451</t>
  </si>
  <si>
    <t>7896004711454</t>
  </si>
  <si>
    <t>10915</t>
  </si>
  <si>
    <t>10382</t>
  </si>
  <si>
    <t>7896004709567</t>
  </si>
  <si>
    <t>11037</t>
  </si>
  <si>
    <t>7896004700458</t>
  </si>
  <si>
    <t>10201</t>
  </si>
  <si>
    <t>7896004704593</t>
  </si>
  <si>
    <t>11001</t>
  </si>
  <si>
    <t>7896004700441</t>
  </si>
  <si>
    <t>10229</t>
  </si>
  <si>
    <t>7896004705477</t>
  </si>
  <si>
    <t>11002</t>
  </si>
  <si>
    <t>7896004700427</t>
  </si>
  <si>
    <t>10651</t>
  </si>
  <si>
    <t>7896004718996</t>
  </si>
  <si>
    <t>10276</t>
  </si>
  <si>
    <t>7896004706382</t>
  </si>
  <si>
    <t>10125</t>
  </si>
  <si>
    <t>7896004703428</t>
  </si>
  <si>
    <t>10735</t>
  </si>
  <si>
    <t>7896004720746</t>
  </si>
  <si>
    <t>10126</t>
  </si>
  <si>
    <t>7896004703404</t>
  </si>
  <si>
    <t>10148</t>
  </si>
  <si>
    <t>7896004703411</t>
  </si>
  <si>
    <t>10691</t>
  </si>
  <si>
    <t>7896004719580</t>
  </si>
  <si>
    <t>10690</t>
  </si>
  <si>
    <t>7896004719597</t>
  </si>
  <si>
    <t>11511</t>
  </si>
  <si>
    <t>7896004759609</t>
  </si>
  <si>
    <t>37285</t>
  </si>
  <si>
    <t>7894916372855</t>
  </si>
  <si>
    <t>10137</t>
  </si>
  <si>
    <t>7896004703312</t>
  </si>
  <si>
    <t>10136</t>
  </si>
  <si>
    <t>7896004703305</t>
  </si>
  <si>
    <t>11334</t>
  </si>
  <si>
    <t>7896004750644</t>
  </si>
  <si>
    <t>11332</t>
  </si>
  <si>
    <t>7896004750620</t>
  </si>
  <si>
    <t>11333</t>
  </si>
  <si>
    <t>7896004750637</t>
  </si>
  <si>
    <t>37063</t>
  </si>
  <si>
    <t>7896004782690</t>
  </si>
  <si>
    <t>37065</t>
  </si>
  <si>
    <t>7896004782713</t>
  </si>
  <si>
    <t>37068</t>
  </si>
  <si>
    <t>7896004782744</t>
  </si>
  <si>
    <t>37070</t>
  </si>
  <si>
    <t>7896004782768</t>
  </si>
  <si>
    <t>11271</t>
  </si>
  <si>
    <t>7896004747620</t>
  </si>
  <si>
    <t>11268</t>
  </si>
  <si>
    <t>7896004747637</t>
  </si>
  <si>
    <t>10248</t>
  </si>
  <si>
    <t>7896004705781</t>
  </si>
  <si>
    <t>10249</t>
  </si>
  <si>
    <t>7896004705880</t>
  </si>
  <si>
    <t>10244</t>
  </si>
  <si>
    <t>10245</t>
  </si>
  <si>
    <t>7896004705866</t>
  </si>
  <si>
    <t>10372</t>
  </si>
  <si>
    <t>7896004709123</t>
  </si>
  <si>
    <t>10373</t>
  </si>
  <si>
    <t>7896004709130</t>
  </si>
  <si>
    <t>11514</t>
  </si>
  <si>
    <t>7896004759739</t>
  </si>
  <si>
    <t>10942</t>
  </si>
  <si>
    <t>7896004729428</t>
  </si>
  <si>
    <t>10943</t>
  </si>
  <si>
    <t>7896004729435</t>
  </si>
  <si>
    <t>11121</t>
  </si>
  <si>
    <t>7896004737058</t>
  </si>
  <si>
    <t>10944</t>
  </si>
  <si>
    <t>7896004729442</t>
  </si>
  <si>
    <t>10945</t>
  </si>
  <si>
    <t>7896004729459</t>
  </si>
  <si>
    <t>11517</t>
  </si>
  <si>
    <t>7896004759678</t>
  </si>
  <si>
    <t>10135</t>
  </si>
  <si>
    <t>7896004703299</t>
  </si>
  <si>
    <t>10023</t>
  </si>
  <si>
    <t>7896004715957</t>
  </si>
  <si>
    <t>11589</t>
  </si>
  <si>
    <t>7896004762227</t>
  </si>
  <si>
    <t>10025</t>
  </si>
  <si>
    <t>7896004715971</t>
  </si>
  <si>
    <t>10024</t>
  </si>
  <si>
    <t>7896004715964</t>
  </si>
  <si>
    <t>10018</t>
  </si>
  <si>
    <t>7896004715902</t>
  </si>
  <si>
    <t>10197</t>
  </si>
  <si>
    <t>7896004704616</t>
  </si>
  <si>
    <t>10470</t>
  </si>
  <si>
    <t>7896004711850</t>
  </si>
  <si>
    <t>10219</t>
  </si>
  <si>
    <t>7896004705125</t>
  </si>
  <si>
    <t>10218</t>
  </si>
  <si>
    <t>7896004705118</t>
  </si>
  <si>
    <t>10238</t>
  </si>
  <si>
    <t>7896004705590</t>
  </si>
  <si>
    <t>10237</t>
  </si>
  <si>
    <t>7896004705606</t>
  </si>
  <si>
    <t>10202</t>
  </si>
  <si>
    <t>7896004704586</t>
  </si>
  <si>
    <t>10198</t>
  </si>
  <si>
    <t>7896004704623</t>
  </si>
  <si>
    <t>10452</t>
  </si>
  <si>
    <t>7896004711485</t>
  </si>
  <si>
    <t>10460</t>
  </si>
  <si>
    <t>7896004711690</t>
  </si>
  <si>
    <t>10389</t>
  </si>
  <si>
    <t>7896004700656</t>
  </si>
  <si>
    <t>10412</t>
  </si>
  <si>
    <t>7896004710525</t>
  </si>
  <si>
    <t>11515</t>
  </si>
  <si>
    <t>7896004784076</t>
  </si>
  <si>
    <t>11516</t>
  </si>
  <si>
    <t>7896004784083</t>
  </si>
  <si>
    <t>10869</t>
  </si>
  <si>
    <t>7896004724690</t>
  </si>
  <si>
    <t>10870</t>
  </si>
  <si>
    <t>7896004724683</t>
  </si>
  <si>
    <t>10817</t>
  </si>
  <si>
    <t>7896004722160</t>
  </si>
  <si>
    <t>11145</t>
  </si>
  <si>
    <t>7896004739595</t>
  </si>
  <si>
    <t>10818</t>
  </si>
  <si>
    <t>7896004722177</t>
  </si>
  <si>
    <t>11144</t>
  </si>
  <si>
    <t>7896004739588</t>
  </si>
  <si>
    <t>10896</t>
  </si>
  <si>
    <t>7896004726854</t>
  </si>
  <si>
    <t>10572</t>
  </si>
  <si>
    <t>7896004716268</t>
  </si>
  <si>
    <t>10562</t>
  </si>
  <si>
    <t>7896004713762</t>
  </si>
  <si>
    <t>10878</t>
  </si>
  <si>
    <t>7896004725420</t>
  </si>
  <si>
    <t>10745</t>
  </si>
  <si>
    <t>7896004720241</t>
  </si>
  <si>
    <t>10917</t>
  </si>
  <si>
    <t>7896004727882</t>
  </si>
  <si>
    <t>10089</t>
  </si>
  <si>
    <t>7896004701233</t>
  </si>
  <si>
    <t>11485</t>
  </si>
  <si>
    <t>7896004758268</t>
  </si>
  <si>
    <t>11486</t>
  </si>
  <si>
    <t>7896004758275</t>
  </si>
  <si>
    <t>11081</t>
  </si>
  <si>
    <t>7896004732626</t>
  </si>
  <si>
    <t>11082</t>
  </si>
  <si>
    <t>7896004732633</t>
  </si>
  <si>
    <t>37419</t>
  </si>
  <si>
    <t>7896004794068</t>
  </si>
  <si>
    <t>10794</t>
  </si>
  <si>
    <t>7896004721323</t>
  </si>
  <si>
    <t>11064</t>
  </si>
  <si>
    <t>7896004704326</t>
  </si>
  <si>
    <t>10183</t>
  </si>
  <si>
    <t>7896004704180</t>
  </si>
  <si>
    <t>10128</t>
  </si>
  <si>
    <t>7896004704210</t>
  </si>
  <si>
    <t>10067</t>
  </si>
  <si>
    <t>7896004700564</t>
  </si>
  <si>
    <t>10066</t>
  </si>
  <si>
    <t>7896004700571</t>
  </si>
  <si>
    <t>10980</t>
  </si>
  <si>
    <t>7896004731308</t>
  </si>
  <si>
    <t>10982</t>
  </si>
  <si>
    <t>7896004731322</t>
  </si>
  <si>
    <t>10976</t>
  </si>
  <si>
    <t>7896004731261</t>
  </si>
  <si>
    <t>10978</t>
  </si>
  <si>
    <t>7896004731285</t>
  </si>
  <si>
    <t>10132</t>
  </si>
  <si>
    <t>7896004703275</t>
  </si>
  <si>
    <t>10504</t>
  </si>
  <si>
    <t>7896004712581</t>
  </si>
  <si>
    <t>10168</t>
  </si>
  <si>
    <t>7896004704364</t>
  </si>
  <si>
    <t>10203</t>
  </si>
  <si>
    <t>7896004704692</t>
  </si>
  <si>
    <t>10008</t>
  </si>
  <si>
    <t>7896004715803</t>
  </si>
  <si>
    <t>11275</t>
  </si>
  <si>
    <t>7896004747880</t>
  </si>
  <si>
    <t>11276</t>
  </si>
  <si>
    <t>7896004747897</t>
  </si>
  <si>
    <t>10083</t>
  </si>
  <si>
    <t>7896004700984</t>
  </si>
  <si>
    <t>10037</t>
  </si>
  <si>
    <t>7896004718460</t>
  </si>
  <si>
    <t>11012</t>
  </si>
  <si>
    <t>7896004700250</t>
  </si>
  <si>
    <t>11013</t>
  </si>
  <si>
    <t>7896004700267</t>
  </si>
  <si>
    <t>11361</t>
  </si>
  <si>
    <t>7896004752525</t>
  </si>
  <si>
    <t>10250</t>
  </si>
  <si>
    <t>7896004705736</t>
  </si>
  <si>
    <t>37147</t>
  </si>
  <si>
    <t>7896004793429</t>
  </si>
  <si>
    <t>37148</t>
  </si>
  <si>
    <t>7896004793436</t>
  </si>
  <si>
    <t>10320</t>
  </si>
  <si>
    <t>7896004706900</t>
  </si>
  <si>
    <t>10897</t>
  </si>
  <si>
    <t>7896004726908</t>
  </si>
  <si>
    <t>10949</t>
  </si>
  <si>
    <t>7896004730196</t>
  </si>
  <si>
    <t>10950</t>
  </si>
  <si>
    <t>7896004730189</t>
  </si>
  <si>
    <t>10957</t>
  </si>
  <si>
    <t>7896004730059</t>
  </si>
  <si>
    <t>11440</t>
  </si>
  <si>
    <t>7896004756875</t>
  </si>
  <si>
    <t>10904</t>
  </si>
  <si>
    <t>7896004727233</t>
  </si>
  <si>
    <t>11571</t>
  </si>
  <si>
    <t>7896004761299</t>
  </si>
  <si>
    <t>11572</t>
  </si>
  <si>
    <t>7896004761305</t>
  </si>
  <si>
    <t>11569</t>
  </si>
  <si>
    <t>7896004761275</t>
  </si>
  <si>
    <t>11828</t>
  </si>
  <si>
    <t>7896004771762</t>
  </si>
  <si>
    <t>10102</t>
  </si>
  <si>
    <t>7896004701271</t>
  </si>
  <si>
    <t>10822</t>
  </si>
  <si>
    <t>7896004722528</t>
  </si>
  <si>
    <t>10972</t>
  </si>
  <si>
    <t>7896004730981</t>
  </si>
  <si>
    <t>10127</t>
  </si>
  <si>
    <t>7896004703497</t>
  </si>
  <si>
    <t>10086</t>
  </si>
  <si>
    <t>10084</t>
  </si>
  <si>
    <t>7896004700991</t>
  </si>
  <si>
    <t>10497</t>
  </si>
  <si>
    <t>7896004712413</t>
  </si>
  <si>
    <t>11048</t>
  </si>
  <si>
    <t>7896004701301</t>
  </si>
  <si>
    <t>10804</t>
  </si>
  <si>
    <t>11519</t>
  </si>
  <si>
    <t>7896004759692</t>
  </si>
  <si>
    <t>10517</t>
  </si>
  <si>
    <t>7896004712932</t>
  </si>
  <si>
    <t>11118</t>
  </si>
  <si>
    <t>7896004772332</t>
  </si>
  <si>
    <t>10836</t>
  </si>
  <si>
    <t>7896004738406</t>
  </si>
  <si>
    <t>10235</t>
  </si>
  <si>
    <t>7896004706375</t>
  </si>
  <si>
    <t>10233</t>
  </si>
  <si>
    <t>7896004706368</t>
  </si>
  <si>
    <t>10234</t>
  </si>
  <si>
    <t>7896004705583</t>
  </si>
  <si>
    <t>10040</t>
  </si>
  <si>
    <t>7896004718453</t>
  </si>
  <si>
    <t>10448</t>
  </si>
  <si>
    <t>7896004711423</t>
  </si>
  <si>
    <t>11425</t>
  </si>
  <si>
    <t>7896004756417</t>
  </si>
  <si>
    <t>11426</t>
  </si>
  <si>
    <t>7896004756424</t>
  </si>
  <si>
    <t>11427</t>
  </si>
  <si>
    <t>7896004756431</t>
  </si>
  <si>
    <t>10378</t>
  </si>
  <si>
    <t>7896004709291</t>
  </si>
  <si>
    <t>10377</t>
  </si>
  <si>
    <t>7896004709307</t>
  </si>
  <si>
    <t>11773</t>
  </si>
  <si>
    <t>7896004769684</t>
  </si>
  <si>
    <t>11772</t>
  </si>
  <si>
    <t>7896004769622</t>
  </si>
  <si>
    <t>32578</t>
  </si>
  <si>
    <t>7896004789828</t>
  </si>
  <si>
    <t>32579</t>
  </si>
  <si>
    <t>7896004789835</t>
  </si>
  <si>
    <t>11349</t>
  </si>
  <si>
    <t>7896004751641</t>
  </si>
  <si>
    <t>11760</t>
  </si>
  <si>
    <t>7896004768687</t>
  </si>
  <si>
    <t>10408</t>
  </si>
  <si>
    <t>7896004710402</t>
  </si>
  <si>
    <t>11339</t>
  </si>
  <si>
    <t>7896004751016</t>
  </si>
  <si>
    <t>11338</t>
  </si>
  <si>
    <t>7896004751009</t>
  </si>
  <si>
    <t>10160</t>
  </si>
  <si>
    <t>7896004703565</t>
  </si>
  <si>
    <t>10806</t>
  </si>
  <si>
    <t>7896004721903</t>
  </si>
  <si>
    <t>10482</t>
  </si>
  <si>
    <t>7896004712147</t>
  </si>
  <si>
    <t>10220</t>
  </si>
  <si>
    <t>7896004704999</t>
  </si>
  <si>
    <t>10764</t>
  </si>
  <si>
    <t>7896004720784</t>
  </si>
  <si>
    <t>10439</t>
  </si>
  <si>
    <t>7896004711287</t>
  </si>
  <si>
    <t>10310</t>
  </si>
  <si>
    <t>7896004706665</t>
  </si>
  <si>
    <t>10932</t>
  </si>
  <si>
    <t>7896004728629</t>
  </si>
  <si>
    <t>10216</t>
  </si>
  <si>
    <t>7896004705057</t>
  </si>
  <si>
    <t>10144</t>
  </si>
  <si>
    <t>7896004703381</t>
  </si>
  <si>
    <t>10560</t>
  </si>
  <si>
    <t>7896004713731</t>
  </si>
  <si>
    <t>10115</t>
  </si>
  <si>
    <t>7896004701820</t>
  </si>
  <si>
    <t>11186</t>
  </si>
  <si>
    <t>7896004742007</t>
  </si>
  <si>
    <t>10454</t>
  </si>
  <si>
    <t>7896004711539</t>
  </si>
  <si>
    <t>10455</t>
  </si>
  <si>
    <t>7896004711546</t>
  </si>
  <si>
    <t>11974</t>
  </si>
  <si>
    <t>7896004779713</t>
  </si>
  <si>
    <t>10313</t>
  </si>
  <si>
    <t>7896004706733</t>
  </si>
  <si>
    <t>11030</t>
  </si>
  <si>
    <t>7896004700410</t>
  </si>
  <si>
    <t>11031</t>
  </si>
  <si>
    <t>7896004700403</t>
  </si>
  <si>
    <t>10354</t>
  </si>
  <si>
    <t>7896004708652</t>
  </si>
  <si>
    <t>10366</t>
  </si>
  <si>
    <t>7896004708973</t>
  </si>
  <si>
    <t>10227</t>
  </si>
  <si>
    <t>7896004705330</t>
  </si>
  <si>
    <t>10355</t>
  </si>
  <si>
    <t>7896004708669</t>
  </si>
  <si>
    <t>11964</t>
  </si>
  <si>
    <t>7896004782546</t>
  </si>
  <si>
    <t>11965</t>
  </si>
  <si>
    <t>7896004782553</t>
  </si>
  <si>
    <t>10583</t>
  </si>
  <si>
    <t>7896004715674</t>
  </si>
  <si>
    <t>10012</t>
  </si>
  <si>
    <t>7896004715841</t>
  </si>
  <si>
    <t>10039</t>
  </si>
  <si>
    <t>7896004718446</t>
  </si>
  <si>
    <t>10145</t>
  </si>
  <si>
    <t>7896004703398</t>
  </si>
  <si>
    <t>10847</t>
  </si>
  <si>
    <t>7896004723563</t>
  </si>
  <si>
    <t>10848</t>
  </si>
  <si>
    <t>7896004723570</t>
  </si>
  <si>
    <t>11751</t>
  </si>
  <si>
    <t>7896004768298</t>
  </si>
  <si>
    <t>11743</t>
  </si>
  <si>
    <t>7896004768212</t>
  </si>
  <si>
    <t>37025</t>
  </si>
  <si>
    <t>7896004781280</t>
  </si>
  <si>
    <t>37028</t>
  </si>
  <si>
    <t>7896004781310</t>
  </si>
  <si>
    <t>10887</t>
  </si>
  <si>
    <t>7896004726069</t>
  </si>
  <si>
    <t>10881</t>
  </si>
  <si>
    <t>7896004725697</t>
  </si>
  <si>
    <t>10501</t>
  </si>
  <si>
    <t>7896004712499</t>
  </si>
  <si>
    <t>11233</t>
  </si>
  <si>
    <t>7896004744957</t>
  </si>
  <si>
    <t>11872</t>
  </si>
  <si>
    <t>7896004773117</t>
  </si>
  <si>
    <t>11520</t>
  </si>
  <si>
    <t>7896004759722</t>
  </si>
  <si>
    <t>11189</t>
  </si>
  <si>
    <t>7896004734392</t>
  </si>
  <si>
    <t>11407</t>
  </si>
  <si>
    <t>7896004755878</t>
  </si>
  <si>
    <t>11394</t>
  </si>
  <si>
    <t>7896004754949</t>
  </si>
  <si>
    <t>37435</t>
  </si>
  <si>
    <t>7896004794044</t>
  </si>
  <si>
    <t>11225</t>
  </si>
  <si>
    <t>7896004747774</t>
  </si>
  <si>
    <t>37436</t>
  </si>
  <si>
    <t>7896004794051</t>
  </si>
  <si>
    <t>11026</t>
  </si>
  <si>
    <t>7896004700533</t>
  </si>
  <si>
    <t>11028</t>
  </si>
  <si>
    <t>7896004700540</t>
  </si>
  <si>
    <t>11029</t>
  </si>
  <si>
    <t>7896004700526</t>
  </si>
  <si>
    <t>10396</t>
  </si>
  <si>
    <t>7896004709956</t>
  </si>
  <si>
    <t>10985</t>
  </si>
  <si>
    <t>7896004731568</t>
  </si>
  <si>
    <t>10986</t>
  </si>
  <si>
    <t>7896004731575</t>
  </si>
  <si>
    <t>11257</t>
  </si>
  <si>
    <t>7896004747002</t>
  </si>
  <si>
    <t>10987</t>
  </si>
  <si>
    <t>7896004731582</t>
  </si>
  <si>
    <t>37475</t>
  </si>
  <si>
    <t>7896004794198</t>
  </si>
  <si>
    <t>11216</t>
  </si>
  <si>
    <t>7896004743936</t>
  </si>
  <si>
    <t>11187</t>
  </si>
  <si>
    <t>7896004742069</t>
  </si>
  <si>
    <t>11217</t>
  </si>
  <si>
    <t>7896004743943</t>
  </si>
  <si>
    <t>11188</t>
  </si>
  <si>
    <t>7896004742076</t>
  </si>
  <si>
    <t>10591</t>
  </si>
  <si>
    <t>7896004716145</t>
  </si>
  <si>
    <t>10590</t>
  </si>
  <si>
    <t>7896004716138</t>
  </si>
  <si>
    <t>10370</t>
  </si>
  <si>
    <t>10427</t>
  </si>
  <si>
    <t>7896004711034</t>
  </si>
  <si>
    <t>37030</t>
  </si>
  <si>
    <t>7896004781372</t>
  </si>
  <si>
    <t>37033</t>
  </si>
  <si>
    <t>7896004781402</t>
  </si>
  <si>
    <t>37032</t>
  </si>
  <si>
    <t>7896004781396</t>
  </si>
  <si>
    <t>11254</t>
  </si>
  <si>
    <t>7896004746937</t>
  </si>
  <si>
    <t>11253</t>
  </si>
  <si>
    <t>7896004746920</t>
  </si>
  <si>
    <t>11258</t>
  </si>
  <si>
    <t>7896004747040</t>
  </si>
  <si>
    <t>11259</t>
  </si>
  <si>
    <t>7896004747057</t>
  </si>
  <si>
    <t>11260</t>
  </si>
  <si>
    <t>7896004747064</t>
  </si>
  <si>
    <t>10837</t>
  </si>
  <si>
    <t>7896004723365</t>
  </si>
  <si>
    <t>10936</t>
  </si>
  <si>
    <t>7896004728766</t>
  </si>
  <si>
    <t>11927</t>
  </si>
  <si>
    <t>7896004777535</t>
  </si>
  <si>
    <t>11929</t>
  </si>
  <si>
    <t>7896004777559</t>
  </si>
  <si>
    <t>37497</t>
  </si>
  <si>
    <t>7896004794075</t>
  </si>
  <si>
    <t>37498</t>
  </si>
  <si>
    <t>7896004794174</t>
  </si>
  <si>
    <t>10282</t>
  </si>
  <si>
    <t>7896004706405</t>
  </si>
  <si>
    <t>10598</t>
  </si>
  <si>
    <t>7896004716343</t>
  </si>
  <si>
    <t>10146</t>
  </si>
  <si>
    <t>7896004703466</t>
  </si>
  <si>
    <t>10141</t>
  </si>
  <si>
    <t>7896004703336</t>
  </si>
  <si>
    <t>10142</t>
  </si>
  <si>
    <t>7896004703343</t>
  </si>
  <si>
    <t>10895</t>
  </si>
  <si>
    <t>7896004726533</t>
  </si>
  <si>
    <t>11223</t>
  </si>
  <si>
    <t>10532</t>
  </si>
  <si>
    <t>7896004713250</t>
  </si>
  <si>
    <t>10900</t>
  </si>
  <si>
    <t>7896004727028</t>
  </si>
  <si>
    <t>10287</t>
  </si>
  <si>
    <t>7896004706474</t>
  </si>
  <si>
    <t>11366</t>
  </si>
  <si>
    <t>10867</t>
  </si>
  <si>
    <t>7896004724577</t>
  </si>
  <si>
    <t>11367</t>
  </si>
  <si>
    <t>11594</t>
  </si>
  <si>
    <t>7896004762364</t>
  </si>
  <si>
    <t>10434</t>
  </si>
  <si>
    <t>7896004711218</t>
  </si>
  <si>
    <t>10435</t>
  </si>
  <si>
    <t>7896004711225</t>
  </si>
  <si>
    <t>10436</t>
  </si>
  <si>
    <t>7896004711232</t>
  </si>
  <si>
    <t>10215</t>
  </si>
  <si>
    <t>7896004708744</t>
  </si>
  <si>
    <t>10214</t>
  </si>
  <si>
    <t>7896004708751</t>
  </si>
  <si>
    <t>10592</t>
  </si>
  <si>
    <t>7896004716176</t>
  </si>
  <si>
    <t>10570</t>
  </si>
  <si>
    <t>7896004713922</t>
  </si>
  <si>
    <t>10569</t>
  </si>
  <si>
    <t>7896004713915</t>
  </si>
  <si>
    <t>11322</t>
  </si>
  <si>
    <t>7896004750330</t>
  </si>
  <si>
    <t>11323</t>
  </si>
  <si>
    <t>7896004750347</t>
  </si>
  <si>
    <t>11324</t>
  </si>
  <si>
    <t>7896004750354</t>
  </si>
  <si>
    <t>10663</t>
  </si>
  <si>
    <t>7896004719283</t>
  </si>
  <si>
    <t>10890</t>
  </si>
  <si>
    <t>7896004726229</t>
  </si>
  <si>
    <t>11603</t>
  </si>
  <si>
    <t>7896004763576</t>
  </si>
  <si>
    <t>10948</t>
  </si>
  <si>
    <t>7896004729688</t>
  </si>
  <si>
    <t>10938</t>
  </si>
  <si>
    <t>7896004728827</t>
  </si>
  <si>
    <t>37418</t>
  </si>
  <si>
    <t>7896004793719</t>
  </si>
  <si>
    <t>10859</t>
  </si>
  <si>
    <t>7896004724102</t>
  </si>
  <si>
    <t>10344</t>
  </si>
  <si>
    <t>7896004708072</t>
  </si>
  <si>
    <t>10346</t>
  </si>
  <si>
    <t>7896004708058</t>
  </si>
  <si>
    <t>10110</t>
  </si>
  <si>
    <t>7896004703633</t>
  </si>
  <si>
    <t>10865</t>
  </si>
  <si>
    <t>7896004724508</t>
  </si>
  <si>
    <t>11372</t>
  </si>
  <si>
    <t>7896004753089</t>
  </si>
  <si>
    <t>37385</t>
  </si>
  <si>
    <t>37094</t>
  </si>
  <si>
    <t>7896004782935</t>
  </si>
  <si>
    <t>37103</t>
  </si>
  <si>
    <t>7896004783024</t>
  </si>
  <si>
    <t>37099</t>
  </si>
  <si>
    <t>7896004782980</t>
  </si>
  <si>
    <t>11457</t>
  </si>
  <si>
    <t>7896004757353</t>
  </si>
  <si>
    <t>10529</t>
  </si>
  <si>
    <t>7896004713120</t>
  </si>
  <si>
    <t>10528</t>
  </si>
  <si>
    <t>7896004713137</t>
  </si>
  <si>
    <t>10820</t>
  </si>
  <si>
    <t>7896004722474</t>
  </si>
  <si>
    <t>10819</t>
  </si>
  <si>
    <t>7896004722467</t>
  </si>
  <si>
    <t>37362</t>
  </si>
  <si>
    <t>7896004792286</t>
  </si>
  <si>
    <t>37363</t>
  </si>
  <si>
    <t>7896004792293</t>
  </si>
  <si>
    <t>37364</t>
  </si>
  <si>
    <t>7896004792309</t>
  </si>
  <si>
    <t>10278</t>
  </si>
  <si>
    <t>7896004706429</t>
  </si>
  <si>
    <t>37277</t>
  </si>
  <si>
    <t>7894916372770</t>
  </si>
  <si>
    <t>10212</t>
  </si>
  <si>
    <t>7896004705095</t>
  </si>
  <si>
    <t>11060</t>
  </si>
  <si>
    <t>7896004701462</t>
  </si>
  <si>
    <t>10829</t>
  </si>
  <si>
    <t>7896004722870</t>
  </si>
  <si>
    <t>10302</t>
  </si>
  <si>
    <t>7896004706795</t>
  </si>
  <si>
    <t>10766</t>
  </si>
  <si>
    <t>7896004720869</t>
  </si>
  <si>
    <t>10415</t>
  </si>
  <si>
    <t>7896004710679</t>
  </si>
  <si>
    <t>10519</t>
  </si>
  <si>
    <t>7896004712963</t>
  </si>
  <si>
    <t>10149</t>
  </si>
  <si>
    <t>7896004703480</t>
  </si>
  <si>
    <t>10147</t>
  </si>
  <si>
    <t>7896004703473</t>
  </si>
  <si>
    <t>11386</t>
  </si>
  <si>
    <t>7896004754154</t>
  </si>
  <si>
    <t>11387</t>
  </si>
  <si>
    <t>7896004754161</t>
  </si>
  <si>
    <t>10122</t>
  </si>
  <si>
    <t>7896004702049</t>
  </si>
  <si>
    <t>11480</t>
  </si>
  <si>
    <t>7896004758114</t>
  </si>
  <si>
    <t>11481</t>
  </si>
  <si>
    <t>7896004758121</t>
  </si>
  <si>
    <t>10584</t>
  </si>
  <si>
    <t>7896004715537</t>
  </si>
  <si>
    <t>11115</t>
  </si>
  <si>
    <t>7896004734354</t>
  </si>
  <si>
    <t>11116</t>
  </si>
  <si>
    <t>37360</t>
  </si>
  <si>
    <t>7896004792316</t>
  </si>
  <si>
    <t>37193</t>
  </si>
  <si>
    <t>7896004787725</t>
  </si>
  <si>
    <t>11794</t>
  </si>
  <si>
    <t>7896004771373</t>
  </si>
  <si>
    <t>11797</t>
  </si>
  <si>
    <t>7896004771403</t>
  </si>
  <si>
    <t>10177</t>
  </si>
  <si>
    <t>7896004704036</t>
  </si>
  <si>
    <t>10178</t>
  </si>
  <si>
    <t>7896004704043</t>
  </si>
  <si>
    <t>10121</t>
  </si>
  <si>
    <t>7896004702032</t>
  </si>
  <si>
    <t>10433</t>
  </si>
  <si>
    <t>7896004711195</t>
  </si>
  <si>
    <t>37340</t>
  </si>
  <si>
    <t>7896004792057</t>
  </si>
  <si>
    <t>37339</t>
  </si>
  <si>
    <t>7896004792040</t>
  </si>
  <si>
    <t>11522</t>
  </si>
  <si>
    <t>7896004759791</t>
  </si>
  <si>
    <t>11524</t>
  </si>
  <si>
    <t>7896004759814</t>
  </si>
  <si>
    <t>11523</t>
  </si>
  <si>
    <t>7896004759807</t>
  </si>
  <si>
    <t>37346</t>
  </si>
  <si>
    <t>7896004791104</t>
  </si>
  <si>
    <t>37347</t>
  </si>
  <si>
    <t>7896004791111</t>
  </si>
  <si>
    <t>10118</t>
  </si>
  <si>
    <t>7896004701998</t>
  </si>
  <si>
    <t>10134</t>
  </si>
  <si>
    <t>7896004703282</t>
  </si>
  <si>
    <t>10120</t>
  </si>
  <si>
    <t>7896004701967</t>
  </si>
  <si>
    <t>37325</t>
  </si>
  <si>
    <t>7896004790152</t>
  </si>
  <si>
    <t>37326</t>
  </si>
  <si>
    <t>7896004790169</t>
  </si>
  <si>
    <t>11125</t>
  </si>
  <si>
    <t>7896004737218</t>
  </si>
  <si>
    <t>11126</t>
  </si>
  <si>
    <t>7896004737225</t>
  </si>
  <si>
    <t>10558</t>
  </si>
  <si>
    <t>7896004713717</t>
  </si>
  <si>
    <t>10559</t>
  </si>
  <si>
    <t>7896004713724</t>
  </si>
  <si>
    <t>10254</t>
  </si>
  <si>
    <t>7896004705989</t>
  </si>
  <si>
    <t>11304</t>
  </si>
  <si>
    <t>7896004749303</t>
  </si>
  <si>
    <t>10251</t>
  </si>
  <si>
    <t>7896004705996</t>
  </si>
  <si>
    <t>10252</t>
  </si>
  <si>
    <t>7896004706009</t>
  </si>
  <si>
    <t>11308</t>
  </si>
  <si>
    <t>7896004749358</t>
  </si>
  <si>
    <t>10594</t>
  </si>
  <si>
    <t>7896004716299</t>
  </si>
  <si>
    <t>10060</t>
  </si>
  <si>
    <t>7896004700038</t>
  </si>
  <si>
    <t>10161</t>
  </si>
  <si>
    <t>7896004703596</t>
  </si>
  <si>
    <t>10773</t>
  </si>
  <si>
    <t>7896004722337</t>
  </si>
  <si>
    <t>37111</t>
  </si>
  <si>
    <t>7896004787329</t>
  </si>
  <si>
    <t>37112</t>
  </si>
  <si>
    <t>7896004787336</t>
  </si>
  <si>
    <t>37113</t>
  </si>
  <si>
    <t>7896004787343</t>
  </si>
  <si>
    <t>10468</t>
  </si>
  <si>
    <t>7896004737119</t>
  </si>
  <si>
    <t>11019</t>
  </si>
  <si>
    <t>7896004700953</t>
  </si>
  <si>
    <t>10550</t>
  </si>
  <si>
    <t>7896004713571</t>
  </si>
  <si>
    <t>10989</t>
  </si>
  <si>
    <t>7896004731698</t>
  </si>
  <si>
    <t>10990</t>
  </si>
  <si>
    <t>7896004731704</t>
  </si>
  <si>
    <t>10221</t>
  </si>
  <si>
    <t>7896004705088</t>
  </si>
  <si>
    <t>10222</t>
  </si>
  <si>
    <t>7896004705071</t>
  </si>
  <si>
    <t>37152</t>
  </si>
  <si>
    <t>7896004786117</t>
  </si>
  <si>
    <t>11207</t>
  </si>
  <si>
    <t>7896004743042</t>
  </si>
  <si>
    <t>11095</t>
  </si>
  <si>
    <t>7896004733234</t>
  </si>
  <si>
    <t>10271</t>
  </si>
  <si>
    <t>7896004706313</t>
  </si>
  <si>
    <t>10270</t>
  </si>
  <si>
    <t>7896004706306</t>
  </si>
  <si>
    <t>11870</t>
  </si>
  <si>
    <t>7896004772868</t>
  </si>
  <si>
    <t>11879</t>
  </si>
  <si>
    <t>7896004773339</t>
  </si>
  <si>
    <t>10963</t>
  </si>
  <si>
    <t>7896004730370</t>
  </si>
  <si>
    <t>10964</t>
  </si>
  <si>
    <t>7896004730387</t>
  </si>
  <si>
    <t>11279</t>
  </si>
  <si>
    <t>7896004748214</t>
  </si>
  <si>
    <t>10409</t>
  </si>
  <si>
    <t>7896004710419</t>
  </si>
  <si>
    <t>37344</t>
  </si>
  <si>
    <t>7896004791456</t>
  </si>
  <si>
    <t>10930</t>
  </si>
  <si>
    <t>7896004728667</t>
  </si>
  <si>
    <t>10791</t>
  </si>
  <si>
    <t>7896004721255</t>
  </si>
  <si>
    <t>11689</t>
  </si>
  <si>
    <t>7896004766980</t>
  </si>
  <si>
    <t>11690</t>
  </si>
  <si>
    <t>7896004766997</t>
  </si>
  <si>
    <t>11692</t>
  </si>
  <si>
    <t>7896004767017</t>
  </si>
  <si>
    <t>11981</t>
  </si>
  <si>
    <t>7896004780504</t>
  </si>
  <si>
    <t>11696</t>
  </si>
  <si>
    <t>7896004767055</t>
  </si>
  <si>
    <t>11979</t>
  </si>
  <si>
    <t>7896004780511</t>
  </si>
  <si>
    <t>10947</t>
  </si>
  <si>
    <t>7896004729640</t>
  </si>
  <si>
    <t>10939</t>
  </si>
  <si>
    <t>7896004728858</t>
  </si>
  <si>
    <t>37335</t>
  </si>
  <si>
    <t>7896004793931</t>
  </si>
  <si>
    <t>11213</t>
  </si>
  <si>
    <t>7896004743745</t>
  </si>
  <si>
    <t>11401</t>
  </si>
  <si>
    <t>7896004755342</t>
  </si>
  <si>
    <t>10228</t>
  </si>
  <si>
    <t>7896004705347</t>
  </si>
  <si>
    <t>10226</t>
  </si>
  <si>
    <t>7896004705323</t>
  </si>
  <si>
    <t>11512</t>
  </si>
  <si>
    <t>7896004759593</t>
  </si>
  <si>
    <t>11521</t>
  </si>
  <si>
    <t>7896004759845</t>
  </si>
  <si>
    <t>10785</t>
  </si>
  <si>
    <t>7896004721095</t>
  </si>
  <si>
    <t>10787</t>
  </si>
  <si>
    <t>7896004721125</t>
  </si>
  <si>
    <t>10928</t>
  </si>
  <si>
    <t>7896004728490</t>
  </si>
  <si>
    <t>10958</t>
  </si>
  <si>
    <t>7896004730080</t>
  </si>
  <si>
    <t>10960</t>
  </si>
  <si>
    <t>7896004730103</t>
  </si>
  <si>
    <t>10961</t>
  </si>
  <si>
    <t>7896004730110</t>
  </si>
  <si>
    <t>10117</t>
  </si>
  <si>
    <t>7896004701943</t>
  </si>
  <si>
    <t>10420</t>
  </si>
  <si>
    <t>7896004710761</t>
  </si>
  <si>
    <t>10432</t>
  </si>
  <si>
    <t>7896004711188</t>
  </si>
  <si>
    <t>10169</t>
  </si>
  <si>
    <t>7896004703732</t>
  </si>
  <si>
    <t>11315</t>
  </si>
  <si>
    <t>7896004749655</t>
  </si>
  <si>
    <t>11313</t>
  </si>
  <si>
    <t>7896004749631</t>
  </si>
  <si>
    <t>11314</t>
  </si>
  <si>
    <t>7896004749648</t>
  </si>
  <si>
    <t>11312</t>
  </si>
  <si>
    <t>7896004749624</t>
  </si>
  <si>
    <t>11356</t>
  </si>
  <si>
    <t>7896004752112</t>
  </si>
  <si>
    <t>11581</t>
  </si>
  <si>
    <t>7896004761817</t>
  </si>
  <si>
    <t>11582</t>
  </si>
  <si>
    <t>7896004761824</t>
  </si>
  <si>
    <t>11024</t>
  </si>
  <si>
    <t>7896004700274</t>
  </si>
  <si>
    <t>10090</t>
  </si>
  <si>
    <t>7896004701035</t>
  </si>
  <si>
    <t>10173</t>
  </si>
  <si>
    <t>7896004703794</t>
  </si>
  <si>
    <t>11190</t>
  </si>
  <si>
    <t>7896004742199</t>
  </si>
  <si>
    <t>10552</t>
  </si>
  <si>
    <t>7896004715711</t>
  </si>
  <si>
    <t>10217</t>
  </si>
  <si>
    <t>7896004705132</t>
  </si>
  <si>
    <t>10523</t>
  </si>
  <si>
    <t>7896004713007</t>
  </si>
  <si>
    <t>10521</t>
  </si>
  <si>
    <t>7896004713021</t>
  </si>
  <si>
    <t>10522</t>
  </si>
  <si>
    <t>7896004713014</t>
  </si>
  <si>
    <t>11922</t>
  </si>
  <si>
    <t>7896004777184</t>
  </si>
  <si>
    <t>10462</t>
  </si>
  <si>
    <t>7896004711744</t>
  </si>
  <si>
    <t>10833</t>
  </si>
  <si>
    <t>7896004723020</t>
  </si>
  <si>
    <t>10926</t>
  </si>
  <si>
    <t>7896004728261</t>
  </si>
  <si>
    <t>11358</t>
  </si>
  <si>
    <t>7896004752228</t>
  </si>
  <si>
    <t>11357</t>
  </si>
  <si>
    <t>7896004752211</t>
  </si>
  <si>
    <t>10479</t>
  </si>
  <si>
    <t>7896004712048</t>
  </si>
  <si>
    <t>11967</t>
  </si>
  <si>
    <t>7896004780184</t>
  </si>
  <si>
    <t>11968</t>
  </si>
  <si>
    <t>7896004780191</t>
  </si>
  <si>
    <t>37477</t>
  </si>
  <si>
    <t>37496</t>
  </si>
  <si>
    <t>37474</t>
  </si>
  <si>
    <t>10931</t>
  </si>
  <si>
    <t>7896004728612</t>
  </si>
  <si>
    <t>11513</t>
  </si>
  <si>
    <t>7896004759715</t>
  </si>
  <si>
    <t>11251</t>
  </si>
  <si>
    <t>7896004746388</t>
  </si>
  <si>
    <t>10338</t>
  </si>
  <si>
    <t>7896004707310</t>
  </si>
  <si>
    <t>10874</t>
  </si>
  <si>
    <t>7896004725000</t>
  </si>
  <si>
    <t>11673</t>
  </si>
  <si>
    <t>7896004767130</t>
  </si>
  <si>
    <t>37524</t>
  </si>
  <si>
    <t>7896004795058</t>
  </si>
  <si>
    <t>37525</t>
  </si>
  <si>
    <t>7896004795065</t>
  </si>
  <si>
    <t>37526</t>
  </si>
  <si>
    <t>7896004795041</t>
  </si>
  <si>
    <t>EMS</t>
  </si>
  <si>
    <t>ACEBROFILINA</t>
  </si>
  <si>
    <t>ACECLOFENACO</t>
  </si>
  <si>
    <t>ACETILCISTEINA</t>
  </si>
  <si>
    <t>ACETILSALICILICO ACIDO</t>
  </si>
  <si>
    <t>ACICLOVIR</t>
  </si>
  <si>
    <t>IBANDRONATO DE SODIO</t>
  </si>
  <si>
    <t>ALBENDAZOL</t>
  </si>
  <si>
    <t>ALENDRONATO SODICO</t>
  </si>
  <si>
    <t>ALGESTONA + ESTRADIOL</t>
  </si>
  <si>
    <t>ALPRAZOLAM</t>
  </si>
  <si>
    <t>ALUMINIO HIDROXIDO</t>
  </si>
  <si>
    <t>AMBROXOL</t>
  </si>
  <si>
    <t>AMILORIDA + HIDROCLOROTIAZIDA</t>
  </si>
  <si>
    <t>AMITRIPTILINA</t>
  </si>
  <si>
    <t>AMOXICILINA</t>
  </si>
  <si>
    <t>AMOXICILINA + CLAVULANICO ACIDO</t>
  </si>
  <si>
    <t>ANASTROZOL</t>
  </si>
  <si>
    <t>ANLODIPINO</t>
  </si>
  <si>
    <t>ANLODIPINO + OLMESARTANA</t>
  </si>
  <si>
    <t>APIXABANA</t>
  </si>
  <si>
    <t>ARIPIPRAZOL</t>
  </si>
  <si>
    <t>ATENOLOL</t>
  </si>
  <si>
    <t>ATENOLOL + CLORTALIDONA</t>
  </si>
  <si>
    <t>ATORVASTATINA</t>
  </si>
  <si>
    <t>AZITROMICINA</t>
  </si>
  <si>
    <t>BACITRACINA + NEOMICINA</t>
  </si>
  <si>
    <t>BETAMETASONA</t>
  </si>
  <si>
    <t>BETAMETASONA + CETOCONAZOL</t>
  </si>
  <si>
    <t>BETAMETASONA + CETOCONAZOL + NEOMICINA</t>
  </si>
  <si>
    <t>BETAMETASONA + CLIOQUINOL + GENTAMICINA + TOLNAFTATO</t>
  </si>
  <si>
    <t>BETAMETASONA + DEXCLORFENIRAMINA</t>
  </si>
  <si>
    <t>BETAMETASONA + GENTAMICINA</t>
  </si>
  <si>
    <t>BETAMETASONA + SALICILICO ACIDO</t>
  </si>
  <si>
    <t>BEZAFIBRATO</t>
  </si>
  <si>
    <t>BILASTINA</t>
  </si>
  <si>
    <t>BIMATOPROSTA</t>
  </si>
  <si>
    <t>BISOPROLOL</t>
  </si>
  <si>
    <t>BRIMONIDINA</t>
  </si>
  <si>
    <t>BROMAZEPAM</t>
  </si>
  <si>
    <t>IPRATROPIO BROMETO</t>
  </si>
  <si>
    <t>BROMEXINA</t>
  </si>
  <si>
    <t>BROMOPRIDA</t>
  </si>
  <si>
    <t>BUDESONIDA</t>
  </si>
  <si>
    <t>BUPROPIONA</t>
  </si>
  <si>
    <t>CAFEINA + PARACETAMOL</t>
  </si>
  <si>
    <t>CAPTOPRIL</t>
  </si>
  <si>
    <t>CARBAMAZEPINA</t>
  </si>
  <si>
    <t>CARBOCISTEINA</t>
  </si>
  <si>
    <t>CARVEDILOL</t>
  </si>
  <si>
    <t>CEFADROXILA</t>
  </si>
  <si>
    <t>CEFALEXINA</t>
  </si>
  <si>
    <t>CELECOXIBE</t>
  </si>
  <si>
    <t>CETOCONAZOL</t>
  </si>
  <si>
    <t>CETOPROFENO</t>
  </si>
  <si>
    <t>TROMETAMOL CETOROLACO</t>
  </si>
  <si>
    <t>CICLOBENZAPRINA</t>
  </si>
  <si>
    <t>CICLOBENZAPRINA + LISINA CLONIXINATO</t>
  </si>
  <si>
    <t>CICLOPIROX OLAMINA</t>
  </si>
  <si>
    <t>CILOSTAZOL</t>
  </si>
  <si>
    <t>CIPROFLOXACINO</t>
  </si>
  <si>
    <t>CIPROFLOXACINO + DEXAMETASONA</t>
  </si>
  <si>
    <t>CITALOPRAM</t>
  </si>
  <si>
    <t>CLARITROMICINA</t>
  </si>
  <si>
    <t>CLOBETASOL</t>
  </si>
  <si>
    <t>CLOMIPRAMINA</t>
  </si>
  <si>
    <t>CLONAZEPAM</t>
  </si>
  <si>
    <t>CLOPERASTINA</t>
  </si>
  <si>
    <t>CLOPIDOGREL</t>
  </si>
  <si>
    <t>CLORTALIDONA</t>
  </si>
  <si>
    <t>CLOTRIMAZOL</t>
  </si>
  <si>
    <t>CODEINA + PARACETAMOL</t>
  </si>
  <si>
    <t>DEFLAZACORTE</t>
  </si>
  <si>
    <t>DESLORATADINA</t>
  </si>
  <si>
    <t>DESOGESTREL</t>
  </si>
  <si>
    <t>DESONIDA</t>
  </si>
  <si>
    <t>DESVENLAFAXINA</t>
  </si>
  <si>
    <t>DEXAMETASONA</t>
  </si>
  <si>
    <t>DEXCLORFENIRAMINA</t>
  </si>
  <si>
    <t>DICLOFENACO SODICO</t>
  </si>
  <si>
    <t>DICLOFENACO RESINATO</t>
  </si>
  <si>
    <t>DICLOFENACO POTASSICO</t>
  </si>
  <si>
    <t>DICLOFENACO COLESTERAMINA</t>
  </si>
  <si>
    <t>DIENOGESTE</t>
  </si>
  <si>
    <t>DILTIAZEM</t>
  </si>
  <si>
    <t>DIMETICONA</t>
  </si>
  <si>
    <t>DIMETICONA + HOMATROPINA</t>
  </si>
  <si>
    <t>DIPIRONA</t>
  </si>
  <si>
    <t>DOMPERIDONA</t>
  </si>
  <si>
    <t>DONEPEZILA CLORIDRATO</t>
  </si>
  <si>
    <t>DONEPEZILA CLORIDRATO + MEMANTINA</t>
  </si>
  <si>
    <t>DORZOLAMIDA</t>
  </si>
  <si>
    <t>DORZOLAMIDA + TIMOLOL</t>
  </si>
  <si>
    <t>DOXAZOSINA</t>
  </si>
  <si>
    <t>DROSPIRENONA + ETINILESTRADIOL</t>
  </si>
  <si>
    <t>DULOXETINA</t>
  </si>
  <si>
    <t>ENALAPRIL</t>
  </si>
  <si>
    <t>ENALAPRIL + HIDROCLOROTIAZIDA</t>
  </si>
  <si>
    <t>ESCITALOPRAM</t>
  </si>
  <si>
    <t>ESOMEPRAZOL</t>
  </si>
  <si>
    <t>ESPIRONOLACTONA</t>
  </si>
  <si>
    <t>ETORICOXIBE</t>
  </si>
  <si>
    <t>EZETIMIBA</t>
  </si>
  <si>
    <t>EZETIMIBA + SINVASTATINA</t>
  </si>
  <si>
    <t>FENOFIBRATO</t>
  </si>
  <si>
    <t>FENTICONAZOL</t>
  </si>
  <si>
    <t>FEXOFENADINA</t>
  </si>
  <si>
    <t>FINASTERIDA</t>
  </si>
  <si>
    <t>FLUCONAZOL</t>
  </si>
  <si>
    <t>FLUOCINOLONA ACETONIDA + HIDROQUINONA + TRETINOINA</t>
  </si>
  <si>
    <t>FLUOXETINA</t>
  </si>
  <si>
    <t>GABAPENTINA</t>
  </si>
  <si>
    <t>GLIBENCLAMIDA</t>
  </si>
  <si>
    <t>GLICLAZIDA</t>
  </si>
  <si>
    <t>GLIMEPIRIDA</t>
  </si>
  <si>
    <t>GRAMICIDINA + NEOMICINA + NISTATINA + TRIANCINOLONA</t>
  </si>
  <si>
    <t>HIDROCLOROTIAZIDA</t>
  </si>
  <si>
    <t>HIDROCLOROTIAZIDA + LOSARTANA</t>
  </si>
  <si>
    <t>HIDROCLOROTIAZIDA + OLMESARTANA</t>
  </si>
  <si>
    <t>HIDROCORTISONA</t>
  </si>
  <si>
    <t>HIDROQUINONA</t>
  </si>
  <si>
    <t>HIDROXICLOROQUINA</t>
  </si>
  <si>
    <t>HIDROXIZINA</t>
  </si>
  <si>
    <t>INDAPAMIDA</t>
  </si>
  <si>
    <t>ISOTRETINOINA</t>
  </si>
  <si>
    <t>ITRACONAZOL</t>
  </si>
  <si>
    <t>LANSOPRAZOL</t>
  </si>
  <si>
    <t>LATANOPROSTA</t>
  </si>
  <si>
    <t>LERCANIDIPINO</t>
  </si>
  <si>
    <t>LEVETIRACETAM</t>
  </si>
  <si>
    <t>LEVOCETIRIZINA</t>
  </si>
  <si>
    <t>LEVOFLOXACINO</t>
  </si>
  <si>
    <t>LIDOCAINA</t>
  </si>
  <si>
    <t>LISDEXANFETAMINA</t>
  </si>
  <si>
    <t>LISINOPRIL</t>
  </si>
  <si>
    <t>LORATADINA</t>
  </si>
  <si>
    <t>LORATADINA + PSEUDOEFEDRINA</t>
  </si>
  <si>
    <t>LORAZEPAM</t>
  </si>
  <si>
    <t>LOSARTANA</t>
  </si>
  <si>
    <t>MEFENAMICO ACIDO</t>
  </si>
  <si>
    <t>MELOXICAM</t>
  </si>
  <si>
    <t>MESALAZINA</t>
  </si>
  <si>
    <t>METILDOPA</t>
  </si>
  <si>
    <t>METILFENIDATO</t>
  </si>
  <si>
    <t>BENZOIL METRONIDAZOL</t>
  </si>
  <si>
    <t>MIRTAZAPINA</t>
  </si>
  <si>
    <t>MOMETASONA</t>
  </si>
  <si>
    <t>MOXIFLOXACINO</t>
  </si>
  <si>
    <t>NARATRIPTANO</t>
  </si>
  <si>
    <t>NEBIVOLOL</t>
  </si>
  <si>
    <t>NIMESULIDA</t>
  </si>
  <si>
    <t>NISTATINA</t>
  </si>
  <si>
    <t>NISTATINA + ZINCO OXIDO</t>
  </si>
  <si>
    <t>NITAZOXANIDA</t>
  </si>
  <si>
    <t>OLANZAPINA</t>
  </si>
  <si>
    <t>OLMESARTANA</t>
  </si>
  <si>
    <t>OMEPRAZOL</t>
  </si>
  <si>
    <t>ONDANSETRONA</t>
  </si>
  <si>
    <t>ORLISTATE</t>
  </si>
  <si>
    <t>OXIMETAZOLINA</t>
  </si>
  <si>
    <t>PANTOPRAZOL</t>
  </si>
  <si>
    <t>PARACETAMOL</t>
  </si>
  <si>
    <t>PARACETAMOL + PSEUDOEFEDRINA</t>
  </si>
  <si>
    <t>PARACETAMOL + TRAMADOL</t>
  </si>
  <si>
    <t>PAROXETINA</t>
  </si>
  <si>
    <t>PENTOXIFILINA</t>
  </si>
  <si>
    <t>PIOGLITAZONA</t>
  </si>
  <si>
    <t>PIROXICAM</t>
  </si>
  <si>
    <t>PITAVASTATINA</t>
  </si>
  <si>
    <t>PRAMIPEXOL</t>
  </si>
  <si>
    <t>PREDNISOLONA</t>
  </si>
  <si>
    <t>PREDNISONA</t>
  </si>
  <si>
    <t>PREGABALINA</t>
  </si>
  <si>
    <t>QUETIAPINA</t>
  </si>
  <si>
    <t>RIFAMICINA</t>
  </si>
  <si>
    <t>RISEDRONATO SODICO</t>
  </si>
  <si>
    <t>RISPERIDONA</t>
  </si>
  <si>
    <t>RIVAROXABANA</t>
  </si>
  <si>
    <t>ROSUVASTATINA</t>
  </si>
  <si>
    <t>SECNIDAZOL</t>
  </si>
  <si>
    <t>SERTRALINA</t>
  </si>
  <si>
    <t>SIBUTRAMINA</t>
  </si>
  <si>
    <t>SILDENAFILA</t>
  </si>
  <si>
    <t>SINVASTATINA</t>
  </si>
  <si>
    <t>SULFAMETOXAZOL + TRIMETOPRIMA</t>
  </si>
  <si>
    <t>TADALAFILA</t>
  </si>
  <si>
    <t>TANSULOSINA</t>
  </si>
  <si>
    <t>TENOXICAM</t>
  </si>
  <si>
    <t>TERBINAFINA</t>
  </si>
  <si>
    <t>TIBOLONA</t>
  </si>
  <si>
    <t>TIMOLOL</t>
  </si>
  <si>
    <t>TINIDAZOL + TIOCONAZOL</t>
  </si>
  <si>
    <t>TOPIRAMATO</t>
  </si>
  <si>
    <t>TRAMADOL</t>
  </si>
  <si>
    <t>TRANEXAMICO ACIDO</t>
  </si>
  <si>
    <t>TRAVOPROSTA</t>
  </si>
  <si>
    <t>TRAZODONA</t>
  </si>
  <si>
    <t>TRIANCINOLONA</t>
  </si>
  <si>
    <t>URSODESOXICOLICO ACIDO</t>
  </si>
  <si>
    <t>VALSARTANA</t>
  </si>
  <si>
    <t>VENLAFAXINA</t>
  </si>
  <si>
    <t>VERAPAMIL</t>
  </si>
  <si>
    <t>ZOLPIDEM</t>
  </si>
  <si>
    <t>25</t>
  </si>
  <si>
    <t>200</t>
  </si>
  <si>
    <t>80</t>
  </si>
  <si>
    <t>150</t>
  </si>
  <si>
    <t>1</t>
  </si>
  <si>
    <t>70</t>
  </si>
  <si>
    <t>2</t>
  </si>
  <si>
    <t>240</t>
  </si>
  <si>
    <t>75</t>
  </si>
  <si>
    <t>250</t>
  </si>
  <si>
    <t>875</t>
  </si>
  <si>
    <t>60</t>
  </si>
  <si>
    <t>1500</t>
  </si>
  <si>
    <t>900</t>
  </si>
  <si>
    <t>32</t>
  </si>
  <si>
    <t>64</t>
  </si>
  <si>
    <t>300</t>
  </si>
  <si>
    <t>125</t>
  </si>
  <si>
    <t>35</t>
  </si>
  <si>
    <t>90</t>
  </si>
  <si>
    <t>750</t>
  </si>
  <si>
    <t>800</t>
  </si>
  <si>
    <t>100000</t>
  </si>
  <si>
    <t>450</t>
  </si>
  <si>
    <t>160</t>
  </si>
  <si>
    <t>320</t>
  </si>
  <si>
    <t>13.002.00</t>
  </si>
  <si>
    <t>13.002.01</t>
  </si>
  <si>
    <t>13.005.02</t>
  </si>
  <si>
    <t>MVA</t>
  </si>
  <si>
    <t>3004.90.62</t>
  </si>
  <si>
    <t>3004.90.69</t>
  </si>
  <si>
    <t>MOLÉCULA</t>
  </si>
  <si>
    <t>37532</t>
  </si>
  <si>
    <t>7896004795232</t>
  </si>
  <si>
    <t>37357</t>
  </si>
  <si>
    <t>37571</t>
  </si>
  <si>
    <t>37564</t>
  </si>
  <si>
    <t>7896004791418</t>
  </si>
  <si>
    <t>3004.90.59</t>
  </si>
  <si>
    <t>7896004795461</t>
  </si>
  <si>
    <t>3004.90.79</t>
  </si>
  <si>
    <t>7896004795188</t>
  </si>
  <si>
    <t>SELLOUT + ST (10,75% x PF)</t>
  </si>
  <si>
    <t>37653</t>
  </si>
  <si>
    <t>7896004796352</t>
  </si>
  <si>
    <t>3004.90.99</t>
  </si>
  <si>
    <t>37611</t>
  </si>
  <si>
    <t>37612</t>
  </si>
  <si>
    <t>37608</t>
  </si>
  <si>
    <t>37607</t>
  </si>
  <si>
    <t>7896004796284</t>
  </si>
  <si>
    <t>7896004796291</t>
  </si>
  <si>
    <t>7896004796314</t>
  </si>
  <si>
    <t>7896004796307</t>
  </si>
  <si>
    <t>POSITIVA</t>
  </si>
  <si>
    <t>NEGATIVA</t>
  </si>
  <si>
    <t>TRIMETAZIDINA</t>
  </si>
  <si>
    <t>LEVANLODIPINO</t>
  </si>
  <si>
    <t>37606</t>
  </si>
  <si>
    <t>3004.90.39</t>
  </si>
  <si>
    <t>3004.90.24</t>
  </si>
  <si>
    <t>3004.90.63</t>
  </si>
  <si>
    <t>3006.60.00</t>
  </si>
  <si>
    <t>3004.90.64</t>
  </si>
  <si>
    <t>3004.10.12</t>
  </si>
  <si>
    <t>3004.90.42</t>
  </si>
  <si>
    <t>3004.20.29</t>
  </si>
  <si>
    <t>3004.20.69</t>
  </si>
  <si>
    <t>3004.39.99</t>
  </si>
  <si>
    <t>3004.32.90</t>
  </si>
  <si>
    <t>3004.90.77</t>
  </si>
  <si>
    <t>3004.20.61</t>
  </si>
  <si>
    <t>3004.90.29</t>
  </si>
  <si>
    <t>3004.90.49</t>
  </si>
  <si>
    <t>3004.49.90</t>
  </si>
  <si>
    <t>3004.90.45</t>
  </si>
  <si>
    <t>3004.90.57</t>
  </si>
  <si>
    <t>3004.20.59</t>
  </si>
  <si>
    <t>3004.20.52</t>
  </si>
  <si>
    <t>3004.90.76</t>
  </si>
  <si>
    <t>3004.49.40</t>
  </si>
  <si>
    <t>3004.90.37</t>
  </si>
  <si>
    <t>DICLOFENACO DIETILAMONIO</t>
  </si>
  <si>
    <t>3004.90.93</t>
  </si>
  <si>
    <t>3004.39.39</t>
  </si>
  <si>
    <t>3004.90.67</t>
  </si>
  <si>
    <t>3004.32.20</t>
  </si>
  <si>
    <t>3004.50.60</t>
  </si>
  <si>
    <t>3004.50.90</t>
  </si>
  <si>
    <t>3004.39.91</t>
  </si>
  <si>
    <t>7896004792323</t>
  </si>
  <si>
    <t>3004.90.43</t>
  </si>
  <si>
    <t>3004.90.35</t>
  </si>
  <si>
    <t>3004.90.66</t>
  </si>
  <si>
    <t>3004.20.99</t>
  </si>
  <si>
    <t>3004.90.73</t>
  </si>
  <si>
    <t>3004.20.31</t>
  </si>
  <si>
    <t>3004.90.72</t>
  </si>
  <si>
    <t>VORTIOXETINA BROMIDRATO</t>
  </si>
  <si>
    <t>DAPAGLIFLOZINA</t>
  </si>
  <si>
    <t>GUAIFENESINA + OXOMEMAZINA + POTASSIO IODETO + SODIO BENZOATO</t>
  </si>
  <si>
    <t>SELLOUT FINAL</t>
  </si>
  <si>
    <t>CLASSIF FISCAL</t>
  </si>
  <si>
    <t>7896004744360</t>
  </si>
  <si>
    <t>7896004796345</t>
  </si>
  <si>
    <t>MARGEM SISTEMA</t>
  </si>
  <si>
    <t>CUSTO SISTEMA</t>
  </si>
  <si>
    <t>DESCONTO SELLOUT</t>
  </si>
  <si>
    <t>37247</t>
  </si>
  <si>
    <t>7896004788616</t>
  </si>
  <si>
    <t>37245</t>
  </si>
  <si>
    <t>7896004788593</t>
  </si>
  <si>
    <t>EMPAGLIFLOZINA</t>
  </si>
  <si>
    <t>PREÇO FÁBRICA 17%</t>
  </si>
  <si>
    <t>7896004727776</t>
  </si>
  <si>
    <t>7896004705873</t>
  </si>
  <si>
    <t>7896004701172</t>
  </si>
  <si>
    <t>7896004721828</t>
  </si>
  <si>
    <t>7896004708942</t>
  </si>
  <si>
    <t>7896004762319</t>
  </si>
  <si>
    <t>7896004752730</t>
  </si>
  <si>
    <t>7896004734361</t>
  </si>
  <si>
    <t>7896004793818</t>
  </si>
  <si>
    <t>7896004793825</t>
  </si>
  <si>
    <t>7896004793801</t>
  </si>
  <si>
    <t>37594</t>
  </si>
  <si>
    <t>7896004796529</t>
  </si>
  <si>
    <t>3004.90.36</t>
  </si>
  <si>
    <t>BRONFENIRAMINA + FENILEFRINA</t>
  </si>
  <si>
    <t>37609</t>
  </si>
  <si>
    <t>7894916997041</t>
  </si>
  <si>
    <t>TELMISARTANA</t>
  </si>
  <si>
    <t>37610</t>
  </si>
  <si>
    <t>7894916997058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</si>
</sst>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9"/>
      <color rgb="FFFF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1" fontId="6" fillId="5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8" fontId="6" fillId="5" borderId="0" xfId="0" applyNumberFormat="1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0" fontId="1" fillId="5" borderId="0" xfId="1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1" fillId="5" borderId="0" xfId="1" applyNumberFormat="1" applyFont="1" applyFill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/>
    </xf>
    <xf numFmtId="10" fontId="6" fillId="5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 vertical="center"/>
    </xf>
    <xf numFmtId="10" fontId="1" fillId="0" borderId="0" xfId="1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64" fontId="6" fillId="5" borderId="0" xfId="1" applyNumberFormat="1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3">
    <dxf>
      <font>
        <b/>
        <i/>
        <condense val="0"/>
        <extend val="0"/>
        <color indexed="12"/>
      </font>
    </dxf>
    <dxf>
      <font>
        <b val="0"/>
        <i/>
        <condense val="0"/>
        <extend val="0"/>
        <color indexed="10"/>
      </font>
    </dxf>
    <dxf>
      <font>
        <b val="0"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E995-D6B0-4C1F-BC66-5863D927F5A9}">
  <sheetPr>
    <tabColor rgb="FFFFC000"/>
  </sheetPr>
  <dimension ref="A1:AH453"/>
  <sheetViews>
    <sheetView showGridLines="0" tabSelected="1" zoomScale="60" zoomScaleNormal="60" workbookViewId="0"/>
  </sheetViews>
  <sheetFormatPr defaultRowHeight="12" x14ac:dyDescent="0.35"/>
  <cols>
    <col min="1" max="2" width="13" style="2" bestFit="1" customWidth="1"/>
    <col min="3" max="3" width="14.36328125" style="2" bestFit="1" customWidth="1"/>
    <col min="4" max="4" width="25.26953125" style="2" bestFit="1" customWidth="1"/>
    <col min="5" max="5" width="11.6328125" style="2" bestFit="1" customWidth="1"/>
    <col min="6" max="6" width="67.6328125" style="23" bestFit="1" customWidth="1"/>
    <col min="7" max="7" width="25.26953125" style="2" bestFit="1" customWidth="1"/>
    <col min="8" max="8" width="14.453125" style="2" bestFit="1" customWidth="1"/>
    <col min="9" max="9" width="14.81640625" style="2" bestFit="1" customWidth="1"/>
    <col min="10" max="11" width="13.26953125" style="2" bestFit="1" customWidth="1"/>
    <col min="12" max="12" width="27.6328125" style="2" bestFit="1" customWidth="1"/>
    <col min="13" max="13" width="28.54296875" style="2" bestFit="1" customWidth="1"/>
    <col min="14" max="14" width="21.1796875" style="2" bestFit="1" customWidth="1"/>
    <col min="15" max="15" width="17.08984375" style="2" bestFit="1" customWidth="1"/>
    <col min="16" max="16" width="21.6328125" style="2" bestFit="1" customWidth="1"/>
    <col min="17" max="17" width="19" style="2" bestFit="1" customWidth="1"/>
    <col min="18" max="18" width="19.453125" style="4" bestFit="1" customWidth="1"/>
    <col min="19" max="19" width="15.54296875" style="2" bestFit="1" customWidth="1"/>
    <col min="20" max="20" width="15.81640625" style="4" bestFit="1" customWidth="1"/>
    <col min="21" max="21" width="20.81640625" style="2" customWidth="1"/>
    <col min="22" max="22" width="23.26953125" style="4" customWidth="1"/>
    <col min="23" max="23" width="27.36328125" style="4" bestFit="1" customWidth="1"/>
    <col min="24" max="24" width="18" style="4" bestFit="1" customWidth="1"/>
    <col min="25" max="25" width="26.90625" style="2" bestFit="1" customWidth="1"/>
    <col min="26" max="26" width="16.453125" style="2" bestFit="1" customWidth="1"/>
    <col min="27" max="27" width="23.7265625" style="2" bestFit="1" customWidth="1"/>
    <col min="28" max="28" width="31.1796875" style="2" bestFit="1" customWidth="1"/>
    <col min="29" max="29" width="33.453125" style="2" bestFit="1" customWidth="1"/>
    <col min="30" max="30" width="15.26953125" style="2" bestFit="1" customWidth="1"/>
    <col min="31" max="31" width="20.08984375" style="2" bestFit="1" customWidth="1"/>
    <col min="32" max="32" width="15.26953125" style="2" bestFit="1" customWidth="1"/>
    <col min="33" max="33" width="15.08984375" style="2" bestFit="1" customWidth="1"/>
    <col min="34" max="34" width="17.08984375" style="2" bestFit="1" customWidth="1"/>
    <col min="35" max="16384" width="8.7265625" style="2"/>
  </cols>
  <sheetData>
    <row r="1" spans="1:34" s="1" customFormat="1" ht="23.5" customHeight="1" thickBot="1" x14ac:dyDescent="0.4">
      <c r="A1" s="5" t="s">
        <v>7</v>
      </c>
      <c r="B1" s="6" t="s">
        <v>6</v>
      </c>
      <c r="C1" s="5" t="s">
        <v>11</v>
      </c>
      <c r="D1" s="5" t="s">
        <v>1211</v>
      </c>
      <c r="E1" s="7" t="s">
        <v>0</v>
      </c>
      <c r="F1" s="24" t="s">
        <v>1140</v>
      </c>
      <c r="G1" s="6" t="s">
        <v>1</v>
      </c>
      <c r="H1" s="6" t="s">
        <v>2</v>
      </c>
      <c r="I1" s="6" t="s">
        <v>5</v>
      </c>
      <c r="J1" s="20" t="s">
        <v>10</v>
      </c>
      <c r="K1" s="21" t="s">
        <v>1137</v>
      </c>
      <c r="L1" s="20" t="s">
        <v>1222</v>
      </c>
      <c r="M1" s="15" t="s">
        <v>36</v>
      </c>
      <c r="N1" s="16" t="s">
        <v>8</v>
      </c>
      <c r="O1" s="18" t="s">
        <v>4</v>
      </c>
      <c r="P1" s="3" t="s">
        <v>27</v>
      </c>
      <c r="Q1" s="12" t="s">
        <v>28</v>
      </c>
      <c r="R1" s="19" t="s">
        <v>29</v>
      </c>
      <c r="S1" s="12" t="s">
        <v>30</v>
      </c>
      <c r="T1" s="19" t="s">
        <v>31</v>
      </c>
      <c r="U1" s="12" t="s">
        <v>32</v>
      </c>
      <c r="V1" s="19" t="s">
        <v>33</v>
      </c>
      <c r="W1" s="19" t="s">
        <v>34</v>
      </c>
      <c r="X1" s="19" t="s">
        <v>35</v>
      </c>
      <c r="Y1" s="3" t="s">
        <v>37</v>
      </c>
      <c r="Z1" s="18" t="s">
        <v>38</v>
      </c>
      <c r="AA1" s="3" t="s">
        <v>9</v>
      </c>
      <c r="AB1" s="18" t="s">
        <v>26</v>
      </c>
      <c r="AC1" s="3" t="s">
        <v>1151</v>
      </c>
      <c r="AD1" s="1" t="s">
        <v>38</v>
      </c>
      <c r="AE1" s="1" t="s">
        <v>1210</v>
      </c>
      <c r="AF1" s="1" t="s">
        <v>1214</v>
      </c>
      <c r="AG1" s="1" t="s">
        <v>1215</v>
      </c>
      <c r="AH1" s="1" t="s">
        <v>1216</v>
      </c>
    </row>
    <row r="2" spans="1:34" x14ac:dyDescent="0.35">
      <c r="A2" s="8" t="s">
        <v>44</v>
      </c>
      <c r="B2" s="9" t="s">
        <v>45</v>
      </c>
      <c r="C2" s="8" t="s">
        <v>1134</v>
      </c>
      <c r="D2" s="8" t="s">
        <v>1168</v>
      </c>
      <c r="E2" s="8" t="s">
        <v>905</v>
      </c>
      <c r="F2" s="25" t="s">
        <v>906</v>
      </c>
      <c r="G2" s="8" t="s">
        <v>1108</v>
      </c>
      <c r="H2" s="8">
        <v>24</v>
      </c>
      <c r="I2" s="8" t="s">
        <v>1163</v>
      </c>
      <c r="J2" s="10">
        <v>31.85</v>
      </c>
      <c r="K2" s="22">
        <v>0.39400000000000002</v>
      </c>
      <c r="L2" s="11">
        <v>23.11</v>
      </c>
      <c r="M2" s="13">
        <v>0.50890000000000002</v>
      </c>
      <c r="N2" s="17">
        <f>L2*(1-M2)</f>
        <v>11.349321</v>
      </c>
      <c r="O2" s="13">
        <v>0.1075</v>
      </c>
      <c r="P2" s="14">
        <f>N2*(1-O2)</f>
        <v>10.1292689925</v>
      </c>
      <c r="Q2" s="14">
        <f t="shared" ref="Q2" si="0">IFERROR(IF(J2="-",P2*(1+K2)*17%,(J2*17%)-R2),"-")</f>
        <v>4.7054511705250004</v>
      </c>
      <c r="R2" s="28">
        <f t="shared" ref="R2" si="1">IFERROR(P2*7%,"-")</f>
        <v>0.70904882947500003</v>
      </c>
      <c r="S2" s="28">
        <f t="shared" ref="S2" si="2">IFERROR((P2*1.983*0.153)-R2,0)</f>
        <v>2.3641612535805079</v>
      </c>
      <c r="T2" s="28">
        <f t="shared" ref="T2" si="3">IFERROR((J2*0.6*0.153)-R2,0)</f>
        <v>2.2147811705249998</v>
      </c>
      <c r="U2" s="28">
        <f t="shared" ref="U2:U64" si="4">IFERROR(IF(J2="-",P2*7%,LARGE(S2:T2,1)),"-")</f>
        <v>2.3641612535805079</v>
      </c>
      <c r="V2" s="28">
        <f t="shared" ref="V2:V64" si="5">IFERROR(Q2-U2,"-")</f>
        <v>2.3412899169444925</v>
      </c>
      <c r="W2" s="28">
        <f t="shared" ref="W2:W64" si="6">IFERROR(V2*5%,"-")</f>
        <v>0.11706449584722463</v>
      </c>
      <c r="X2" s="28">
        <f>IF($J2="-",Q2-U2,Q2-V2+W2)</f>
        <v>2.4812257494277326</v>
      </c>
      <c r="Y2" s="14">
        <v>12.609731627849998</v>
      </c>
      <c r="Z2" s="13">
        <v>0.14249999999999999</v>
      </c>
      <c r="AA2" s="14">
        <v>12.220901388163263</v>
      </c>
      <c r="AB2" s="13">
        <f>ROUND(1-(AA2/L2),4)</f>
        <v>0.47120000000000001</v>
      </c>
      <c r="AC2" s="14">
        <v>14.705226388163263</v>
      </c>
      <c r="AD2" s="26">
        <f>(AC2-Y2)/AC2</f>
        <v>0.14250000000000002</v>
      </c>
      <c r="AE2" s="4">
        <f>ROUND(AC2,2)</f>
        <v>14.71</v>
      </c>
      <c r="AF2" s="27">
        <f>ROUND(AD2,4)</f>
        <v>0.14249999999999999</v>
      </c>
      <c r="AG2" s="4">
        <f>ROUND(Y2,2)</f>
        <v>12.61</v>
      </c>
      <c r="AH2" s="27">
        <f>ROUND(AB2,4)</f>
        <v>0.47120000000000001</v>
      </c>
    </row>
    <row r="3" spans="1:34" x14ac:dyDescent="0.35">
      <c r="A3" s="8" t="s">
        <v>46</v>
      </c>
      <c r="B3" s="9" t="s">
        <v>47</v>
      </c>
      <c r="C3" s="8" t="s">
        <v>1134</v>
      </c>
      <c r="D3" s="8" t="s">
        <v>1168</v>
      </c>
      <c r="E3" s="8" t="s">
        <v>905</v>
      </c>
      <c r="F3" s="25" t="s">
        <v>906</v>
      </c>
      <c r="G3" s="8" t="s">
        <v>20</v>
      </c>
      <c r="H3" s="8">
        <v>24</v>
      </c>
      <c r="I3" s="8" t="s">
        <v>1163</v>
      </c>
      <c r="J3" s="10">
        <v>44.99</v>
      </c>
      <c r="K3" s="22">
        <v>0.39400000000000002</v>
      </c>
      <c r="L3" s="11">
        <v>32.64</v>
      </c>
      <c r="M3" s="13">
        <v>0.49540000000000001</v>
      </c>
      <c r="N3" s="17">
        <f t="shared" ref="N3:N65" si="7">L3*(1-M3)</f>
        <v>16.470143999999998</v>
      </c>
      <c r="O3" s="13">
        <v>0.1075</v>
      </c>
      <c r="P3" s="14">
        <f t="shared" ref="P3:P65" si="8">N3*(1-O3)</f>
        <v>14.699603519999997</v>
      </c>
      <c r="Q3" s="14">
        <f t="shared" ref="Q3:Q65" si="9">IFERROR(IF(J3="-",P3*(1+K3)*17%,(J3*17%)-R3),"-")</f>
        <v>6.6193277536000004</v>
      </c>
      <c r="R3" s="28">
        <f t="shared" ref="R3:R65" si="10">IFERROR(P3*7%,"-")</f>
        <v>1.0289722464</v>
      </c>
      <c r="S3" s="28">
        <f t="shared" ref="S3:S65" si="11">IFERROR((P3*1.983*0.153)-R3,0)</f>
        <v>3.4308727619644794</v>
      </c>
      <c r="T3" s="28">
        <f t="shared" ref="T3:T65" si="12">IFERROR((J3*0.6*0.153)-R3,0)</f>
        <v>3.1011097535999999</v>
      </c>
      <c r="U3" s="28">
        <f t="shared" si="4"/>
        <v>3.4308727619644794</v>
      </c>
      <c r="V3" s="28">
        <f t="shared" si="5"/>
        <v>3.1884549916355209</v>
      </c>
      <c r="W3" s="28">
        <f t="shared" si="6"/>
        <v>0.15942274958177605</v>
      </c>
      <c r="X3" s="28">
        <f t="shared" ref="X3:X65" si="13">IF($J3="-",Q3-U3,Q3-V3+W3)</f>
        <v>3.5902955115462554</v>
      </c>
      <c r="Y3" s="14">
        <v>18.2897645816</v>
      </c>
      <c r="Z3" s="13">
        <v>0.14249999999999999</v>
      </c>
      <c r="AA3" s="14">
        <v>17.820371523731776</v>
      </c>
      <c r="AB3" s="13">
        <f t="shared" ref="AB3:AB66" si="14">ROUND(1-(AA3/L3),4)</f>
        <v>0.45400000000000001</v>
      </c>
      <c r="AC3" s="14">
        <v>21.329171523731777</v>
      </c>
      <c r="AD3" s="26">
        <f t="shared" ref="AD3:AD61" si="15">(AC3-Y3)/AC3</f>
        <v>0.14249999999999993</v>
      </c>
      <c r="AE3" s="4">
        <f t="shared" ref="AE3:AE61" si="16">ROUND(AC3,2)</f>
        <v>21.33</v>
      </c>
      <c r="AF3" s="27">
        <f t="shared" ref="AF3:AF65" si="17">ROUND(AD3,4)</f>
        <v>0.14249999999999999</v>
      </c>
      <c r="AG3" s="4">
        <f t="shared" ref="AG3:AG62" si="18">ROUND(Y3,2)</f>
        <v>18.29</v>
      </c>
      <c r="AH3" s="27">
        <f t="shared" ref="AH3:AH62" si="19">ROUND(AB3,4)</f>
        <v>0.45400000000000001</v>
      </c>
    </row>
    <row r="4" spans="1:34" x14ac:dyDescent="0.35">
      <c r="A4" s="8" t="s">
        <v>48</v>
      </c>
      <c r="B4" s="9" t="s">
        <v>49</v>
      </c>
      <c r="C4" s="8" t="s">
        <v>1134</v>
      </c>
      <c r="D4" s="8" t="s">
        <v>1168</v>
      </c>
      <c r="E4" s="8" t="s">
        <v>905</v>
      </c>
      <c r="F4" s="25" t="s">
        <v>907</v>
      </c>
      <c r="G4" s="8" t="s">
        <v>13</v>
      </c>
      <c r="H4" s="8">
        <v>12</v>
      </c>
      <c r="I4" s="8" t="s">
        <v>1163</v>
      </c>
      <c r="J4" s="10">
        <v>53.59</v>
      </c>
      <c r="K4" s="22">
        <v>0.39400000000000002</v>
      </c>
      <c r="L4" s="11">
        <v>38.880000000000003</v>
      </c>
      <c r="M4" s="13">
        <v>0.67120000000000002</v>
      </c>
      <c r="N4" s="17">
        <f t="shared" si="7"/>
        <v>12.783744</v>
      </c>
      <c r="O4" s="13">
        <v>0.1075</v>
      </c>
      <c r="P4" s="14">
        <f t="shared" si="8"/>
        <v>11.40949152</v>
      </c>
      <c r="Q4" s="14">
        <f t="shared" si="9"/>
        <v>8.3116355936000001</v>
      </c>
      <c r="R4" s="28">
        <f t="shared" si="10"/>
        <v>0.79866440640000003</v>
      </c>
      <c r="S4" s="28">
        <f t="shared" si="11"/>
        <v>2.66296391127648</v>
      </c>
      <c r="T4" s="28">
        <f t="shared" si="12"/>
        <v>4.1208975936000005</v>
      </c>
      <c r="U4" s="28">
        <f t="shared" si="4"/>
        <v>4.1208975936000005</v>
      </c>
      <c r="V4" s="28">
        <f t="shared" si="5"/>
        <v>4.1907379999999996</v>
      </c>
      <c r="W4" s="28">
        <f t="shared" si="6"/>
        <v>0.2095369</v>
      </c>
      <c r="X4" s="28">
        <f t="shared" si="13"/>
        <v>4.3304344936000003</v>
      </c>
      <c r="Y4" s="14">
        <v>15.738583584400001</v>
      </c>
      <c r="Z4" s="13">
        <v>0.14249999999999999</v>
      </c>
      <c r="AA4" s="14">
        <v>14.174433334577261</v>
      </c>
      <c r="AB4" s="13">
        <f t="shared" si="14"/>
        <v>0.63539999999999996</v>
      </c>
      <c r="AC4" s="14">
        <v>18.354033334577259</v>
      </c>
      <c r="AD4" s="26">
        <f t="shared" si="15"/>
        <v>0.14249999999999996</v>
      </c>
      <c r="AE4" s="4">
        <f t="shared" si="16"/>
        <v>18.350000000000001</v>
      </c>
      <c r="AF4" s="27">
        <f t="shared" si="17"/>
        <v>0.14249999999999999</v>
      </c>
      <c r="AG4" s="4">
        <f t="shared" si="18"/>
        <v>15.74</v>
      </c>
      <c r="AH4" s="27">
        <f t="shared" si="19"/>
        <v>0.63539999999999996</v>
      </c>
    </row>
    <row r="5" spans="1:34" x14ac:dyDescent="0.35">
      <c r="A5" s="8" t="s">
        <v>50</v>
      </c>
      <c r="B5" s="9" t="s">
        <v>51</v>
      </c>
      <c r="C5" s="8" t="s">
        <v>1135</v>
      </c>
      <c r="D5" s="8" t="s">
        <v>1147</v>
      </c>
      <c r="E5" s="8" t="s">
        <v>905</v>
      </c>
      <c r="F5" s="25" t="s">
        <v>908</v>
      </c>
      <c r="G5" s="8" t="s">
        <v>23</v>
      </c>
      <c r="H5" s="8">
        <v>24</v>
      </c>
      <c r="I5" s="8" t="s">
        <v>1164</v>
      </c>
      <c r="J5" s="10">
        <v>42.31</v>
      </c>
      <c r="K5" s="22">
        <v>0.3417</v>
      </c>
      <c r="L5" s="11">
        <v>31.54</v>
      </c>
      <c r="M5" s="13">
        <v>0.6391</v>
      </c>
      <c r="N5" s="17">
        <f t="shared" si="7"/>
        <v>11.382785999999999</v>
      </c>
      <c r="O5" s="13">
        <v>0.1075</v>
      </c>
      <c r="P5" s="14">
        <f t="shared" si="8"/>
        <v>10.159136504999999</v>
      </c>
      <c r="Q5" s="14">
        <f t="shared" si="9"/>
        <v>6.4815604446500013</v>
      </c>
      <c r="R5" s="28">
        <f t="shared" si="10"/>
        <v>0.71113955535000006</v>
      </c>
      <c r="S5" s="28">
        <f t="shared" si="11"/>
        <v>2.371132301130495</v>
      </c>
      <c r="T5" s="28">
        <f t="shared" si="12"/>
        <v>3.1729184446500001</v>
      </c>
      <c r="U5" s="28">
        <f t="shared" si="4"/>
        <v>3.1729184446500001</v>
      </c>
      <c r="V5" s="28">
        <f t="shared" si="5"/>
        <v>3.3086420000000012</v>
      </c>
      <c r="W5" s="28">
        <f t="shared" si="6"/>
        <v>0.16543210000000008</v>
      </c>
      <c r="X5" s="28">
        <f t="shared" si="13"/>
        <v>3.3383505446499999</v>
      </c>
      <c r="Y5" s="14">
        <v>13.4963980523</v>
      </c>
      <c r="Z5" s="13">
        <v>0.14249999999999999</v>
      </c>
      <c r="AA5" s="14">
        <v>12.348689711137027</v>
      </c>
      <c r="AB5" s="13">
        <f t="shared" si="14"/>
        <v>0.60850000000000004</v>
      </c>
      <c r="AC5" s="14">
        <v>15.739239711137026</v>
      </c>
      <c r="AD5" s="26">
        <f t="shared" si="15"/>
        <v>0.14249999999999999</v>
      </c>
      <c r="AE5" s="4">
        <f t="shared" si="16"/>
        <v>15.74</v>
      </c>
      <c r="AF5" s="27">
        <f t="shared" si="17"/>
        <v>0.14249999999999999</v>
      </c>
      <c r="AG5" s="4">
        <f t="shared" si="18"/>
        <v>13.5</v>
      </c>
      <c r="AH5" s="27">
        <f t="shared" si="19"/>
        <v>0.60850000000000004</v>
      </c>
    </row>
    <row r="6" spans="1:34" x14ac:dyDescent="0.35">
      <c r="A6" s="8" t="s">
        <v>52</v>
      </c>
      <c r="B6" s="9" t="s">
        <v>53</v>
      </c>
      <c r="C6" s="8" t="s">
        <v>1135</v>
      </c>
      <c r="D6" s="8" t="s">
        <v>1147</v>
      </c>
      <c r="E6" s="8" t="s">
        <v>905</v>
      </c>
      <c r="F6" s="25" t="s">
        <v>908</v>
      </c>
      <c r="G6" s="8" t="s">
        <v>1109</v>
      </c>
      <c r="H6" s="8">
        <v>16</v>
      </c>
      <c r="I6" s="8" t="s">
        <v>1164</v>
      </c>
      <c r="J6" s="10">
        <v>48.08</v>
      </c>
      <c r="K6" s="22">
        <v>0.3417</v>
      </c>
      <c r="L6" s="11">
        <v>35.840000000000003</v>
      </c>
      <c r="M6" s="13">
        <v>0.52739999999999998</v>
      </c>
      <c r="N6" s="17">
        <f t="shared" si="7"/>
        <v>16.937984000000004</v>
      </c>
      <c r="O6" s="13">
        <v>0.1075</v>
      </c>
      <c r="P6" s="14">
        <f t="shared" si="8"/>
        <v>15.117150720000003</v>
      </c>
      <c r="Q6" s="14">
        <f t="shared" si="9"/>
        <v>7.1153994495999999</v>
      </c>
      <c r="R6" s="28">
        <f t="shared" si="10"/>
        <v>1.0582005504000003</v>
      </c>
      <c r="S6" s="28">
        <f t="shared" si="11"/>
        <v>3.5283278608972806</v>
      </c>
      <c r="T6" s="28">
        <f t="shared" si="12"/>
        <v>3.355543449599999</v>
      </c>
      <c r="U6" s="28">
        <f t="shared" si="4"/>
        <v>3.5283278608972806</v>
      </c>
      <c r="V6" s="28">
        <f t="shared" si="5"/>
        <v>3.5870715887027194</v>
      </c>
      <c r="W6" s="28">
        <f t="shared" si="6"/>
        <v>0.17935357943513597</v>
      </c>
      <c r="X6" s="28">
        <f t="shared" si="13"/>
        <v>3.7076814403324168</v>
      </c>
      <c r="Y6" s="14">
        <v>18.826038841599999</v>
      </c>
      <c r="Z6" s="13">
        <v>0.14249999999999999</v>
      </c>
      <c r="AA6" s="14">
        <v>18.101764246763846</v>
      </c>
      <c r="AB6" s="13">
        <f t="shared" si="14"/>
        <v>0.49490000000000001</v>
      </c>
      <c r="AC6" s="14">
        <v>21.954564246763844</v>
      </c>
      <c r="AD6" s="26">
        <f t="shared" si="15"/>
        <v>0.14249999999999988</v>
      </c>
      <c r="AE6" s="4">
        <f t="shared" si="16"/>
        <v>21.95</v>
      </c>
      <c r="AF6" s="27">
        <f t="shared" si="17"/>
        <v>0.14249999999999999</v>
      </c>
      <c r="AG6" s="4">
        <f t="shared" si="18"/>
        <v>18.829999999999998</v>
      </c>
      <c r="AH6" s="27">
        <f t="shared" si="19"/>
        <v>0.49490000000000001</v>
      </c>
    </row>
    <row r="7" spans="1:34" x14ac:dyDescent="0.35">
      <c r="A7" s="8" t="s">
        <v>54</v>
      </c>
      <c r="B7" s="9" t="s">
        <v>55</v>
      </c>
      <c r="C7" s="8" t="s">
        <v>1135</v>
      </c>
      <c r="D7" s="8" t="s">
        <v>1147</v>
      </c>
      <c r="E7" s="8" t="s">
        <v>905</v>
      </c>
      <c r="F7" s="25" t="s">
        <v>908</v>
      </c>
      <c r="G7" s="8" t="s">
        <v>19</v>
      </c>
      <c r="H7" s="8">
        <v>24</v>
      </c>
      <c r="I7" s="8" t="s">
        <v>1164</v>
      </c>
      <c r="J7" s="10">
        <v>56.41</v>
      </c>
      <c r="K7" s="22">
        <v>0.3417</v>
      </c>
      <c r="L7" s="11">
        <v>42.05</v>
      </c>
      <c r="M7" s="13">
        <v>0.69179999999999997</v>
      </c>
      <c r="N7" s="17">
        <f t="shared" si="7"/>
        <v>12.959810000000001</v>
      </c>
      <c r="O7" s="13">
        <v>0.1075</v>
      </c>
      <c r="P7" s="14">
        <f t="shared" si="8"/>
        <v>11.566630425</v>
      </c>
      <c r="Q7" s="14">
        <f t="shared" si="9"/>
        <v>8.7800358702499999</v>
      </c>
      <c r="R7" s="28">
        <f t="shared" si="10"/>
        <v>0.80966412975000002</v>
      </c>
      <c r="S7" s="28">
        <f t="shared" si="11"/>
        <v>2.6996399745645752</v>
      </c>
      <c r="T7" s="28">
        <f t="shared" si="12"/>
        <v>4.3687738702499992</v>
      </c>
      <c r="U7" s="28">
        <f t="shared" si="4"/>
        <v>4.3687738702499992</v>
      </c>
      <c r="V7" s="28">
        <f t="shared" si="5"/>
        <v>4.4112620000000007</v>
      </c>
      <c r="W7" s="28">
        <f t="shared" si="6"/>
        <v>0.22056310000000004</v>
      </c>
      <c r="X7" s="28">
        <f t="shared" si="13"/>
        <v>4.5893369702499989</v>
      </c>
      <c r="Y7" s="14">
        <v>16.154515513875001</v>
      </c>
      <c r="Z7" s="13">
        <v>0.14249999999999999</v>
      </c>
      <c r="AA7" s="14">
        <v>14.318710147376093</v>
      </c>
      <c r="AB7" s="13">
        <f t="shared" si="14"/>
        <v>0.65949999999999998</v>
      </c>
      <c r="AC7" s="14">
        <v>18.839085147376093</v>
      </c>
      <c r="AD7" s="26">
        <f t="shared" si="15"/>
        <v>0.1424999999999999</v>
      </c>
      <c r="AE7" s="4">
        <f t="shared" si="16"/>
        <v>18.84</v>
      </c>
      <c r="AF7" s="27">
        <f t="shared" si="17"/>
        <v>0.14249999999999999</v>
      </c>
      <c r="AG7" s="4">
        <f t="shared" si="18"/>
        <v>16.149999999999999</v>
      </c>
      <c r="AH7" s="27">
        <f t="shared" si="19"/>
        <v>0.65949999999999998</v>
      </c>
    </row>
    <row r="8" spans="1:34" x14ac:dyDescent="0.35">
      <c r="A8" s="8" t="s">
        <v>56</v>
      </c>
      <c r="B8" s="9" t="s">
        <v>57</v>
      </c>
      <c r="C8" s="8" t="s">
        <v>1135</v>
      </c>
      <c r="D8" s="8" t="s">
        <v>1147</v>
      </c>
      <c r="E8" s="8" t="s">
        <v>905</v>
      </c>
      <c r="F8" s="25" t="s">
        <v>908</v>
      </c>
      <c r="G8" s="8" t="s">
        <v>42</v>
      </c>
      <c r="H8" s="8">
        <v>16</v>
      </c>
      <c r="I8" s="8" t="s">
        <v>1164</v>
      </c>
      <c r="J8" s="10">
        <v>87.15</v>
      </c>
      <c r="K8" s="22">
        <v>0.3417</v>
      </c>
      <c r="L8" s="11">
        <v>64.97</v>
      </c>
      <c r="M8" s="13">
        <v>0.57250000000000001</v>
      </c>
      <c r="N8" s="17">
        <f t="shared" si="7"/>
        <v>27.774674999999998</v>
      </c>
      <c r="O8" s="13">
        <v>0.1075</v>
      </c>
      <c r="P8" s="14">
        <f t="shared" si="8"/>
        <v>24.788897437499998</v>
      </c>
      <c r="Q8" s="14">
        <f t="shared" si="9"/>
        <v>13.080277179375003</v>
      </c>
      <c r="R8" s="28">
        <f t="shared" si="10"/>
        <v>1.735222820625</v>
      </c>
      <c r="S8" s="28">
        <f t="shared" si="11"/>
        <v>5.7857038730150618</v>
      </c>
      <c r="T8" s="28">
        <f t="shared" si="12"/>
        <v>6.265147179375</v>
      </c>
      <c r="U8" s="28">
        <f t="shared" si="4"/>
        <v>6.265147179375</v>
      </c>
      <c r="V8" s="28">
        <f t="shared" si="5"/>
        <v>6.8151300000000026</v>
      </c>
      <c r="W8" s="28">
        <f t="shared" si="6"/>
        <v>0.34075650000000013</v>
      </c>
      <c r="X8" s="28">
        <f t="shared" si="13"/>
        <v>6.6059036793750003</v>
      </c>
      <c r="Y8" s="14">
        <v>31.392557865199997</v>
      </c>
      <c r="Z8" s="13">
        <v>0.14249999999999999</v>
      </c>
      <c r="AA8" s="14">
        <v>29.625121927346939</v>
      </c>
      <c r="AB8" s="13">
        <f t="shared" si="14"/>
        <v>0.54400000000000004</v>
      </c>
      <c r="AC8" s="14">
        <v>36.609396927346936</v>
      </c>
      <c r="AD8" s="26">
        <f t="shared" si="15"/>
        <v>0.14250000000000002</v>
      </c>
      <c r="AE8" s="4">
        <f t="shared" si="16"/>
        <v>36.61</v>
      </c>
      <c r="AF8" s="27">
        <f t="shared" si="17"/>
        <v>0.14249999999999999</v>
      </c>
      <c r="AG8" s="4">
        <f t="shared" si="18"/>
        <v>31.39</v>
      </c>
      <c r="AH8" s="27">
        <f t="shared" si="19"/>
        <v>0.54400000000000004</v>
      </c>
    </row>
    <row r="9" spans="1:34" x14ac:dyDescent="0.35">
      <c r="A9" s="8" t="s">
        <v>58</v>
      </c>
      <c r="B9" s="9" t="s">
        <v>59</v>
      </c>
      <c r="C9" s="8" t="s">
        <v>1135</v>
      </c>
      <c r="D9" s="8" t="s">
        <v>1169</v>
      </c>
      <c r="E9" s="8" t="s">
        <v>905</v>
      </c>
      <c r="F9" s="25" t="s">
        <v>909</v>
      </c>
      <c r="G9" s="8" t="s">
        <v>13</v>
      </c>
      <c r="H9" s="8">
        <v>100</v>
      </c>
      <c r="I9" s="8" t="s">
        <v>1164</v>
      </c>
      <c r="J9" s="10">
        <v>49.58</v>
      </c>
      <c r="K9" s="22">
        <v>0.3417</v>
      </c>
      <c r="L9" s="11">
        <v>36.96</v>
      </c>
      <c r="M9" s="13">
        <v>0.3029</v>
      </c>
      <c r="N9" s="17">
        <f t="shared" si="7"/>
        <v>25.764816000000003</v>
      </c>
      <c r="O9" s="13">
        <v>0.1075</v>
      </c>
      <c r="P9" s="14">
        <f t="shared" si="8"/>
        <v>22.995098280000001</v>
      </c>
      <c r="Q9" s="14">
        <f t="shared" si="9"/>
        <v>6.8189431204000011</v>
      </c>
      <c r="R9" s="28">
        <f t="shared" si="10"/>
        <v>1.6096568796000001</v>
      </c>
      <c r="S9" s="28">
        <f t="shared" si="11"/>
        <v>5.3670329434537196</v>
      </c>
      <c r="T9" s="28">
        <f t="shared" si="12"/>
        <v>2.941787120399999</v>
      </c>
      <c r="U9" s="28">
        <f t="shared" si="4"/>
        <v>5.3670329434537196</v>
      </c>
      <c r="V9" s="28">
        <f t="shared" si="5"/>
        <v>1.4519101769462814</v>
      </c>
      <c r="W9" s="28">
        <f t="shared" si="6"/>
        <v>7.2595508847314069E-2</v>
      </c>
      <c r="X9" s="28">
        <f t="shared" si="13"/>
        <v>5.4396284523010339</v>
      </c>
      <c r="Y9" s="14">
        <v>28.434017195650441</v>
      </c>
      <c r="Z9" s="13">
        <v>0.14249999999999999</v>
      </c>
      <c r="AA9" s="14">
        <v>29.186003726706055</v>
      </c>
      <c r="AB9" s="13">
        <f t="shared" si="14"/>
        <v>0.21029999999999999</v>
      </c>
      <c r="AC9" s="14">
        <v>33.159203726706053</v>
      </c>
      <c r="AD9" s="26">
        <f t="shared" si="15"/>
        <v>0.14250000000000002</v>
      </c>
      <c r="AE9" s="4">
        <f t="shared" si="16"/>
        <v>33.159999999999997</v>
      </c>
      <c r="AF9" s="27">
        <f t="shared" si="17"/>
        <v>0.14249999999999999</v>
      </c>
      <c r="AG9" s="4">
        <f t="shared" si="18"/>
        <v>28.43</v>
      </c>
      <c r="AH9" s="27">
        <f t="shared" si="19"/>
        <v>0.21029999999999999</v>
      </c>
    </row>
    <row r="10" spans="1:34" x14ac:dyDescent="0.35">
      <c r="A10" s="8" t="s">
        <v>60</v>
      </c>
      <c r="B10" s="9" t="s">
        <v>61</v>
      </c>
      <c r="C10" s="8" t="s">
        <v>1135</v>
      </c>
      <c r="D10" s="8" t="s">
        <v>1169</v>
      </c>
      <c r="E10" s="8" t="s">
        <v>905</v>
      </c>
      <c r="F10" s="25" t="s">
        <v>909</v>
      </c>
      <c r="G10" s="8" t="s">
        <v>13</v>
      </c>
      <c r="H10" s="8">
        <v>200</v>
      </c>
      <c r="I10" s="8" t="s">
        <v>1164</v>
      </c>
      <c r="J10" s="10">
        <v>91.37</v>
      </c>
      <c r="K10" s="22">
        <v>0.3417</v>
      </c>
      <c r="L10" s="11">
        <v>68.11</v>
      </c>
      <c r="M10" s="13">
        <v>0.37680000000000002</v>
      </c>
      <c r="N10" s="17">
        <f t="shared" si="7"/>
        <v>42.446151999999998</v>
      </c>
      <c r="O10" s="13">
        <v>0.1075</v>
      </c>
      <c r="P10" s="14">
        <f t="shared" si="8"/>
        <v>37.883190659999997</v>
      </c>
      <c r="Q10" s="14">
        <f t="shared" si="9"/>
        <v>12.881076653800001</v>
      </c>
      <c r="R10" s="28">
        <f t="shared" si="10"/>
        <v>2.6518233462</v>
      </c>
      <c r="S10" s="28">
        <f t="shared" si="11"/>
        <v>8.8418988168533392</v>
      </c>
      <c r="T10" s="28">
        <f t="shared" si="12"/>
        <v>5.7359426538000005</v>
      </c>
      <c r="U10" s="28">
        <f t="shared" si="4"/>
        <v>8.8418988168533392</v>
      </c>
      <c r="V10" s="28">
        <f t="shared" si="5"/>
        <v>4.0391778369466618</v>
      </c>
      <c r="W10" s="28">
        <f t="shared" si="6"/>
        <v>0.20195889184733309</v>
      </c>
      <c r="X10" s="28">
        <f t="shared" si="13"/>
        <v>9.0438577087006724</v>
      </c>
      <c r="Y10" s="14">
        <v>46.925740832410845</v>
      </c>
      <c r="Z10" s="13">
        <v>0.14249999999999999</v>
      </c>
      <c r="AA10" s="14">
        <v>47.402071014473293</v>
      </c>
      <c r="AB10" s="13">
        <f t="shared" si="14"/>
        <v>0.30399999999999999</v>
      </c>
      <c r="AC10" s="14">
        <v>54.72389601447329</v>
      </c>
      <c r="AD10" s="26">
        <f t="shared" si="15"/>
        <v>0.14250000000000002</v>
      </c>
      <c r="AE10" s="4">
        <f t="shared" si="16"/>
        <v>54.72</v>
      </c>
      <c r="AF10" s="27">
        <f t="shared" si="17"/>
        <v>0.14249999999999999</v>
      </c>
      <c r="AG10" s="4">
        <f t="shared" si="18"/>
        <v>46.93</v>
      </c>
      <c r="AH10" s="27">
        <f t="shared" si="19"/>
        <v>0.30399999999999999</v>
      </c>
    </row>
    <row r="11" spans="1:34" x14ac:dyDescent="0.35">
      <c r="A11" s="8" t="s">
        <v>62</v>
      </c>
      <c r="B11" s="9" t="s">
        <v>63</v>
      </c>
      <c r="C11" s="8" t="s">
        <v>1135</v>
      </c>
      <c r="D11" s="8" t="s">
        <v>1169</v>
      </c>
      <c r="E11" s="8" t="s">
        <v>905</v>
      </c>
      <c r="F11" s="25" t="s">
        <v>909</v>
      </c>
      <c r="G11" s="8" t="s">
        <v>13</v>
      </c>
      <c r="H11" s="8">
        <v>30</v>
      </c>
      <c r="I11" s="8" t="s">
        <v>1164</v>
      </c>
      <c r="J11" s="10">
        <v>14.43</v>
      </c>
      <c r="K11" s="22">
        <v>0.3417</v>
      </c>
      <c r="L11" s="11">
        <v>10.76</v>
      </c>
      <c r="M11" s="13">
        <v>0.31890000000000002</v>
      </c>
      <c r="N11" s="17">
        <f t="shared" si="7"/>
        <v>7.3286360000000004</v>
      </c>
      <c r="O11" s="13">
        <v>0.1075</v>
      </c>
      <c r="P11" s="14">
        <f t="shared" si="8"/>
        <v>6.5408076299999998</v>
      </c>
      <c r="Q11" s="14">
        <f t="shared" si="9"/>
        <v>1.9952434659</v>
      </c>
      <c r="R11" s="28">
        <f t="shared" si="10"/>
        <v>0.45785653410000005</v>
      </c>
      <c r="S11" s="28">
        <f t="shared" si="11"/>
        <v>1.5266179600343699</v>
      </c>
      <c r="T11" s="28">
        <f t="shared" si="12"/>
        <v>0.86681746589999986</v>
      </c>
      <c r="U11" s="28">
        <f t="shared" si="4"/>
        <v>1.5266179600343699</v>
      </c>
      <c r="V11" s="28">
        <f t="shared" si="5"/>
        <v>0.46862550586563012</v>
      </c>
      <c r="W11" s="28">
        <f t="shared" si="6"/>
        <v>2.3431275293281508E-2</v>
      </c>
      <c r="X11" s="28">
        <f t="shared" si="13"/>
        <v>1.5500492353276514</v>
      </c>
      <c r="Y11" s="14">
        <v>8.0906503010862991</v>
      </c>
      <c r="Z11" s="13">
        <v>0.14249999999999999</v>
      </c>
      <c r="AA11" s="14">
        <v>8.2784607009752751</v>
      </c>
      <c r="AB11" s="13">
        <f t="shared" si="14"/>
        <v>0.2306</v>
      </c>
      <c r="AC11" s="14">
        <v>9.4351607009752758</v>
      </c>
      <c r="AD11" s="26">
        <f t="shared" si="15"/>
        <v>0.14249999999999999</v>
      </c>
      <c r="AE11" s="4">
        <f t="shared" si="16"/>
        <v>9.44</v>
      </c>
      <c r="AF11" s="27">
        <f t="shared" si="17"/>
        <v>0.14249999999999999</v>
      </c>
      <c r="AG11" s="4">
        <f t="shared" si="18"/>
        <v>8.09</v>
      </c>
      <c r="AH11" s="27">
        <f t="shared" si="19"/>
        <v>0.2306</v>
      </c>
    </row>
    <row r="12" spans="1:34" x14ac:dyDescent="0.35">
      <c r="A12" s="8" t="s">
        <v>64</v>
      </c>
      <c r="B12" s="9" t="s">
        <v>65</v>
      </c>
      <c r="C12" s="8" t="s">
        <v>1134</v>
      </c>
      <c r="D12" s="8" t="s">
        <v>1139</v>
      </c>
      <c r="E12" s="8" t="s">
        <v>905</v>
      </c>
      <c r="F12" s="25" t="s">
        <v>910</v>
      </c>
      <c r="G12" s="8" t="s">
        <v>14</v>
      </c>
      <c r="H12" s="8">
        <v>30</v>
      </c>
      <c r="I12" s="8" t="s">
        <v>1163</v>
      </c>
      <c r="J12" s="10">
        <v>224.14</v>
      </c>
      <c r="K12" s="22">
        <v>0.39400000000000002</v>
      </c>
      <c r="L12" s="11">
        <v>162.61000000000001</v>
      </c>
      <c r="M12" s="13">
        <v>0.65229999999999999</v>
      </c>
      <c r="N12" s="17">
        <f t="shared" si="7"/>
        <v>56.539497000000004</v>
      </c>
      <c r="O12" s="13">
        <v>0.1075</v>
      </c>
      <c r="P12" s="14">
        <f t="shared" si="8"/>
        <v>50.461501072499999</v>
      </c>
      <c r="Q12" s="14">
        <f t="shared" si="9"/>
        <v>34.571494924924998</v>
      </c>
      <c r="R12" s="28">
        <f t="shared" si="10"/>
        <v>3.5323050750750005</v>
      </c>
      <c r="S12" s="28">
        <f t="shared" si="11"/>
        <v>11.777663888820427</v>
      </c>
      <c r="T12" s="28">
        <f t="shared" si="12"/>
        <v>17.043746924924996</v>
      </c>
      <c r="U12" s="28">
        <f t="shared" si="4"/>
        <v>17.043746924924996</v>
      </c>
      <c r="V12" s="28">
        <f t="shared" si="5"/>
        <v>17.527748000000003</v>
      </c>
      <c r="W12" s="28">
        <f t="shared" si="6"/>
        <v>0.87638740000000015</v>
      </c>
      <c r="X12" s="28">
        <f t="shared" si="13"/>
        <v>17.920134324924994</v>
      </c>
      <c r="Y12" s="14">
        <v>68.376020880650003</v>
      </c>
      <c r="Z12" s="13">
        <v>0.14249999999999999</v>
      </c>
      <c r="AA12" s="14">
        <v>62.25822486081632</v>
      </c>
      <c r="AB12" s="13">
        <f t="shared" si="14"/>
        <v>0.61709999999999998</v>
      </c>
      <c r="AC12" s="14">
        <v>79.738799860816329</v>
      </c>
      <c r="AD12" s="26">
        <f t="shared" si="15"/>
        <v>0.14249999999999999</v>
      </c>
      <c r="AE12" s="4">
        <f t="shared" si="16"/>
        <v>79.739999999999995</v>
      </c>
      <c r="AF12" s="27">
        <f t="shared" si="17"/>
        <v>0.14249999999999999</v>
      </c>
      <c r="AG12" s="4">
        <f t="shared" si="18"/>
        <v>68.38</v>
      </c>
      <c r="AH12" s="27">
        <f t="shared" si="19"/>
        <v>0.61709999999999998</v>
      </c>
    </row>
    <row r="13" spans="1:34" x14ac:dyDescent="0.35">
      <c r="A13" s="8" t="s">
        <v>66</v>
      </c>
      <c r="B13" s="9" t="s">
        <v>67</v>
      </c>
      <c r="C13" s="8" t="s">
        <v>1135</v>
      </c>
      <c r="D13" s="8" t="s">
        <v>1139</v>
      </c>
      <c r="E13" s="8" t="s">
        <v>905</v>
      </c>
      <c r="F13" s="25" t="s">
        <v>910</v>
      </c>
      <c r="G13" s="8" t="s">
        <v>20</v>
      </c>
      <c r="H13" s="8">
        <v>10</v>
      </c>
      <c r="I13" s="8" t="s">
        <v>1164</v>
      </c>
      <c r="J13" s="10">
        <v>34.33</v>
      </c>
      <c r="K13" s="22">
        <v>0.3417</v>
      </c>
      <c r="L13" s="11">
        <v>25.59</v>
      </c>
      <c r="M13" s="13">
        <v>0.66539999999999999</v>
      </c>
      <c r="N13" s="17">
        <f t="shared" si="7"/>
        <v>8.5624140000000004</v>
      </c>
      <c r="O13" s="13">
        <v>0.1075</v>
      </c>
      <c r="P13" s="14">
        <f t="shared" si="8"/>
        <v>7.6419544950000002</v>
      </c>
      <c r="Q13" s="14">
        <f t="shared" si="9"/>
        <v>5.3011631853500001</v>
      </c>
      <c r="R13" s="28">
        <f t="shared" si="10"/>
        <v>0.53493681465000009</v>
      </c>
      <c r="S13" s="28">
        <f t="shared" si="11"/>
        <v>1.7836245371785053</v>
      </c>
      <c r="T13" s="28">
        <f t="shared" si="12"/>
        <v>2.6165571853499996</v>
      </c>
      <c r="U13" s="28">
        <f t="shared" si="4"/>
        <v>2.6165571853499996</v>
      </c>
      <c r="V13" s="28">
        <f t="shared" si="5"/>
        <v>2.6846060000000005</v>
      </c>
      <c r="W13" s="28">
        <f t="shared" si="6"/>
        <v>0.13423030000000002</v>
      </c>
      <c r="X13" s="28">
        <f t="shared" si="13"/>
        <v>2.7507874853499996</v>
      </c>
      <c r="Y13" s="14">
        <v>10.391858421625001</v>
      </c>
      <c r="Z13" s="13">
        <v>0.14249999999999999</v>
      </c>
      <c r="AA13" s="14">
        <v>9.3678603313411077</v>
      </c>
      <c r="AB13" s="13">
        <f t="shared" si="14"/>
        <v>0.63390000000000002</v>
      </c>
      <c r="AC13" s="14">
        <v>12.118785331341108</v>
      </c>
      <c r="AD13" s="26">
        <f t="shared" si="15"/>
        <v>0.14249999999999996</v>
      </c>
      <c r="AE13" s="4">
        <f t="shared" si="16"/>
        <v>12.12</v>
      </c>
      <c r="AF13" s="27">
        <f t="shared" si="17"/>
        <v>0.14249999999999999</v>
      </c>
      <c r="AG13" s="4">
        <f t="shared" si="18"/>
        <v>10.39</v>
      </c>
      <c r="AH13" s="27">
        <f t="shared" si="19"/>
        <v>0.63390000000000002</v>
      </c>
    </row>
    <row r="14" spans="1:34" x14ac:dyDescent="0.35">
      <c r="A14" s="8" t="s">
        <v>68</v>
      </c>
      <c r="B14" s="9" t="s">
        <v>69</v>
      </c>
      <c r="C14" s="8" t="s">
        <v>1134</v>
      </c>
      <c r="D14" s="8" t="s">
        <v>1147</v>
      </c>
      <c r="E14" s="8" t="s">
        <v>905</v>
      </c>
      <c r="F14" s="25" t="s">
        <v>911</v>
      </c>
      <c r="G14" s="8" t="s">
        <v>1111</v>
      </c>
      <c r="H14" s="8">
        <v>1</v>
      </c>
      <c r="I14" s="8" t="s">
        <v>1163</v>
      </c>
      <c r="J14" s="10">
        <v>105.14</v>
      </c>
      <c r="K14" s="22">
        <v>0.39400000000000002</v>
      </c>
      <c r="L14" s="11">
        <v>76.28</v>
      </c>
      <c r="M14" s="13">
        <v>0.64729999999999999</v>
      </c>
      <c r="N14" s="17">
        <f t="shared" si="7"/>
        <v>26.903956000000001</v>
      </c>
      <c r="O14" s="13">
        <v>0.1075</v>
      </c>
      <c r="P14" s="14">
        <f t="shared" si="8"/>
        <v>24.011780729999998</v>
      </c>
      <c r="Q14" s="14">
        <f t="shared" si="9"/>
        <v>16.192975348900003</v>
      </c>
      <c r="R14" s="28">
        <f t="shared" si="10"/>
        <v>1.6808246511</v>
      </c>
      <c r="S14" s="28">
        <f t="shared" si="11"/>
        <v>5.6043256106012693</v>
      </c>
      <c r="T14" s="28">
        <f t="shared" si="12"/>
        <v>7.9710273488999999</v>
      </c>
      <c r="U14" s="28">
        <f t="shared" si="4"/>
        <v>7.9710273488999999</v>
      </c>
      <c r="V14" s="28">
        <f t="shared" si="5"/>
        <v>8.2219480000000029</v>
      </c>
      <c r="W14" s="28">
        <f t="shared" si="6"/>
        <v>0.41109740000000017</v>
      </c>
      <c r="X14" s="28">
        <f t="shared" si="13"/>
        <v>8.3821247489000008</v>
      </c>
      <c r="Y14" s="14">
        <v>32.391271721200006</v>
      </c>
      <c r="Z14" s="13">
        <v>0.14249999999999999</v>
      </c>
      <c r="AA14" s="14">
        <v>29.573977808979595</v>
      </c>
      <c r="AB14" s="13">
        <f t="shared" si="14"/>
        <v>0.61229999999999996</v>
      </c>
      <c r="AC14" s="14">
        <v>37.774077808979598</v>
      </c>
      <c r="AD14" s="26">
        <f t="shared" si="15"/>
        <v>0.14249999999999999</v>
      </c>
      <c r="AE14" s="4">
        <f t="shared" si="16"/>
        <v>37.770000000000003</v>
      </c>
      <c r="AF14" s="27">
        <f t="shared" si="17"/>
        <v>0.14249999999999999</v>
      </c>
      <c r="AG14" s="4">
        <f t="shared" si="18"/>
        <v>32.39</v>
      </c>
      <c r="AH14" s="27">
        <f t="shared" si="19"/>
        <v>0.61229999999999996</v>
      </c>
    </row>
    <row r="15" spans="1:34" x14ac:dyDescent="0.35">
      <c r="A15" s="8" t="s">
        <v>70</v>
      </c>
      <c r="B15" s="9" t="s">
        <v>71</v>
      </c>
      <c r="C15" s="8" t="s">
        <v>1134</v>
      </c>
      <c r="D15" s="8" t="s">
        <v>1170</v>
      </c>
      <c r="E15" s="8" t="s">
        <v>905</v>
      </c>
      <c r="F15" s="25" t="s">
        <v>912</v>
      </c>
      <c r="G15" s="8" t="s">
        <v>19</v>
      </c>
      <c r="H15" s="8">
        <v>10</v>
      </c>
      <c r="I15" s="8" t="s">
        <v>1163</v>
      </c>
      <c r="J15" s="10">
        <v>14.03</v>
      </c>
      <c r="K15" s="22">
        <v>0.39400000000000002</v>
      </c>
      <c r="L15" s="11">
        <v>10.18</v>
      </c>
      <c r="M15" s="13">
        <v>0.49630000000000002</v>
      </c>
      <c r="N15" s="17">
        <f t="shared" si="7"/>
        <v>5.1276660000000005</v>
      </c>
      <c r="O15" s="13">
        <v>0.1075</v>
      </c>
      <c r="P15" s="14">
        <f t="shared" si="8"/>
        <v>4.5764419050000003</v>
      </c>
      <c r="Q15" s="14">
        <f t="shared" si="9"/>
        <v>2.0647490666500001</v>
      </c>
      <c r="R15" s="28">
        <f t="shared" si="10"/>
        <v>0.32035093335000003</v>
      </c>
      <c r="S15" s="28">
        <f t="shared" si="11"/>
        <v>1.0681369641850951</v>
      </c>
      <c r="T15" s="28">
        <f t="shared" si="12"/>
        <v>0.96760306664999973</v>
      </c>
      <c r="U15" s="28">
        <f t="shared" si="4"/>
        <v>1.0681369641850951</v>
      </c>
      <c r="V15" s="28">
        <f t="shared" si="5"/>
        <v>0.99661210246490506</v>
      </c>
      <c r="W15" s="28">
        <f t="shared" si="6"/>
        <v>4.9830605123245254E-2</v>
      </c>
      <c r="X15" s="28">
        <f t="shared" si="13"/>
        <v>1.1179675693083404</v>
      </c>
      <c r="Y15" s="14">
        <v>5.6940318775499996</v>
      </c>
      <c r="Z15" s="13">
        <v>0.14249999999999999</v>
      </c>
      <c r="AA15" s="14">
        <v>5.5459204111370264</v>
      </c>
      <c r="AB15" s="13">
        <f t="shared" si="14"/>
        <v>0.45519999999999999</v>
      </c>
      <c r="AC15" s="14">
        <v>6.6402704111370259</v>
      </c>
      <c r="AD15" s="26">
        <f t="shared" si="15"/>
        <v>0.14250000000000002</v>
      </c>
      <c r="AE15" s="4">
        <f t="shared" si="16"/>
        <v>6.64</v>
      </c>
      <c r="AF15" s="27">
        <f t="shared" si="17"/>
        <v>0.14249999999999999</v>
      </c>
      <c r="AG15" s="4">
        <f t="shared" si="18"/>
        <v>5.69</v>
      </c>
      <c r="AH15" s="27">
        <f t="shared" si="19"/>
        <v>0.45519999999999999</v>
      </c>
    </row>
    <row r="16" spans="1:34" x14ac:dyDescent="0.35">
      <c r="A16" s="8" t="s">
        <v>72</v>
      </c>
      <c r="B16" s="9" t="s">
        <v>73</v>
      </c>
      <c r="C16" s="8" t="s">
        <v>1134</v>
      </c>
      <c r="D16" s="8" t="s">
        <v>1147</v>
      </c>
      <c r="E16" s="8" t="s">
        <v>905</v>
      </c>
      <c r="F16" s="25" t="s">
        <v>913</v>
      </c>
      <c r="G16" s="8" t="s">
        <v>1113</v>
      </c>
      <c r="H16" s="8">
        <v>4</v>
      </c>
      <c r="I16" s="8" t="s">
        <v>1163</v>
      </c>
      <c r="J16" s="10">
        <v>108.71</v>
      </c>
      <c r="K16" s="22">
        <v>0.39400000000000002</v>
      </c>
      <c r="L16" s="11">
        <v>78.87</v>
      </c>
      <c r="M16" s="13">
        <v>0.86250000000000004</v>
      </c>
      <c r="N16" s="17">
        <f t="shared" si="7"/>
        <v>10.844624999999997</v>
      </c>
      <c r="O16" s="13">
        <v>0.1075</v>
      </c>
      <c r="P16" s="14">
        <f t="shared" si="8"/>
        <v>9.6788278124999962</v>
      </c>
      <c r="Q16" s="14">
        <f t="shared" si="9"/>
        <v>17.803182053124999</v>
      </c>
      <c r="R16" s="28">
        <f t="shared" si="10"/>
        <v>0.67751794687499978</v>
      </c>
      <c r="S16" s="28">
        <f t="shared" si="11"/>
        <v>2.2590287326096865</v>
      </c>
      <c r="T16" s="28">
        <f t="shared" si="12"/>
        <v>9.3020600531250004</v>
      </c>
      <c r="U16" s="28">
        <f t="shared" si="4"/>
        <v>9.3020600531250004</v>
      </c>
      <c r="V16" s="28">
        <f t="shared" si="5"/>
        <v>8.5011219999999987</v>
      </c>
      <c r="W16" s="28">
        <f t="shared" si="6"/>
        <v>0.42505609999999994</v>
      </c>
      <c r="X16" s="28">
        <f t="shared" si="13"/>
        <v>9.7271161531249994</v>
      </c>
      <c r="Y16" s="14">
        <v>19.4032207817</v>
      </c>
      <c r="Z16" s="13">
        <v>0.14249999999999999</v>
      </c>
      <c r="AA16" s="14">
        <v>14.14913771918367</v>
      </c>
      <c r="AB16" s="13">
        <f t="shared" si="14"/>
        <v>0.8206</v>
      </c>
      <c r="AC16" s="14">
        <v>22.627662719183672</v>
      </c>
      <c r="AD16" s="26">
        <f t="shared" si="15"/>
        <v>0.14249999999999993</v>
      </c>
      <c r="AE16" s="4">
        <f t="shared" si="16"/>
        <v>22.63</v>
      </c>
      <c r="AF16" s="27">
        <f t="shared" si="17"/>
        <v>0.14249999999999999</v>
      </c>
      <c r="AG16" s="4">
        <f t="shared" si="18"/>
        <v>19.399999999999999</v>
      </c>
      <c r="AH16" s="27">
        <f t="shared" si="19"/>
        <v>0.8206</v>
      </c>
    </row>
    <row r="17" spans="1:34" x14ac:dyDescent="0.35">
      <c r="A17" s="8" t="s">
        <v>74</v>
      </c>
      <c r="B17" s="9" t="s">
        <v>75</v>
      </c>
      <c r="C17" s="8" t="s">
        <v>1136</v>
      </c>
      <c r="D17" s="8" t="s">
        <v>1171</v>
      </c>
      <c r="E17" s="8" t="s">
        <v>905</v>
      </c>
      <c r="F17" s="25" t="s">
        <v>914</v>
      </c>
      <c r="G17" s="8" t="s">
        <v>1111</v>
      </c>
      <c r="H17" s="8">
        <v>1</v>
      </c>
      <c r="I17" s="8" t="s">
        <v>1163</v>
      </c>
      <c r="J17" s="10">
        <v>17.260000000000002</v>
      </c>
      <c r="K17" s="22">
        <v>0.39400000000000002</v>
      </c>
      <c r="L17" s="11">
        <v>12.52</v>
      </c>
      <c r="M17" s="13">
        <v>0.13730000000000001</v>
      </c>
      <c r="N17" s="17">
        <f t="shared" si="7"/>
        <v>10.801004000000001</v>
      </c>
      <c r="O17" s="13">
        <v>0.1075</v>
      </c>
      <c r="P17" s="14">
        <f t="shared" si="8"/>
        <v>9.6398960700000007</v>
      </c>
      <c r="Q17" s="14">
        <f t="shared" si="9"/>
        <v>2.2594072751000005</v>
      </c>
      <c r="R17" s="28">
        <f t="shared" si="10"/>
        <v>0.67479272490000008</v>
      </c>
      <c r="S17" s="28">
        <f t="shared" si="11"/>
        <v>2.2499421028419304</v>
      </c>
      <c r="T17" s="28">
        <f t="shared" si="12"/>
        <v>0.9096752750999999</v>
      </c>
      <c r="U17" s="28">
        <f t="shared" si="4"/>
        <v>2.2499421028419304</v>
      </c>
      <c r="V17" s="28">
        <f t="shared" si="5"/>
        <v>9.465172258070087E-3</v>
      </c>
      <c r="W17" s="28">
        <f t="shared" si="6"/>
        <v>4.7325861290350437E-4</v>
      </c>
      <c r="X17" s="28">
        <f t="shared" si="13"/>
        <v>2.2504153614548339</v>
      </c>
      <c r="Y17" s="14">
        <v>11.890010710773538</v>
      </c>
      <c r="Z17" s="13">
        <v>0.14249999999999999</v>
      </c>
      <c r="AA17" s="14">
        <v>12.52000170352599</v>
      </c>
      <c r="AB17" s="13">
        <f t="shared" si="14"/>
        <v>0</v>
      </c>
      <c r="AC17" s="14">
        <v>13.86590170352599</v>
      </c>
      <c r="AD17" s="26">
        <f t="shared" si="15"/>
        <v>0.1424999999999999</v>
      </c>
      <c r="AE17" s="4">
        <f t="shared" si="16"/>
        <v>13.87</v>
      </c>
      <c r="AF17" s="27">
        <f t="shared" si="17"/>
        <v>0.14249999999999999</v>
      </c>
      <c r="AG17" s="4">
        <f t="shared" si="18"/>
        <v>11.89</v>
      </c>
      <c r="AH17" s="27">
        <f t="shared" si="19"/>
        <v>0</v>
      </c>
    </row>
    <row r="18" spans="1:34" x14ac:dyDescent="0.35">
      <c r="A18" s="8" t="s">
        <v>76</v>
      </c>
      <c r="B18" s="9" t="s">
        <v>77</v>
      </c>
      <c r="C18" s="8" t="s">
        <v>1134</v>
      </c>
      <c r="D18" s="8" t="s">
        <v>1172</v>
      </c>
      <c r="E18" s="8" t="s">
        <v>905</v>
      </c>
      <c r="F18" s="25" t="s">
        <v>915</v>
      </c>
      <c r="G18" s="8" t="s">
        <v>3</v>
      </c>
      <c r="H18" s="8">
        <v>30</v>
      </c>
      <c r="I18" s="8" t="s">
        <v>1163</v>
      </c>
      <c r="J18" s="10">
        <v>19.21</v>
      </c>
      <c r="K18" s="22">
        <v>0.39400000000000002</v>
      </c>
      <c r="L18" s="11">
        <v>13.94</v>
      </c>
      <c r="M18" s="13">
        <v>0.60580000000000001</v>
      </c>
      <c r="N18" s="17">
        <f t="shared" si="7"/>
        <v>5.4951479999999995</v>
      </c>
      <c r="O18" s="13">
        <v>0.1075</v>
      </c>
      <c r="P18" s="14">
        <f t="shared" si="8"/>
        <v>4.9044195899999989</v>
      </c>
      <c r="Q18" s="14">
        <f t="shared" si="9"/>
        <v>2.9223906287000005</v>
      </c>
      <c r="R18" s="28">
        <f t="shared" si="10"/>
        <v>0.34330937129999994</v>
      </c>
      <c r="S18" s="28">
        <f t="shared" si="11"/>
        <v>1.1446866278864098</v>
      </c>
      <c r="T18" s="28">
        <f t="shared" si="12"/>
        <v>1.4201686286999999</v>
      </c>
      <c r="U18" s="28">
        <f t="shared" si="4"/>
        <v>1.4201686286999999</v>
      </c>
      <c r="V18" s="28">
        <f t="shared" si="5"/>
        <v>1.5022220000000006</v>
      </c>
      <c r="W18" s="28">
        <f t="shared" si="6"/>
        <v>7.5111100000000042E-2</v>
      </c>
      <c r="X18" s="28">
        <f t="shared" si="13"/>
        <v>1.4952797286999999</v>
      </c>
      <c r="Y18" s="14">
        <v>6.399218005349999</v>
      </c>
      <c r="Z18" s="13">
        <v>0.14249999999999999</v>
      </c>
      <c r="AA18" s="14">
        <v>5.9640949041982498</v>
      </c>
      <c r="AB18" s="13">
        <f t="shared" si="14"/>
        <v>0.57220000000000004</v>
      </c>
      <c r="AC18" s="14">
        <v>7.4626449041982497</v>
      </c>
      <c r="AD18" s="26">
        <f t="shared" si="15"/>
        <v>0.14250000000000002</v>
      </c>
      <c r="AE18" s="4">
        <f t="shared" si="16"/>
        <v>7.46</v>
      </c>
      <c r="AF18" s="27">
        <f t="shared" si="17"/>
        <v>0.14249999999999999</v>
      </c>
      <c r="AG18" s="4">
        <f t="shared" si="18"/>
        <v>6.4</v>
      </c>
      <c r="AH18" s="27">
        <f t="shared" si="19"/>
        <v>0.57220000000000004</v>
      </c>
    </row>
    <row r="19" spans="1:34" x14ac:dyDescent="0.35">
      <c r="A19" s="8" t="s">
        <v>78</v>
      </c>
      <c r="B19" s="9" t="s">
        <v>79</v>
      </c>
      <c r="C19" s="8" t="s">
        <v>1134</v>
      </c>
      <c r="D19" s="8" t="s">
        <v>1172</v>
      </c>
      <c r="E19" s="8" t="s">
        <v>905</v>
      </c>
      <c r="F19" s="25" t="s">
        <v>915</v>
      </c>
      <c r="G19" s="8" t="s">
        <v>3</v>
      </c>
      <c r="H19" s="8">
        <v>30</v>
      </c>
      <c r="I19" s="8" t="s">
        <v>1163</v>
      </c>
      <c r="J19" s="10">
        <v>16.27</v>
      </c>
      <c r="K19" s="22">
        <v>0.39400000000000002</v>
      </c>
      <c r="L19" s="11">
        <v>11.8</v>
      </c>
      <c r="M19" s="13">
        <v>0.67069999999999996</v>
      </c>
      <c r="N19" s="17">
        <f t="shared" si="7"/>
        <v>3.8857400000000006</v>
      </c>
      <c r="O19" s="13">
        <v>0.1075</v>
      </c>
      <c r="P19" s="14">
        <f t="shared" si="8"/>
        <v>3.4680229500000004</v>
      </c>
      <c r="Q19" s="14">
        <f t="shared" si="9"/>
        <v>2.5231383935</v>
      </c>
      <c r="R19" s="28">
        <f t="shared" si="10"/>
        <v>0.24276160650000006</v>
      </c>
      <c r="S19" s="28">
        <f t="shared" si="11"/>
        <v>0.8094330885070502</v>
      </c>
      <c r="T19" s="28">
        <f t="shared" si="12"/>
        <v>1.2508243934999999</v>
      </c>
      <c r="U19" s="28">
        <f t="shared" si="4"/>
        <v>1.2508243934999999</v>
      </c>
      <c r="V19" s="28">
        <f t="shared" si="5"/>
        <v>1.2723140000000002</v>
      </c>
      <c r="W19" s="28">
        <f t="shared" si="6"/>
        <v>6.3615700000000011E-2</v>
      </c>
      <c r="X19" s="28">
        <f t="shared" si="13"/>
        <v>1.3144400934999998</v>
      </c>
      <c r="Y19" s="14">
        <v>4.7820556189999994</v>
      </c>
      <c r="Z19" s="13">
        <v>0.14249999999999999</v>
      </c>
      <c r="AA19" s="14">
        <v>4.3082412466472295</v>
      </c>
      <c r="AB19" s="13">
        <f t="shared" si="14"/>
        <v>0.63490000000000002</v>
      </c>
      <c r="AC19" s="14">
        <v>5.576741246647229</v>
      </c>
      <c r="AD19" s="26">
        <f t="shared" si="15"/>
        <v>0.1424999999999999</v>
      </c>
      <c r="AE19" s="4">
        <f t="shared" si="16"/>
        <v>5.58</v>
      </c>
      <c r="AF19" s="27">
        <f t="shared" si="17"/>
        <v>0.14249999999999999</v>
      </c>
      <c r="AG19" s="4">
        <f t="shared" si="18"/>
        <v>4.78</v>
      </c>
      <c r="AH19" s="27">
        <f t="shared" si="19"/>
        <v>0.63490000000000002</v>
      </c>
    </row>
    <row r="20" spans="1:34" x14ac:dyDescent="0.35">
      <c r="A20" s="8" t="s">
        <v>80</v>
      </c>
      <c r="B20" s="9" t="s">
        <v>81</v>
      </c>
      <c r="C20" s="8" t="s">
        <v>1134</v>
      </c>
      <c r="D20" s="8" t="s">
        <v>1172</v>
      </c>
      <c r="E20" s="8" t="s">
        <v>905</v>
      </c>
      <c r="F20" s="25" t="s">
        <v>915</v>
      </c>
      <c r="G20" s="8" t="s">
        <v>1112</v>
      </c>
      <c r="H20" s="8">
        <v>30</v>
      </c>
      <c r="I20" s="8" t="s">
        <v>1163</v>
      </c>
      <c r="J20" s="10">
        <v>31.92</v>
      </c>
      <c r="K20" s="22">
        <v>0.39400000000000002</v>
      </c>
      <c r="L20" s="11">
        <v>23.16</v>
      </c>
      <c r="M20" s="13">
        <v>0.76029999999999998</v>
      </c>
      <c r="N20" s="17">
        <f t="shared" si="7"/>
        <v>5.5514520000000003</v>
      </c>
      <c r="O20" s="13">
        <v>0.1075</v>
      </c>
      <c r="P20" s="14">
        <f t="shared" si="8"/>
        <v>4.9546709099999999</v>
      </c>
      <c r="Q20" s="14">
        <f t="shared" si="9"/>
        <v>5.0795730363000011</v>
      </c>
      <c r="R20" s="28">
        <f t="shared" si="10"/>
        <v>0.34682696370000005</v>
      </c>
      <c r="S20" s="28">
        <f t="shared" si="11"/>
        <v>1.1564152357230899</v>
      </c>
      <c r="T20" s="28">
        <f t="shared" si="12"/>
        <v>2.5834290363000001</v>
      </c>
      <c r="U20" s="28">
        <f t="shared" si="4"/>
        <v>2.5834290363000001</v>
      </c>
      <c r="V20" s="28">
        <f t="shared" si="5"/>
        <v>2.496144000000001</v>
      </c>
      <c r="W20" s="28">
        <f t="shared" si="6"/>
        <v>0.12480720000000006</v>
      </c>
      <c r="X20" s="28">
        <f t="shared" si="13"/>
        <v>2.7082362363000003</v>
      </c>
      <c r="Y20" s="14">
        <v>7.6621074894000012</v>
      </c>
      <c r="Z20" s="13">
        <v>0.14249999999999999</v>
      </c>
      <c r="AA20" s="14">
        <v>6.4457023200000005</v>
      </c>
      <c r="AB20" s="13">
        <f t="shared" si="14"/>
        <v>0.72170000000000001</v>
      </c>
      <c r="AC20" s="14">
        <v>8.9354023200000015</v>
      </c>
      <c r="AD20" s="26">
        <f t="shared" si="15"/>
        <v>0.14250000000000002</v>
      </c>
      <c r="AE20" s="4">
        <f t="shared" si="16"/>
        <v>8.94</v>
      </c>
      <c r="AF20" s="27">
        <f t="shared" si="17"/>
        <v>0.14249999999999999</v>
      </c>
      <c r="AG20" s="4">
        <f t="shared" si="18"/>
        <v>7.66</v>
      </c>
      <c r="AH20" s="27">
        <f t="shared" si="19"/>
        <v>0.72170000000000001</v>
      </c>
    </row>
    <row r="21" spans="1:34" x14ac:dyDescent="0.35">
      <c r="A21" s="8" t="s">
        <v>82</v>
      </c>
      <c r="B21" s="9" t="s">
        <v>83</v>
      </c>
      <c r="C21" s="8" t="s">
        <v>1134</v>
      </c>
      <c r="D21" s="8" t="s">
        <v>1172</v>
      </c>
      <c r="E21" s="8" t="s">
        <v>905</v>
      </c>
      <c r="F21" s="25" t="s">
        <v>915</v>
      </c>
      <c r="G21" s="8" t="s">
        <v>1114</v>
      </c>
      <c r="H21" s="8">
        <v>30</v>
      </c>
      <c r="I21" s="8" t="s">
        <v>1163</v>
      </c>
      <c r="J21" s="10">
        <v>95.43</v>
      </c>
      <c r="K21" s="22">
        <v>0.39400000000000002</v>
      </c>
      <c r="L21" s="11">
        <v>69.23</v>
      </c>
      <c r="M21" s="13">
        <v>0.7964</v>
      </c>
      <c r="N21" s="17">
        <f t="shared" si="7"/>
        <v>14.095228000000001</v>
      </c>
      <c r="O21" s="13">
        <v>0.1075</v>
      </c>
      <c r="P21" s="14">
        <f t="shared" si="8"/>
        <v>12.579990990000001</v>
      </c>
      <c r="Q21" s="14">
        <f t="shared" si="9"/>
        <v>15.342500630700002</v>
      </c>
      <c r="R21" s="28">
        <f t="shared" si="10"/>
        <v>0.88059936930000016</v>
      </c>
      <c r="S21" s="28">
        <f t="shared" si="11"/>
        <v>2.9361573170750104</v>
      </c>
      <c r="T21" s="28">
        <f t="shared" si="12"/>
        <v>7.8798746306999998</v>
      </c>
      <c r="U21" s="28">
        <f t="shared" si="4"/>
        <v>7.8798746306999998</v>
      </c>
      <c r="V21" s="28">
        <f t="shared" si="5"/>
        <v>7.462626000000002</v>
      </c>
      <c r="W21" s="28">
        <f t="shared" si="6"/>
        <v>0.37313130000000011</v>
      </c>
      <c r="X21" s="28">
        <f t="shared" si="13"/>
        <v>8.2530059307000005</v>
      </c>
      <c r="Y21" s="14">
        <v>20.830606581875003</v>
      </c>
      <c r="Z21" s="13">
        <v>0.14249999999999999</v>
      </c>
      <c r="AA21" s="14">
        <v>16.850027573615161</v>
      </c>
      <c r="AB21" s="13">
        <f t="shared" si="14"/>
        <v>0.75660000000000005</v>
      </c>
      <c r="AC21" s="14">
        <v>24.292252573615162</v>
      </c>
      <c r="AD21" s="26">
        <f t="shared" si="15"/>
        <v>0.14249999999999993</v>
      </c>
      <c r="AE21" s="4">
        <f t="shared" si="16"/>
        <v>24.29</v>
      </c>
      <c r="AF21" s="27">
        <f t="shared" si="17"/>
        <v>0.14249999999999999</v>
      </c>
      <c r="AG21" s="4">
        <f t="shared" si="18"/>
        <v>20.83</v>
      </c>
      <c r="AH21" s="27">
        <f t="shared" si="19"/>
        <v>0.75660000000000005</v>
      </c>
    </row>
    <row r="22" spans="1:34" x14ac:dyDescent="0.35">
      <c r="A22" s="8" t="s">
        <v>84</v>
      </c>
      <c r="B22" s="9" t="s">
        <v>85</v>
      </c>
      <c r="C22" s="8" t="s">
        <v>12</v>
      </c>
      <c r="D22" s="8" t="s">
        <v>1154</v>
      </c>
      <c r="E22" s="8" t="s">
        <v>905</v>
      </c>
      <c r="F22" s="25" t="s">
        <v>916</v>
      </c>
      <c r="G22" s="8" t="s">
        <v>3</v>
      </c>
      <c r="H22" s="8">
        <v>48</v>
      </c>
      <c r="I22" s="8" t="s">
        <v>1164</v>
      </c>
      <c r="J22" s="10" t="s">
        <v>3</v>
      </c>
      <c r="K22" s="22">
        <v>0.3417</v>
      </c>
      <c r="L22" s="11">
        <v>20.61</v>
      </c>
      <c r="M22" s="13">
        <v>0.22059999999999999</v>
      </c>
      <c r="N22" s="17">
        <f t="shared" si="7"/>
        <v>16.063434000000001</v>
      </c>
      <c r="O22" s="13">
        <v>0.1075</v>
      </c>
      <c r="P22" s="14">
        <f t="shared" si="8"/>
        <v>14.336614845</v>
      </c>
      <c r="Q22" s="14">
        <f t="shared" si="9"/>
        <v>3.270024143381205</v>
      </c>
      <c r="R22" s="28">
        <f t="shared" si="10"/>
        <v>1.0035630391500001</v>
      </c>
      <c r="S22" s="28">
        <f t="shared" si="11"/>
        <v>3.3461515682081551</v>
      </c>
      <c r="T22" s="28">
        <f t="shared" si="12"/>
        <v>0</v>
      </c>
      <c r="U22" s="28">
        <f t="shared" si="4"/>
        <v>1.0035630391500001</v>
      </c>
      <c r="V22" s="28">
        <f t="shared" si="5"/>
        <v>2.2664611042312046</v>
      </c>
      <c r="W22" s="28">
        <f t="shared" si="6"/>
        <v>0.11332305521156023</v>
      </c>
      <c r="X22" s="28">
        <f t="shared" si="13"/>
        <v>2.2664611042312046</v>
      </c>
      <c r="Y22" s="14">
        <v>16.603879550991831</v>
      </c>
      <c r="Z22" s="13">
        <v>0.14249999999999999</v>
      </c>
      <c r="AA22" s="14">
        <v>17.147549840806796</v>
      </c>
      <c r="AB22" s="13">
        <f t="shared" si="14"/>
        <v>0.16800000000000001</v>
      </c>
      <c r="AC22" s="14">
        <v>19.363124840806798</v>
      </c>
      <c r="AD22" s="26">
        <f t="shared" si="15"/>
        <v>0.1424999999999999</v>
      </c>
      <c r="AE22" s="4">
        <f t="shared" si="16"/>
        <v>19.36</v>
      </c>
      <c r="AF22" s="27">
        <f t="shared" si="17"/>
        <v>0.14249999999999999</v>
      </c>
      <c r="AG22" s="4">
        <f t="shared" si="18"/>
        <v>16.600000000000001</v>
      </c>
      <c r="AH22" s="27">
        <f t="shared" si="19"/>
        <v>0.16800000000000001</v>
      </c>
    </row>
    <row r="23" spans="1:34" x14ac:dyDescent="0.35">
      <c r="A23" s="8" t="s">
        <v>86</v>
      </c>
      <c r="B23" s="9" t="s">
        <v>87</v>
      </c>
      <c r="C23" s="8" t="s">
        <v>1135</v>
      </c>
      <c r="D23" s="8" t="s">
        <v>1168</v>
      </c>
      <c r="E23" s="8" t="s">
        <v>905</v>
      </c>
      <c r="F23" s="25" t="s">
        <v>917</v>
      </c>
      <c r="G23" s="8" t="s">
        <v>24</v>
      </c>
      <c r="H23" s="8">
        <v>24</v>
      </c>
      <c r="I23" s="8" t="s">
        <v>1164</v>
      </c>
      <c r="J23" s="10">
        <v>23.9</v>
      </c>
      <c r="K23" s="22">
        <v>0.3417</v>
      </c>
      <c r="L23" s="11">
        <v>17.82</v>
      </c>
      <c r="M23" s="13">
        <v>0.43719999999999998</v>
      </c>
      <c r="N23" s="17">
        <f t="shared" si="7"/>
        <v>10.029095999999999</v>
      </c>
      <c r="O23" s="13">
        <v>0.1075</v>
      </c>
      <c r="P23" s="14">
        <f t="shared" si="8"/>
        <v>8.9509681799999985</v>
      </c>
      <c r="Q23" s="14">
        <f t="shared" si="9"/>
        <v>3.4364322273999997</v>
      </c>
      <c r="R23" s="28">
        <f t="shared" si="10"/>
        <v>0.62656777259999996</v>
      </c>
      <c r="S23" s="28">
        <f t="shared" si="11"/>
        <v>2.0891470222438198</v>
      </c>
      <c r="T23" s="28">
        <f t="shared" si="12"/>
        <v>1.5674522273999996</v>
      </c>
      <c r="U23" s="28">
        <f t="shared" si="4"/>
        <v>2.0891470222438198</v>
      </c>
      <c r="V23" s="28">
        <f t="shared" si="5"/>
        <v>1.3472852051561799</v>
      </c>
      <c r="W23" s="28">
        <f t="shared" si="6"/>
        <v>6.7364260257808992E-2</v>
      </c>
      <c r="X23" s="28">
        <f t="shared" si="13"/>
        <v>2.1565112825016288</v>
      </c>
      <c r="Y23" s="14">
        <v>11.107137364473665</v>
      </c>
      <c r="Z23" s="13">
        <v>0.14249999999999999</v>
      </c>
      <c r="AA23" s="14">
        <v>11.037279871106316</v>
      </c>
      <c r="AB23" s="13">
        <f t="shared" si="14"/>
        <v>0.38059999999999999</v>
      </c>
      <c r="AC23" s="14">
        <v>12.952929871106315</v>
      </c>
      <c r="AD23" s="26">
        <f t="shared" si="15"/>
        <v>0.14249999999999999</v>
      </c>
      <c r="AE23" s="4">
        <f t="shared" si="16"/>
        <v>12.95</v>
      </c>
      <c r="AF23" s="27">
        <f t="shared" si="17"/>
        <v>0.14249999999999999</v>
      </c>
      <c r="AG23" s="4">
        <f t="shared" si="18"/>
        <v>11.11</v>
      </c>
      <c r="AH23" s="27">
        <f t="shared" si="19"/>
        <v>0.38059999999999999</v>
      </c>
    </row>
    <row r="24" spans="1:34" x14ac:dyDescent="0.35">
      <c r="A24" s="8" t="s">
        <v>88</v>
      </c>
      <c r="B24" s="9" t="s">
        <v>89</v>
      </c>
      <c r="C24" s="8" t="s">
        <v>1135</v>
      </c>
      <c r="D24" s="8" t="s">
        <v>1168</v>
      </c>
      <c r="E24" s="8" t="s">
        <v>905</v>
      </c>
      <c r="F24" s="25" t="s">
        <v>917</v>
      </c>
      <c r="G24" s="8" t="s">
        <v>40</v>
      </c>
      <c r="H24" s="8">
        <v>24</v>
      </c>
      <c r="I24" s="8" t="s">
        <v>1164</v>
      </c>
      <c r="J24" s="10">
        <v>38.590000000000003</v>
      </c>
      <c r="K24" s="22">
        <v>0.3417</v>
      </c>
      <c r="L24" s="11">
        <v>28.77</v>
      </c>
      <c r="M24" s="13">
        <v>0.60470000000000002</v>
      </c>
      <c r="N24" s="17">
        <f t="shared" si="7"/>
        <v>11.372781</v>
      </c>
      <c r="O24" s="13">
        <v>0.1075</v>
      </c>
      <c r="P24" s="14">
        <f t="shared" si="8"/>
        <v>10.1502070425</v>
      </c>
      <c r="Q24" s="14">
        <f t="shared" si="9"/>
        <v>5.8497855070250004</v>
      </c>
      <c r="R24" s="28">
        <f t="shared" si="10"/>
        <v>0.71051449297500002</v>
      </c>
      <c r="S24" s="28">
        <f t="shared" si="11"/>
        <v>2.369048173512458</v>
      </c>
      <c r="T24" s="28">
        <f t="shared" si="12"/>
        <v>2.832047507025</v>
      </c>
      <c r="U24" s="28">
        <f t="shared" si="4"/>
        <v>2.832047507025</v>
      </c>
      <c r="V24" s="28">
        <f t="shared" si="5"/>
        <v>3.0177380000000005</v>
      </c>
      <c r="W24" s="28">
        <f t="shared" si="6"/>
        <v>0.15088690000000005</v>
      </c>
      <c r="X24" s="28">
        <f t="shared" si="13"/>
        <v>2.9829344070250001</v>
      </c>
      <c r="Y24" s="14">
        <v>13.132148093350001</v>
      </c>
      <c r="Z24" s="13">
        <v>0.14249999999999999</v>
      </c>
      <c r="AA24" s="14">
        <v>12.221683417900875</v>
      </c>
      <c r="AB24" s="13">
        <f t="shared" si="14"/>
        <v>0.57520000000000004</v>
      </c>
      <c r="AC24" s="14">
        <v>15.314458417900875</v>
      </c>
      <c r="AD24" s="26">
        <f t="shared" si="15"/>
        <v>0.14249999999999999</v>
      </c>
      <c r="AE24" s="4">
        <f t="shared" si="16"/>
        <v>15.31</v>
      </c>
      <c r="AF24" s="27">
        <f t="shared" si="17"/>
        <v>0.14249999999999999</v>
      </c>
      <c r="AG24" s="4">
        <f t="shared" si="18"/>
        <v>13.13</v>
      </c>
      <c r="AH24" s="27">
        <f t="shared" si="19"/>
        <v>0.57520000000000004</v>
      </c>
    </row>
    <row r="25" spans="1:34" x14ac:dyDescent="0.35">
      <c r="A25" s="8" t="s">
        <v>90</v>
      </c>
      <c r="B25" s="9" t="s">
        <v>91</v>
      </c>
      <c r="C25" s="8" t="s">
        <v>1134</v>
      </c>
      <c r="D25" s="8" t="s">
        <v>1139</v>
      </c>
      <c r="E25" s="8" t="s">
        <v>905</v>
      </c>
      <c r="F25" s="25" t="s">
        <v>918</v>
      </c>
      <c r="G25" s="8" t="s">
        <v>3</v>
      </c>
      <c r="H25" s="8">
        <v>30</v>
      </c>
      <c r="I25" s="8" t="s">
        <v>1163</v>
      </c>
      <c r="J25" s="10">
        <v>14.53</v>
      </c>
      <c r="K25" s="22">
        <v>0.39400000000000002</v>
      </c>
      <c r="L25" s="11">
        <v>10.54</v>
      </c>
      <c r="M25" s="13">
        <v>0.26750000000000002</v>
      </c>
      <c r="N25" s="17">
        <f t="shared" si="7"/>
        <v>7.7205499999999985</v>
      </c>
      <c r="O25" s="13">
        <v>0.1075</v>
      </c>
      <c r="P25" s="14">
        <f t="shared" si="8"/>
        <v>6.8905908749999982</v>
      </c>
      <c r="Q25" s="14">
        <f t="shared" si="9"/>
        <v>1.9877586387499999</v>
      </c>
      <c r="R25" s="28">
        <f t="shared" si="10"/>
        <v>0.48234136124999993</v>
      </c>
      <c r="S25" s="28">
        <f t="shared" si="11"/>
        <v>1.6082570196341246</v>
      </c>
      <c r="T25" s="28">
        <f t="shared" si="12"/>
        <v>0.85151263874999994</v>
      </c>
      <c r="U25" s="28">
        <f t="shared" si="4"/>
        <v>1.6082570196341246</v>
      </c>
      <c r="V25" s="28">
        <f t="shared" si="5"/>
        <v>0.37950161911587532</v>
      </c>
      <c r="W25" s="28">
        <f t="shared" si="6"/>
        <v>1.8975080955793769E-2</v>
      </c>
      <c r="X25" s="28">
        <f t="shared" si="13"/>
        <v>1.6272321005899184</v>
      </c>
      <c r="Y25" s="14">
        <v>8.5176206347810091</v>
      </c>
      <c r="Z25" s="13">
        <v>0.14249999999999999</v>
      </c>
      <c r="AA25" s="14">
        <v>8.8000352883743549</v>
      </c>
      <c r="AB25" s="13">
        <f t="shared" si="14"/>
        <v>0.1651</v>
      </c>
      <c r="AC25" s="14">
        <v>9.9330852883743539</v>
      </c>
      <c r="AD25" s="26">
        <f t="shared" si="15"/>
        <v>0.14249999999999993</v>
      </c>
      <c r="AE25" s="4">
        <f t="shared" si="16"/>
        <v>9.93</v>
      </c>
      <c r="AF25" s="27">
        <f t="shared" si="17"/>
        <v>0.14249999999999999</v>
      </c>
      <c r="AG25" s="4">
        <f t="shared" si="18"/>
        <v>8.52</v>
      </c>
      <c r="AH25" s="27">
        <f t="shared" si="19"/>
        <v>0.1651</v>
      </c>
    </row>
    <row r="26" spans="1:34" x14ac:dyDescent="0.35">
      <c r="A26" s="8" t="s">
        <v>92</v>
      </c>
      <c r="B26" s="9" t="s">
        <v>93</v>
      </c>
      <c r="C26" s="8" t="s">
        <v>1134</v>
      </c>
      <c r="D26" s="8" t="s">
        <v>1139</v>
      </c>
      <c r="E26" s="8" t="s">
        <v>905</v>
      </c>
      <c r="F26" s="25" t="s">
        <v>918</v>
      </c>
      <c r="G26" s="8" t="s">
        <v>25</v>
      </c>
      <c r="H26" s="8">
        <v>30</v>
      </c>
      <c r="I26" s="8" t="s">
        <v>1163</v>
      </c>
      <c r="J26" s="10">
        <v>24.31</v>
      </c>
      <c r="K26" s="22">
        <v>0.39400000000000002</v>
      </c>
      <c r="L26" s="11">
        <v>17.64</v>
      </c>
      <c r="M26" s="13">
        <v>0.22559999999999999</v>
      </c>
      <c r="N26" s="17">
        <f t="shared" si="7"/>
        <v>13.660416</v>
      </c>
      <c r="O26" s="13">
        <v>0.1075</v>
      </c>
      <c r="P26" s="14">
        <f t="shared" si="8"/>
        <v>12.191921279999999</v>
      </c>
      <c r="Q26" s="14">
        <f t="shared" si="9"/>
        <v>3.2792655103999997</v>
      </c>
      <c r="R26" s="28">
        <f t="shared" si="10"/>
        <v>0.85343448960000001</v>
      </c>
      <c r="S26" s="28">
        <f t="shared" si="11"/>
        <v>2.8455822348307196</v>
      </c>
      <c r="T26" s="28">
        <f t="shared" si="12"/>
        <v>1.3782235103999998</v>
      </c>
      <c r="U26" s="28">
        <f t="shared" si="4"/>
        <v>2.8455822348307196</v>
      </c>
      <c r="V26" s="28">
        <f t="shared" si="5"/>
        <v>0.4336832755692801</v>
      </c>
      <c r="W26" s="28">
        <f t="shared" si="6"/>
        <v>2.1684163778464008E-2</v>
      </c>
      <c r="X26" s="28">
        <f t="shared" si="13"/>
        <v>2.8672663986091838</v>
      </c>
      <c r="Y26" s="14">
        <v>15.058849036116854</v>
      </c>
      <c r="Z26" s="13">
        <v>0.14249999999999999</v>
      </c>
      <c r="AA26" s="14">
        <v>15.665039983809741</v>
      </c>
      <c r="AB26" s="13">
        <f t="shared" si="14"/>
        <v>0.112</v>
      </c>
      <c r="AC26" s="14">
        <v>17.561339983809741</v>
      </c>
      <c r="AD26" s="26">
        <f t="shared" si="15"/>
        <v>0.14249999999999996</v>
      </c>
      <c r="AE26" s="4">
        <f t="shared" si="16"/>
        <v>17.559999999999999</v>
      </c>
      <c r="AF26" s="27">
        <f t="shared" si="17"/>
        <v>0.14249999999999999</v>
      </c>
      <c r="AG26" s="4">
        <f t="shared" si="18"/>
        <v>15.06</v>
      </c>
      <c r="AH26" s="27">
        <f t="shared" si="19"/>
        <v>0.112</v>
      </c>
    </row>
    <row r="27" spans="1:34" x14ac:dyDescent="0.35">
      <c r="A27" s="8" t="s">
        <v>94</v>
      </c>
      <c r="B27" s="9" t="s">
        <v>1223</v>
      </c>
      <c r="C27" s="8" t="s">
        <v>1134</v>
      </c>
      <c r="D27" s="8" t="s">
        <v>1168</v>
      </c>
      <c r="E27" s="8" t="s">
        <v>905</v>
      </c>
      <c r="F27" s="25" t="s">
        <v>919</v>
      </c>
      <c r="G27" s="8" t="s">
        <v>1108</v>
      </c>
      <c r="H27" s="8">
        <v>30</v>
      </c>
      <c r="I27" s="8" t="s">
        <v>1163</v>
      </c>
      <c r="J27" s="10">
        <v>24.7</v>
      </c>
      <c r="K27" s="22">
        <v>0.39400000000000002</v>
      </c>
      <c r="L27" s="11">
        <v>17.920000000000002</v>
      </c>
      <c r="M27" s="13">
        <v>0.65280000000000005</v>
      </c>
      <c r="N27" s="17">
        <f t="shared" si="7"/>
        <v>6.2218239999999998</v>
      </c>
      <c r="O27" s="13">
        <v>0.1075</v>
      </c>
      <c r="P27" s="14">
        <f t="shared" si="8"/>
        <v>5.55297792</v>
      </c>
      <c r="Q27" s="14">
        <f t="shared" si="9"/>
        <v>3.8102915455999997</v>
      </c>
      <c r="R27" s="28">
        <f t="shared" si="10"/>
        <v>0.38870845440000001</v>
      </c>
      <c r="S27" s="28">
        <f t="shared" si="11"/>
        <v>1.29605949355008</v>
      </c>
      <c r="T27" s="28">
        <f t="shared" si="12"/>
        <v>1.8787515455999997</v>
      </c>
      <c r="U27" s="28">
        <f t="shared" si="4"/>
        <v>1.8787515455999997</v>
      </c>
      <c r="V27" s="28">
        <f t="shared" si="5"/>
        <v>1.93154</v>
      </c>
      <c r="W27" s="28">
        <f t="shared" si="6"/>
        <v>9.657700000000001E-2</v>
      </c>
      <c r="X27" s="28">
        <f t="shared" si="13"/>
        <v>1.9753285455999996</v>
      </c>
      <c r="Y27" s="14">
        <v>7.5276877327999996</v>
      </c>
      <c r="Z27" s="13">
        <v>0.14249999999999999</v>
      </c>
      <c r="AA27" s="14">
        <v>6.8522445863556838</v>
      </c>
      <c r="AB27" s="13">
        <f t="shared" si="14"/>
        <v>0.61760000000000004</v>
      </c>
      <c r="AC27" s="14">
        <v>8.7786445863556839</v>
      </c>
      <c r="AD27" s="26">
        <f t="shared" si="15"/>
        <v>0.14249999999999993</v>
      </c>
      <c r="AE27" s="4">
        <f t="shared" si="16"/>
        <v>8.7799999999999994</v>
      </c>
      <c r="AF27" s="27">
        <f t="shared" si="17"/>
        <v>0.14249999999999999</v>
      </c>
      <c r="AG27" s="4">
        <f t="shared" si="18"/>
        <v>7.53</v>
      </c>
      <c r="AH27" s="27">
        <f t="shared" si="19"/>
        <v>0.61760000000000004</v>
      </c>
    </row>
    <row r="28" spans="1:34" x14ac:dyDescent="0.35">
      <c r="A28" s="8" t="s">
        <v>95</v>
      </c>
      <c r="B28" s="9" t="s">
        <v>96</v>
      </c>
      <c r="C28" s="8" t="s">
        <v>1134</v>
      </c>
      <c r="D28" s="8" t="s">
        <v>1168</v>
      </c>
      <c r="E28" s="8" t="s">
        <v>905</v>
      </c>
      <c r="F28" s="25" t="s">
        <v>919</v>
      </c>
      <c r="G28" s="8" t="s">
        <v>1116</v>
      </c>
      <c r="H28" s="8">
        <v>30</v>
      </c>
      <c r="I28" s="8" t="s">
        <v>1163</v>
      </c>
      <c r="J28" s="10">
        <v>78.819999999999993</v>
      </c>
      <c r="K28" s="22">
        <v>0.39400000000000002</v>
      </c>
      <c r="L28" s="11">
        <v>57.18</v>
      </c>
      <c r="M28" s="13">
        <v>0.60450000000000004</v>
      </c>
      <c r="N28" s="17">
        <f t="shared" si="7"/>
        <v>22.61469</v>
      </c>
      <c r="O28" s="13">
        <v>0.1075</v>
      </c>
      <c r="P28" s="14">
        <f t="shared" si="8"/>
        <v>20.183610824999999</v>
      </c>
      <c r="Q28" s="14">
        <f t="shared" si="9"/>
        <v>11.986547242249999</v>
      </c>
      <c r="R28" s="28">
        <f t="shared" si="10"/>
        <v>1.4128527577500001</v>
      </c>
      <c r="S28" s="28">
        <f t="shared" si="11"/>
        <v>4.7108345829441749</v>
      </c>
      <c r="T28" s="28">
        <f t="shared" si="12"/>
        <v>5.8228232422499993</v>
      </c>
      <c r="U28" s="28">
        <f t="shared" si="4"/>
        <v>5.8228232422499993</v>
      </c>
      <c r="V28" s="28">
        <f t="shared" si="5"/>
        <v>6.1637240000000002</v>
      </c>
      <c r="W28" s="28">
        <f t="shared" si="6"/>
        <v>0.30818620000000002</v>
      </c>
      <c r="X28" s="28">
        <f t="shared" si="13"/>
        <v>6.131009442249999</v>
      </c>
      <c r="Y28" s="14">
        <v>26.3126459848</v>
      </c>
      <c r="Z28" s="13">
        <v>0.14249999999999999</v>
      </c>
      <c r="AA28" s="14">
        <v>24.538451439999996</v>
      </c>
      <c r="AB28" s="13">
        <f t="shared" si="14"/>
        <v>0.57089999999999996</v>
      </c>
      <c r="AC28" s="14">
        <v>30.685301439999996</v>
      </c>
      <c r="AD28" s="26">
        <f t="shared" si="15"/>
        <v>0.1424999999999999</v>
      </c>
      <c r="AE28" s="4">
        <f t="shared" si="16"/>
        <v>30.69</v>
      </c>
      <c r="AF28" s="27">
        <f t="shared" si="17"/>
        <v>0.14249999999999999</v>
      </c>
      <c r="AG28" s="4">
        <f t="shared" si="18"/>
        <v>26.31</v>
      </c>
      <c r="AH28" s="27">
        <f t="shared" si="19"/>
        <v>0.57089999999999996</v>
      </c>
    </row>
    <row r="29" spans="1:34" x14ac:dyDescent="0.35">
      <c r="A29" s="8" t="s">
        <v>97</v>
      </c>
      <c r="B29" s="9" t="s">
        <v>98</v>
      </c>
      <c r="C29" s="8" t="s">
        <v>1134</v>
      </c>
      <c r="D29" s="8" t="s">
        <v>1173</v>
      </c>
      <c r="E29" s="8" t="s">
        <v>905</v>
      </c>
      <c r="F29" s="25" t="s">
        <v>920</v>
      </c>
      <c r="G29" s="8" t="s">
        <v>1117</v>
      </c>
      <c r="H29" s="8">
        <v>30</v>
      </c>
      <c r="I29" s="8" t="s">
        <v>1163</v>
      </c>
      <c r="J29" s="10">
        <v>37.119999999999997</v>
      </c>
      <c r="K29" s="22">
        <v>0.39400000000000002</v>
      </c>
      <c r="L29" s="11">
        <v>26.93</v>
      </c>
      <c r="M29" s="13">
        <v>0.5151</v>
      </c>
      <c r="N29" s="17">
        <f t="shared" si="7"/>
        <v>13.058356999999999</v>
      </c>
      <c r="O29" s="13">
        <v>0.1075</v>
      </c>
      <c r="P29" s="14">
        <f t="shared" si="8"/>
        <v>11.654583622499999</v>
      </c>
      <c r="Q29" s="14">
        <f t="shared" si="9"/>
        <v>5.494579146425</v>
      </c>
      <c r="R29" s="28">
        <f t="shared" si="10"/>
        <v>0.815820853575</v>
      </c>
      <c r="S29" s="28">
        <f t="shared" si="11"/>
        <v>2.7201681629078771</v>
      </c>
      <c r="T29" s="28">
        <f t="shared" si="12"/>
        <v>2.5917951464249995</v>
      </c>
      <c r="U29" s="28">
        <f t="shared" si="4"/>
        <v>2.7201681629078771</v>
      </c>
      <c r="V29" s="28">
        <f t="shared" si="5"/>
        <v>2.7744109835171229</v>
      </c>
      <c r="W29" s="28">
        <f t="shared" si="6"/>
        <v>0.13872054917585616</v>
      </c>
      <c r="X29" s="28">
        <f t="shared" si="13"/>
        <v>2.8588887120837332</v>
      </c>
      <c r="Y29" s="14">
        <v>14.513527296224996</v>
      </c>
      <c r="Z29" s="13">
        <v>0.14249999999999999</v>
      </c>
      <c r="AA29" s="14">
        <v>14.030421263819239</v>
      </c>
      <c r="AB29" s="13">
        <f t="shared" si="14"/>
        <v>0.47899999999999998</v>
      </c>
      <c r="AC29" s="14">
        <v>16.925396263819238</v>
      </c>
      <c r="AD29" s="26">
        <f t="shared" si="15"/>
        <v>0.14249999999999999</v>
      </c>
      <c r="AE29" s="4">
        <f t="shared" si="16"/>
        <v>16.93</v>
      </c>
      <c r="AF29" s="27">
        <f t="shared" si="17"/>
        <v>0.14249999999999999</v>
      </c>
      <c r="AG29" s="4">
        <f t="shared" si="18"/>
        <v>14.51</v>
      </c>
      <c r="AH29" s="27">
        <f t="shared" si="19"/>
        <v>0.47899999999999998</v>
      </c>
    </row>
    <row r="30" spans="1:34" x14ac:dyDescent="0.35">
      <c r="A30" s="8" t="s">
        <v>99</v>
      </c>
      <c r="B30" s="9" t="s">
        <v>100</v>
      </c>
      <c r="C30" s="8" t="s">
        <v>1134</v>
      </c>
      <c r="D30" s="8" t="s">
        <v>1173</v>
      </c>
      <c r="E30" s="8" t="s">
        <v>905</v>
      </c>
      <c r="F30" s="25" t="s">
        <v>920</v>
      </c>
      <c r="G30" s="8" t="s">
        <v>14</v>
      </c>
      <c r="H30" s="8">
        <v>20</v>
      </c>
      <c r="I30" s="8" t="s">
        <v>1163</v>
      </c>
      <c r="J30" s="10">
        <v>57.09</v>
      </c>
      <c r="K30" s="22">
        <v>0.39400000000000002</v>
      </c>
      <c r="L30" s="11">
        <v>41.42</v>
      </c>
      <c r="M30" s="13">
        <v>0.52490000000000003</v>
      </c>
      <c r="N30" s="17">
        <f t="shared" si="7"/>
        <v>19.678642</v>
      </c>
      <c r="O30" s="13">
        <v>0.1075</v>
      </c>
      <c r="P30" s="14">
        <f t="shared" si="8"/>
        <v>17.563187984999999</v>
      </c>
      <c r="Q30" s="14">
        <f t="shared" si="9"/>
        <v>8.4758768410500007</v>
      </c>
      <c r="R30" s="28">
        <f t="shared" si="10"/>
        <v>1.22942315895</v>
      </c>
      <c r="S30" s="28">
        <f t="shared" si="11"/>
        <v>4.0992305125110153</v>
      </c>
      <c r="T30" s="28">
        <f t="shared" si="12"/>
        <v>4.0114388410499995</v>
      </c>
      <c r="U30" s="28">
        <f t="shared" si="4"/>
        <v>4.0992305125110153</v>
      </c>
      <c r="V30" s="28">
        <f t="shared" si="5"/>
        <v>4.3766463285389854</v>
      </c>
      <c r="W30" s="28">
        <f t="shared" si="6"/>
        <v>0.21883231642694928</v>
      </c>
      <c r="X30" s="28">
        <f t="shared" si="13"/>
        <v>4.3180628289379648</v>
      </c>
      <c r="Y30" s="14">
        <v>21.882367685750001</v>
      </c>
      <c r="Z30" s="13">
        <v>0.14249999999999999</v>
      </c>
      <c r="AA30" s="14">
        <v>21.066146134985424</v>
      </c>
      <c r="AB30" s="13">
        <f t="shared" si="14"/>
        <v>0.4914</v>
      </c>
      <c r="AC30" s="14">
        <v>25.518796134985422</v>
      </c>
      <c r="AD30" s="26">
        <f t="shared" si="15"/>
        <v>0.14249999999999993</v>
      </c>
      <c r="AE30" s="4">
        <f t="shared" si="16"/>
        <v>25.52</v>
      </c>
      <c r="AF30" s="27">
        <f t="shared" si="17"/>
        <v>0.14249999999999999</v>
      </c>
      <c r="AG30" s="4">
        <f t="shared" si="18"/>
        <v>21.88</v>
      </c>
      <c r="AH30" s="27">
        <f t="shared" si="19"/>
        <v>0.4914</v>
      </c>
    </row>
    <row r="31" spans="1:34" x14ac:dyDescent="0.35">
      <c r="A31" s="8" t="s">
        <v>101</v>
      </c>
      <c r="B31" s="9" t="s">
        <v>102</v>
      </c>
      <c r="C31" s="8" t="s">
        <v>1134</v>
      </c>
      <c r="D31" s="8" t="s">
        <v>1173</v>
      </c>
      <c r="E31" s="8" t="s">
        <v>905</v>
      </c>
      <c r="F31" s="25" t="s">
        <v>920</v>
      </c>
      <c r="G31" s="8" t="s">
        <v>21</v>
      </c>
      <c r="H31" s="8">
        <v>15</v>
      </c>
      <c r="I31" s="8" t="s">
        <v>1163</v>
      </c>
      <c r="J31" s="10">
        <v>33.74</v>
      </c>
      <c r="K31" s="22">
        <v>0.39400000000000002</v>
      </c>
      <c r="L31" s="11">
        <v>24.48</v>
      </c>
      <c r="M31" s="13">
        <v>0.4919</v>
      </c>
      <c r="N31" s="17">
        <f t="shared" si="7"/>
        <v>12.438288</v>
      </c>
      <c r="O31" s="13">
        <v>0.1075</v>
      </c>
      <c r="P31" s="14">
        <f t="shared" si="8"/>
        <v>11.10117204</v>
      </c>
      <c r="Q31" s="14">
        <f t="shared" si="9"/>
        <v>4.9587179572000011</v>
      </c>
      <c r="R31" s="28">
        <f t="shared" si="10"/>
        <v>0.77708204280000004</v>
      </c>
      <c r="S31" s="28">
        <f t="shared" si="11"/>
        <v>2.5910024529639601</v>
      </c>
      <c r="T31" s="28">
        <f t="shared" si="12"/>
        <v>2.3202499571999997</v>
      </c>
      <c r="U31" s="28">
        <f t="shared" si="4"/>
        <v>2.5910024529639601</v>
      </c>
      <c r="V31" s="28">
        <f t="shared" si="5"/>
        <v>2.3677155042360409</v>
      </c>
      <c r="W31" s="28">
        <f t="shared" si="6"/>
        <v>0.11838577521180205</v>
      </c>
      <c r="X31" s="28">
        <f t="shared" si="13"/>
        <v>2.7093882281757624</v>
      </c>
      <c r="Y31" s="14">
        <v>13.8105516164</v>
      </c>
      <c r="Z31" s="13">
        <v>0.14249999999999999</v>
      </c>
      <c r="AA31" s="14">
        <v>13.47399955265306</v>
      </c>
      <c r="AB31" s="13">
        <f t="shared" si="14"/>
        <v>0.4496</v>
      </c>
      <c r="AC31" s="14">
        <v>16.105599552653061</v>
      </c>
      <c r="AD31" s="26">
        <f t="shared" si="15"/>
        <v>0.14249999999999999</v>
      </c>
      <c r="AE31" s="4">
        <f t="shared" si="16"/>
        <v>16.11</v>
      </c>
      <c r="AF31" s="27">
        <f t="shared" si="17"/>
        <v>0.14249999999999999</v>
      </c>
      <c r="AG31" s="4">
        <f t="shared" si="18"/>
        <v>13.81</v>
      </c>
      <c r="AH31" s="27">
        <f t="shared" si="19"/>
        <v>0.4496</v>
      </c>
    </row>
    <row r="32" spans="1:34" x14ac:dyDescent="0.35">
      <c r="A32" s="8" t="s">
        <v>103</v>
      </c>
      <c r="B32" s="9" t="s">
        <v>104</v>
      </c>
      <c r="C32" s="8" t="s">
        <v>1134</v>
      </c>
      <c r="D32" s="8" t="s">
        <v>1173</v>
      </c>
      <c r="E32" s="8" t="s">
        <v>905</v>
      </c>
      <c r="F32" s="25" t="s">
        <v>920</v>
      </c>
      <c r="G32" s="8" t="s">
        <v>21</v>
      </c>
      <c r="H32" s="8">
        <v>30</v>
      </c>
      <c r="I32" s="8" t="s">
        <v>1163</v>
      </c>
      <c r="J32" s="10">
        <v>86.04</v>
      </c>
      <c r="K32" s="22">
        <v>0.39400000000000002</v>
      </c>
      <c r="L32" s="11">
        <v>62.42</v>
      </c>
      <c r="M32" s="13">
        <v>0.52910000000000001</v>
      </c>
      <c r="N32" s="17">
        <f t="shared" si="7"/>
        <v>29.393578000000002</v>
      </c>
      <c r="O32" s="13">
        <v>0.1075</v>
      </c>
      <c r="P32" s="14">
        <f t="shared" si="8"/>
        <v>26.233768365</v>
      </c>
      <c r="Q32" s="14">
        <f t="shared" si="9"/>
        <v>12.790436214450002</v>
      </c>
      <c r="R32" s="28">
        <f t="shared" si="10"/>
        <v>1.8363637855500001</v>
      </c>
      <c r="S32" s="28">
        <f t="shared" si="11"/>
        <v>6.1229353026226345</v>
      </c>
      <c r="T32" s="28">
        <f t="shared" si="12"/>
        <v>6.0621082144499994</v>
      </c>
      <c r="U32" s="28">
        <f t="shared" si="4"/>
        <v>6.1229353026226345</v>
      </c>
      <c r="V32" s="28">
        <f t="shared" si="5"/>
        <v>6.6675009118273678</v>
      </c>
      <c r="W32" s="28">
        <f t="shared" si="6"/>
        <v>0.33337504559136844</v>
      </c>
      <c r="X32" s="28">
        <f t="shared" si="13"/>
        <v>6.4563103482140027</v>
      </c>
      <c r="Y32" s="14">
        <v>32.692309965500002</v>
      </c>
      <c r="Z32" s="13">
        <v>0.14249999999999999</v>
      </c>
      <c r="AA32" s="14">
        <v>31.414992816909621</v>
      </c>
      <c r="AB32" s="13">
        <f t="shared" si="14"/>
        <v>0.49669999999999997</v>
      </c>
      <c r="AC32" s="14">
        <v>38.125142816909623</v>
      </c>
      <c r="AD32" s="26">
        <f t="shared" si="15"/>
        <v>0.14250000000000002</v>
      </c>
      <c r="AE32" s="4">
        <f t="shared" si="16"/>
        <v>38.130000000000003</v>
      </c>
      <c r="AF32" s="27">
        <f t="shared" si="17"/>
        <v>0.14249999999999999</v>
      </c>
      <c r="AG32" s="4">
        <f t="shared" si="18"/>
        <v>32.69</v>
      </c>
      <c r="AH32" s="27">
        <f t="shared" si="19"/>
        <v>0.49669999999999997</v>
      </c>
    </row>
    <row r="33" spans="1:34" x14ac:dyDescent="0.35">
      <c r="A33" s="8" t="s">
        <v>105</v>
      </c>
      <c r="B33" s="9" t="s">
        <v>106</v>
      </c>
      <c r="C33" s="8" t="s">
        <v>1134</v>
      </c>
      <c r="D33" s="8" t="s">
        <v>1173</v>
      </c>
      <c r="E33" s="8" t="s">
        <v>905</v>
      </c>
      <c r="F33" s="25" t="s">
        <v>920</v>
      </c>
      <c r="G33" s="8" t="s">
        <v>21</v>
      </c>
      <c r="H33" s="8">
        <v>21</v>
      </c>
      <c r="I33" s="8" t="s">
        <v>1163</v>
      </c>
      <c r="J33" s="10">
        <v>45.8</v>
      </c>
      <c r="K33" s="22">
        <v>0.39400000000000002</v>
      </c>
      <c r="L33" s="11">
        <v>33.229999999999997</v>
      </c>
      <c r="M33" s="13">
        <v>0.63009999999999999</v>
      </c>
      <c r="N33" s="17">
        <f t="shared" si="7"/>
        <v>12.291777</v>
      </c>
      <c r="O33" s="13">
        <v>0.1075</v>
      </c>
      <c r="P33" s="14">
        <f t="shared" si="8"/>
        <v>10.9704109725</v>
      </c>
      <c r="Q33" s="14">
        <f t="shared" si="9"/>
        <v>7.018071231925</v>
      </c>
      <c r="R33" s="28">
        <f t="shared" si="10"/>
        <v>0.7679287680750001</v>
      </c>
      <c r="S33" s="28">
        <f t="shared" si="11"/>
        <v>2.5604829505705275</v>
      </c>
      <c r="T33" s="28">
        <f t="shared" si="12"/>
        <v>3.4365112319249991</v>
      </c>
      <c r="U33" s="28">
        <f t="shared" si="4"/>
        <v>3.4365112319249991</v>
      </c>
      <c r="V33" s="28">
        <f t="shared" si="5"/>
        <v>3.581560000000001</v>
      </c>
      <c r="W33" s="28">
        <f t="shared" si="6"/>
        <v>0.17907800000000007</v>
      </c>
      <c r="X33" s="28">
        <f t="shared" si="13"/>
        <v>3.6155892319249991</v>
      </c>
      <c r="Y33" s="14">
        <v>14.584852855599999</v>
      </c>
      <c r="Z33" s="13">
        <v>0.14249999999999999</v>
      </c>
      <c r="AA33" s="14">
        <v>13.436349758717199</v>
      </c>
      <c r="AB33" s="13">
        <f t="shared" si="14"/>
        <v>0.59570000000000001</v>
      </c>
      <c r="AC33" s="14">
        <v>17.008574758717199</v>
      </c>
      <c r="AD33" s="26">
        <f t="shared" si="15"/>
        <v>0.1424999999999999</v>
      </c>
      <c r="AE33" s="4">
        <f t="shared" si="16"/>
        <v>17.010000000000002</v>
      </c>
      <c r="AF33" s="27">
        <f t="shared" si="17"/>
        <v>0.14249999999999999</v>
      </c>
      <c r="AG33" s="4">
        <f t="shared" si="18"/>
        <v>14.58</v>
      </c>
      <c r="AH33" s="27">
        <f t="shared" si="19"/>
        <v>0.59570000000000001</v>
      </c>
    </row>
    <row r="34" spans="1:34" x14ac:dyDescent="0.35">
      <c r="A34" s="8" t="s">
        <v>107</v>
      </c>
      <c r="B34" s="9" t="s">
        <v>108</v>
      </c>
      <c r="C34" s="8" t="s">
        <v>1134</v>
      </c>
      <c r="D34" s="8" t="s">
        <v>1173</v>
      </c>
      <c r="E34" s="8" t="s">
        <v>905</v>
      </c>
      <c r="F34" s="25" t="s">
        <v>920</v>
      </c>
      <c r="G34" s="8" t="s">
        <v>21</v>
      </c>
      <c r="H34" s="8">
        <v>30</v>
      </c>
      <c r="I34" s="8" t="s">
        <v>1163</v>
      </c>
      <c r="J34" s="10">
        <v>72.489999999999995</v>
      </c>
      <c r="K34" s="22">
        <v>0.39400000000000002</v>
      </c>
      <c r="L34" s="11">
        <v>52.59</v>
      </c>
      <c r="M34" s="13">
        <v>0.58599999999999997</v>
      </c>
      <c r="N34" s="17">
        <f t="shared" si="7"/>
        <v>21.772260000000003</v>
      </c>
      <c r="O34" s="13">
        <v>0.1075</v>
      </c>
      <c r="P34" s="14">
        <f t="shared" si="8"/>
        <v>19.43174205</v>
      </c>
      <c r="Q34" s="14">
        <f t="shared" si="9"/>
        <v>10.963078056499999</v>
      </c>
      <c r="R34" s="28">
        <f t="shared" si="10"/>
        <v>1.3602219435000003</v>
      </c>
      <c r="S34" s="28">
        <f t="shared" si="11"/>
        <v>4.5353491627279503</v>
      </c>
      <c r="T34" s="28">
        <f t="shared" si="12"/>
        <v>5.2943600564999986</v>
      </c>
      <c r="U34" s="28">
        <f t="shared" si="4"/>
        <v>5.2943600564999986</v>
      </c>
      <c r="V34" s="28">
        <f t="shared" si="5"/>
        <v>5.6687180000000001</v>
      </c>
      <c r="W34" s="28">
        <f t="shared" si="6"/>
        <v>0.28343590000000002</v>
      </c>
      <c r="X34" s="28">
        <f t="shared" si="13"/>
        <v>5.5777959564999984</v>
      </c>
      <c r="Y34" s="14">
        <v>25.007722205274998</v>
      </c>
      <c r="Z34" s="13">
        <v>0.14249999999999999</v>
      </c>
      <c r="AA34" s="14">
        <v>23.51009943763848</v>
      </c>
      <c r="AB34" s="13">
        <f t="shared" si="14"/>
        <v>0.55300000000000005</v>
      </c>
      <c r="AC34" s="14">
        <v>29.163524437638479</v>
      </c>
      <c r="AD34" s="26">
        <f t="shared" si="15"/>
        <v>0.14249999999999993</v>
      </c>
      <c r="AE34" s="4">
        <f t="shared" si="16"/>
        <v>29.16</v>
      </c>
      <c r="AF34" s="27">
        <f t="shared" si="17"/>
        <v>0.14249999999999999</v>
      </c>
      <c r="AG34" s="4">
        <f t="shared" si="18"/>
        <v>25.01</v>
      </c>
      <c r="AH34" s="27">
        <f t="shared" si="19"/>
        <v>0.55300000000000005</v>
      </c>
    </row>
    <row r="35" spans="1:34" x14ac:dyDescent="0.35">
      <c r="A35" s="8" t="s">
        <v>109</v>
      </c>
      <c r="B35" s="9" t="s">
        <v>110</v>
      </c>
      <c r="C35" s="8" t="s">
        <v>1134</v>
      </c>
      <c r="D35" s="8" t="s">
        <v>1173</v>
      </c>
      <c r="E35" s="8" t="s">
        <v>905</v>
      </c>
      <c r="F35" s="25" t="s">
        <v>920</v>
      </c>
      <c r="G35" s="8" t="s">
        <v>1118</v>
      </c>
      <c r="H35" s="8">
        <v>14</v>
      </c>
      <c r="I35" s="8" t="s">
        <v>1163</v>
      </c>
      <c r="J35" s="10">
        <v>86.58</v>
      </c>
      <c r="K35" s="22">
        <v>0.39400000000000002</v>
      </c>
      <c r="L35" s="11">
        <v>62.81</v>
      </c>
      <c r="M35" s="13">
        <v>0.56769999999999998</v>
      </c>
      <c r="N35" s="17">
        <f t="shared" si="7"/>
        <v>27.152763000000004</v>
      </c>
      <c r="O35" s="13">
        <v>0.1075</v>
      </c>
      <c r="P35" s="14">
        <f t="shared" si="8"/>
        <v>24.233840977500002</v>
      </c>
      <c r="Q35" s="14">
        <f t="shared" si="9"/>
        <v>13.022231131574999</v>
      </c>
      <c r="R35" s="28">
        <f t="shared" si="10"/>
        <v>1.6963688684250002</v>
      </c>
      <c r="S35" s="28">
        <f t="shared" si="11"/>
        <v>5.6561542503075231</v>
      </c>
      <c r="T35" s="28">
        <f t="shared" si="12"/>
        <v>6.2516751315750003</v>
      </c>
      <c r="U35" s="28">
        <f t="shared" si="4"/>
        <v>6.2516751315750003</v>
      </c>
      <c r="V35" s="28">
        <f t="shared" si="5"/>
        <v>6.7705559999999991</v>
      </c>
      <c r="W35" s="28">
        <f t="shared" si="6"/>
        <v>0.33852779999999999</v>
      </c>
      <c r="X35" s="28">
        <f t="shared" si="13"/>
        <v>6.5902029315749999</v>
      </c>
      <c r="Y35" s="14">
        <v>30.8218752368</v>
      </c>
      <c r="Z35" s="13">
        <v>0.14249999999999999</v>
      </c>
      <c r="AA35" s="14">
        <v>29.191802827172012</v>
      </c>
      <c r="AB35" s="13">
        <f t="shared" si="14"/>
        <v>0.53520000000000001</v>
      </c>
      <c r="AC35" s="14">
        <v>35.94387782717201</v>
      </c>
      <c r="AD35" s="26">
        <f t="shared" si="15"/>
        <v>0.14249999999999993</v>
      </c>
      <c r="AE35" s="4">
        <f t="shared" si="16"/>
        <v>35.94</v>
      </c>
      <c r="AF35" s="27">
        <f t="shared" si="17"/>
        <v>0.14249999999999999</v>
      </c>
      <c r="AG35" s="4">
        <f t="shared" si="18"/>
        <v>30.82</v>
      </c>
      <c r="AH35" s="27">
        <f t="shared" si="19"/>
        <v>0.53520000000000001</v>
      </c>
    </row>
    <row r="36" spans="1:34" x14ac:dyDescent="0.35">
      <c r="A36" s="8" t="s">
        <v>111</v>
      </c>
      <c r="B36" s="9" t="s">
        <v>112</v>
      </c>
      <c r="C36" s="8" t="s">
        <v>1134</v>
      </c>
      <c r="D36" s="8" t="s">
        <v>1173</v>
      </c>
      <c r="E36" s="8" t="s">
        <v>905</v>
      </c>
      <c r="F36" s="25" t="s">
        <v>921</v>
      </c>
      <c r="G36" s="8" t="s">
        <v>1117</v>
      </c>
      <c r="H36" s="8">
        <v>15</v>
      </c>
      <c r="I36" s="8" t="s">
        <v>1163</v>
      </c>
      <c r="J36" s="10">
        <v>81.64</v>
      </c>
      <c r="K36" s="22">
        <v>0.39400000000000002</v>
      </c>
      <c r="L36" s="11">
        <v>59.23</v>
      </c>
      <c r="M36" s="13">
        <v>0.43190000000000001</v>
      </c>
      <c r="N36" s="17">
        <f t="shared" si="7"/>
        <v>33.648563000000003</v>
      </c>
      <c r="O36" s="13">
        <v>0.1075</v>
      </c>
      <c r="P36" s="14">
        <f t="shared" si="8"/>
        <v>30.031342477500001</v>
      </c>
      <c r="Q36" s="14">
        <f t="shared" si="9"/>
        <v>11.776606026575001</v>
      </c>
      <c r="R36" s="28">
        <f t="shared" si="10"/>
        <v>2.1021939734250004</v>
      </c>
      <c r="S36" s="28">
        <f t="shared" si="11"/>
        <v>7.0092853029060223</v>
      </c>
      <c r="T36" s="28">
        <f t="shared" si="12"/>
        <v>5.3923580265749997</v>
      </c>
      <c r="U36" s="28">
        <f t="shared" si="4"/>
        <v>7.0092853029060223</v>
      </c>
      <c r="V36" s="28">
        <f t="shared" si="5"/>
        <v>4.7673207236689787</v>
      </c>
      <c r="W36" s="28">
        <f t="shared" si="6"/>
        <v>0.23836603618344895</v>
      </c>
      <c r="X36" s="28">
        <f t="shared" si="13"/>
        <v>7.2476513390894715</v>
      </c>
      <c r="Y36" s="14">
        <v>37.277856753391013</v>
      </c>
      <c r="Z36" s="13">
        <v>0.14249999999999999</v>
      </c>
      <c r="AA36" s="14">
        <v>37.105494245937045</v>
      </c>
      <c r="AB36" s="13">
        <f t="shared" si="14"/>
        <v>0.3735</v>
      </c>
      <c r="AC36" s="14">
        <v>43.472719245937043</v>
      </c>
      <c r="AD36" s="26">
        <f t="shared" si="15"/>
        <v>0.14250000000000002</v>
      </c>
      <c r="AE36" s="4">
        <f t="shared" si="16"/>
        <v>43.47</v>
      </c>
      <c r="AF36" s="27">
        <f t="shared" si="17"/>
        <v>0.14249999999999999</v>
      </c>
      <c r="AG36" s="4">
        <f t="shared" si="18"/>
        <v>37.28</v>
      </c>
      <c r="AH36" s="27">
        <f t="shared" si="19"/>
        <v>0.3735</v>
      </c>
    </row>
    <row r="37" spans="1:34" x14ac:dyDescent="0.35">
      <c r="A37" s="8" t="s">
        <v>113</v>
      </c>
      <c r="B37" s="9" t="s">
        <v>114</v>
      </c>
      <c r="C37" s="8" t="s">
        <v>1134</v>
      </c>
      <c r="D37" s="8" t="s">
        <v>1173</v>
      </c>
      <c r="E37" s="8" t="s">
        <v>905</v>
      </c>
      <c r="F37" s="25" t="s">
        <v>921</v>
      </c>
      <c r="G37" s="8" t="s">
        <v>3</v>
      </c>
      <c r="H37" s="8">
        <v>14</v>
      </c>
      <c r="I37" s="8" t="s">
        <v>1163</v>
      </c>
      <c r="J37" s="10">
        <v>110.37</v>
      </c>
      <c r="K37" s="22">
        <v>0.39400000000000002</v>
      </c>
      <c r="L37" s="11">
        <v>80.069999999999993</v>
      </c>
      <c r="M37" s="13">
        <v>0.66720000000000002</v>
      </c>
      <c r="N37" s="17">
        <f t="shared" si="7"/>
        <v>26.647295999999997</v>
      </c>
      <c r="O37" s="13">
        <v>0.1075</v>
      </c>
      <c r="P37" s="14">
        <f t="shared" si="8"/>
        <v>23.782711679999995</v>
      </c>
      <c r="Q37" s="14">
        <f t="shared" si="9"/>
        <v>17.098110182400003</v>
      </c>
      <c r="R37" s="28">
        <f t="shared" si="10"/>
        <v>1.6647898175999998</v>
      </c>
      <c r="S37" s="28">
        <f t="shared" si="11"/>
        <v>5.5508611234003187</v>
      </c>
      <c r="T37" s="28">
        <f t="shared" si="12"/>
        <v>8.4671761823999994</v>
      </c>
      <c r="U37" s="28">
        <f t="shared" si="4"/>
        <v>8.4671761823999994</v>
      </c>
      <c r="V37" s="28">
        <f t="shared" si="5"/>
        <v>8.6309340000000034</v>
      </c>
      <c r="W37" s="28">
        <f t="shared" si="6"/>
        <v>0.43154670000000017</v>
      </c>
      <c r="X37" s="28">
        <f t="shared" si="13"/>
        <v>8.8987228823999995</v>
      </c>
      <c r="Y37" s="14">
        <v>32.678669945474994</v>
      </c>
      <c r="Z37" s="13">
        <v>0.14249999999999999</v>
      </c>
      <c r="AA37" s="14">
        <v>29.501711088017487</v>
      </c>
      <c r="AB37" s="13">
        <f t="shared" si="14"/>
        <v>0.63160000000000005</v>
      </c>
      <c r="AC37" s="14">
        <v>38.109236088017482</v>
      </c>
      <c r="AD37" s="26">
        <f t="shared" si="15"/>
        <v>0.14249999999999993</v>
      </c>
      <c r="AE37" s="4">
        <f t="shared" si="16"/>
        <v>38.11</v>
      </c>
      <c r="AF37" s="27">
        <f t="shared" si="17"/>
        <v>0.14249999999999999</v>
      </c>
      <c r="AG37" s="4">
        <f t="shared" si="18"/>
        <v>32.68</v>
      </c>
      <c r="AH37" s="27">
        <f t="shared" si="19"/>
        <v>0.63160000000000005</v>
      </c>
    </row>
    <row r="38" spans="1:34" x14ac:dyDescent="0.35">
      <c r="A38" s="8" t="s">
        <v>115</v>
      </c>
      <c r="B38" s="9" t="s">
        <v>116</v>
      </c>
      <c r="C38" s="8" t="s">
        <v>1134</v>
      </c>
      <c r="D38" s="8" t="s">
        <v>1173</v>
      </c>
      <c r="E38" s="8" t="s">
        <v>905</v>
      </c>
      <c r="F38" s="25" t="s">
        <v>921</v>
      </c>
      <c r="G38" s="8" t="s">
        <v>21</v>
      </c>
      <c r="H38" s="8">
        <v>12</v>
      </c>
      <c r="I38" s="8" t="s">
        <v>1163</v>
      </c>
      <c r="J38" s="10">
        <v>117.01</v>
      </c>
      <c r="K38" s="22">
        <v>0.39400000000000002</v>
      </c>
      <c r="L38" s="11">
        <v>84.89</v>
      </c>
      <c r="M38" s="13">
        <v>0.5484</v>
      </c>
      <c r="N38" s="17">
        <f t="shared" si="7"/>
        <v>38.336323999999998</v>
      </c>
      <c r="O38" s="13">
        <v>0.1075</v>
      </c>
      <c r="P38" s="14">
        <f t="shared" si="8"/>
        <v>34.215169169999996</v>
      </c>
      <c r="Q38" s="14">
        <f t="shared" si="9"/>
        <v>17.496638158100005</v>
      </c>
      <c r="R38" s="28">
        <f t="shared" si="10"/>
        <v>2.3950618419</v>
      </c>
      <c r="S38" s="28">
        <f t="shared" si="11"/>
        <v>7.9857862691088268</v>
      </c>
      <c r="T38" s="28">
        <f t="shared" si="12"/>
        <v>8.3464561581000005</v>
      </c>
      <c r="U38" s="28">
        <f t="shared" si="4"/>
        <v>8.3464561581000005</v>
      </c>
      <c r="V38" s="28">
        <f t="shared" si="5"/>
        <v>9.1501820000000045</v>
      </c>
      <c r="W38" s="28">
        <f t="shared" si="6"/>
        <v>0.45750910000000022</v>
      </c>
      <c r="X38" s="28">
        <f t="shared" si="13"/>
        <v>8.8039652580999999</v>
      </c>
      <c r="Y38" s="14">
        <v>43.016203388625001</v>
      </c>
      <c r="Z38" s="13">
        <v>0.14249999999999999</v>
      </c>
      <c r="AA38" s="14">
        <v>41.038993674781338</v>
      </c>
      <c r="AB38" s="13">
        <f t="shared" si="14"/>
        <v>0.51659999999999995</v>
      </c>
      <c r="AC38" s="14">
        <v>50.164668674781339</v>
      </c>
      <c r="AD38" s="26">
        <f t="shared" si="15"/>
        <v>0.14249999999999993</v>
      </c>
      <c r="AE38" s="4">
        <f t="shared" si="16"/>
        <v>50.16</v>
      </c>
      <c r="AF38" s="27">
        <f t="shared" si="17"/>
        <v>0.14249999999999999</v>
      </c>
      <c r="AG38" s="4">
        <f t="shared" si="18"/>
        <v>43.02</v>
      </c>
      <c r="AH38" s="27">
        <f t="shared" si="19"/>
        <v>0.51659999999999995</v>
      </c>
    </row>
    <row r="39" spans="1:34" x14ac:dyDescent="0.35">
      <c r="A39" s="8" t="s">
        <v>117</v>
      </c>
      <c r="B39" s="9" t="s">
        <v>118</v>
      </c>
      <c r="C39" s="8" t="s">
        <v>1134</v>
      </c>
      <c r="D39" s="8" t="s">
        <v>1173</v>
      </c>
      <c r="E39" s="8" t="s">
        <v>905</v>
      </c>
      <c r="F39" s="25" t="s">
        <v>921</v>
      </c>
      <c r="G39" s="8" t="s">
        <v>21</v>
      </c>
      <c r="H39" s="8">
        <v>18</v>
      </c>
      <c r="I39" s="8" t="s">
        <v>1163</v>
      </c>
      <c r="J39" s="10">
        <v>175.07</v>
      </c>
      <c r="K39" s="22">
        <v>0.39400000000000002</v>
      </c>
      <c r="L39" s="11">
        <v>127.01</v>
      </c>
      <c r="M39" s="13">
        <v>0.54849999999999999</v>
      </c>
      <c r="N39" s="17">
        <f t="shared" si="7"/>
        <v>57.345015000000004</v>
      </c>
      <c r="O39" s="13">
        <v>0.1075</v>
      </c>
      <c r="P39" s="14">
        <f t="shared" si="8"/>
        <v>51.1804258875</v>
      </c>
      <c r="Q39" s="14">
        <f t="shared" si="9"/>
        <v>26.179270187875002</v>
      </c>
      <c r="R39" s="28">
        <f t="shared" si="10"/>
        <v>3.5826298121250004</v>
      </c>
      <c r="S39" s="28">
        <f t="shared" si="11"/>
        <v>11.945460221716612</v>
      </c>
      <c r="T39" s="28">
        <f t="shared" si="12"/>
        <v>12.488796187874998</v>
      </c>
      <c r="U39" s="28">
        <f t="shared" si="4"/>
        <v>12.488796187874998</v>
      </c>
      <c r="V39" s="28">
        <f t="shared" si="5"/>
        <v>13.690474000000004</v>
      </c>
      <c r="W39" s="28">
        <f t="shared" si="6"/>
        <v>0.68452370000000018</v>
      </c>
      <c r="X39" s="28">
        <f t="shared" si="13"/>
        <v>13.173319887874998</v>
      </c>
      <c r="Y39" s="14">
        <v>64.349360437599998</v>
      </c>
      <c r="Z39" s="13">
        <v>0.14249999999999999</v>
      </c>
      <c r="AA39" s="14">
        <v>61.389410933061221</v>
      </c>
      <c r="AB39" s="13">
        <f t="shared" si="14"/>
        <v>0.51670000000000005</v>
      </c>
      <c r="AC39" s="14">
        <v>75.042985933061217</v>
      </c>
      <c r="AD39" s="26">
        <f t="shared" si="15"/>
        <v>0.14249999999999996</v>
      </c>
      <c r="AE39" s="4">
        <f t="shared" si="16"/>
        <v>75.040000000000006</v>
      </c>
      <c r="AF39" s="27">
        <f t="shared" si="17"/>
        <v>0.14249999999999999</v>
      </c>
      <c r="AG39" s="4">
        <f t="shared" si="18"/>
        <v>64.349999999999994</v>
      </c>
      <c r="AH39" s="27">
        <f t="shared" si="19"/>
        <v>0.51670000000000005</v>
      </c>
    </row>
    <row r="40" spans="1:34" x14ac:dyDescent="0.35">
      <c r="A40" s="8" t="s">
        <v>119</v>
      </c>
      <c r="B40" s="9" t="s">
        <v>120</v>
      </c>
      <c r="C40" s="8" t="s">
        <v>1134</v>
      </c>
      <c r="D40" s="8" t="s">
        <v>1173</v>
      </c>
      <c r="E40" s="8" t="s">
        <v>905</v>
      </c>
      <c r="F40" s="25" t="s">
        <v>921</v>
      </c>
      <c r="G40" s="8" t="s">
        <v>1118</v>
      </c>
      <c r="H40" s="8">
        <v>12</v>
      </c>
      <c r="I40" s="8" t="s">
        <v>1163</v>
      </c>
      <c r="J40" s="10">
        <v>191.14</v>
      </c>
      <c r="K40" s="22">
        <v>0.39400000000000002</v>
      </c>
      <c r="L40" s="11">
        <v>138.66999999999999</v>
      </c>
      <c r="M40" s="13">
        <v>0.7087</v>
      </c>
      <c r="N40" s="17">
        <f t="shared" si="7"/>
        <v>40.394570999999999</v>
      </c>
      <c r="O40" s="13">
        <v>0.1075</v>
      </c>
      <c r="P40" s="14">
        <f t="shared" si="8"/>
        <v>36.052154617499994</v>
      </c>
      <c r="Q40" s="14">
        <f t="shared" si="9"/>
        <v>29.970149176774999</v>
      </c>
      <c r="R40" s="28">
        <f t="shared" si="10"/>
        <v>2.5236508232249997</v>
      </c>
      <c r="S40" s="28">
        <f t="shared" si="11"/>
        <v>8.4145368355698817</v>
      </c>
      <c r="T40" s="28">
        <f t="shared" si="12"/>
        <v>15.023001176774999</v>
      </c>
      <c r="U40" s="28">
        <f t="shared" si="4"/>
        <v>15.023001176774999</v>
      </c>
      <c r="V40" s="28">
        <f t="shared" si="5"/>
        <v>14.947148</v>
      </c>
      <c r="W40" s="28">
        <f t="shared" si="6"/>
        <v>0.74735740000000006</v>
      </c>
      <c r="X40" s="28">
        <f t="shared" si="13"/>
        <v>15.770358576774999</v>
      </c>
      <c r="Y40" s="14">
        <v>51.817725265849994</v>
      </c>
      <c r="Z40" s="13">
        <v>0.14249999999999999</v>
      </c>
      <c r="AA40" s="14">
        <v>45.521809129271134</v>
      </c>
      <c r="AB40" s="13">
        <f t="shared" si="14"/>
        <v>0.67169999999999996</v>
      </c>
      <c r="AC40" s="14">
        <v>60.428834129271131</v>
      </c>
      <c r="AD40" s="26">
        <f t="shared" si="15"/>
        <v>0.14250000000000002</v>
      </c>
      <c r="AE40" s="4">
        <f t="shared" si="16"/>
        <v>60.43</v>
      </c>
      <c r="AF40" s="27">
        <f t="shared" si="17"/>
        <v>0.14249999999999999</v>
      </c>
      <c r="AG40" s="4">
        <f t="shared" si="18"/>
        <v>51.82</v>
      </c>
      <c r="AH40" s="27">
        <f t="shared" si="19"/>
        <v>0.67169999999999996</v>
      </c>
    </row>
    <row r="41" spans="1:34" x14ac:dyDescent="0.35">
      <c r="A41" s="8" t="s">
        <v>121</v>
      </c>
      <c r="B41" s="9" t="s">
        <v>122</v>
      </c>
      <c r="C41" s="8" t="s">
        <v>1134</v>
      </c>
      <c r="D41" s="8" t="s">
        <v>1173</v>
      </c>
      <c r="E41" s="8" t="s">
        <v>905</v>
      </c>
      <c r="F41" s="25" t="s">
        <v>921</v>
      </c>
      <c r="G41" s="8" t="s">
        <v>1118</v>
      </c>
      <c r="H41" s="8">
        <v>14</v>
      </c>
      <c r="I41" s="8" t="s">
        <v>1163</v>
      </c>
      <c r="J41" s="10">
        <v>210.1</v>
      </c>
      <c r="K41" s="22">
        <v>0.39400000000000002</v>
      </c>
      <c r="L41" s="11">
        <v>152.41999999999999</v>
      </c>
      <c r="M41" s="13">
        <v>0.63560000000000005</v>
      </c>
      <c r="N41" s="17">
        <f t="shared" si="7"/>
        <v>55.541847999999987</v>
      </c>
      <c r="O41" s="13">
        <v>0.1075</v>
      </c>
      <c r="P41" s="14">
        <f t="shared" si="8"/>
        <v>49.571099339999989</v>
      </c>
      <c r="Q41" s="14">
        <f t="shared" si="9"/>
        <v>32.247023046199999</v>
      </c>
      <c r="R41" s="28">
        <f t="shared" si="10"/>
        <v>3.4699769537999994</v>
      </c>
      <c r="S41" s="28">
        <f t="shared" si="11"/>
        <v>11.569845014856657</v>
      </c>
      <c r="T41" s="28">
        <f t="shared" si="12"/>
        <v>15.8172030462</v>
      </c>
      <c r="U41" s="28">
        <f t="shared" si="4"/>
        <v>15.8172030462</v>
      </c>
      <c r="V41" s="28">
        <f t="shared" si="5"/>
        <v>16.429819999999999</v>
      </c>
      <c r="W41" s="28">
        <f t="shared" si="6"/>
        <v>0.82149099999999997</v>
      </c>
      <c r="X41" s="28">
        <f t="shared" si="13"/>
        <v>16.638694046200001</v>
      </c>
      <c r="Y41" s="14">
        <v>66.204530704649997</v>
      </c>
      <c r="Z41" s="13">
        <v>0.14249999999999999</v>
      </c>
      <c r="AA41" s="14">
        <v>60.821299801341091</v>
      </c>
      <c r="AB41" s="13">
        <f t="shared" si="14"/>
        <v>0.60099999999999998</v>
      </c>
      <c r="AC41" s="14">
        <v>77.206449801341094</v>
      </c>
      <c r="AD41" s="26">
        <f t="shared" si="15"/>
        <v>0.14249999999999988</v>
      </c>
      <c r="AE41" s="4">
        <f t="shared" si="16"/>
        <v>77.209999999999994</v>
      </c>
      <c r="AF41" s="27">
        <f t="shared" si="17"/>
        <v>0.14249999999999999</v>
      </c>
      <c r="AG41" s="4">
        <f t="shared" si="18"/>
        <v>66.2</v>
      </c>
      <c r="AH41" s="27">
        <f t="shared" si="19"/>
        <v>0.60099999999999998</v>
      </c>
    </row>
    <row r="42" spans="1:34" x14ac:dyDescent="0.35">
      <c r="A42" s="8" t="s">
        <v>123</v>
      </c>
      <c r="B42" s="9" t="s">
        <v>124</v>
      </c>
      <c r="C42" s="8" t="s">
        <v>1134</v>
      </c>
      <c r="D42" s="8" t="s">
        <v>1173</v>
      </c>
      <c r="E42" s="8" t="s">
        <v>905</v>
      </c>
      <c r="F42" s="25" t="s">
        <v>921</v>
      </c>
      <c r="G42" s="8" t="s">
        <v>1118</v>
      </c>
      <c r="H42" s="8">
        <v>20</v>
      </c>
      <c r="I42" s="8" t="s">
        <v>1163</v>
      </c>
      <c r="J42" s="10">
        <v>142.25</v>
      </c>
      <c r="K42" s="22">
        <v>0.39400000000000002</v>
      </c>
      <c r="L42" s="11">
        <v>103.2</v>
      </c>
      <c r="M42" s="13">
        <v>0.40079999999999999</v>
      </c>
      <c r="N42" s="17">
        <f t="shared" si="7"/>
        <v>61.837439999999994</v>
      </c>
      <c r="O42" s="13">
        <v>0.1075</v>
      </c>
      <c r="P42" s="14">
        <f t="shared" si="8"/>
        <v>55.189915199999994</v>
      </c>
      <c r="Q42" s="14">
        <f t="shared" si="9"/>
        <v>20.319205935999999</v>
      </c>
      <c r="R42" s="28">
        <f t="shared" si="10"/>
        <v>3.8632940640000002</v>
      </c>
      <c r="S42" s="28">
        <f t="shared" si="11"/>
        <v>12.881271017764798</v>
      </c>
      <c r="T42" s="28">
        <f t="shared" si="12"/>
        <v>9.1952559359999988</v>
      </c>
      <c r="U42" s="28">
        <f t="shared" si="4"/>
        <v>12.881271017764798</v>
      </c>
      <c r="V42" s="28">
        <f t="shared" si="5"/>
        <v>7.4379349182352019</v>
      </c>
      <c r="W42" s="28">
        <f t="shared" si="6"/>
        <v>0.37189674591176014</v>
      </c>
      <c r="X42" s="28">
        <f t="shared" si="13"/>
        <v>13.253167763676558</v>
      </c>
      <c r="Y42" s="14">
        <v>68.441101789911912</v>
      </c>
      <c r="Z42" s="13">
        <v>0.14249999999999999</v>
      </c>
      <c r="AA42" s="14">
        <v>68.720695964911855</v>
      </c>
      <c r="AB42" s="13">
        <f t="shared" si="14"/>
        <v>0.33410000000000001</v>
      </c>
      <c r="AC42" s="14">
        <v>79.814695964911849</v>
      </c>
      <c r="AD42" s="26">
        <f t="shared" si="15"/>
        <v>0.14249999999999999</v>
      </c>
      <c r="AE42" s="4">
        <f t="shared" si="16"/>
        <v>79.81</v>
      </c>
      <c r="AF42" s="27">
        <f t="shared" si="17"/>
        <v>0.14249999999999999</v>
      </c>
      <c r="AG42" s="4">
        <f t="shared" si="18"/>
        <v>68.44</v>
      </c>
      <c r="AH42" s="27">
        <f t="shared" si="19"/>
        <v>0.33410000000000001</v>
      </c>
    </row>
    <row r="43" spans="1:34" x14ac:dyDescent="0.35">
      <c r="A43" s="8" t="s">
        <v>125</v>
      </c>
      <c r="B43" s="9" t="s">
        <v>126</v>
      </c>
      <c r="C43" s="8" t="s">
        <v>1134</v>
      </c>
      <c r="D43" s="8" t="s">
        <v>1139</v>
      </c>
      <c r="E43" s="8" t="s">
        <v>905</v>
      </c>
      <c r="F43" s="25" t="s">
        <v>922</v>
      </c>
      <c r="G43" s="8" t="s">
        <v>1112</v>
      </c>
      <c r="H43" s="8">
        <v>30</v>
      </c>
      <c r="I43" s="8" t="s">
        <v>1163</v>
      </c>
      <c r="J43" s="10">
        <v>1050.43</v>
      </c>
      <c r="K43" s="22">
        <v>0.39400000000000002</v>
      </c>
      <c r="L43" s="11">
        <v>762.07</v>
      </c>
      <c r="M43" s="13">
        <v>0.85340000000000005</v>
      </c>
      <c r="N43" s="17">
        <f t="shared" si="7"/>
        <v>111.71946199999996</v>
      </c>
      <c r="O43" s="13">
        <v>0.1075</v>
      </c>
      <c r="P43" s="14">
        <f t="shared" si="8"/>
        <v>99.70961983499997</v>
      </c>
      <c r="Q43" s="14">
        <f t="shared" si="9"/>
        <v>171.59342661155</v>
      </c>
      <c r="R43" s="28">
        <f t="shared" si="10"/>
        <v>6.9796733884499984</v>
      </c>
      <c r="S43" s="28">
        <f t="shared" si="11"/>
        <v>23.27212555986916</v>
      </c>
      <c r="T43" s="28">
        <f t="shared" si="12"/>
        <v>89.449800611550003</v>
      </c>
      <c r="U43" s="28">
        <f t="shared" si="4"/>
        <v>89.449800611550003</v>
      </c>
      <c r="V43" s="28">
        <f t="shared" si="5"/>
        <v>82.143625999999998</v>
      </c>
      <c r="W43" s="28">
        <f t="shared" si="6"/>
        <v>4.1071812999999997</v>
      </c>
      <c r="X43" s="28">
        <f t="shared" si="13"/>
        <v>93.556981911549997</v>
      </c>
      <c r="Y43" s="14">
        <v>193.24028937462501</v>
      </c>
      <c r="Z43" s="13">
        <v>0.14249999999999999</v>
      </c>
      <c r="AA43" s="14">
        <v>143.43058214241981</v>
      </c>
      <c r="AB43" s="13">
        <f t="shared" si="14"/>
        <v>0.81179999999999997</v>
      </c>
      <c r="AC43" s="14">
        <v>225.35310714241982</v>
      </c>
      <c r="AD43" s="26">
        <f t="shared" si="15"/>
        <v>0.14249999999999993</v>
      </c>
      <c r="AE43" s="4">
        <f t="shared" si="16"/>
        <v>225.35</v>
      </c>
      <c r="AF43" s="27">
        <f t="shared" si="17"/>
        <v>0.14249999999999999</v>
      </c>
      <c r="AG43" s="4">
        <f t="shared" si="18"/>
        <v>193.24</v>
      </c>
      <c r="AH43" s="27">
        <f t="shared" si="19"/>
        <v>0.81179999999999997</v>
      </c>
    </row>
    <row r="44" spans="1:34" x14ac:dyDescent="0.35">
      <c r="A44" s="8" t="s">
        <v>127</v>
      </c>
      <c r="B44" s="9" t="s">
        <v>128</v>
      </c>
      <c r="C44" s="8" t="s">
        <v>1134</v>
      </c>
      <c r="D44" s="8" t="s">
        <v>1139</v>
      </c>
      <c r="E44" s="8" t="s">
        <v>905</v>
      </c>
      <c r="F44" s="25" t="s">
        <v>923</v>
      </c>
      <c r="G44" s="8" t="s">
        <v>16</v>
      </c>
      <c r="H44" s="8">
        <v>30</v>
      </c>
      <c r="I44" s="8" t="s">
        <v>1163</v>
      </c>
      <c r="J44" s="10">
        <v>68.66</v>
      </c>
      <c r="K44" s="22">
        <v>0.39400000000000002</v>
      </c>
      <c r="L44" s="11">
        <v>49.81</v>
      </c>
      <c r="M44" s="13">
        <v>0.80889999999999995</v>
      </c>
      <c r="N44" s="17">
        <f t="shared" si="7"/>
        <v>9.5186910000000022</v>
      </c>
      <c r="O44" s="13">
        <v>0.1075</v>
      </c>
      <c r="P44" s="14">
        <f t="shared" si="8"/>
        <v>8.4954317175000025</v>
      </c>
      <c r="Q44" s="14">
        <f t="shared" si="9"/>
        <v>11.077519779775001</v>
      </c>
      <c r="R44" s="28">
        <f t="shared" si="10"/>
        <v>0.59468022022500022</v>
      </c>
      <c r="S44" s="28">
        <f t="shared" si="11"/>
        <v>1.9828252674327826</v>
      </c>
      <c r="T44" s="28">
        <f t="shared" si="12"/>
        <v>5.7083077797749988</v>
      </c>
      <c r="U44" s="28">
        <f t="shared" si="4"/>
        <v>5.7083077797749988</v>
      </c>
      <c r="V44" s="28">
        <f t="shared" si="5"/>
        <v>5.3692120000000019</v>
      </c>
      <c r="W44" s="28">
        <f t="shared" si="6"/>
        <v>0.2684606000000001</v>
      </c>
      <c r="X44" s="28">
        <f t="shared" si="13"/>
        <v>5.9767683797749989</v>
      </c>
      <c r="Y44" s="14">
        <v>14.470480282499999</v>
      </c>
      <c r="Z44" s="13">
        <v>0.14249999999999999</v>
      </c>
      <c r="AA44" s="14">
        <v>11.52062066472303</v>
      </c>
      <c r="AB44" s="13">
        <f t="shared" si="14"/>
        <v>0.76870000000000005</v>
      </c>
      <c r="AC44" s="14">
        <v>16.87519566472303</v>
      </c>
      <c r="AD44" s="26">
        <f t="shared" si="15"/>
        <v>0.14249999999999999</v>
      </c>
      <c r="AE44" s="4">
        <f t="shared" si="16"/>
        <v>16.88</v>
      </c>
      <c r="AF44" s="27">
        <f t="shared" si="17"/>
        <v>0.14249999999999999</v>
      </c>
      <c r="AG44" s="4">
        <f t="shared" si="18"/>
        <v>14.47</v>
      </c>
      <c r="AH44" s="27">
        <f t="shared" si="19"/>
        <v>0.76870000000000005</v>
      </c>
    </row>
    <row r="45" spans="1:34" x14ac:dyDescent="0.35">
      <c r="A45" s="8" t="s">
        <v>129</v>
      </c>
      <c r="B45" s="9" t="s">
        <v>130</v>
      </c>
      <c r="C45" s="8" t="s">
        <v>1134</v>
      </c>
      <c r="D45" s="8" t="s">
        <v>1139</v>
      </c>
      <c r="E45" s="8" t="s">
        <v>905</v>
      </c>
      <c r="F45" s="25" t="s">
        <v>923</v>
      </c>
      <c r="G45" s="8" t="s">
        <v>25</v>
      </c>
      <c r="H45" s="8">
        <v>30</v>
      </c>
      <c r="I45" s="8" t="s">
        <v>1163</v>
      </c>
      <c r="J45" s="10">
        <v>36.6</v>
      </c>
      <c r="K45" s="22">
        <v>0.39400000000000002</v>
      </c>
      <c r="L45" s="11">
        <v>26.55</v>
      </c>
      <c r="M45" s="13">
        <v>0.77280000000000004</v>
      </c>
      <c r="N45" s="17">
        <f t="shared" si="7"/>
        <v>6.0321599999999993</v>
      </c>
      <c r="O45" s="13">
        <v>0.1075</v>
      </c>
      <c r="P45" s="14">
        <f t="shared" si="8"/>
        <v>5.3837027999999991</v>
      </c>
      <c r="Q45" s="14">
        <f t="shared" si="9"/>
        <v>5.8451408040000006</v>
      </c>
      <c r="R45" s="28">
        <f t="shared" si="10"/>
        <v>0.37685919599999995</v>
      </c>
      <c r="S45" s="28">
        <f t="shared" si="11"/>
        <v>1.2565508498172</v>
      </c>
      <c r="T45" s="28">
        <f t="shared" si="12"/>
        <v>2.9830208040000001</v>
      </c>
      <c r="U45" s="28">
        <f t="shared" si="4"/>
        <v>2.9830208040000001</v>
      </c>
      <c r="V45" s="28">
        <f t="shared" si="5"/>
        <v>2.8621200000000004</v>
      </c>
      <c r="W45" s="28">
        <f t="shared" si="6"/>
        <v>0.14310600000000004</v>
      </c>
      <c r="X45" s="28">
        <f t="shared" si="13"/>
        <v>3.1261268040000001</v>
      </c>
      <c r="Y45" s="14">
        <v>8.5089128988749998</v>
      </c>
      <c r="Z45" s="13">
        <v>0.14249999999999999</v>
      </c>
      <c r="AA45" s="14">
        <v>7.0688054943148675</v>
      </c>
      <c r="AB45" s="13">
        <f t="shared" si="14"/>
        <v>0.73380000000000001</v>
      </c>
      <c r="AC45" s="14">
        <v>9.9229304943148673</v>
      </c>
      <c r="AD45" s="26">
        <f t="shared" si="15"/>
        <v>0.14249999999999988</v>
      </c>
      <c r="AE45" s="4">
        <f t="shared" si="16"/>
        <v>9.92</v>
      </c>
      <c r="AF45" s="27">
        <f t="shared" si="17"/>
        <v>0.14249999999999999</v>
      </c>
      <c r="AG45" s="4">
        <f t="shared" si="18"/>
        <v>8.51</v>
      </c>
      <c r="AH45" s="27">
        <f t="shared" si="19"/>
        <v>0.73380000000000001</v>
      </c>
    </row>
    <row r="46" spans="1:34" x14ac:dyDescent="0.35">
      <c r="A46" s="8" t="s">
        <v>131</v>
      </c>
      <c r="B46" s="9" t="s">
        <v>132</v>
      </c>
      <c r="C46" s="8" t="s">
        <v>1134</v>
      </c>
      <c r="D46" s="8" t="s">
        <v>1149</v>
      </c>
      <c r="E46" s="8" t="s">
        <v>905</v>
      </c>
      <c r="F46" s="25" t="s">
        <v>924</v>
      </c>
      <c r="G46" s="8" t="s">
        <v>23</v>
      </c>
      <c r="H46" s="8">
        <v>30</v>
      </c>
      <c r="I46" s="8" t="s">
        <v>1163</v>
      </c>
      <c r="J46" s="10">
        <v>60.19</v>
      </c>
      <c r="K46" s="22">
        <v>0.39400000000000002</v>
      </c>
      <c r="L46" s="11">
        <v>43.67</v>
      </c>
      <c r="M46" s="13">
        <v>0.24049999999999999</v>
      </c>
      <c r="N46" s="17">
        <f t="shared" si="7"/>
        <v>33.167365000000004</v>
      </c>
      <c r="O46" s="13">
        <v>0.1075</v>
      </c>
      <c r="P46" s="14">
        <f t="shared" si="8"/>
        <v>29.601873262500003</v>
      </c>
      <c r="Q46" s="14">
        <f t="shared" si="9"/>
        <v>8.1601688716250003</v>
      </c>
      <c r="R46" s="28">
        <f t="shared" si="10"/>
        <v>2.0721311283750006</v>
      </c>
      <c r="S46" s="28">
        <f t="shared" si="11"/>
        <v>6.9090476175942399</v>
      </c>
      <c r="T46" s="28">
        <f t="shared" si="12"/>
        <v>3.4533108716249985</v>
      </c>
      <c r="U46" s="28">
        <f t="shared" si="4"/>
        <v>6.9090476175942399</v>
      </c>
      <c r="V46" s="28">
        <f t="shared" si="5"/>
        <v>1.2511212540307604</v>
      </c>
      <c r="W46" s="28">
        <f t="shared" si="6"/>
        <v>6.2556062701538018E-2</v>
      </c>
      <c r="X46" s="28">
        <f t="shared" si="13"/>
        <v>6.9716036802957779</v>
      </c>
      <c r="Y46" s="14">
        <v>36.572638591455643</v>
      </c>
      <c r="Z46" s="13">
        <v>0.14249999999999999</v>
      </c>
      <c r="AA46" s="14">
        <v>37.955782395283549</v>
      </c>
      <c r="AB46" s="13">
        <f t="shared" si="14"/>
        <v>0.1308</v>
      </c>
      <c r="AC46" s="14">
        <v>42.650307395283548</v>
      </c>
      <c r="AD46" s="26">
        <f t="shared" si="15"/>
        <v>0.14249999999999999</v>
      </c>
      <c r="AE46" s="4">
        <f t="shared" si="16"/>
        <v>42.65</v>
      </c>
      <c r="AF46" s="27">
        <f t="shared" si="17"/>
        <v>0.14249999999999999</v>
      </c>
      <c r="AG46" s="4">
        <f t="shared" si="18"/>
        <v>36.57</v>
      </c>
      <c r="AH46" s="27">
        <f t="shared" si="19"/>
        <v>0.1308</v>
      </c>
    </row>
    <row r="47" spans="1:34" x14ac:dyDescent="0.35">
      <c r="A47" s="8" t="s">
        <v>133</v>
      </c>
      <c r="B47" s="9" t="s">
        <v>134</v>
      </c>
      <c r="C47" s="8" t="s">
        <v>1134</v>
      </c>
      <c r="D47" s="8" t="s">
        <v>1149</v>
      </c>
      <c r="E47" s="8" t="s">
        <v>905</v>
      </c>
      <c r="F47" s="25" t="s">
        <v>924</v>
      </c>
      <c r="G47" s="8" t="s">
        <v>19</v>
      </c>
      <c r="H47" s="8">
        <v>30</v>
      </c>
      <c r="I47" s="8" t="s">
        <v>1163</v>
      </c>
      <c r="J47" s="10">
        <v>68.08</v>
      </c>
      <c r="K47" s="22">
        <v>0.39400000000000002</v>
      </c>
      <c r="L47" s="11">
        <v>49.39</v>
      </c>
      <c r="M47" s="13">
        <v>0.35420000000000001</v>
      </c>
      <c r="N47" s="17">
        <f t="shared" si="7"/>
        <v>31.896061999999997</v>
      </c>
      <c r="O47" s="13">
        <v>0.1075</v>
      </c>
      <c r="P47" s="14">
        <f t="shared" si="8"/>
        <v>28.467235334999994</v>
      </c>
      <c r="Q47" s="14">
        <f t="shared" si="9"/>
        <v>9.5808935265500015</v>
      </c>
      <c r="R47" s="28">
        <f t="shared" si="10"/>
        <v>1.9927064734499997</v>
      </c>
      <c r="S47" s="28">
        <f t="shared" si="11"/>
        <v>6.6442242599536634</v>
      </c>
      <c r="T47" s="28">
        <f t="shared" si="12"/>
        <v>4.2570375265500005</v>
      </c>
      <c r="U47" s="28">
        <f t="shared" si="4"/>
        <v>6.6442242599536634</v>
      </c>
      <c r="V47" s="28">
        <f t="shared" si="5"/>
        <v>2.9366692665963381</v>
      </c>
      <c r="W47" s="28">
        <f t="shared" si="6"/>
        <v>0.14683346332981692</v>
      </c>
      <c r="X47" s="28">
        <f t="shared" si="13"/>
        <v>6.7910577232834806</v>
      </c>
      <c r="Y47" s="14">
        <v>35.257344897699802</v>
      </c>
      <c r="Z47" s="13">
        <v>0.14249999999999999</v>
      </c>
      <c r="AA47" s="14">
        <v>35.807012198483733</v>
      </c>
      <c r="AB47" s="13">
        <f t="shared" si="14"/>
        <v>0.27500000000000002</v>
      </c>
      <c r="AC47" s="14">
        <v>41.11643719848373</v>
      </c>
      <c r="AD47" s="26">
        <f t="shared" si="15"/>
        <v>0.1424999999999999</v>
      </c>
      <c r="AE47" s="4">
        <f t="shared" si="16"/>
        <v>41.12</v>
      </c>
      <c r="AF47" s="27">
        <f t="shared" si="17"/>
        <v>0.14249999999999999</v>
      </c>
      <c r="AG47" s="4">
        <f t="shared" si="18"/>
        <v>35.26</v>
      </c>
      <c r="AH47" s="27">
        <f t="shared" si="19"/>
        <v>0.27500000000000002</v>
      </c>
    </row>
    <row r="48" spans="1:34" x14ac:dyDescent="0.35">
      <c r="A48" s="8" t="s">
        <v>135</v>
      </c>
      <c r="B48" s="9" t="s">
        <v>136</v>
      </c>
      <c r="C48" s="8" t="s">
        <v>1134</v>
      </c>
      <c r="D48" s="8" t="s">
        <v>1149</v>
      </c>
      <c r="E48" s="8" t="s">
        <v>905</v>
      </c>
      <c r="F48" s="25" t="s">
        <v>924</v>
      </c>
      <c r="G48" s="8" t="s">
        <v>19</v>
      </c>
      <c r="H48" s="8">
        <v>30</v>
      </c>
      <c r="I48" s="8" t="s">
        <v>1163</v>
      </c>
      <c r="J48" s="10">
        <v>68.08</v>
      </c>
      <c r="K48" s="22">
        <v>0.39400000000000002</v>
      </c>
      <c r="L48" s="11">
        <v>49.39</v>
      </c>
      <c r="M48" s="13">
        <v>0.37069999999999997</v>
      </c>
      <c r="N48" s="17">
        <f t="shared" si="7"/>
        <v>31.081126999999999</v>
      </c>
      <c r="O48" s="13">
        <v>0.1075</v>
      </c>
      <c r="P48" s="14">
        <f t="shared" si="8"/>
        <v>27.739905847499998</v>
      </c>
      <c r="Q48" s="14">
        <f t="shared" si="9"/>
        <v>9.6318065906750014</v>
      </c>
      <c r="R48" s="28">
        <f t="shared" si="10"/>
        <v>1.941793409325</v>
      </c>
      <c r="S48" s="28">
        <f t="shared" si="11"/>
        <v>6.4744662849006511</v>
      </c>
      <c r="T48" s="28">
        <f t="shared" si="12"/>
        <v>4.3079505906749995</v>
      </c>
      <c r="U48" s="28">
        <f t="shared" si="4"/>
        <v>6.4744662849006511</v>
      </c>
      <c r="V48" s="28">
        <f t="shared" si="5"/>
        <v>3.1573403057743503</v>
      </c>
      <c r="W48" s="28">
        <f t="shared" si="6"/>
        <v>0.15786701528871752</v>
      </c>
      <c r="X48" s="28">
        <f t="shared" si="13"/>
        <v>6.6323333001893685</v>
      </c>
      <c r="Y48" s="14">
        <v>34.371290987105688</v>
      </c>
      <c r="Z48" s="13">
        <v>0.14249999999999999</v>
      </c>
      <c r="AA48" s="14">
        <v>34.773713177382724</v>
      </c>
      <c r="AB48" s="13">
        <f t="shared" si="14"/>
        <v>0.2959</v>
      </c>
      <c r="AC48" s="14">
        <v>40.083138177382722</v>
      </c>
      <c r="AD48" s="26">
        <f t="shared" si="15"/>
        <v>0.1424999999999999</v>
      </c>
      <c r="AE48" s="4">
        <f t="shared" si="16"/>
        <v>40.08</v>
      </c>
      <c r="AF48" s="27">
        <f t="shared" si="17"/>
        <v>0.14249999999999999</v>
      </c>
      <c r="AG48" s="4">
        <f t="shared" si="18"/>
        <v>34.369999999999997</v>
      </c>
      <c r="AH48" s="27">
        <f t="shared" si="19"/>
        <v>0.2959</v>
      </c>
    </row>
    <row r="49" spans="1:34" x14ac:dyDescent="0.35">
      <c r="A49" s="8" t="s">
        <v>137</v>
      </c>
      <c r="B49" s="9" t="s">
        <v>138</v>
      </c>
      <c r="C49" s="8" t="s">
        <v>1134</v>
      </c>
      <c r="D49" s="8" t="s">
        <v>1139</v>
      </c>
      <c r="E49" s="8" t="s">
        <v>905</v>
      </c>
      <c r="F49" s="25" t="s">
        <v>925</v>
      </c>
      <c r="G49" s="8" t="s">
        <v>3</v>
      </c>
      <c r="H49" s="8">
        <v>20</v>
      </c>
      <c r="I49" s="8" t="s">
        <v>1163</v>
      </c>
      <c r="J49" s="10">
        <v>92.46</v>
      </c>
      <c r="K49" s="22">
        <v>0.39400000000000002</v>
      </c>
      <c r="L49" s="11">
        <v>67.08</v>
      </c>
      <c r="M49" s="13">
        <v>0.6411</v>
      </c>
      <c r="N49" s="17">
        <f t="shared" si="7"/>
        <v>24.075011999999997</v>
      </c>
      <c r="O49" s="13">
        <v>0.1075</v>
      </c>
      <c r="P49" s="14">
        <f t="shared" si="8"/>
        <v>21.486948209999998</v>
      </c>
      <c r="Q49" s="14">
        <f t="shared" si="9"/>
        <v>14.2141136253</v>
      </c>
      <c r="R49" s="28">
        <f t="shared" si="10"/>
        <v>1.5040863747</v>
      </c>
      <c r="S49" s="28">
        <f t="shared" si="11"/>
        <v>5.0150322252657888</v>
      </c>
      <c r="T49" s="28">
        <f t="shared" si="12"/>
        <v>6.9837416252999986</v>
      </c>
      <c r="U49" s="28">
        <f t="shared" si="4"/>
        <v>6.9837416252999986</v>
      </c>
      <c r="V49" s="28">
        <f t="shared" si="5"/>
        <v>7.2303720000000009</v>
      </c>
      <c r="W49" s="28">
        <f t="shared" si="6"/>
        <v>0.36151860000000008</v>
      </c>
      <c r="X49" s="28">
        <f t="shared" si="13"/>
        <v>7.3452602252999988</v>
      </c>
      <c r="Y49" s="14">
        <v>28.8298923306</v>
      </c>
      <c r="Z49" s="13">
        <v>0.14249999999999999</v>
      </c>
      <c r="AA49" s="14">
        <v>26.409765691661807</v>
      </c>
      <c r="AB49" s="13">
        <f t="shared" si="14"/>
        <v>0.60629999999999995</v>
      </c>
      <c r="AC49" s="14">
        <v>33.620865691661805</v>
      </c>
      <c r="AD49" s="26">
        <f t="shared" si="15"/>
        <v>0.14249999999999996</v>
      </c>
      <c r="AE49" s="4">
        <f t="shared" si="16"/>
        <v>33.619999999999997</v>
      </c>
      <c r="AF49" s="27">
        <f t="shared" si="17"/>
        <v>0.14249999999999999</v>
      </c>
      <c r="AG49" s="4">
        <f t="shared" si="18"/>
        <v>28.83</v>
      </c>
      <c r="AH49" s="27">
        <f t="shared" si="19"/>
        <v>0.60629999999999995</v>
      </c>
    </row>
    <row r="50" spans="1:34" x14ac:dyDescent="0.35">
      <c r="A50" s="8" t="s">
        <v>139</v>
      </c>
      <c r="B50" s="9" t="s">
        <v>140</v>
      </c>
      <c r="C50" s="8" t="s">
        <v>1134</v>
      </c>
      <c r="D50" s="8" t="s">
        <v>1139</v>
      </c>
      <c r="E50" s="8" t="s">
        <v>905</v>
      </c>
      <c r="F50" s="25" t="s">
        <v>925</v>
      </c>
      <c r="G50" s="8" t="s">
        <v>3</v>
      </c>
      <c r="H50" s="8">
        <v>60</v>
      </c>
      <c r="I50" s="8" t="s">
        <v>1163</v>
      </c>
      <c r="J50" s="10">
        <v>277.48</v>
      </c>
      <c r="K50" s="22">
        <v>0.39400000000000002</v>
      </c>
      <c r="L50" s="11">
        <v>201.31</v>
      </c>
      <c r="M50" s="13">
        <v>0.63319999999999999</v>
      </c>
      <c r="N50" s="17">
        <f t="shared" si="7"/>
        <v>73.840508</v>
      </c>
      <c r="O50" s="13">
        <v>0.1075</v>
      </c>
      <c r="P50" s="14">
        <f t="shared" si="8"/>
        <v>65.902653389999998</v>
      </c>
      <c r="Q50" s="14">
        <f t="shared" si="9"/>
        <v>42.558414262700005</v>
      </c>
      <c r="R50" s="28">
        <f t="shared" si="10"/>
        <v>4.6131857373000003</v>
      </c>
      <c r="S50" s="28">
        <f t="shared" si="11"/>
        <v>15.381613398572611</v>
      </c>
      <c r="T50" s="28">
        <f t="shared" si="12"/>
        <v>20.859478262699998</v>
      </c>
      <c r="U50" s="28">
        <f t="shared" si="4"/>
        <v>20.859478262699998</v>
      </c>
      <c r="V50" s="28">
        <f t="shared" si="5"/>
        <v>21.698936000000007</v>
      </c>
      <c r="W50" s="28">
        <f t="shared" si="6"/>
        <v>1.0849468000000004</v>
      </c>
      <c r="X50" s="28">
        <f t="shared" si="13"/>
        <v>21.944425062699999</v>
      </c>
      <c r="Y50" s="14">
        <v>87.840127721674989</v>
      </c>
      <c r="Z50" s="13">
        <v>0.14249999999999999</v>
      </c>
      <c r="AA50" s="14">
        <v>80.796641730816319</v>
      </c>
      <c r="AB50" s="13">
        <f t="shared" si="14"/>
        <v>0.59860000000000002</v>
      </c>
      <c r="AC50" s="14">
        <v>102.43746673081631</v>
      </c>
      <c r="AD50" s="26">
        <f t="shared" si="15"/>
        <v>0.14249999999999999</v>
      </c>
      <c r="AE50" s="4">
        <f t="shared" si="16"/>
        <v>102.44</v>
      </c>
      <c r="AF50" s="27">
        <f t="shared" si="17"/>
        <v>0.14249999999999999</v>
      </c>
      <c r="AG50" s="4">
        <f t="shared" si="18"/>
        <v>87.84</v>
      </c>
      <c r="AH50" s="27">
        <f t="shared" si="19"/>
        <v>0.59860000000000002</v>
      </c>
    </row>
    <row r="51" spans="1:34" x14ac:dyDescent="0.35">
      <c r="A51" s="8" t="s">
        <v>141</v>
      </c>
      <c r="B51" s="9" t="s">
        <v>142</v>
      </c>
      <c r="C51" s="8" t="s">
        <v>1134</v>
      </c>
      <c r="D51" s="8" t="s">
        <v>1139</v>
      </c>
      <c r="E51" s="8" t="s">
        <v>905</v>
      </c>
      <c r="F51" s="25" t="s">
        <v>925</v>
      </c>
      <c r="G51" s="8" t="s">
        <v>25</v>
      </c>
      <c r="H51" s="8">
        <v>20</v>
      </c>
      <c r="I51" s="8" t="s">
        <v>1163</v>
      </c>
      <c r="J51" s="10">
        <v>92.46</v>
      </c>
      <c r="K51" s="22">
        <v>0.39400000000000002</v>
      </c>
      <c r="L51" s="11">
        <v>67.08</v>
      </c>
      <c r="M51" s="13">
        <v>0.61470000000000002</v>
      </c>
      <c r="N51" s="17">
        <f t="shared" si="7"/>
        <v>25.845923999999997</v>
      </c>
      <c r="O51" s="13">
        <v>0.1075</v>
      </c>
      <c r="P51" s="14">
        <f t="shared" si="8"/>
        <v>23.067487169999996</v>
      </c>
      <c r="Q51" s="14">
        <f t="shared" si="9"/>
        <v>14.103475898099999</v>
      </c>
      <c r="R51" s="28">
        <f t="shared" si="10"/>
        <v>1.6147241018999998</v>
      </c>
      <c r="S51" s="28">
        <f t="shared" si="11"/>
        <v>5.3839284379908285</v>
      </c>
      <c r="T51" s="28">
        <f t="shared" si="12"/>
        <v>6.8731038980999983</v>
      </c>
      <c r="U51" s="28">
        <f t="shared" si="4"/>
        <v>6.8731038980999983</v>
      </c>
      <c r="V51" s="28">
        <f t="shared" si="5"/>
        <v>7.2303720000000009</v>
      </c>
      <c r="W51" s="28">
        <f t="shared" si="6"/>
        <v>0.36151860000000008</v>
      </c>
      <c r="X51" s="28">
        <f t="shared" si="13"/>
        <v>7.2346224980999985</v>
      </c>
      <c r="Y51" s="14">
        <v>30.299793563399998</v>
      </c>
      <c r="Z51" s="13">
        <v>0.14249999999999999</v>
      </c>
      <c r="AA51" s="14">
        <v>28.123936225539353</v>
      </c>
      <c r="AB51" s="13">
        <f t="shared" si="14"/>
        <v>0.58069999999999999</v>
      </c>
      <c r="AC51" s="14">
        <v>35.335036225539355</v>
      </c>
      <c r="AD51" s="26">
        <f t="shared" si="15"/>
        <v>0.14249999999999996</v>
      </c>
      <c r="AE51" s="4">
        <f t="shared" si="16"/>
        <v>35.340000000000003</v>
      </c>
      <c r="AF51" s="27">
        <f t="shared" si="17"/>
        <v>0.14249999999999999</v>
      </c>
      <c r="AG51" s="4">
        <f t="shared" si="18"/>
        <v>30.3</v>
      </c>
      <c r="AH51" s="27">
        <f t="shared" si="19"/>
        <v>0.58069999999999999</v>
      </c>
    </row>
    <row r="52" spans="1:34" x14ac:dyDescent="0.35">
      <c r="A52" s="8" t="s">
        <v>143</v>
      </c>
      <c r="B52" s="9" t="s">
        <v>144</v>
      </c>
      <c r="C52" s="8" t="s">
        <v>1134</v>
      </c>
      <c r="D52" s="8" t="s">
        <v>1139</v>
      </c>
      <c r="E52" s="8" t="s">
        <v>905</v>
      </c>
      <c r="F52" s="25" t="s">
        <v>925</v>
      </c>
      <c r="G52" s="8" t="s">
        <v>25</v>
      </c>
      <c r="H52" s="8">
        <v>60</v>
      </c>
      <c r="I52" s="8" t="s">
        <v>1163</v>
      </c>
      <c r="J52" s="10">
        <v>277.48</v>
      </c>
      <c r="K52" s="22">
        <v>0.39400000000000002</v>
      </c>
      <c r="L52" s="11">
        <v>201.31</v>
      </c>
      <c r="M52" s="13">
        <v>0.63260000000000005</v>
      </c>
      <c r="N52" s="17">
        <f t="shared" si="7"/>
        <v>73.961293999999995</v>
      </c>
      <c r="O52" s="13">
        <v>0.1075</v>
      </c>
      <c r="P52" s="14">
        <f t="shared" si="8"/>
        <v>66.010454894999995</v>
      </c>
      <c r="Q52" s="14">
        <f t="shared" si="9"/>
        <v>42.550868157350003</v>
      </c>
      <c r="R52" s="28">
        <f t="shared" si="10"/>
        <v>4.6207318426499997</v>
      </c>
      <c r="S52" s="28">
        <f t="shared" si="11"/>
        <v>15.406774162038108</v>
      </c>
      <c r="T52" s="28">
        <f t="shared" si="12"/>
        <v>20.851932157349999</v>
      </c>
      <c r="U52" s="28">
        <f t="shared" si="4"/>
        <v>20.851932157349999</v>
      </c>
      <c r="V52" s="28">
        <f t="shared" si="5"/>
        <v>21.698936000000003</v>
      </c>
      <c r="W52" s="28">
        <f t="shared" si="6"/>
        <v>1.0849468000000002</v>
      </c>
      <c r="X52" s="28">
        <f t="shared" si="13"/>
        <v>21.93687895735</v>
      </c>
      <c r="Y52" s="14">
        <v>87.940383121324984</v>
      </c>
      <c r="Z52" s="13">
        <v>0.14249999999999999</v>
      </c>
      <c r="AA52" s="14">
        <v>80.913557648775495</v>
      </c>
      <c r="AB52" s="13">
        <f t="shared" si="14"/>
        <v>0.59809999999999997</v>
      </c>
      <c r="AC52" s="14">
        <v>102.55438264877549</v>
      </c>
      <c r="AD52" s="26">
        <f t="shared" si="15"/>
        <v>0.14249999999999996</v>
      </c>
      <c r="AE52" s="4">
        <f t="shared" si="16"/>
        <v>102.55</v>
      </c>
      <c r="AF52" s="27">
        <f t="shared" si="17"/>
        <v>0.14249999999999999</v>
      </c>
      <c r="AG52" s="4">
        <f t="shared" si="18"/>
        <v>87.94</v>
      </c>
      <c r="AH52" s="27">
        <f t="shared" si="19"/>
        <v>0.59809999999999997</v>
      </c>
    </row>
    <row r="53" spans="1:34" x14ac:dyDescent="0.35">
      <c r="A53" s="8" t="s">
        <v>145</v>
      </c>
      <c r="B53" s="9" t="s">
        <v>146</v>
      </c>
      <c r="C53" s="8" t="s">
        <v>1134</v>
      </c>
      <c r="D53" s="8" t="s">
        <v>1139</v>
      </c>
      <c r="E53" s="8" t="s">
        <v>905</v>
      </c>
      <c r="F53" s="25" t="s">
        <v>926</v>
      </c>
      <c r="G53" s="8" t="s">
        <v>16</v>
      </c>
      <c r="H53" s="8">
        <v>30</v>
      </c>
      <c r="I53" s="8" t="s">
        <v>1163</v>
      </c>
      <c r="J53" s="10">
        <v>320.95</v>
      </c>
      <c r="K53" s="22">
        <v>0.39400000000000002</v>
      </c>
      <c r="L53" s="11">
        <v>232.84</v>
      </c>
      <c r="M53" s="13">
        <v>0.66979999999999995</v>
      </c>
      <c r="N53" s="17">
        <f t="shared" si="7"/>
        <v>76.883768000000018</v>
      </c>
      <c r="O53" s="13">
        <v>0.1075</v>
      </c>
      <c r="P53" s="14">
        <f t="shared" si="8"/>
        <v>68.618762940000011</v>
      </c>
      <c r="Q53" s="14">
        <f t="shared" si="9"/>
        <v>49.758186594199998</v>
      </c>
      <c r="R53" s="28">
        <f t="shared" si="10"/>
        <v>4.8033134058000009</v>
      </c>
      <c r="S53" s="28">
        <f t="shared" si="11"/>
        <v>16.015550651433063</v>
      </c>
      <c r="T53" s="28">
        <f t="shared" si="12"/>
        <v>24.659896594199999</v>
      </c>
      <c r="U53" s="28">
        <f t="shared" si="4"/>
        <v>24.659896594199999</v>
      </c>
      <c r="V53" s="28">
        <f t="shared" si="5"/>
        <v>25.098289999999999</v>
      </c>
      <c r="W53" s="28">
        <f t="shared" si="6"/>
        <v>1.2549144999999999</v>
      </c>
      <c r="X53" s="28">
        <f t="shared" si="13"/>
        <v>25.914811094199997</v>
      </c>
      <c r="Y53" s="14">
        <v>94.525534651099989</v>
      </c>
      <c r="Z53" s="13">
        <v>0.14249999999999999</v>
      </c>
      <c r="AA53" s="14">
        <v>85.203559651428563</v>
      </c>
      <c r="AB53" s="13">
        <f t="shared" si="14"/>
        <v>0.6341</v>
      </c>
      <c r="AC53" s="14">
        <v>110.23385965142856</v>
      </c>
      <c r="AD53" s="26">
        <f t="shared" si="15"/>
        <v>0.14250000000000002</v>
      </c>
      <c r="AE53" s="4">
        <f t="shared" si="16"/>
        <v>110.23</v>
      </c>
      <c r="AF53" s="27">
        <f t="shared" si="17"/>
        <v>0.14249999999999999</v>
      </c>
      <c r="AG53" s="4">
        <f t="shared" si="18"/>
        <v>94.53</v>
      </c>
      <c r="AH53" s="27">
        <f t="shared" si="19"/>
        <v>0.6341</v>
      </c>
    </row>
    <row r="54" spans="1:34" x14ac:dyDescent="0.35">
      <c r="A54" s="8" t="s">
        <v>147</v>
      </c>
      <c r="B54" s="9" t="s">
        <v>148</v>
      </c>
      <c r="C54" s="8" t="s">
        <v>1134</v>
      </c>
      <c r="D54" s="8" t="s">
        <v>1139</v>
      </c>
      <c r="E54" s="8" t="s">
        <v>905</v>
      </c>
      <c r="F54" s="25" t="s">
        <v>926</v>
      </c>
      <c r="G54" s="8" t="s">
        <v>22</v>
      </c>
      <c r="H54" s="8">
        <v>30</v>
      </c>
      <c r="I54" s="8" t="s">
        <v>1163</v>
      </c>
      <c r="J54" s="10">
        <v>470.43</v>
      </c>
      <c r="K54" s="22">
        <v>0.39400000000000002</v>
      </c>
      <c r="L54" s="11">
        <v>341.29</v>
      </c>
      <c r="M54" s="13">
        <v>0.6875</v>
      </c>
      <c r="N54" s="17">
        <f t="shared" si="7"/>
        <v>106.653125</v>
      </c>
      <c r="O54" s="13">
        <v>0.1075</v>
      </c>
      <c r="P54" s="14">
        <f t="shared" si="8"/>
        <v>95.187914062499999</v>
      </c>
      <c r="Q54" s="14">
        <f t="shared" si="9"/>
        <v>73.309946015625002</v>
      </c>
      <c r="R54" s="28">
        <f t="shared" si="10"/>
        <v>6.6631539843750005</v>
      </c>
      <c r="S54" s="28">
        <f t="shared" si="11"/>
        <v>22.216763954273436</v>
      </c>
      <c r="T54" s="28">
        <f t="shared" si="12"/>
        <v>36.522320015624999</v>
      </c>
      <c r="U54" s="28">
        <f t="shared" si="4"/>
        <v>36.522320015624999</v>
      </c>
      <c r="V54" s="28">
        <f t="shared" si="5"/>
        <v>36.787626000000003</v>
      </c>
      <c r="W54" s="28">
        <f t="shared" si="6"/>
        <v>1.8393813000000003</v>
      </c>
      <c r="X54" s="28">
        <f t="shared" si="13"/>
        <v>38.361701315624998</v>
      </c>
      <c r="Y54" s="14">
        <v>133.53783148765001</v>
      </c>
      <c r="Z54" s="13">
        <v>0.14249999999999999</v>
      </c>
      <c r="AA54" s="14">
        <v>119.04057454827988</v>
      </c>
      <c r="AB54" s="13">
        <f t="shared" si="14"/>
        <v>0.6512</v>
      </c>
      <c r="AC54" s="14">
        <v>155.72924954827988</v>
      </c>
      <c r="AD54" s="26">
        <f t="shared" si="15"/>
        <v>0.14249999999999993</v>
      </c>
      <c r="AE54" s="4">
        <f t="shared" si="16"/>
        <v>155.72999999999999</v>
      </c>
      <c r="AF54" s="27">
        <f t="shared" si="17"/>
        <v>0.14249999999999999</v>
      </c>
      <c r="AG54" s="4">
        <f t="shared" si="18"/>
        <v>133.54</v>
      </c>
      <c r="AH54" s="27">
        <f t="shared" si="19"/>
        <v>0.6512</v>
      </c>
    </row>
    <row r="55" spans="1:34" x14ac:dyDescent="0.35">
      <c r="A55" s="8" t="s">
        <v>149</v>
      </c>
      <c r="B55" s="9" t="s">
        <v>150</v>
      </c>
      <c r="C55" s="8" t="s">
        <v>1134</v>
      </c>
      <c r="D55" s="8" t="s">
        <v>1174</v>
      </c>
      <c r="E55" s="8" t="s">
        <v>905</v>
      </c>
      <c r="F55" s="25" t="s">
        <v>927</v>
      </c>
      <c r="G55" s="8" t="s">
        <v>1108</v>
      </c>
      <c r="H55" s="8">
        <v>30</v>
      </c>
      <c r="I55" s="8" t="s">
        <v>1163</v>
      </c>
      <c r="J55" s="10">
        <v>24.82</v>
      </c>
      <c r="K55" s="22">
        <v>0.39400000000000002</v>
      </c>
      <c r="L55" s="11">
        <v>18.010000000000002</v>
      </c>
      <c r="M55" s="13">
        <v>0.78210000000000002</v>
      </c>
      <c r="N55" s="17">
        <f t="shared" si="7"/>
        <v>3.9243790000000001</v>
      </c>
      <c r="O55" s="13">
        <v>0.1075</v>
      </c>
      <c r="P55" s="14">
        <f t="shared" si="8"/>
        <v>3.5025082574999997</v>
      </c>
      <c r="Q55" s="14">
        <f t="shared" si="9"/>
        <v>3.9742244219750003</v>
      </c>
      <c r="R55" s="28">
        <f t="shared" si="10"/>
        <v>0.24517557802500001</v>
      </c>
      <c r="S55" s="28">
        <f t="shared" si="11"/>
        <v>0.81748192479224246</v>
      </c>
      <c r="T55" s="28">
        <f t="shared" si="12"/>
        <v>2.0333004219749999</v>
      </c>
      <c r="U55" s="28">
        <f t="shared" si="4"/>
        <v>2.0333004219749999</v>
      </c>
      <c r="V55" s="28">
        <f t="shared" si="5"/>
        <v>1.9409240000000003</v>
      </c>
      <c r="W55" s="28">
        <f t="shared" si="6"/>
        <v>9.7046200000000027E-2</v>
      </c>
      <c r="X55" s="28">
        <f t="shared" si="13"/>
        <v>2.1303466219749998</v>
      </c>
      <c r="Y55" s="14">
        <v>5.6322330391999991</v>
      </c>
      <c r="Z55" s="13">
        <v>0.14249999999999999</v>
      </c>
      <c r="AA55" s="14">
        <v>4.6321267949854219</v>
      </c>
      <c r="AB55" s="13">
        <f t="shared" si="14"/>
        <v>0.74280000000000002</v>
      </c>
      <c r="AC55" s="14">
        <v>6.5682017949854217</v>
      </c>
      <c r="AD55" s="26">
        <f t="shared" si="15"/>
        <v>0.14250000000000002</v>
      </c>
      <c r="AE55" s="4">
        <f t="shared" si="16"/>
        <v>6.57</v>
      </c>
      <c r="AF55" s="27">
        <f t="shared" si="17"/>
        <v>0.14249999999999999</v>
      </c>
      <c r="AG55" s="4">
        <f t="shared" si="18"/>
        <v>5.63</v>
      </c>
      <c r="AH55" s="27">
        <f t="shared" si="19"/>
        <v>0.74280000000000002</v>
      </c>
    </row>
    <row r="56" spans="1:34" x14ac:dyDescent="0.35">
      <c r="A56" s="8" t="s">
        <v>151</v>
      </c>
      <c r="B56" s="9" t="s">
        <v>152</v>
      </c>
      <c r="C56" s="8" t="s">
        <v>1134</v>
      </c>
      <c r="D56" s="8" t="s">
        <v>1174</v>
      </c>
      <c r="E56" s="8" t="s">
        <v>905</v>
      </c>
      <c r="F56" s="25" t="s">
        <v>927</v>
      </c>
      <c r="G56" s="8" t="s">
        <v>1108</v>
      </c>
      <c r="H56" s="8">
        <v>60</v>
      </c>
      <c r="I56" s="8" t="s">
        <v>1163</v>
      </c>
      <c r="J56" s="10">
        <v>47.35</v>
      </c>
      <c r="K56" s="22">
        <v>0.39400000000000002</v>
      </c>
      <c r="L56" s="11">
        <v>34.35</v>
      </c>
      <c r="M56" s="13">
        <v>0.78810000000000002</v>
      </c>
      <c r="N56" s="17">
        <f t="shared" si="7"/>
        <v>7.2787649999999999</v>
      </c>
      <c r="O56" s="13">
        <v>0.1075</v>
      </c>
      <c r="P56" s="14">
        <f t="shared" si="8"/>
        <v>6.4962977624999994</v>
      </c>
      <c r="Q56" s="14">
        <f t="shared" si="9"/>
        <v>7.5947591566249999</v>
      </c>
      <c r="R56" s="28">
        <f t="shared" si="10"/>
        <v>0.45474084337499998</v>
      </c>
      <c r="S56" s="28">
        <f t="shared" si="11"/>
        <v>1.5162294014697373</v>
      </c>
      <c r="T56" s="28">
        <f t="shared" si="12"/>
        <v>3.8919891566249998</v>
      </c>
      <c r="U56" s="28">
        <f t="shared" si="4"/>
        <v>3.8919891566249998</v>
      </c>
      <c r="V56" s="28">
        <f t="shared" si="5"/>
        <v>3.7027700000000001</v>
      </c>
      <c r="W56" s="28">
        <f t="shared" si="6"/>
        <v>0.18513850000000001</v>
      </c>
      <c r="X56" s="28">
        <f t="shared" si="13"/>
        <v>4.0771276566249997</v>
      </c>
      <c r="Y56" s="14">
        <v>10.572239399499999</v>
      </c>
      <c r="Z56" s="13">
        <v>0.14249999999999999</v>
      </c>
      <c r="AA56" s="14">
        <v>8.6365171568513102</v>
      </c>
      <c r="AB56" s="13">
        <f t="shared" si="14"/>
        <v>0.74860000000000004</v>
      </c>
      <c r="AC56" s="14">
        <v>12.32914215685131</v>
      </c>
      <c r="AD56" s="26">
        <f t="shared" si="15"/>
        <v>0.14249999999999993</v>
      </c>
      <c r="AE56" s="4">
        <f t="shared" si="16"/>
        <v>12.33</v>
      </c>
      <c r="AF56" s="27">
        <f t="shared" si="17"/>
        <v>0.14249999999999999</v>
      </c>
      <c r="AG56" s="4">
        <f t="shared" si="18"/>
        <v>10.57</v>
      </c>
      <c r="AH56" s="27">
        <f t="shared" si="19"/>
        <v>0.74860000000000004</v>
      </c>
    </row>
    <row r="57" spans="1:34" x14ac:dyDescent="0.35">
      <c r="A57" s="8" t="s">
        <v>153</v>
      </c>
      <c r="B57" s="9" t="s">
        <v>1224</v>
      </c>
      <c r="C57" s="8" t="s">
        <v>1134</v>
      </c>
      <c r="D57" s="8" t="s">
        <v>1174</v>
      </c>
      <c r="E57" s="8" t="s">
        <v>905</v>
      </c>
      <c r="F57" s="25" t="s">
        <v>927</v>
      </c>
      <c r="G57" s="8" t="s">
        <v>20</v>
      </c>
      <c r="H57" s="8">
        <v>30</v>
      </c>
      <c r="I57" s="8" t="s">
        <v>1163</v>
      </c>
      <c r="J57" s="10">
        <v>29.62</v>
      </c>
      <c r="K57" s="22">
        <v>0.39400000000000002</v>
      </c>
      <c r="L57" s="11">
        <v>21.49</v>
      </c>
      <c r="M57" s="13">
        <v>0.72270000000000001</v>
      </c>
      <c r="N57" s="17">
        <f t="shared" si="7"/>
        <v>5.9591769999999995</v>
      </c>
      <c r="O57" s="13">
        <v>0.1075</v>
      </c>
      <c r="P57" s="14">
        <f t="shared" si="8"/>
        <v>5.3185654724999996</v>
      </c>
      <c r="Q57" s="14">
        <f t="shared" si="9"/>
        <v>4.6631004169250003</v>
      </c>
      <c r="R57" s="28">
        <f t="shared" si="10"/>
        <v>0.372299583075</v>
      </c>
      <c r="S57" s="28">
        <f t="shared" si="11"/>
        <v>1.2413478627160275</v>
      </c>
      <c r="T57" s="28">
        <f t="shared" si="12"/>
        <v>2.3468164169249999</v>
      </c>
      <c r="U57" s="28">
        <f t="shared" si="4"/>
        <v>2.3468164169249999</v>
      </c>
      <c r="V57" s="28">
        <f t="shared" si="5"/>
        <v>2.3162840000000005</v>
      </c>
      <c r="W57" s="28">
        <f t="shared" si="6"/>
        <v>0.11581420000000003</v>
      </c>
      <c r="X57" s="28">
        <f t="shared" si="13"/>
        <v>2.4626306169249998</v>
      </c>
      <c r="Y57" s="14">
        <v>7.7804540934499995</v>
      </c>
      <c r="Z57" s="13">
        <v>0.14249999999999999</v>
      </c>
      <c r="AA57" s="14">
        <v>6.7632408524198242</v>
      </c>
      <c r="AB57" s="13">
        <f t="shared" si="14"/>
        <v>0.68530000000000002</v>
      </c>
      <c r="AC57" s="14">
        <v>9.0734158524198243</v>
      </c>
      <c r="AD57" s="26">
        <f t="shared" si="15"/>
        <v>0.14249999999999999</v>
      </c>
      <c r="AE57" s="4">
        <f t="shared" si="16"/>
        <v>9.07</v>
      </c>
      <c r="AF57" s="27">
        <f t="shared" si="17"/>
        <v>0.14249999999999999</v>
      </c>
      <c r="AG57" s="4">
        <f t="shared" si="18"/>
        <v>7.78</v>
      </c>
      <c r="AH57" s="27">
        <f t="shared" si="19"/>
        <v>0.68530000000000002</v>
      </c>
    </row>
    <row r="58" spans="1:34" x14ac:dyDescent="0.35">
      <c r="A58" s="8" t="s">
        <v>154</v>
      </c>
      <c r="B58" s="9" t="s">
        <v>155</v>
      </c>
      <c r="C58" s="8" t="s">
        <v>1134</v>
      </c>
      <c r="D58" s="8" t="s">
        <v>1174</v>
      </c>
      <c r="E58" s="8" t="s">
        <v>905</v>
      </c>
      <c r="F58" s="25" t="s">
        <v>927</v>
      </c>
      <c r="G58" s="8" t="s">
        <v>20</v>
      </c>
      <c r="H58" s="8">
        <v>60</v>
      </c>
      <c r="I58" s="8" t="s">
        <v>1163</v>
      </c>
      <c r="J58" s="10">
        <v>72.599999999999994</v>
      </c>
      <c r="K58" s="22">
        <v>0.39400000000000002</v>
      </c>
      <c r="L58" s="11">
        <v>52.67</v>
      </c>
      <c r="M58" s="13">
        <v>0.77059999999999995</v>
      </c>
      <c r="N58" s="17">
        <f t="shared" si="7"/>
        <v>12.082498000000003</v>
      </c>
      <c r="O58" s="13">
        <v>0.1075</v>
      </c>
      <c r="P58" s="14">
        <f t="shared" si="8"/>
        <v>10.783629465000002</v>
      </c>
      <c r="Q58" s="14">
        <f t="shared" si="9"/>
        <v>11.58714593745</v>
      </c>
      <c r="R58" s="28">
        <f t="shared" si="10"/>
        <v>0.7548540625500002</v>
      </c>
      <c r="S58" s="28">
        <f t="shared" si="11"/>
        <v>2.516888333501536</v>
      </c>
      <c r="T58" s="28">
        <f t="shared" si="12"/>
        <v>5.9098259374499982</v>
      </c>
      <c r="U58" s="28">
        <f t="shared" si="4"/>
        <v>5.9098259374499982</v>
      </c>
      <c r="V58" s="28">
        <f t="shared" si="5"/>
        <v>5.6773200000000017</v>
      </c>
      <c r="W58" s="28">
        <f t="shared" si="6"/>
        <v>0.28386600000000012</v>
      </c>
      <c r="X58" s="28">
        <f t="shared" si="13"/>
        <v>6.1936919374499979</v>
      </c>
      <c r="Y58" s="14">
        <v>16.975502839024998</v>
      </c>
      <c r="Z58" s="13">
        <v>0.14249999999999999</v>
      </c>
      <c r="AA58" s="14">
        <v>14.134479768542271</v>
      </c>
      <c r="AB58" s="13">
        <f t="shared" si="14"/>
        <v>0.73160000000000003</v>
      </c>
      <c r="AC58" s="14">
        <v>19.79650476854227</v>
      </c>
      <c r="AD58" s="26">
        <f t="shared" si="15"/>
        <v>0.14249999999999996</v>
      </c>
      <c r="AE58" s="4">
        <f t="shared" si="16"/>
        <v>19.8</v>
      </c>
      <c r="AF58" s="27">
        <f t="shared" si="17"/>
        <v>0.14249999999999999</v>
      </c>
      <c r="AG58" s="4">
        <f t="shared" si="18"/>
        <v>16.98</v>
      </c>
      <c r="AH58" s="27">
        <f t="shared" si="19"/>
        <v>0.73160000000000003</v>
      </c>
    </row>
    <row r="59" spans="1:34" x14ac:dyDescent="0.35">
      <c r="A59" s="8" t="s">
        <v>156</v>
      </c>
      <c r="B59" s="9" t="s">
        <v>157</v>
      </c>
      <c r="C59" s="8" t="s">
        <v>1134</v>
      </c>
      <c r="D59" s="8" t="s">
        <v>1174</v>
      </c>
      <c r="E59" s="8" t="s">
        <v>905</v>
      </c>
      <c r="F59" s="25" t="s">
        <v>928</v>
      </c>
      <c r="G59" s="8" t="s">
        <v>13</v>
      </c>
      <c r="H59" s="8">
        <v>30</v>
      </c>
      <c r="I59" s="8" t="s">
        <v>1163</v>
      </c>
      <c r="J59" s="10">
        <v>69.099999999999994</v>
      </c>
      <c r="K59" s="22">
        <v>0.39400000000000002</v>
      </c>
      <c r="L59" s="11">
        <v>50.13</v>
      </c>
      <c r="M59" s="13">
        <v>0.72299999999999998</v>
      </c>
      <c r="N59" s="17">
        <f t="shared" si="7"/>
        <v>13.886010000000002</v>
      </c>
      <c r="O59" s="13">
        <v>0.1075</v>
      </c>
      <c r="P59" s="14">
        <f t="shared" si="8"/>
        <v>12.393263925000001</v>
      </c>
      <c r="Q59" s="14">
        <f t="shared" si="9"/>
        <v>10.87947152525</v>
      </c>
      <c r="R59" s="28">
        <f t="shared" si="10"/>
        <v>0.86752847475000017</v>
      </c>
      <c r="S59" s="28">
        <f t="shared" si="11"/>
        <v>2.8925754068310754</v>
      </c>
      <c r="T59" s="28">
        <f t="shared" si="12"/>
        <v>5.4758515252499986</v>
      </c>
      <c r="U59" s="28">
        <f t="shared" si="4"/>
        <v>5.4758515252499986</v>
      </c>
      <c r="V59" s="28">
        <f t="shared" si="5"/>
        <v>5.4036200000000019</v>
      </c>
      <c r="W59" s="28">
        <f t="shared" si="6"/>
        <v>0.27018100000000012</v>
      </c>
      <c r="X59" s="28">
        <f t="shared" si="13"/>
        <v>5.7460325252499986</v>
      </c>
      <c r="Y59" s="14">
        <v>18.137565586675002</v>
      </c>
      <c r="Z59" s="13">
        <v>0.14249999999999999</v>
      </c>
      <c r="AA59" s="14">
        <v>15.762704984460642</v>
      </c>
      <c r="AB59" s="13">
        <f t="shared" si="14"/>
        <v>0.68559999999999999</v>
      </c>
      <c r="AC59" s="14">
        <v>21.151679984460642</v>
      </c>
      <c r="AD59" s="26">
        <f t="shared" si="15"/>
        <v>0.14249999999999993</v>
      </c>
      <c r="AE59" s="4">
        <f t="shared" si="16"/>
        <v>21.15</v>
      </c>
      <c r="AF59" s="27">
        <f t="shared" si="17"/>
        <v>0.14249999999999999</v>
      </c>
      <c r="AG59" s="4">
        <f t="shared" si="18"/>
        <v>18.14</v>
      </c>
      <c r="AH59" s="27">
        <f t="shared" si="19"/>
        <v>0.68559999999999999</v>
      </c>
    </row>
    <row r="60" spans="1:34" x14ac:dyDescent="0.35">
      <c r="A60" s="8" t="s">
        <v>158</v>
      </c>
      <c r="B60" s="9" t="s">
        <v>159</v>
      </c>
      <c r="C60" s="8" t="s">
        <v>1134</v>
      </c>
      <c r="D60" s="8" t="s">
        <v>1174</v>
      </c>
      <c r="E60" s="8" t="s">
        <v>905</v>
      </c>
      <c r="F60" s="25" t="s">
        <v>928</v>
      </c>
      <c r="G60" s="8" t="s">
        <v>3</v>
      </c>
      <c r="H60" s="8">
        <v>30</v>
      </c>
      <c r="I60" s="8" t="s">
        <v>1163</v>
      </c>
      <c r="J60" s="10">
        <v>43.16</v>
      </c>
      <c r="K60" s="22">
        <v>0.39400000000000002</v>
      </c>
      <c r="L60" s="11">
        <v>31.31</v>
      </c>
      <c r="M60" s="13">
        <v>0.72619999999999996</v>
      </c>
      <c r="N60" s="17">
        <f t="shared" si="7"/>
        <v>8.5726780000000016</v>
      </c>
      <c r="O60" s="13">
        <v>0.1075</v>
      </c>
      <c r="P60" s="14">
        <f t="shared" si="8"/>
        <v>7.6511151150000014</v>
      </c>
      <c r="Q60" s="14">
        <f t="shared" si="9"/>
        <v>6.8016219419499997</v>
      </c>
      <c r="R60" s="28">
        <f t="shared" si="10"/>
        <v>0.53557805805000014</v>
      </c>
      <c r="S60" s="28">
        <f t="shared" si="11"/>
        <v>1.7857626167258855</v>
      </c>
      <c r="T60" s="28">
        <f t="shared" si="12"/>
        <v>3.4265099419499996</v>
      </c>
      <c r="U60" s="28">
        <f t="shared" si="4"/>
        <v>3.4265099419499996</v>
      </c>
      <c r="V60" s="28">
        <f t="shared" si="5"/>
        <v>3.3751120000000001</v>
      </c>
      <c r="W60" s="28">
        <f t="shared" si="6"/>
        <v>0.16875560000000001</v>
      </c>
      <c r="X60" s="28">
        <f t="shared" si="13"/>
        <v>3.5952655419499995</v>
      </c>
      <c r="Y60" s="14">
        <v>11.245299600924996</v>
      </c>
      <c r="Z60" s="13">
        <v>0.14249999999999999</v>
      </c>
      <c r="AA60" s="14">
        <v>9.7482270127405215</v>
      </c>
      <c r="AB60" s="13">
        <f t="shared" si="14"/>
        <v>0.68869999999999998</v>
      </c>
      <c r="AC60" s="14">
        <v>13.114052012740521</v>
      </c>
      <c r="AD60" s="26">
        <f t="shared" si="15"/>
        <v>0.14250000000000002</v>
      </c>
      <c r="AE60" s="4">
        <f t="shared" si="16"/>
        <v>13.11</v>
      </c>
      <c r="AF60" s="27">
        <f t="shared" si="17"/>
        <v>0.14249999999999999</v>
      </c>
      <c r="AG60" s="4">
        <f t="shared" si="18"/>
        <v>11.25</v>
      </c>
      <c r="AH60" s="27">
        <f t="shared" si="19"/>
        <v>0.68869999999999998</v>
      </c>
    </row>
    <row r="61" spans="1:34" x14ac:dyDescent="0.35">
      <c r="A61" s="8" t="s">
        <v>160</v>
      </c>
      <c r="B61" s="9" t="s">
        <v>161</v>
      </c>
      <c r="C61" s="8" t="s">
        <v>1134</v>
      </c>
      <c r="D61" s="8" t="s">
        <v>1174</v>
      </c>
      <c r="E61" s="8" t="s">
        <v>905</v>
      </c>
      <c r="F61" s="25" t="s">
        <v>928</v>
      </c>
      <c r="G61" s="8" t="s">
        <v>3</v>
      </c>
      <c r="H61" s="8">
        <v>60</v>
      </c>
      <c r="I61" s="8" t="s">
        <v>1163</v>
      </c>
      <c r="J61" s="10">
        <v>73.790000000000006</v>
      </c>
      <c r="K61" s="22">
        <v>0.39400000000000002</v>
      </c>
      <c r="L61" s="11">
        <v>53.53</v>
      </c>
      <c r="M61" s="13">
        <v>0.73519999999999996</v>
      </c>
      <c r="N61" s="17">
        <f t="shared" si="7"/>
        <v>14.174744000000002</v>
      </c>
      <c r="O61" s="13">
        <v>0.1075</v>
      </c>
      <c r="P61" s="14">
        <f t="shared" si="8"/>
        <v>12.650959020000002</v>
      </c>
      <c r="Q61" s="14">
        <f t="shared" si="9"/>
        <v>11.658732868600001</v>
      </c>
      <c r="R61" s="28">
        <f t="shared" si="10"/>
        <v>0.88556713140000021</v>
      </c>
      <c r="S61" s="28">
        <f t="shared" si="11"/>
        <v>2.9527211843089805</v>
      </c>
      <c r="T61" s="28">
        <f t="shared" si="12"/>
        <v>5.8883548685999996</v>
      </c>
      <c r="U61" s="28">
        <f t="shared" si="4"/>
        <v>5.8883548685999996</v>
      </c>
      <c r="V61" s="28">
        <f t="shared" si="5"/>
        <v>5.7703780000000018</v>
      </c>
      <c r="W61" s="28">
        <f t="shared" si="6"/>
        <v>0.28851890000000008</v>
      </c>
      <c r="X61" s="28">
        <f t="shared" si="13"/>
        <v>6.1768737685999993</v>
      </c>
      <c r="Y61" s="14">
        <v>18.825984531524998</v>
      </c>
      <c r="Z61" s="13">
        <v>0.14249999999999999</v>
      </c>
      <c r="AA61" s="14">
        <v>16.200025911399415</v>
      </c>
      <c r="AB61" s="13">
        <f t="shared" si="14"/>
        <v>0.69740000000000002</v>
      </c>
      <c r="AC61" s="14">
        <v>21.954500911399414</v>
      </c>
      <c r="AD61" s="26">
        <f t="shared" si="15"/>
        <v>0.14249999999999996</v>
      </c>
      <c r="AE61" s="4">
        <f t="shared" si="16"/>
        <v>21.95</v>
      </c>
      <c r="AF61" s="27">
        <f t="shared" si="17"/>
        <v>0.14249999999999999</v>
      </c>
      <c r="AG61" s="4">
        <f t="shared" si="18"/>
        <v>18.829999999999998</v>
      </c>
      <c r="AH61" s="27">
        <f t="shared" si="19"/>
        <v>0.69740000000000002</v>
      </c>
    </row>
    <row r="62" spans="1:34" x14ac:dyDescent="0.35">
      <c r="A62" s="8" t="s">
        <v>162</v>
      </c>
      <c r="B62" s="9" t="s">
        <v>163</v>
      </c>
      <c r="C62" s="8" t="s">
        <v>1134</v>
      </c>
      <c r="D62" s="8" t="s">
        <v>1139</v>
      </c>
      <c r="E62" s="8" t="s">
        <v>905</v>
      </c>
      <c r="F62" s="25" t="s">
        <v>929</v>
      </c>
      <c r="G62" s="8" t="s">
        <v>16</v>
      </c>
      <c r="H62" s="8">
        <v>30</v>
      </c>
      <c r="I62" s="8" t="s">
        <v>1163</v>
      </c>
      <c r="J62" s="10">
        <v>94.12</v>
      </c>
      <c r="K62" s="22">
        <v>0.39400000000000002</v>
      </c>
      <c r="L62" s="11">
        <v>68.28</v>
      </c>
      <c r="M62" s="13">
        <v>0.79339999999999999</v>
      </c>
      <c r="N62" s="17">
        <f t="shared" si="7"/>
        <v>14.106648</v>
      </c>
      <c r="O62" s="13">
        <v>0.1075</v>
      </c>
      <c r="P62" s="14">
        <f t="shared" si="8"/>
        <v>12.590183339999999</v>
      </c>
      <c r="Q62" s="14">
        <f t="shared" si="9"/>
        <v>15.119087166200003</v>
      </c>
      <c r="R62" s="28">
        <f t="shared" si="10"/>
        <v>0.88131283380000003</v>
      </c>
      <c r="S62" s="28">
        <f t="shared" si="11"/>
        <v>2.9385362013726599</v>
      </c>
      <c r="T62" s="28">
        <f t="shared" si="12"/>
        <v>7.7589031662000005</v>
      </c>
      <c r="U62" s="28">
        <f t="shared" si="4"/>
        <v>7.7589031662000005</v>
      </c>
      <c r="V62" s="28">
        <f t="shared" si="5"/>
        <v>7.3601840000000029</v>
      </c>
      <c r="W62" s="28">
        <f t="shared" si="6"/>
        <v>0.36800920000000015</v>
      </c>
      <c r="X62" s="28">
        <f t="shared" si="13"/>
        <v>8.1269123662000009</v>
      </c>
      <c r="Y62" s="14">
        <v>20.714738168499998</v>
      </c>
      <c r="Z62" s="13">
        <v>0.14249999999999999</v>
      </c>
      <c r="AA62" s="14">
        <v>16.817029059475217</v>
      </c>
      <c r="AB62" s="13">
        <f t="shared" si="14"/>
        <v>0.75370000000000004</v>
      </c>
      <c r="AC62" s="14">
        <v>24.157129059475217</v>
      </c>
      <c r="AD62" s="26">
        <f t="shared" ref="AD62:AD125" si="20">(AC62-Y62)/AC62</f>
        <v>0.14250000000000002</v>
      </c>
      <c r="AE62" s="4">
        <f t="shared" ref="AE62:AE125" si="21">ROUND(AC62,2)</f>
        <v>24.16</v>
      </c>
      <c r="AF62" s="27">
        <f t="shared" si="17"/>
        <v>0.14249999999999999</v>
      </c>
      <c r="AG62" s="4">
        <f t="shared" si="18"/>
        <v>20.71</v>
      </c>
      <c r="AH62" s="27">
        <f t="shared" si="19"/>
        <v>0.75370000000000004</v>
      </c>
    </row>
    <row r="63" spans="1:34" x14ac:dyDescent="0.35">
      <c r="A63" s="8" t="s">
        <v>164</v>
      </c>
      <c r="B63" s="9" t="s">
        <v>165</v>
      </c>
      <c r="C63" s="8" t="s">
        <v>1134</v>
      </c>
      <c r="D63" s="8" t="s">
        <v>1139</v>
      </c>
      <c r="E63" s="8" t="s">
        <v>905</v>
      </c>
      <c r="F63" s="25" t="s">
        <v>929</v>
      </c>
      <c r="G63" s="8" t="s">
        <v>23</v>
      </c>
      <c r="H63" s="8">
        <v>30</v>
      </c>
      <c r="I63" s="8" t="s">
        <v>1163</v>
      </c>
      <c r="J63" s="10">
        <v>93.95</v>
      </c>
      <c r="K63" s="22">
        <v>0.39400000000000002</v>
      </c>
      <c r="L63" s="11">
        <v>68.16</v>
      </c>
      <c r="M63" s="13">
        <v>0.74809999999999999</v>
      </c>
      <c r="N63" s="17">
        <f t="shared" si="7"/>
        <v>17.169504</v>
      </c>
      <c r="O63" s="13">
        <v>0.1075</v>
      </c>
      <c r="P63" s="14">
        <f t="shared" si="8"/>
        <v>15.323782319999999</v>
      </c>
      <c r="Q63" s="14">
        <f t="shared" si="9"/>
        <v>14.898835237600002</v>
      </c>
      <c r="R63" s="28">
        <f t="shared" si="10"/>
        <v>1.0726647624000001</v>
      </c>
      <c r="S63" s="28">
        <f t="shared" si="11"/>
        <v>3.5765554697056801</v>
      </c>
      <c r="T63" s="28">
        <f t="shared" si="12"/>
        <v>7.5519452375999983</v>
      </c>
      <c r="U63" s="28">
        <f t="shared" si="4"/>
        <v>7.5519452375999983</v>
      </c>
      <c r="V63" s="28">
        <f t="shared" si="5"/>
        <v>7.3468900000000037</v>
      </c>
      <c r="W63" s="28">
        <f t="shared" si="6"/>
        <v>0.36734450000000018</v>
      </c>
      <c r="X63" s="28">
        <f t="shared" si="13"/>
        <v>7.919289737599998</v>
      </c>
      <c r="Y63" s="14">
        <v>23.240718663199999</v>
      </c>
      <c r="Z63" s="13">
        <v>0.14249999999999999</v>
      </c>
      <c r="AA63" s="14">
        <v>19.775678907521865</v>
      </c>
      <c r="AB63" s="13">
        <f t="shared" si="14"/>
        <v>0.70989999999999998</v>
      </c>
      <c r="AC63" s="14">
        <v>27.102878907521863</v>
      </c>
      <c r="AD63" s="26">
        <f t="shared" si="20"/>
        <v>0.14249999999999993</v>
      </c>
      <c r="AE63" s="4">
        <f t="shared" si="21"/>
        <v>27.1</v>
      </c>
      <c r="AF63" s="27">
        <f t="shared" si="17"/>
        <v>0.14249999999999999</v>
      </c>
      <c r="AG63" s="4">
        <f t="shared" ref="AG63:AG126" si="22">ROUND(Y63,2)</f>
        <v>23.24</v>
      </c>
      <c r="AH63" s="27">
        <f t="shared" ref="AH63:AH126" si="23">ROUND(AB63,4)</f>
        <v>0.70989999999999998</v>
      </c>
    </row>
    <row r="64" spans="1:34" x14ac:dyDescent="0.35">
      <c r="A64" s="8" t="s">
        <v>166</v>
      </c>
      <c r="B64" s="9" t="s">
        <v>167</v>
      </c>
      <c r="C64" s="8" t="s">
        <v>1134</v>
      </c>
      <c r="D64" s="8" t="s">
        <v>1139</v>
      </c>
      <c r="E64" s="8" t="s">
        <v>905</v>
      </c>
      <c r="F64" s="25" t="s">
        <v>929</v>
      </c>
      <c r="G64" s="8" t="s">
        <v>23</v>
      </c>
      <c r="H64" s="8">
        <v>60</v>
      </c>
      <c r="I64" s="8" t="s">
        <v>1163</v>
      </c>
      <c r="J64" s="10">
        <v>166.95</v>
      </c>
      <c r="K64" s="22">
        <v>0.39400000000000002</v>
      </c>
      <c r="L64" s="11">
        <v>121.12</v>
      </c>
      <c r="M64" s="13">
        <v>0.77759999999999996</v>
      </c>
      <c r="N64" s="17">
        <f t="shared" si="7"/>
        <v>26.937088000000006</v>
      </c>
      <c r="O64" s="13">
        <v>0.1075</v>
      </c>
      <c r="P64" s="14">
        <f t="shared" si="8"/>
        <v>24.041351040000006</v>
      </c>
      <c r="Q64" s="14">
        <f t="shared" si="9"/>
        <v>26.698605427199997</v>
      </c>
      <c r="R64" s="28">
        <f t="shared" si="10"/>
        <v>1.6828945728000007</v>
      </c>
      <c r="S64" s="28">
        <f t="shared" si="11"/>
        <v>5.611227291384961</v>
      </c>
      <c r="T64" s="28">
        <f t="shared" si="12"/>
        <v>13.643115427199998</v>
      </c>
      <c r="U64" s="28">
        <f t="shared" si="4"/>
        <v>13.643115427199998</v>
      </c>
      <c r="V64" s="28">
        <f t="shared" si="5"/>
        <v>13.055489999999999</v>
      </c>
      <c r="W64" s="28">
        <f t="shared" si="6"/>
        <v>0.65277450000000004</v>
      </c>
      <c r="X64" s="28">
        <f t="shared" si="13"/>
        <v>14.295889927199998</v>
      </c>
      <c r="Y64" s="14">
        <v>38.333058996399998</v>
      </c>
      <c r="Z64" s="13">
        <v>0.14249999999999999</v>
      </c>
      <c r="AA64" s="14">
        <v>31.682875797551013</v>
      </c>
      <c r="AB64" s="13">
        <f t="shared" si="14"/>
        <v>0.73839999999999995</v>
      </c>
      <c r="AC64" s="14">
        <v>44.703275797551015</v>
      </c>
      <c r="AD64" s="26">
        <f t="shared" si="20"/>
        <v>0.14249999999999993</v>
      </c>
      <c r="AE64" s="4">
        <f t="shared" si="21"/>
        <v>44.7</v>
      </c>
      <c r="AF64" s="27">
        <f t="shared" si="17"/>
        <v>0.14249999999999999</v>
      </c>
      <c r="AG64" s="4">
        <f t="shared" si="22"/>
        <v>38.33</v>
      </c>
      <c r="AH64" s="27">
        <f t="shared" si="23"/>
        <v>0.73839999999999995</v>
      </c>
    </row>
    <row r="65" spans="1:34" x14ac:dyDescent="0.35">
      <c r="A65" s="8" t="s">
        <v>168</v>
      </c>
      <c r="B65" s="9" t="s">
        <v>169</v>
      </c>
      <c r="C65" s="8" t="s">
        <v>1134</v>
      </c>
      <c r="D65" s="8" t="s">
        <v>1139</v>
      </c>
      <c r="E65" s="8" t="s">
        <v>905</v>
      </c>
      <c r="F65" s="25" t="s">
        <v>929</v>
      </c>
      <c r="G65" s="8" t="s">
        <v>19</v>
      </c>
      <c r="H65" s="8">
        <v>30</v>
      </c>
      <c r="I65" s="8" t="s">
        <v>1163</v>
      </c>
      <c r="J65" s="10">
        <v>189.06</v>
      </c>
      <c r="K65" s="22">
        <v>0.39400000000000002</v>
      </c>
      <c r="L65" s="11">
        <v>137.16</v>
      </c>
      <c r="M65" s="13">
        <v>0.77010000000000001</v>
      </c>
      <c r="N65" s="17">
        <f t="shared" si="7"/>
        <v>31.533083999999999</v>
      </c>
      <c r="O65" s="13">
        <v>0.1075</v>
      </c>
      <c r="P65" s="14">
        <f t="shared" si="8"/>
        <v>28.143277469999997</v>
      </c>
      <c r="Q65" s="14">
        <f t="shared" si="9"/>
        <v>30.170170577099999</v>
      </c>
      <c r="R65" s="28">
        <f t="shared" si="10"/>
        <v>1.9700294228999999</v>
      </c>
      <c r="S65" s="28">
        <f t="shared" si="11"/>
        <v>6.5686128182205294</v>
      </c>
      <c r="T65" s="28">
        <f t="shared" si="12"/>
        <v>15.3856785771</v>
      </c>
      <c r="U65" s="28">
        <f t="shared" ref="U65:U128" si="24">IFERROR(IF(J65="-",P65*7%,LARGE(S65:T65,1)),"-")</f>
        <v>15.3856785771</v>
      </c>
      <c r="V65" s="28">
        <f t="shared" ref="V65:V128" si="25">IFERROR(Q65-U65,"-")</f>
        <v>14.784491999999998</v>
      </c>
      <c r="W65" s="28">
        <f t="shared" ref="W65:W128" si="26">IFERROR(V65*5%,"-")</f>
        <v>0.73922460000000001</v>
      </c>
      <c r="X65" s="28">
        <f t="shared" si="13"/>
        <v>16.124903177100002</v>
      </c>
      <c r="Y65" s="14">
        <v>44.263444855199999</v>
      </c>
      <c r="Z65" s="13">
        <v>0.14249999999999999</v>
      </c>
      <c r="AA65" s="14">
        <v>36.874477673702621</v>
      </c>
      <c r="AB65" s="13">
        <f t="shared" si="14"/>
        <v>0.73119999999999996</v>
      </c>
      <c r="AC65" s="14">
        <v>51.619177673702623</v>
      </c>
      <c r="AD65" s="26">
        <f t="shared" si="20"/>
        <v>0.14249999999999999</v>
      </c>
      <c r="AE65" s="4">
        <f t="shared" si="21"/>
        <v>51.62</v>
      </c>
      <c r="AF65" s="27">
        <f t="shared" si="17"/>
        <v>0.14249999999999999</v>
      </c>
      <c r="AG65" s="4">
        <f t="shared" si="22"/>
        <v>44.26</v>
      </c>
      <c r="AH65" s="27">
        <f t="shared" si="23"/>
        <v>0.73119999999999996</v>
      </c>
    </row>
    <row r="66" spans="1:34" x14ac:dyDescent="0.35">
      <c r="A66" s="8" t="s">
        <v>170</v>
      </c>
      <c r="B66" s="9" t="s">
        <v>171</v>
      </c>
      <c r="C66" s="8" t="s">
        <v>1134</v>
      </c>
      <c r="D66" s="8" t="s">
        <v>1139</v>
      </c>
      <c r="E66" s="8" t="s">
        <v>905</v>
      </c>
      <c r="F66" s="25" t="s">
        <v>929</v>
      </c>
      <c r="G66" s="8" t="s">
        <v>1110</v>
      </c>
      <c r="H66" s="8">
        <v>30</v>
      </c>
      <c r="I66" s="8" t="s">
        <v>1163</v>
      </c>
      <c r="J66" s="10">
        <v>387.26</v>
      </c>
      <c r="K66" s="22">
        <v>0.39400000000000002</v>
      </c>
      <c r="L66" s="11">
        <v>280.95</v>
      </c>
      <c r="M66" s="13">
        <v>0.28920000000000001</v>
      </c>
      <c r="N66" s="17">
        <f t="shared" ref="N66:N129" si="27">L66*(1-M66)</f>
        <v>199.69925999999998</v>
      </c>
      <c r="O66" s="13">
        <v>0.1075</v>
      </c>
      <c r="P66" s="14">
        <f t="shared" ref="P66:P129" si="28">N66*(1-O66)</f>
        <v>178.23158954999997</v>
      </c>
      <c r="Q66" s="14">
        <f t="shared" ref="Q66:Q129" si="29">IFERROR(IF(J66="-",P66*(1+K66)*17%,(J66*17%)-R66),"-")</f>
        <v>53.357988731500015</v>
      </c>
      <c r="R66" s="28">
        <f t="shared" ref="R66:R129" si="30">IFERROR(P66*7%,"-")</f>
        <v>12.476211268499998</v>
      </c>
      <c r="S66" s="28">
        <f t="shared" ref="S66:S129" si="31">IFERROR((P66*1.983*0.153)-R66,0)</f>
        <v>41.599074769380437</v>
      </c>
      <c r="T66" s="28">
        <f t="shared" ref="T66:T129" si="32">IFERROR((J66*0.6*0.153)-R66,0)</f>
        <v>23.074256731499997</v>
      </c>
      <c r="U66" s="28">
        <f t="shared" si="24"/>
        <v>41.599074769380437</v>
      </c>
      <c r="V66" s="28">
        <f t="shared" si="25"/>
        <v>11.758913962119578</v>
      </c>
      <c r="W66" s="28">
        <f t="shared" si="26"/>
        <v>0.58794569810597896</v>
      </c>
      <c r="X66" s="28">
        <f t="shared" ref="X66:X129" si="33">IF($J66="-",Q66-U66,Q66-V66+W66)</f>
        <v>42.187020467486413</v>
      </c>
      <c r="Y66" s="14">
        <v>220.41321650228124</v>
      </c>
      <c r="Z66" s="13">
        <v>0.14249999999999999</v>
      </c>
      <c r="AA66" s="14">
        <v>226.83952689770405</v>
      </c>
      <c r="AB66" s="13">
        <f t="shared" si="14"/>
        <v>0.19259999999999999</v>
      </c>
      <c r="AC66" s="14">
        <v>257.04165189770407</v>
      </c>
      <c r="AD66" s="26">
        <f t="shared" si="20"/>
        <v>0.14249999999999999</v>
      </c>
      <c r="AE66" s="4">
        <f t="shared" si="21"/>
        <v>257.04000000000002</v>
      </c>
      <c r="AF66" s="27">
        <f t="shared" ref="AF66:AF129" si="34">ROUND(AD66,4)</f>
        <v>0.14249999999999999</v>
      </c>
      <c r="AG66" s="4">
        <f t="shared" si="22"/>
        <v>220.41</v>
      </c>
      <c r="AH66" s="27">
        <f t="shared" si="23"/>
        <v>0.19259999999999999</v>
      </c>
    </row>
    <row r="67" spans="1:34" x14ac:dyDescent="0.35">
      <c r="A67" s="8" t="s">
        <v>172</v>
      </c>
      <c r="B67" s="9" t="s">
        <v>173</v>
      </c>
      <c r="C67" s="8" t="s">
        <v>1134</v>
      </c>
      <c r="D67" s="8" t="s">
        <v>1175</v>
      </c>
      <c r="E67" s="8" t="s">
        <v>905</v>
      </c>
      <c r="F67" s="25" t="s">
        <v>930</v>
      </c>
      <c r="G67" s="8" t="s">
        <v>1120</v>
      </c>
      <c r="H67" s="8">
        <v>7</v>
      </c>
      <c r="I67" s="8" t="s">
        <v>1163</v>
      </c>
      <c r="J67" s="10">
        <v>50.44</v>
      </c>
      <c r="K67" s="22">
        <v>0.39400000000000002</v>
      </c>
      <c r="L67" s="11">
        <v>36.590000000000003</v>
      </c>
      <c r="M67" s="13">
        <v>0.30919999999999997</v>
      </c>
      <c r="N67" s="17">
        <f t="shared" si="27"/>
        <v>25.276372000000006</v>
      </c>
      <c r="O67" s="13">
        <v>0.1075</v>
      </c>
      <c r="P67" s="14">
        <f t="shared" si="28"/>
        <v>22.559162010000005</v>
      </c>
      <c r="Q67" s="14">
        <f t="shared" si="29"/>
        <v>6.9956586592999992</v>
      </c>
      <c r="R67" s="28">
        <f t="shared" si="30"/>
        <v>1.5791413407000006</v>
      </c>
      <c r="S67" s="28">
        <f t="shared" si="31"/>
        <v>5.2652858539719913</v>
      </c>
      <c r="T67" s="28">
        <f t="shared" si="32"/>
        <v>3.0512506592999991</v>
      </c>
      <c r="U67" s="28">
        <f t="shared" si="24"/>
        <v>5.2652858539719913</v>
      </c>
      <c r="V67" s="28">
        <f t="shared" si="25"/>
        <v>1.7303728053280079</v>
      </c>
      <c r="W67" s="28">
        <f t="shared" si="26"/>
        <v>8.6518640266400396E-2</v>
      </c>
      <c r="X67" s="28">
        <f t="shared" si="33"/>
        <v>5.351804494238392</v>
      </c>
      <c r="Y67" s="14">
        <v>27.910264070633275</v>
      </c>
      <c r="Z67" s="13">
        <v>0.14249999999999999</v>
      </c>
      <c r="AA67" s="14">
        <v>28.614987910359503</v>
      </c>
      <c r="AB67" s="13">
        <f t="shared" ref="AB67:AB130" si="35">ROUND(1-(AA67/L67),4)</f>
        <v>0.218</v>
      </c>
      <c r="AC67" s="14">
        <v>32.548412910359502</v>
      </c>
      <c r="AD67" s="26">
        <f t="shared" si="20"/>
        <v>0.14249999999999996</v>
      </c>
      <c r="AE67" s="4">
        <f t="shared" si="21"/>
        <v>32.549999999999997</v>
      </c>
      <c r="AF67" s="27">
        <f t="shared" si="34"/>
        <v>0.14249999999999999</v>
      </c>
      <c r="AG67" s="4">
        <f t="shared" si="22"/>
        <v>27.91</v>
      </c>
      <c r="AH67" s="27">
        <f t="shared" si="23"/>
        <v>0.218</v>
      </c>
    </row>
    <row r="68" spans="1:34" x14ac:dyDescent="0.35">
      <c r="A68" s="8" t="s">
        <v>174</v>
      </c>
      <c r="B68" s="9" t="s">
        <v>175</v>
      </c>
      <c r="C68" s="8" t="s">
        <v>1134</v>
      </c>
      <c r="D68" s="8" t="s">
        <v>1175</v>
      </c>
      <c r="E68" s="8" t="s">
        <v>905</v>
      </c>
      <c r="F68" s="25" t="s">
        <v>930</v>
      </c>
      <c r="G68" s="8" t="s">
        <v>21</v>
      </c>
      <c r="H68" s="8">
        <v>2</v>
      </c>
      <c r="I68" s="8" t="s">
        <v>1163</v>
      </c>
      <c r="J68" s="10">
        <v>30.55</v>
      </c>
      <c r="K68" s="22">
        <v>0.39400000000000002</v>
      </c>
      <c r="L68" s="11">
        <v>22.1</v>
      </c>
      <c r="M68" s="13">
        <v>0.74</v>
      </c>
      <c r="N68" s="17">
        <f t="shared" si="27"/>
        <v>5.7460000000000004</v>
      </c>
      <c r="O68" s="13">
        <v>0.1075</v>
      </c>
      <c r="P68" s="14">
        <f t="shared" si="28"/>
        <v>5.1283050000000001</v>
      </c>
      <c r="Q68" s="14">
        <f t="shared" si="29"/>
        <v>4.8345186500000006</v>
      </c>
      <c r="R68" s="28">
        <f t="shared" si="30"/>
        <v>0.35898135000000003</v>
      </c>
      <c r="S68" s="28">
        <f t="shared" si="31"/>
        <v>1.1969412586949999</v>
      </c>
      <c r="T68" s="28">
        <f t="shared" si="32"/>
        <v>2.4455086499999994</v>
      </c>
      <c r="U68" s="28">
        <f t="shared" si="24"/>
        <v>2.4455086499999994</v>
      </c>
      <c r="V68" s="28">
        <f t="shared" si="25"/>
        <v>2.3890100000000012</v>
      </c>
      <c r="W68" s="28">
        <f t="shared" si="26"/>
        <v>0.11945050000000007</v>
      </c>
      <c r="X68" s="28">
        <f t="shared" si="33"/>
        <v>2.5649591499999995</v>
      </c>
      <c r="Y68" s="14">
        <v>7.6925010922499997</v>
      </c>
      <c r="Z68" s="13">
        <v>0.14249999999999999</v>
      </c>
      <c r="AA68" s="14">
        <v>6.5950967548104957</v>
      </c>
      <c r="AB68" s="13">
        <f t="shared" si="35"/>
        <v>0.7016</v>
      </c>
      <c r="AC68" s="14">
        <v>8.9708467548104949</v>
      </c>
      <c r="AD68" s="26">
        <f t="shared" si="20"/>
        <v>0.14249999999999996</v>
      </c>
      <c r="AE68" s="4">
        <f t="shared" si="21"/>
        <v>8.9700000000000006</v>
      </c>
      <c r="AF68" s="27">
        <f t="shared" si="34"/>
        <v>0.14249999999999999</v>
      </c>
      <c r="AG68" s="4">
        <f t="shared" si="22"/>
        <v>7.69</v>
      </c>
      <c r="AH68" s="27">
        <f t="shared" si="23"/>
        <v>0.7016</v>
      </c>
    </row>
    <row r="69" spans="1:34" x14ac:dyDescent="0.35">
      <c r="A69" s="8" t="s">
        <v>176</v>
      </c>
      <c r="B69" s="9" t="s">
        <v>177</v>
      </c>
      <c r="C69" s="8" t="s">
        <v>1134</v>
      </c>
      <c r="D69" s="8" t="s">
        <v>1175</v>
      </c>
      <c r="E69" s="8" t="s">
        <v>905</v>
      </c>
      <c r="F69" s="25" t="s">
        <v>930</v>
      </c>
      <c r="G69" s="8" t="s">
        <v>21</v>
      </c>
      <c r="H69" s="8">
        <v>3</v>
      </c>
      <c r="I69" s="8" t="s">
        <v>1163</v>
      </c>
      <c r="J69" s="10">
        <v>33.049999999999997</v>
      </c>
      <c r="K69" s="22">
        <v>0.39400000000000002</v>
      </c>
      <c r="L69" s="11">
        <v>23.98</v>
      </c>
      <c r="M69" s="13">
        <v>0.6956</v>
      </c>
      <c r="N69" s="17">
        <f t="shared" si="27"/>
        <v>7.299512</v>
      </c>
      <c r="O69" s="13">
        <v>0.1075</v>
      </c>
      <c r="P69" s="14">
        <f t="shared" si="28"/>
        <v>6.5148144599999993</v>
      </c>
      <c r="Q69" s="14">
        <f t="shared" si="29"/>
        <v>5.1624629877999997</v>
      </c>
      <c r="R69" s="28">
        <f t="shared" si="30"/>
        <v>0.45603701219999998</v>
      </c>
      <c r="S69" s="28">
        <f t="shared" si="31"/>
        <v>1.5205511801495399</v>
      </c>
      <c r="T69" s="28">
        <f t="shared" si="32"/>
        <v>2.5779529877999998</v>
      </c>
      <c r="U69" s="28">
        <f t="shared" si="24"/>
        <v>2.5779529877999998</v>
      </c>
      <c r="V69" s="28">
        <f t="shared" si="25"/>
        <v>2.5845099999999999</v>
      </c>
      <c r="W69" s="28">
        <f t="shared" si="26"/>
        <v>0.12922549999999999</v>
      </c>
      <c r="X69" s="28">
        <f t="shared" si="33"/>
        <v>2.7071784877999998</v>
      </c>
      <c r="Y69" s="14">
        <v>9.22116497835</v>
      </c>
      <c r="Z69" s="13">
        <v>0.14249999999999999</v>
      </c>
      <c r="AA69" s="14">
        <v>8.1756951642565596</v>
      </c>
      <c r="AB69" s="13">
        <f t="shared" si="35"/>
        <v>0.65910000000000002</v>
      </c>
      <c r="AC69" s="14">
        <v>10.753545164256559</v>
      </c>
      <c r="AD69" s="26">
        <f t="shared" si="20"/>
        <v>0.14249999999999996</v>
      </c>
      <c r="AE69" s="4">
        <f t="shared" si="21"/>
        <v>10.75</v>
      </c>
      <c r="AF69" s="27">
        <f t="shared" si="34"/>
        <v>0.14249999999999999</v>
      </c>
      <c r="AG69" s="4">
        <f t="shared" si="22"/>
        <v>9.2200000000000006</v>
      </c>
      <c r="AH69" s="27">
        <f t="shared" si="23"/>
        <v>0.65910000000000002</v>
      </c>
    </row>
    <row r="70" spans="1:34" x14ac:dyDescent="0.35">
      <c r="A70" s="8" t="s">
        <v>178</v>
      </c>
      <c r="B70" s="9" t="s">
        <v>179</v>
      </c>
      <c r="C70" s="8" t="s">
        <v>1134</v>
      </c>
      <c r="D70" s="8" t="s">
        <v>1175</v>
      </c>
      <c r="E70" s="8" t="s">
        <v>905</v>
      </c>
      <c r="F70" s="25" t="s">
        <v>930</v>
      </c>
      <c r="G70" s="8" t="s">
        <v>21</v>
      </c>
      <c r="H70" s="8">
        <v>5</v>
      </c>
      <c r="I70" s="8" t="s">
        <v>1163</v>
      </c>
      <c r="J70" s="10">
        <v>65.650000000000006</v>
      </c>
      <c r="K70" s="22">
        <v>0.39400000000000002</v>
      </c>
      <c r="L70" s="11">
        <v>47.63</v>
      </c>
      <c r="M70" s="13">
        <v>0.74760000000000004</v>
      </c>
      <c r="N70" s="17">
        <f t="shared" si="27"/>
        <v>12.021811999999999</v>
      </c>
      <c r="O70" s="13">
        <v>0.1075</v>
      </c>
      <c r="P70" s="14">
        <f t="shared" si="28"/>
        <v>10.729467209999999</v>
      </c>
      <c r="Q70" s="14">
        <f t="shared" si="29"/>
        <v>10.409437295300002</v>
      </c>
      <c r="R70" s="28">
        <f t="shared" si="30"/>
        <v>0.75106270470000003</v>
      </c>
      <c r="S70" s="28">
        <f t="shared" si="31"/>
        <v>2.5042469173467898</v>
      </c>
      <c r="T70" s="28">
        <f t="shared" si="32"/>
        <v>5.2756072953000004</v>
      </c>
      <c r="U70" s="28">
        <f t="shared" si="24"/>
        <v>5.2756072953000004</v>
      </c>
      <c r="V70" s="28">
        <f t="shared" si="25"/>
        <v>5.1338300000000014</v>
      </c>
      <c r="W70" s="28">
        <f t="shared" si="26"/>
        <v>0.25669150000000007</v>
      </c>
      <c r="X70" s="28">
        <f t="shared" si="33"/>
        <v>5.5322987953000009</v>
      </c>
      <c r="Y70" s="14">
        <v>16.260121460475002</v>
      </c>
      <c r="Z70" s="13">
        <v>0.14249999999999999</v>
      </c>
      <c r="AA70" s="14">
        <v>13.842015770233235</v>
      </c>
      <c r="AB70" s="13">
        <f t="shared" si="35"/>
        <v>0.70940000000000003</v>
      </c>
      <c r="AC70" s="14">
        <v>18.962240770233237</v>
      </c>
      <c r="AD70" s="26">
        <f t="shared" si="20"/>
        <v>0.14249999999999993</v>
      </c>
      <c r="AE70" s="4">
        <f t="shared" si="21"/>
        <v>18.96</v>
      </c>
      <c r="AF70" s="27">
        <f t="shared" si="34"/>
        <v>0.14249999999999999</v>
      </c>
      <c r="AG70" s="4">
        <f t="shared" si="22"/>
        <v>16.260000000000002</v>
      </c>
      <c r="AH70" s="27">
        <f t="shared" si="23"/>
        <v>0.70940000000000003</v>
      </c>
    </row>
    <row r="71" spans="1:34" x14ac:dyDescent="0.35">
      <c r="A71" s="8" t="s">
        <v>180</v>
      </c>
      <c r="B71" s="9" t="s">
        <v>181</v>
      </c>
      <c r="C71" s="8" t="s">
        <v>1134</v>
      </c>
      <c r="D71" s="8" t="s">
        <v>1175</v>
      </c>
      <c r="E71" s="8" t="s">
        <v>905</v>
      </c>
      <c r="F71" s="25" t="s">
        <v>930</v>
      </c>
      <c r="G71" s="8" t="s">
        <v>42</v>
      </c>
      <c r="H71" s="8">
        <v>3</v>
      </c>
      <c r="I71" s="8" t="s">
        <v>1163</v>
      </c>
      <c r="J71" s="10">
        <v>83.03</v>
      </c>
      <c r="K71" s="22">
        <v>0.39400000000000002</v>
      </c>
      <c r="L71" s="11">
        <v>60.24</v>
      </c>
      <c r="M71" s="13">
        <v>0.5454</v>
      </c>
      <c r="N71" s="17">
        <f t="shared" si="27"/>
        <v>27.385104000000002</v>
      </c>
      <c r="O71" s="13">
        <v>0.1075</v>
      </c>
      <c r="P71" s="14">
        <f t="shared" si="28"/>
        <v>24.441205320000002</v>
      </c>
      <c r="Q71" s="14">
        <f t="shared" si="29"/>
        <v>12.404215627600001</v>
      </c>
      <c r="R71" s="28">
        <f t="shared" si="30"/>
        <v>1.7108843724000002</v>
      </c>
      <c r="S71" s="28">
        <f t="shared" si="31"/>
        <v>5.7045528804826802</v>
      </c>
      <c r="T71" s="28">
        <f t="shared" si="32"/>
        <v>5.9112696275999994</v>
      </c>
      <c r="U71" s="28">
        <f t="shared" si="24"/>
        <v>5.9112696275999994</v>
      </c>
      <c r="V71" s="28">
        <f t="shared" si="25"/>
        <v>6.4929460000000017</v>
      </c>
      <c r="W71" s="28">
        <f t="shared" si="26"/>
        <v>0.32464730000000008</v>
      </c>
      <c r="X71" s="28">
        <f t="shared" si="33"/>
        <v>6.2359169275999999</v>
      </c>
      <c r="Y71" s="14">
        <v>30.675042310999999</v>
      </c>
      <c r="Z71" s="13">
        <v>0.14249999999999999</v>
      </c>
      <c r="AA71" s="14">
        <v>29.296844094460639</v>
      </c>
      <c r="AB71" s="13">
        <f t="shared" si="35"/>
        <v>0.51370000000000005</v>
      </c>
      <c r="AC71" s="14">
        <v>35.772644094460638</v>
      </c>
      <c r="AD71" s="26">
        <f t="shared" si="20"/>
        <v>0.14249999999999996</v>
      </c>
      <c r="AE71" s="4">
        <f t="shared" si="21"/>
        <v>35.770000000000003</v>
      </c>
      <c r="AF71" s="27">
        <f t="shared" si="34"/>
        <v>0.14249999999999999</v>
      </c>
      <c r="AG71" s="4">
        <f t="shared" si="22"/>
        <v>30.68</v>
      </c>
      <c r="AH71" s="27">
        <f t="shared" si="23"/>
        <v>0.51370000000000005</v>
      </c>
    </row>
    <row r="72" spans="1:34" x14ac:dyDescent="0.35">
      <c r="A72" s="8" t="s">
        <v>182</v>
      </c>
      <c r="B72" s="9" t="s">
        <v>183</v>
      </c>
      <c r="C72" s="8" t="s">
        <v>1134</v>
      </c>
      <c r="D72" s="8" t="s">
        <v>1175</v>
      </c>
      <c r="E72" s="8" t="s">
        <v>905</v>
      </c>
      <c r="F72" s="25" t="s">
        <v>930</v>
      </c>
      <c r="G72" s="8" t="s">
        <v>1121</v>
      </c>
      <c r="H72" s="8">
        <v>4</v>
      </c>
      <c r="I72" s="8" t="s">
        <v>1163</v>
      </c>
      <c r="J72" s="10">
        <v>102.22</v>
      </c>
      <c r="K72" s="22">
        <v>0.39400000000000002</v>
      </c>
      <c r="L72" s="11">
        <v>74.16</v>
      </c>
      <c r="M72" s="13">
        <v>0.66390000000000005</v>
      </c>
      <c r="N72" s="17">
        <f t="shared" si="27"/>
        <v>24.925175999999997</v>
      </c>
      <c r="O72" s="13">
        <v>0.1075</v>
      </c>
      <c r="P72" s="14">
        <f t="shared" si="28"/>
        <v>22.245719579999996</v>
      </c>
      <c r="Q72" s="14">
        <f t="shared" si="29"/>
        <v>15.820199629400001</v>
      </c>
      <c r="R72" s="28">
        <f t="shared" si="30"/>
        <v>1.5572003705999999</v>
      </c>
      <c r="S72" s="28">
        <f t="shared" si="31"/>
        <v>5.1921287042524185</v>
      </c>
      <c r="T72" s="28">
        <f t="shared" si="32"/>
        <v>7.8265956293999981</v>
      </c>
      <c r="U72" s="28">
        <f t="shared" si="24"/>
        <v>7.8265956293999981</v>
      </c>
      <c r="V72" s="28">
        <f t="shared" si="25"/>
        <v>7.993604000000003</v>
      </c>
      <c r="W72" s="28">
        <f t="shared" si="26"/>
        <v>0.39968020000000015</v>
      </c>
      <c r="X72" s="28">
        <f t="shared" si="33"/>
        <v>8.2262758293999987</v>
      </c>
      <c r="Y72" s="14">
        <v>30.469434849999992</v>
      </c>
      <c r="Z72" s="13">
        <v>0.14249999999999999</v>
      </c>
      <c r="AA72" s="14">
        <v>27.560668629737602</v>
      </c>
      <c r="AB72" s="13">
        <f t="shared" si="35"/>
        <v>0.62839999999999996</v>
      </c>
      <c r="AC72" s="14">
        <v>35.5328686297376</v>
      </c>
      <c r="AD72" s="26">
        <f t="shared" si="20"/>
        <v>0.14249999999999999</v>
      </c>
      <c r="AE72" s="4">
        <f t="shared" si="21"/>
        <v>35.53</v>
      </c>
      <c r="AF72" s="27">
        <f t="shared" si="34"/>
        <v>0.14249999999999999</v>
      </c>
      <c r="AG72" s="4">
        <f t="shared" si="22"/>
        <v>30.47</v>
      </c>
      <c r="AH72" s="27">
        <f t="shared" si="23"/>
        <v>0.62839999999999996</v>
      </c>
    </row>
    <row r="73" spans="1:34" x14ac:dyDescent="0.35">
      <c r="A73" s="8" t="s">
        <v>184</v>
      </c>
      <c r="B73" s="9" t="s">
        <v>185</v>
      </c>
      <c r="C73" s="8" t="s">
        <v>1135</v>
      </c>
      <c r="D73" s="8" t="s">
        <v>1176</v>
      </c>
      <c r="E73" s="8" t="s">
        <v>905</v>
      </c>
      <c r="F73" s="25" t="s">
        <v>931</v>
      </c>
      <c r="G73" s="8" t="s">
        <v>3</v>
      </c>
      <c r="H73" s="8">
        <v>15</v>
      </c>
      <c r="I73" s="8" t="s">
        <v>1164</v>
      </c>
      <c r="J73" s="10">
        <v>15.86</v>
      </c>
      <c r="K73" s="22">
        <v>0.3417</v>
      </c>
      <c r="L73" s="11">
        <v>11.82</v>
      </c>
      <c r="M73" s="13">
        <v>0.52490000000000003</v>
      </c>
      <c r="N73" s="17">
        <f t="shared" si="27"/>
        <v>5.6156819999999996</v>
      </c>
      <c r="O73" s="13">
        <v>0.1075</v>
      </c>
      <c r="P73" s="14">
        <f t="shared" si="28"/>
        <v>5.0119961849999992</v>
      </c>
      <c r="Q73" s="14">
        <f t="shared" si="29"/>
        <v>2.3453602670500002</v>
      </c>
      <c r="R73" s="28">
        <f t="shared" si="30"/>
        <v>0.35083973294999998</v>
      </c>
      <c r="S73" s="28">
        <f t="shared" si="31"/>
        <v>1.169794897582815</v>
      </c>
      <c r="T73" s="28">
        <f t="shared" si="32"/>
        <v>1.1051082670500001</v>
      </c>
      <c r="U73" s="28">
        <f t="shared" si="24"/>
        <v>1.169794897582815</v>
      </c>
      <c r="V73" s="28">
        <f t="shared" si="25"/>
        <v>1.1755653694671853</v>
      </c>
      <c r="W73" s="28">
        <f t="shared" si="26"/>
        <v>5.8778268473359263E-2</v>
      </c>
      <c r="X73" s="28">
        <f t="shared" si="33"/>
        <v>1.2285731660561743</v>
      </c>
      <c r="Y73" s="14">
        <v>6.2405175786499996</v>
      </c>
      <c r="Z73" s="13">
        <v>0.14249999999999999</v>
      </c>
      <c r="AA73" s="14">
        <v>6.0069215202915442</v>
      </c>
      <c r="AB73" s="13">
        <f t="shared" si="35"/>
        <v>0.49180000000000001</v>
      </c>
      <c r="AC73" s="14">
        <v>7.2775715202915441</v>
      </c>
      <c r="AD73" s="26">
        <f t="shared" si="20"/>
        <v>0.14249999999999993</v>
      </c>
      <c r="AE73" s="4">
        <f t="shared" si="21"/>
        <v>7.28</v>
      </c>
      <c r="AF73" s="27">
        <f t="shared" si="34"/>
        <v>0.14249999999999999</v>
      </c>
      <c r="AG73" s="4">
        <f t="shared" si="22"/>
        <v>6.24</v>
      </c>
      <c r="AH73" s="27">
        <f t="shared" si="23"/>
        <v>0.49180000000000001</v>
      </c>
    </row>
    <row r="74" spans="1:34" x14ac:dyDescent="0.35">
      <c r="A74" s="8" t="s">
        <v>186</v>
      </c>
      <c r="B74" s="9" t="s">
        <v>187</v>
      </c>
      <c r="C74" s="8" t="s">
        <v>1134</v>
      </c>
      <c r="D74" s="8" t="s">
        <v>1177</v>
      </c>
      <c r="E74" s="8" t="s">
        <v>905</v>
      </c>
      <c r="F74" s="25" t="s">
        <v>932</v>
      </c>
      <c r="G74" s="8" t="s">
        <v>3</v>
      </c>
      <c r="H74" s="8">
        <v>24</v>
      </c>
      <c r="I74" s="8" t="s">
        <v>1163</v>
      </c>
      <c r="J74" s="10">
        <v>28.75</v>
      </c>
      <c r="K74" s="22">
        <v>0.39400000000000002</v>
      </c>
      <c r="L74" s="11">
        <v>20.86</v>
      </c>
      <c r="M74" s="13">
        <v>0.64359999999999995</v>
      </c>
      <c r="N74" s="17">
        <f t="shared" si="27"/>
        <v>7.4345040000000004</v>
      </c>
      <c r="O74" s="13">
        <v>0.1075</v>
      </c>
      <c r="P74" s="14">
        <f t="shared" si="28"/>
        <v>6.6352948200000004</v>
      </c>
      <c r="Q74" s="14">
        <f t="shared" si="29"/>
        <v>4.4230293626000003</v>
      </c>
      <c r="R74" s="28">
        <f t="shared" si="30"/>
        <v>0.46447063740000005</v>
      </c>
      <c r="S74" s="28">
        <f t="shared" si="31"/>
        <v>1.5486711756931804</v>
      </c>
      <c r="T74" s="28">
        <f t="shared" si="32"/>
        <v>2.1747793625999998</v>
      </c>
      <c r="U74" s="28">
        <f t="shared" si="24"/>
        <v>2.1747793625999998</v>
      </c>
      <c r="V74" s="28">
        <f t="shared" si="25"/>
        <v>2.2482500000000005</v>
      </c>
      <c r="W74" s="28">
        <f t="shared" si="26"/>
        <v>0.11241250000000003</v>
      </c>
      <c r="X74" s="28">
        <f t="shared" si="33"/>
        <v>2.2871918625999998</v>
      </c>
      <c r="Y74" s="14">
        <v>8.9217664389499998</v>
      </c>
      <c r="Z74" s="13">
        <v>0.14249999999999999</v>
      </c>
      <c r="AA74" s="14">
        <v>8.1619423486297364</v>
      </c>
      <c r="AB74" s="13">
        <f t="shared" si="35"/>
        <v>0.60870000000000002</v>
      </c>
      <c r="AC74" s="14">
        <v>10.404392348629736</v>
      </c>
      <c r="AD74" s="26">
        <f t="shared" si="20"/>
        <v>0.1424999999999999</v>
      </c>
      <c r="AE74" s="4">
        <f t="shared" si="21"/>
        <v>10.4</v>
      </c>
      <c r="AF74" s="27">
        <f t="shared" si="34"/>
        <v>0.14249999999999999</v>
      </c>
      <c r="AG74" s="4">
        <f t="shared" si="22"/>
        <v>8.92</v>
      </c>
      <c r="AH74" s="27">
        <f t="shared" si="23"/>
        <v>0.60870000000000002</v>
      </c>
    </row>
    <row r="75" spans="1:34" x14ac:dyDescent="0.35">
      <c r="A75" s="8" t="s">
        <v>188</v>
      </c>
      <c r="B75" s="9" t="s">
        <v>189</v>
      </c>
      <c r="C75" s="8" t="s">
        <v>1135</v>
      </c>
      <c r="D75" s="8" t="s">
        <v>1178</v>
      </c>
      <c r="E75" s="8" t="s">
        <v>905</v>
      </c>
      <c r="F75" s="25" t="s">
        <v>932</v>
      </c>
      <c r="G75" s="8" t="s">
        <v>3</v>
      </c>
      <c r="H75" s="8">
        <v>30</v>
      </c>
      <c r="I75" s="8" t="s">
        <v>1164</v>
      </c>
      <c r="J75" s="10">
        <v>37.36</v>
      </c>
      <c r="K75" s="22">
        <v>0.3417</v>
      </c>
      <c r="L75" s="11">
        <v>27.85</v>
      </c>
      <c r="M75" s="13">
        <v>0.18729999999999999</v>
      </c>
      <c r="N75" s="17">
        <f t="shared" si="27"/>
        <v>22.633694999999999</v>
      </c>
      <c r="O75" s="13">
        <v>0.1075</v>
      </c>
      <c r="P75" s="14">
        <f t="shared" si="28"/>
        <v>20.200572787499997</v>
      </c>
      <c r="Q75" s="14">
        <f t="shared" si="29"/>
        <v>4.937159904875001</v>
      </c>
      <c r="R75" s="28">
        <f t="shared" si="30"/>
        <v>1.4140400951249998</v>
      </c>
      <c r="S75" s="28">
        <f t="shared" si="31"/>
        <v>4.7147934880297129</v>
      </c>
      <c r="T75" s="28">
        <f t="shared" si="32"/>
        <v>2.015607904875</v>
      </c>
      <c r="U75" s="28">
        <f t="shared" si="24"/>
        <v>4.7147934880297129</v>
      </c>
      <c r="V75" s="28">
        <f t="shared" si="25"/>
        <v>0.22236641684528813</v>
      </c>
      <c r="W75" s="28">
        <f t="shared" si="26"/>
        <v>1.1118320842264407E-2</v>
      </c>
      <c r="X75" s="28">
        <f t="shared" si="33"/>
        <v>4.7259118088719774</v>
      </c>
      <c r="Y75" s="14">
        <v>24.925949948219404</v>
      </c>
      <c r="Z75" s="13">
        <v>0.14249999999999999</v>
      </c>
      <c r="AA75" s="14">
        <v>26.074288204920588</v>
      </c>
      <c r="AB75" s="13">
        <f t="shared" si="35"/>
        <v>6.3799999999999996E-2</v>
      </c>
      <c r="AC75" s="14">
        <v>29.068163204920587</v>
      </c>
      <c r="AD75" s="26">
        <f t="shared" si="20"/>
        <v>0.14249999999999996</v>
      </c>
      <c r="AE75" s="4">
        <f t="shared" si="21"/>
        <v>29.07</v>
      </c>
      <c r="AF75" s="27">
        <f t="shared" si="34"/>
        <v>0.14249999999999999</v>
      </c>
      <c r="AG75" s="4">
        <f t="shared" si="22"/>
        <v>24.93</v>
      </c>
      <c r="AH75" s="27">
        <f t="shared" si="23"/>
        <v>6.3799999999999996E-2</v>
      </c>
    </row>
    <row r="76" spans="1:34" x14ac:dyDescent="0.35">
      <c r="A76" s="8" t="s">
        <v>190</v>
      </c>
      <c r="B76" s="9" t="s">
        <v>191</v>
      </c>
      <c r="C76" s="8" t="s">
        <v>1135</v>
      </c>
      <c r="D76" s="8" t="s">
        <v>1179</v>
      </c>
      <c r="E76" s="8" t="s">
        <v>905</v>
      </c>
      <c r="F76" s="25" t="s">
        <v>933</v>
      </c>
      <c r="G76" s="8" t="s">
        <v>3</v>
      </c>
      <c r="H76" s="8">
        <v>30</v>
      </c>
      <c r="I76" s="8" t="s">
        <v>1164</v>
      </c>
      <c r="J76" s="10">
        <v>34.090000000000003</v>
      </c>
      <c r="K76" s="22">
        <v>0.3417</v>
      </c>
      <c r="L76" s="11">
        <v>25.41</v>
      </c>
      <c r="M76" s="13">
        <v>0.6371</v>
      </c>
      <c r="N76" s="17">
        <f t="shared" si="27"/>
        <v>9.2212890000000005</v>
      </c>
      <c r="O76" s="13">
        <v>0.1075</v>
      </c>
      <c r="P76" s="14">
        <f t="shared" si="28"/>
        <v>8.2300004325000007</v>
      </c>
      <c r="Q76" s="14">
        <f t="shared" si="29"/>
        <v>5.2191999697250004</v>
      </c>
      <c r="R76" s="28">
        <f t="shared" si="30"/>
        <v>0.57610003027500012</v>
      </c>
      <c r="S76" s="28">
        <f t="shared" si="31"/>
        <v>1.9208738709450679</v>
      </c>
      <c r="T76" s="28">
        <f t="shared" si="32"/>
        <v>2.5533619697250001</v>
      </c>
      <c r="U76" s="28">
        <f t="shared" si="24"/>
        <v>2.5533619697250001</v>
      </c>
      <c r="V76" s="28">
        <f t="shared" si="25"/>
        <v>2.6658380000000004</v>
      </c>
      <c r="W76" s="28">
        <f t="shared" si="26"/>
        <v>0.13329190000000002</v>
      </c>
      <c r="X76" s="28">
        <f t="shared" si="33"/>
        <v>2.6866538697250002</v>
      </c>
      <c r="Y76" s="14">
        <v>10.91577695845</v>
      </c>
      <c r="Z76" s="13">
        <v>0.14249999999999999</v>
      </c>
      <c r="AA76" s="14">
        <v>9.998194047755101</v>
      </c>
      <c r="AB76" s="13">
        <f t="shared" si="35"/>
        <v>0.60650000000000004</v>
      </c>
      <c r="AC76" s="14">
        <v>12.7297690477551</v>
      </c>
      <c r="AD76" s="26">
        <f t="shared" si="20"/>
        <v>0.14249999999999993</v>
      </c>
      <c r="AE76" s="4">
        <f t="shared" si="21"/>
        <v>12.73</v>
      </c>
      <c r="AF76" s="27">
        <f t="shared" si="34"/>
        <v>0.14249999999999999</v>
      </c>
      <c r="AG76" s="4">
        <f t="shared" si="22"/>
        <v>10.92</v>
      </c>
      <c r="AH76" s="27">
        <f t="shared" si="23"/>
        <v>0.60650000000000004</v>
      </c>
    </row>
    <row r="77" spans="1:34" x14ac:dyDescent="0.35">
      <c r="A77" s="8" t="s">
        <v>192</v>
      </c>
      <c r="B77" s="9" t="s">
        <v>193</v>
      </c>
      <c r="C77" s="8" t="s">
        <v>1135</v>
      </c>
      <c r="D77" s="8" t="s">
        <v>1179</v>
      </c>
      <c r="E77" s="8" t="s">
        <v>905</v>
      </c>
      <c r="F77" s="25" t="s">
        <v>933</v>
      </c>
      <c r="G77" s="8" t="s">
        <v>3</v>
      </c>
      <c r="H77" s="8">
        <v>30</v>
      </c>
      <c r="I77" s="8" t="s">
        <v>1164</v>
      </c>
      <c r="J77" s="10">
        <v>33.42</v>
      </c>
      <c r="K77" s="22">
        <v>0.3417</v>
      </c>
      <c r="L77" s="11">
        <v>24.91</v>
      </c>
      <c r="M77" s="13">
        <v>0.65790000000000004</v>
      </c>
      <c r="N77" s="17">
        <f t="shared" si="27"/>
        <v>8.5217109999999998</v>
      </c>
      <c r="O77" s="13">
        <v>0.1075</v>
      </c>
      <c r="P77" s="14">
        <f t="shared" si="28"/>
        <v>7.6056270674999995</v>
      </c>
      <c r="Q77" s="14">
        <f t="shared" si="29"/>
        <v>5.1490061052750011</v>
      </c>
      <c r="R77" s="28">
        <f t="shared" si="30"/>
        <v>0.53239389472499998</v>
      </c>
      <c r="S77" s="28">
        <f t="shared" si="31"/>
        <v>1.7751457519274327</v>
      </c>
      <c r="T77" s="28">
        <f t="shared" si="32"/>
        <v>2.5355621052749999</v>
      </c>
      <c r="U77" s="28">
        <f t="shared" si="24"/>
        <v>2.5355621052749999</v>
      </c>
      <c r="V77" s="28">
        <f t="shared" si="25"/>
        <v>2.6134440000000012</v>
      </c>
      <c r="W77" s="28">
        <f t="shared" si="26"/>
        <v>0.13067220000000007</v>
      </c>
      <c r="X77" s="28">
        <f t="shared" si="33"/>
        <v>2.6662343052750002</v>
      </c>
      <c r="Y77" s="14">
        <v>10.27100129275</v>
      </c>
      <c r="Z77" s="13">
        <v>0.14249999999999999</v>
      </c>
      <c r="AA77" s="14">
        <v>9.3000190731778414</v>
      </c>
      <c r="AB77" s="13">
        <f t="shared" si="35"/>
        <v>0.62670000000000003</v>
      </c>
      <c r="AC77" s="14">
        <v>11.977844073177842</v>
      </c>
      <c r="AD77" s="26">
        <f t="shared" si="20"/>
        <v>0.1424999999999999</v>
      </c>
      <c r="AE77" s="4">
        <f t="shared" si="21"/>
        <v>11.98</v>
      </c>
      <c r="AF77" s="27">
        <f t="shared" si="34"/>
        <v>0.14249999999999999</v>
      </c>
      <c r="AG77" s="4">
        <f t="shared" si="22"/>
        <v>10.27</v>
      </c>
      <c r="AH77" s="27">
        <f t="shared" si="23"/>
        <v>0.62670000000000003</v>
      </c>
    </row>
    <row r="78" spans="1:34" x14ac:dyDescent="0.35">
      <c r="A78" s="8" t="s">
        <v>194</v>
      </c>
      <c r="B78" s="9" t="s">
        <v>195</v>
      </c>
      <c r="C78" s="8" t="s">
        <v>1135</v>
      </c>
      <c r="D78" s="8" t="s">
        <v>1179</v>
      </c>
      <c r="E78" s="8" t="s">
        <v>905</v>
      </c>
      <c r="F78" s="25" t="s">
        <v>934</v>
      </c>
      <c r="G78" s="8" t="s">
        <v>3</v>
      </c>
      <c r="H78" s="8">
        <v>30</v>
      </c>
      <c r="I78" s="8" t="s">
        <v>1164</v>
      </c>
      <c r="J78" s="10">
        <v>38.700000000000003</v>
      </c>
      <c r="K78" s="22">
        <v>0.3417</v>
      </c>
      <c r="L78" s="11">
        <v>28.85</v>
      </c>
      <c r="M78" s="13">
        <v>0.58379999999999999</v>
      </c>
      <c r="N78" s="17">
        <f t="shared" si="27"/>
        <v>12.007370000000002</v>
      </c>
      <c r="O78" s="13">
        <v>0.1075</v>
      </c>
      <c r="P78" s="14">
        <f t="shared" si="28"/>
        <v>10.716577725</v>
      </c>
      <c r="Q78" s="14">
        <f t="shared" si="29"/>
        <v>5.8288395592500004</v>
      </c>
      <c r="R78" s="28">
        <f t="shared" si="30"/>
        <v>0.7501604407500001</v>
      </c>
      <c r="S78" s="28">
        <f t="shared" si="31"/>
        <v>2.5012385244372752</v>
      </c>
      <c r="T78" s="28">
        <f t="shared" si="32"/>
        <v>2.8024995592500002</v>
      </c>
      <c r="U78" s="28">
        <f t="shared" si="24"/>
        <v>2.8024995592500002</v>
      </c>
      <c r="V78" s="28">
        <f t="shared" si="25"/>
        <v>3.0263400000000003</v>
      </c>
      <c r="W78" s="28">
        <f t="shared" si="26"/>
        <v>0.15131700000000003</v>
      </c>
      <c r="X78" s="28">
        <f t="shared" si="33"/>
        <v>2.9538165592500003</v>
      </c>
      <c r="Y78" s="14">
        <v>13.669398165875</v>
      </c>
      <c r="Z78" s="13">
        <v>0.14249999999999999</v>
      </c>
      <c r="AA78" s="14">
        <v>12.839614114723032</v>
      </c>
      <c r="AB78" s="13">
        <f t="shared" si="35"/>
        <v>0.55500000000000005</v>
      </c>
      <c r="AC78" s="14">
        <v>15.940989114723031</v>
      </c>
      <c r="AD78" s="26">
        <f t="shared" si="20"/>
        <v>0.14249999999999993</v>
      </c>
      <c r="AE78" s="4">
        <f t="shared" si="21"/>
        <v>15.94</v>
      </c>
      <c r="AF78" s="27">
        <f t="shared" si="34"/>
        <v>0.14249999999999999</v>
      </c>
      <c r="AG78" s="4">
        <f t="shared" si="22"/>
        <v>13.67</v>
      </c>
      <c r="AH78" s="27">
        <f t="shared" si="23"/>
        <v>0.55500000000000005</v>
      </c>
    </row>
    <row r="79" spans="1:34" x14ac:dyDescent="0.35">
      <c r="A79" s="8" t="s">
        <v>196</v>
      </c>
      <c r="B79" s="9" t="s">
        <v>197</v>
      </c>
      <c r="C79" s="8" t="s">
        <v>1135</v>
      </c>
      <c r="D79" s="8" t="s">
        <v>1179</v>
      </c>
      <c r="E79" s="8" t="s">
        <v>905</v>
      </c>
      <c r="F79" s="25" t="s">
        <v>934</v>
      </c>
      <c r="G79" s="8" t="s">
        <v>3</v>
      </c>
      <c r="H79" s="8">
        <v>30</v>
      </c>
      <c r="I79" s="8" t="s">
        <v>1164</v>
      </c>
      <c r="J79" s="10">
        <v>34.409999999999997</v>
      </c>
      <c r="K79" s="22">
        <v>0.3417</v>
      </c>
      <c r="L79" s="11">
        <v>25.65</v>
      </c>
      <c r="M79" s="13">
        <v>0.60189999999999999</v>
      </c>
      <c r="N79" s="17">
        <f t="shared" si="27"/>
        <v>10.211264999999999</v>
      </c>
      <c r="O79" s="13">
        <v>0.1075</v>
      </c>
      <c r="P79" s="14">
        <f t="shared" si="28"/>
        <v>9.1135540124999981</v>
      </c>
      <c r="Q79" s="14">
        <f t="shared" si="29"/>
        <v>5.2117512191249995</v>
      </c>
      <c r="R79" s="28">
        <f t="shared" si="30"/>
        <v>0.63794878087499995</v>
      </c>
      <c r="S79" s="28">
        <f t="shared" si="31"/>
        <v>2.1270943929634871</v>
      </c>
      <c r="T79" s="28">
        <f t="shared" si="32"/>
        <v>2.5208892191249994</v>
      </c>
      <c r="U79" s="28">
        <f t="shared" si="24"/>
        <v>2.5208892191249994</v>
      </c>
      <c r="V79" s="28">
        <f t="shared" si="25"/>
        <v>2.6908620000000001</v>
      </c>
      <c r="W79" s="28">
        <f t="shared" si="26"/>
        <v>0.1345431</v>
      </c>
      <c r="X79" s="28">
        <f t="shared" si="33"/>
        <v>2.6554323191249996</v>
      </c>
      <c r="Y79" s="14">
        <v>11.768100701249999</v>
      </c>
      <c r="Z79" s="13">
        <v>0.14249999999999999</v>
      </c>
      <c r="AA79" s="14">
        <v>10.96635759620991</v>
      </c>
      <c r="AB79" s="13">
        <f t="shared" si="35"/>
        <v>0.57250000000000001</v>
      </c>
      <c r="AC79" s="14">
        <v>13.72373259620991</v>
      </c>
      <c r="AD79" s="26">
        <f t="shared" si="20"/>
        <v>0.1424999999999999</v>
      </c>
      <c r="AE79" s="4">
        <f t="shared" si="21"/>
        <v>13.72</v>
      </c>
      <c r="AF79" s="27">
        <f t="shared" si="34"/>
        <v>0.14249999999999999</v>
      </c>
      <c r="AG79" s="4">
        <f t="shared" si="22"/>
        <v>11.77</v>
      </c>
      <c r="AH79" s="27">
        <f t="shared" si="23"/>
        <v>0.57250000000000001</v>
      </c>
    </row>
    <row r="80" spans="1:34" x14ac:dyDescent="0.35">
      <c r="A80" s="8" t="s">
        <v>198</v>
      </c>
      <c r="B80" s="9" t="s">
        <v>199</v>
      </c>
      <c r="C80" s="8" t="s">
        <v>1135</v>
      </c>
      <c r="D80" s="8" t="s">
        <v>1180</v>
      </c>
      <c r="E80" s="8" t="s">
        <v>905</v>
      </c>
      <c r="F80" s="25" t="s">
        <v>935</v>
      </c>
      <c r="G80" s="8" t="s">
        <v>3</v>
      </c>
      <c r="H80" s="8">
        <v>20</v>
      </c>
      <c r="I80" s="8" t="s">
        <v>1164</v>
      </c>
      <c r="J80" s="10">
        <v>35.17</v>
      </c>
      <c r="K80" s="22">
        <v>0.3417</v>
      </c>
      <c r="L80" s="11">
        <v>26.22</v>
      </c>
      <c r="M80" s="13">
        <v>0.62660000000000005</v>
      </c>
      <c r="N80" s="17">
        <f t="shared" si="27"/>
        <v>9.7905479999999976</v>
      </c>
      <c r="O80" s="13">
        <v>0.1075</v>
      </c>
      <c r="P80" s="14">
        <f t="shared" si="28"/>
        <v>8.7380640899999982</v>
      </c>
      <c r="Q80" s="14">
        <f t="shared" si="29"/>
        <v>5.3672355137000007</v>
      </c>
      <c r="R80" s="28">
        <f t="shared" si="30"/>
        <v>0.61166448629999992</v>
      </c>
      <c r="S80" s="28">
        <f t="shared" si="31"/>
        <v>2.0394554205419095</v>
      </c>
      <c r="T80" s="28">
        <f t="shared" si="32"/>
        <v>2.6169415137000001</v>
      </c>
      <c r="U80" s="28">
        <f t="shared" si="24"/>
        <v>2.6169415137000001</v>
      </c>
      <c r="V80" s="28">
        <f t="shared" si="25"/>
        <v>2.7502940000000007</v>
      </c>
      <c r="W80" s="28">
        <f t="shared" si="26"/>
        <v>0.13751470000000005</v>
      </c>
      <c r="X80" s="28">
        <f t="shared" si="33"/>
        <v>2.7544562137000002</v>
      </c>
      <c r="Y80" s="14">
        <v>11.49161499265</v>
      </c>
      <c r="Z80" s="13">
        <v>0.14249999999999999</v>
      </c>
      <c r="AA80" s="14">
        <v>10.582650282973761</v>
      </c>
      <c r="AB80" s="13">
        <f t="shared" si="35"/>
        <v>0.59640000000000004</v>
      </c>
      <c r="AC80" s="14">
        <v>13.401300282973761</v>
      </c>
      <c r="AD80" s="26">
        <f t="shared" si="20"/>
        <v>0.14250000000000002</v>
      </c>
      <c r="AE80" s="4">
        <f t="shared" si="21"/>
        <v>13.4</v>
      </c>
      <c r="AF80" s="27">
        <f t="shared" si="34"/>
        <v>0.14249999999999999</v>
      </c>
      <c r="AG80" s="4">
        <f t="shared" si="22"/>
        <v>11.49</v>
      </c>
      <c r="AH80" s="27">
        <f t="shared" si="23"/>
        <v>0.59640000000000004</v>
      </c>
    </row>
    <row r="81" spans="1:34" x14ac:dyDescent="0.35">
      <c r="A81" s="8" t="s">
        <v>200</v>
      </c>
      <c r="B81" s="9" t="s">
        <v>201</v>
      </c>
      <c r="C81" s="8" t="s">
        <v>1135</v>
      </c>
      <c r="D81" s="8" t="s">
        <v>1177</v>
      </c>
      <c r="E81" s="8" t="s">
        <v>905</v>
      </c>
      <c r="F81" s="25" t="s">
        <v>936</v>
      </c>
      <c r="G81" s="8" t="s">
        <v>3</v>
      </c>
      <c r="H81" s="8">
        <v>24</v>
      </c>
      <c r="I81" s="8" t="s">
        <v>1164</v>
      </c>
      <c r="J81" s="10">
        <v>26.33</v>
      </c>
      <c r="K81" s="22">
        <v>0.3417</v>
      </c>
      <c r="L81" s="11">
        <v>19.63</v>
      </c>
      <c r="M81" s="13">
        <v>0.57250000000000001</v>
      </c>
      <c r="N81" s="17">
        <f t="shared" si="27"/>
        <v>8.391824999999999</v>
      </c>
      <c r="O81" s="13">
        <v>0.1075</v>
      </c>
      <c r="P81" s="14">
        <f t="shared" si="28"/>
        <v>7.4897038124999984</v>
      </c>
      <c r="Q81" s="14">
        <f t="shared" si="29"/>
        <v>3.9518207331249999</v>
      </c>
      <c r="R81" s="28">
        <f t="shared" si="30"/>
        <v>0.52427926687499993</v>
      </c>
      <c r="S81" s="28">
        <f t="shared" si="31"/>
        <v>1.748089380133687</v>
      </c>
      <c r="T81" s="28">
        <f t="shared" si="32"/>
        <v>1.8928147331249998</v>
      </c>
      <c r="U81" s="28">
        <f t="shared" si="24"/>
        <v>1.8928147331249998</v>
      </c>
      <c r="V81" s="28">
        <f t="shared" si="25"/>
        <v>2.0590060000000001</v>
      </c>
      <c r="W81" s="28">
        <f t="shared" si="26"/>
        <v>0.10295030000000001</v>
      </c>
      <c r="X81" s="28">
        <f t="shared" si="33"/>
        <v>1.9957650331249999</v>
      </c>
      <c r="Y81" s="14">
        <v>9.4847910707999983</v>
      </c>
      <c r="Z81" s="13">
        <v>0.14249999999999999</v>
      </c>
      <c r="AA81" s="14">
        <v>8.9507558405830885</v>
      </c>
      <c r="AB81" s="13">
        <f t="shared" si="35"/>
        <v>0.54400000000000004</v>
      </c>
      <c r="AC81" s="14">
        <v>11.060980840583088</v>
      </c>
      <c r="AD81" s="26">
        <f t="shared" si="20"/>
        <v>0.14249999999999999</v>
      </c>
      <c r="AE81" s="4">
        <f t="shared" si="21"/>
        <v>11.06</v>
      </c>
      <c r="AF81" s="27">
        <f t="shared" si="34"/>
        <v>0.14249999999999999</v>
      </c>
      <c r="AG81" s="4">
        <f t="shared" si="22"/>
        <v>9.48</v>
      </c>
      <c r="AH81" s="27">
        <f t="shared" si="23"/>
        <v>0.54400000000000004</v>
      </c>
    </row>
    <row r="82" spans="1:34" x14ac:dyDescent="0.35">
      <c r="A82" s="8" t="s">
        <v>202</v>
      </c>
      <c r="B82" s="9" t="s">
        <v>203</v>
      </c>
      <c r="C82" s="8" t="s">
        <v>1135</v>
      </c>
      <c r="D82" s="8" t="s">
        <v>1177</v>
      </c>
      <c r="E82" s="8" t="s">
        <v>905</v>
      </c>
      <c r="F82" s="25" t="s">
        <v>936</v>
      </c>
      <c r="G82" s="8" t="s">
        <v>3</v>
      </c>
      <c r="H82" s="8">
        <v>20</v>
      </c>
      <c r="I82" s="8" t="s">
        <v>1164</v>
      </c>
      <c r="J82" s="10">
        <v>26.39</v>
      </c>
      <c r="K82" s="22">
        <v>0.3417</v>
      </c>
      <c r="L82" s="11">
        <v>19.670000000000002</v>
      </c>
      <c r="M82" s="13">
        <v>0.45290000000000002</v>
      </c>
      <c r="N82" s="17">
        <f t="shared" si="27"/>
        <v>10.761457</v>
      </c>
      <c r="O82" s="13">
        <v>0.1075</v>
      </c>
      <c r="P82" s="14">
        <f t="shared" si="28"/>
        <v>9.6046003725000002</v>
      </c>
      <c r="Q82" s="14">
        <f t="shared" si="29"/>
        <v>3.8139779739250006</v>
      </c>
      <c r="R82" s="28">
        <f t="shared" si="30"/>
        <v>0.67232202607500002</v>
      </c>
      <c r="S82" s="28">
        <f t="shared" si="31"/>
        <v>2.2417041223411278</v>
      </c>
      <c r="T82" s="28">
        <f t="shared" si="32"/>
        <v>1.7502799739249999</v>
      </c>
      <c r="U82" s="28">
        <f t="shared" si="24"/>
        <v>2.2417041223411278</v>
      </c>
      <c r="V82" s="28">
        <f t="shared" si="25"/>
        <v>1.5722738515838728</v>
      </c>
      <c r="W82" s="28">
        <f t="shared" si="26"/>
        <v>7.861369257919365E-2</v>
      </c>
      <c r="X82" s="28">
        <f t="shared" si="33"/>
        <v>2.3203178149203216</v>
      </c>
      <c r="Y82" s="14">
        <v>11.924540574164988</v>
      </c>
      <c r="Z82" s="13">
        <v>0.14249999999999999</v>
      </c>
      <c r="AA82" s="14">
        <v>11.791644765790073</v>
      </c>
      <c r="AB82" s="13">
        <f t="shared" si="35"/>
        <v>0.40050000000000002</v>
      </c>
      <c r="AC82" s="14">
        <v>13.906169765790073</v>
      </c>
      <c r="AD82" s="26">
        <f t="shared" si="20"/>
        <v>0.14249999999999999</v>
      </c>
      <c r="AE82" s="4">
        <f t="shared" si="21"/>
        <v>13.91</v>
      </c>
      <c r="AF82" s="27">
        <f t="shared" si="34"/>
        <v>0.14249999999999999</v>
      </c>
      <c r="AG82" s="4">
        <f t="shared" si="22"/>
        <v>11.92</v>
      </c>
      <c r="AH82" s="27">
        <f t="shared" si="23"/>
        <v>0.40050000000000002</v>
      </c>
    </row>
    <row r="83" spans="1:34" x14ac:dyDescent="0.35">
      <c r="A83" s="8" t="s">
        <v>204</v>
      </c>
      <c r="B83" s="9" t="s">
        <v>205</v>
      </c>
      <c r="C83" s="8" t="s">
        <v>1135</v>
      </c>
      <c r="D83" s="8" t="s">
        <v>1180</v>
      </c>
      <c r="E83" s="8" t="s">
        <v>905</v>
      </c>
      <c r="F83" s="25" t="s">
        <v>937</v>
      </c>
      <c r="G83" s="8" t="s">
        <v>3</v>
      </c>
      <c r="H83" s="8">
        <v>30</v>
      </c>
      <c r="I83" s="8" t="s">
        <v>1164</v>
      </c>
      <c r="J83" s="10">
        <v>33.520000000000003</v>
      </c>
      <c r="K83" s="22">
        <v>0.3417</v>
      </c>
      <c r="L83" s="11">
        <v>24.99</v>
      </c>
      <c r="M83" s="13">
        <v>0.65790000000000004</v>
      </c>
      <c r="N83" s="17">
        <f t="shared" si="27"/>
        <v>8.549078999999999</v>
      </c>
      <c r="O83" s="13">
        <v>0.1075</v>
      </c>
      <c r="P83" s="14">
        <f t="shared" si="28"/>
        <v>7.630053007499999</v>
      </c>
      <c r="Q83" s="14">
        <f t="shared" si="29"/>
        <v>5.1642962894750015</v>
      </c>
      <c r="R83" s="28">
        <f t="shared" si="30"/>
        <v>0.53410371052499994</v>
      </c>
      <c r="S83" s="28">
        <f t="shared" si="31"/>
        <v>1.7808467418974925</v>
      </c>
      <c r="T83" s="28">
        <f t="shared" si="32"/>
        <v>2.5430322894750006</v>
      </c>
      <c r="U83" s="28">
        <f t="shared" si="24"/>
        <v>2.5430322894750006</v>
      </c>
      <c r="V83" s="28">
        <f t="shared" si="25"/>
        <v>2.6212640000000009</v>
      </c>
      <c r="W83" s="28">
        <f t="shared" si="26"/>
        <v>0.13106320000000005</v>
      </c>
      <c r="X83" s="28">
        <f t="shared" si="33"/>
        <v>2.6740954894750004</v>
      </c>
      <c r="Y83" s="14">
        <v>10.303285654749999</v>
      </c>
      <c r="Z83" s="13">
        <v>0.14249999999999999</v>
      </c>
      <c r="AA83" s="14">
        <v>9.3290684749271122</v>
      </c>
      <c r="AB83" s="13">
        <f t="shared" si="35"/>
        <v>0.62670000000000003</v>
      </c>
      <c r="AC83" s="14">
        <v>12.015493474927112</v>
      </c>
      <c r="AD83" s="26">
        <f t="shared" si="20"/>
        <v>0.14249999999999996</v>
      </c>
      <c r="AE83" s="4">
        <f t="shared" si="21"/>
        <v>12.02</v>
      </c>
      <c r="AF83" s="27">
        <f t="shared" si="34"/>
        <v>0.14249999999999999</v>
      </c>
      <c r="AG83" s="4">
        <f t="shared" si="22"/>
        <v>10.3</v>
      </c>
      <c r="AH83" s="27">
        <f t="shared" si="23"/>
        <v>0.62670000000000003</v>
      </c>
    </row>
    <row r="84" spans="1:34" x14ac:dyDescent="0.35">
      <c r="A84" s="8" t="s">
        <v>206</v>
      </c>
      <c r="B84" s="9" t="s">
        <v>207</v>
      </c>
      <c r="C84" s="8" t="s">
        <v>1135</v>
      </c>
      <c r="D84" s="8" t="s">
        <v>1181</v>
      </c>
      <c r="E84" s="8" t="s">
        <v>905</v>
      </c>
      <c r="F84" s="25" t="s">
        <v>938</v>
      </c>
      <c r="G84" s="8" t="s">
        <v>3</v>
      </c>
      <c r="H84" s="8">
        <v>30</v>
      </c>
      <c r="I84" s="8" t="s">
        <v>1164</v>
      </c>
      <c r="J84" s="10">
        <v>28.83</v>
      </c>
      <c r="K84" s="22">
        <v>0.3417</v>
      </c>
      <c r="L84" s="11">
        <v>21.49</v>
      </c>
      <c r="M84" s="13">
        <v>0.59689999999999999</v>
      </c>
      <c r="N84" s="17">
        <f t="shared" si="27"/>
        <v>8.6626189999999994</v>
      </c>
      <c r="O84" s="13">
        <v>0.1075</v>
      </c>
      <c r="P84" s="14">
        <f t="shared" si="28"/>
        <v>7.7313874574999994</v>
      </c>
      <c r="Q84" s="14">
        <f t="shared" si="29"/>
        <v>4.3599028779750002</v>
      </c>
      <c r="R84" s="28">
        <f t="shared" si="30"/>
        <v>0.54119712202500003</v>
      </c>
      <c r="S84" s="28">
        <f t="shared" si="31"/>
        <v>1.8044981011930423</v>
      </c>
      <c r="T84" s="28">
        <f t="shared" si="32"/>
        <v>2.1053968779750001</v>
      </c>
      <c r="U84" s="28">
        <f t="shared" si="24"/>
        <v>2.1053968779750001</v>
      </c>
      <c r="V84" s="28">
        <f t="shared" si="25"/>
        <v>2.2545060000000001</v>
      </c>
      <c r="W84" s="28">
        <f t="shared" si="26"/>
        <v>0.11272530000000001</v>
      </c>
      <c r="X84" s="28">
        <f t="shared" si="33"/>
        <v>2.2181221779750002</v>
      </c>
      <c r="Y84" s="14">
        <v>9.948767639499998</v>
      </c>
      <c r="Z84" s="13">
        <v>0.14249999999999999</v>
      </c>
      <c r="AA84" s="14">
        <v>9.2918863871720099</v>
      </c>
      <c r="AB84" s="13">
        <f t="shared" si="35"/>
        <v>0.56759999999999999</v>
      </c>
      <c r="AC84" s="14">
        <v>11.602061387172009</v>
      </c>
      <c r="AD84" s="26">
        <f t="shared" si="20"/>
        <v>0.14249999999999999</v>
      </c>
      <c r="AE84" s="4">
        <f t="shared" si="21"/>
        <v>11.6</v>
      </c>
      <c r="AF84" s="27">
        <f t="shared" si="34"/>
        <v>0.14249999999999999</v>
      </c>
      <c r="AG84" s="4">
        <f t="shared" si="22"/>
        <v>9.9499999999999993</v>
      </c>
      <c r="AH84" s="27">
        <f t="shared" si="23"/>
        <v>0.56759999999999999</v>
      </c>
    </row>
    <row r="85" spans="1:34" x14ac:dyDescent="0.35">
      <c r="A85" s="8" t="s">
        <v>208</v>
      </c>
      <c r="B85" s="9" t="s">
        <v>209</v>
      </c>
      <c r="C85" s="8" t="s">
        <v>1134</v>
      </c>
      <c r="D85" s="8" t="s">
        <v>1182</v>
      </c>
      <c r="E85" s="8" t="s">
        <v>905</v>
      </c>
      <c r="F85" s="25" t="s">
        <v>939</v>
      </c>
      <c r="G85" s="8" t="s">
        <v>1109</v>
      </c>
      <c r="H85" s="8">
        <v>20</v>
      </c>
      <c r="I85" s="8" t="s">
        <v>1163</v>
      </c>
      <c r="J85" s="10">
        <v>43.61</v>
      </c>
      <c r="K85" s="22">
        <v>0.39400000000000002</v>
      </c>
      <c r="L85" s="11">
        <v>31.64</v>
      </c>
      <c r="M85" s="13">
        <v>0.13730000000000001</v>
      </c>
      <c r="N85" s="17">
        <f t="shared" si="27"/>
        <v>27.295828</v>
      </c>
      <c r="O85" s="13">
        <v>0.1075</v>
      </c>
      <c r="P85" s="14">
        <f t="shared" si="28"/>
        <v>24.361526489999999</v>
      </c>
      <c r="Q85" s="14">
        <f t="shared" si="29"/>
        <v>5.7083931457000006</v>
      </c>
      <c r="R85" s="28">
        <f t="shared" si="30"/>
        <v>1.7053068543000001</v>
      </c>
      <c r="S85" s="28">
        <f t="shared" si="31"/>
        <v>5.6859559212395103</v>
      </c>
      <c r="T85" s="28">
        <f t="shared" si="32"/>
        <v>2.2980911456999999</v>
      </c>
      <c r="U85" s="28">
        <f t="shared" si="24"/>
        <v>5.6859559212395103</v>
      </c>
      <c r="V85" s="28">
        <f t="shared" si="25"/>
        <v>2.2437224460490235E-2</v>
      </c>
      <c r="W85" s="28">
        <f t="shared" si="26"/>
        <v>1.1218612230245119E-3</v>
      </c>
      <c r="X85" s="28">
        <f t="shared" si="33"/>
        <v>5.6870777824625351</v>
      </c>
      <c r="Y85" s="14">
        <v>30.047844304223222</v>
      </c>
      <c r="Z85" s="13">
        <v>0.14249999999999999</v>
      </c>
      <c r="AA85" s="14">
        <v>31.639917847490636</v>
      </c>
      <c r="AB85" s="13">
        <f t="shared" si="35"/>
        <v>0</v>
      </c>
      <c r="AC85" s="14">
        <v>35.041217847490636</v>
      </c>
      <c r="AD85" s="26">
        <f t="shared" si="20"/>
        <v>0.14249999999999993</v>
      </c>
      <c r="AE85" s="4">
        <f t="shared" si="21"/>
        <v>35.04</v>
      </c>
      <c r="AF85" s="27">
        <f t="shared" si="34"/>
        <v>0.14249999999999999</v>
      </c>
      <c r="AG85" s="4">
        <f t="shared" si="22"/>
        <v>30.05</v>
      </c>
      <c r="AH85" s="27">
        <f t="shared" si="23"/>
        <v>0</v>
      </c>
    </row>
    <row r="86" spans="1:34" x14ac:dyDescent="0.35">
      <c r="A86" s="8" t="s">
        <v>210</v>
      </c>
      <c r="B86" s="9" t="s">
        <v>211</v>
      </c>
      <c r="C86" s="8" t="s">
        <v>1135</v>
      </c>
      <c r="D86" s="8" t="s">
        <v>1139</v>
      </c>
      <c r="E86" s="8" t="s">
        <v>905</v>
      </c>
      <c r="F86" s="25" t="s">
        <v>940</v>
      </c>
      <c r="G86" s="8" t="s">
        <v>23</v>
      </c>
      <c r="H86" s="8">
        <v>15</v>
      </c>
      <c r="I86" s="8" t="s">
        <v>1164</v>
      </c>
      <c r="J86" s="10">
        <v>48.36</v>
      </c>
      <c r="K86" s="22">
        <v>0.3417</v>
      </c>
      <c r="L86" s="11">
        <v>36.049999999999997</v>
      </c>
      <c r="M86" s="13">
        <v>0.38219999999999998</v>
      </c>
      <c r="N86" s="17">
        <f t="shared" si="27"/>
        <v>22.27169</v>
      </c>
      <c r="O86" s="13">
        <v>0.1075</v>
      </c>
      <c r="P86" s="14">
        <f t="shared" si="28"/>
        <v>19.877483325</v>
      </c>
      <c r="Q86" s="14">
        <f t="shared" si="29"/>
        <v>6.8297761672499995</v>
      </c>
      <c r="R86" s="28">
        <f t="shared" si="30"/>
        <v>1.3914238327500001</v>
      </c>
      <c r="S86" s="28">
        <f t="shared" si="31"/>
        <v>4.6393847305716749</v>
      </c>
      <c r="T86" s="28">
        <f t="shared" si="32"/>
        <v>3.0480241672499995</v>
      </c>
      <c r="U86" s="28">
        <f t="shared" si="24"/>
        <v>4.6393847305716749</v>
      </c>
      <c r="V86" s="28">
        <f t="shared" si="25"/>
        <v>2.1903914366783246</v>
      </c>
      <c r="W86" s="28">
        <f t="shared" si="26"/>
        <v>0.10951957183391624</v>
      </c>
      <c r="X86" s="28">
        <f t="shared" si="33"/>
        <v>4.7489043024055908</v>
      </c>
      <c r="Y86" s="14">
        <v>24.625695560407376</v>
      </c>
      <c r="Z86" s="13">
        <v>0.14249999999999999</v>
      </c>
      <c r="AA86" s="14">
        <v>24.842637315343879</v>
      </c>
      <c r="AB86" s="13">
        <f t="shared" si="35"/>
        <v>0.31090000000000001</v>
      </c>
      <c r="AC86" s="14">
        <v>28.718012315343877</v>
      </c>
      <c r="AD86" s="26">
        <f t="shared" si="20"/>
        <v>0.14249999999999996</v>
      </c>
      <c r="AE86" s="4">
        <f t="shared" si="21"/>
        <v>28.72</v>
      </c>
      <c r="AF86" s="27">
        <f t="shared" si="34"/>
        <v>0.14249999999999999</v>
      </c>
      <c r="AG86" s="4">
        <f t="shared" si="22"/>
        <v>24.63</v>
      </c>
      <c r="AH86" s="27">
        <f t="shared" si="23"/>
        <v>0.31090000000000001</v>
      </c>
    </row>
    <row r="87" spans="1:34" x14ac:dyDescent="0.35">
      <c r="A87" s="8" t="s">
        <v>212</v>
      </c>
      <c r="B87" s="9" t="s">
        <v>213</v>
      </c>
      <c r="C87" s="8" t="s">
        <v>1135</v>
      </c>
      <c r="D87" s="8" t="s">
        <v>1139</v>
      </c>
      <c r="E87" s="8" t="s">
        <v>905</v>
      </c>
      <c r="F87" s="25" t="s">
        <v>940</v>
      </c>
      <c r="G87" s="8" t="s">
        <v>23</v>
      </c>
      <c r="H87" s="8">
        <v>30</v>
      </c>
      <c r="I87" s="8" t="s">
        <v>1164</v>
      </c>
      <c r="J87" s="10">
        <v>95.39</v>
      </c>
      <c r="K87" s="22">
        <v>0.3417</v>
      </c>
      <c r="L87" s="11">
        <v>71.11</v>
      </c>
      <c r="M87" s="13">
        <v>0.45579999999999998</v>
      </c>
      <c r="N87" s="17">
        <f t="shared" si="27"/>
        <v>38.698062</v>
      </c>
      <c r="O87" s="13">
        <v>0.1075</v>
      </c>
      <c r="P87" s="14">
        <f t="shared" si="28"/>
        <v>34.538020334999999</v>
      </c>
      <c r="Q87" s="14">
        <f t="shared" si="29"/>
        <v>13.798638576550001</v>
      </c>
      <c r="R87" s="28">
        <f t="shared" si="30"/>
        <v>2.4176614234500002</v>
      </c>
      <c r="S87" s="28">
        <f t="shared" si="31"/>
        <v>8.061139408168664</v>
      </c>
      <c r="T87" s="28">
        <f t="shared" si="32"/>
        <v>6.3391405765500002</v>
      </c>
      <c r="U87" s="28">
        <f t="shared" si="24"/>
        <v>8.061139408168664</v>
      </c>
      <c r="V87" s="28">
        <f t="shared" si="25"/>
        <v>5.737499168381337</v>
      </c>
      <c r="W87" s="28">
        <f t="shared" si="26"/>
        <v>0.28687495841906685</v>
      </c>
      <c r="X87" s="28">
        <f t="shared" si="33"/>
        <v>8.34801436658773</v>
      </c>
      <c r="Y87" s="14">
        <v>42.884669573037307</v>
      </c>
      <c r="Z87" s="13">
        <v>0.14249999999999999</v>
      </c>
      <c r="AA87" s="14">
        <v>42.366951470014349</v>
      </c>
      <c r="AB87" s="13">
        <f t="shared" si="35"/>
        <v>0.4042</v>
      </c>
      <c r="AC87" s="14">
        <v>50.011276470014352</v>
      </c>
      <c r="AD87" s="26">
        <f t="shared" si="20"/>
        <v>0.14249999999999999</v>
      </c>
      <c r="AE87" s="4">
        <f t="shared" si="21"/>
        <v>50.01</v>
      </c>
      <c r="AF87" s="27">
        <f t="shared" si="34"/>
        <v>0.14249999999999999</v>
      </c>
      <c r="AG87" s="4">
        <f t="shared" si="22"/>
        <v>42.88</v>
      </c>
      <c r="AH87" s="27">
        <f t="shared" si="23"/>
        <v>0.4042</v>
      </c>
    </row>
    <row r="88" spans="1:34" x14ac:dyDescent="0.35">
      <c r="A88" s="8" t="s">
        <v>214</v>
      </c>
      <c r="B88" s="9" t="s">
        <v>215</v>
      </c>
      <c r="C88" s="8" t="s">
        <v>1134</v>
      </c>
      <c r="D88" s="8" t="s">
        <v>1177</v>
      </c>
      <c r="E88" s="8" t="s">
        <v>905</v>
      </c>
      <c r="F88" s="25" t="s">
        <v>941</v>
      </c>
      <c r="G88" s="8" t="s">
        <v>3</v>
      </c>
      <c r="H88" s="8">
        <v>30</v>
      </c>
      <c r="I88" s="8" t="s">
        <v>1163</v>
      </c>
      <c r="J88" s="10">
        <v>136.68</v>
      </c>
      <c r="K88" s="22">
        <v>0.39400000000000002</v>
      </c>
      <c r="L88" s="11">
        <v>99.16</v>
      </c>
      <c r="M88" s="13">
        <v>0.62009999999999998</v>
      </c>
      <c r="N88" s="17">
        <f t="shared" si="27"/>
        <v>37.670884000000001</v>
      </c>
      <c r="O88" s="13">
        <v>0.1075</v>
      </c>
      <c r="P88" s="14">
        <f t="shared" si="28"/>
        <v>33.621263970000001</v>
      </c>
      <c r="Q88" s="14">
        <f t="shared" si="29"/>
        <v>20.882111522100001</v>
      </c>
      <c r="R88" s="28">
        <f t="shared" si="30"/>
        <v>2.3534884779000005</v>
      </c>
      <c r="S88" s="28">
        <f t="shared" si="31"/>
        <v>7.8471693893340291</v>
      </c>
      <c r="T88" s="28">
        <f t="shared" si="32"/>
        <v>10.193735522099999</v>
      </c>
      <c r="U88" s="28">
        <f t="shared" si="24"/>
        <v>10.193735522099999</v>
      </c>
      <c r="V88" s="28">
        <f t="shared" si="25"/>
        <v>10.688376000000002</v>
      </c>
      <c r="W88" s="28">
        <f t="shared" si="26"/>
        <v>0.53441880000000008</v>
      </c>
      <c r="X88" s="28">
        <f t="shared" si="33"/>
        <v>10.7281543221</v>
      </c>
      <c r="Y88" s="14">
        <v>44.345994545200007</v>
      </c>
      <c r="Z88" s="13">
        <v>0.14249999999999999</v>
      </c>
      <c r="AA88" s="14">
        <v>41.055745533760934</v>
      </c>
      <c r="AB88" s="13">
        <f t="shared" si="35"/>
        <v>0.58599999999999997</v>
      </c>
      <c r="AC88" s="14">
        <v>51.715445533760935</v>
      </c>
      <c r="AD88" s="26">
        <f t="shared" si="20"/>
        <v>0.1424999999999999</v>
      </c>
      <c r="AE88" s="4">
        <f t="shared" si="21"/>
        <v>51.72</v>
      </c>
      <c r="AF88" s="27">
        <f t="shared" si="34"/>
        <v>0.14249999999999999</v>
      </c>
      <c r="AG88" s="4">
        <f t="shared" si="22"/>
        <v>44.35</v>
      </c>
      <c r="AH88" s="27">
        <f t="shared" si="23"/>
        <v>0.58599999999999997</v>
      </c>
    </row>
    <row r="89" spans="1:34" x14ac:dyDescent="0.35">
      <c r="A89" s="8" t="s">
        <v>216</v>
      </c>
      <c r="B89" s="9" t="s">
        <v>217</v>
      </c>
      <c r="C89" s="8" t="s">
        <v>1134</v>
      </c>
      <c r="D89" s="8" t="s">
        <v>1177</v>
      </c>
      <c r="E89" s="8" t="s">
        <v>905</v>
      </c>
      <c r="F89" s="25" t="s">
        <v>941</v>
      </c>
      <c r="G89" s="8" t="s">
        <v>3</v>
      </c>
      <c r="H89" s="8">
        <v>50</v>
      </c>
      <c r="I89" s="8" t="s">
        <v>1163</v>
      </c>
      <c r="J89" s="10">
        <v>205.08</v>
      </c>
      <c r="K89" s="22">
        <v>0.39400000000000002</v>
      </c>
      <c r="L89" s="11">
        <v>148.78</v>
      </c>
      <c r="M89" s="13">
        <v>0.44069999999999998</v>
      </c>
      <c r="N89" s="17">
        <f t="shared" si="27"/>
        <v>83.212654000000001</v>
      </c>
      <c r="O89" s="13">
        <v>0.1075</v>
      </c>
      <c r="P89" s="14">
        <f t="shared" si="28"/>
        <v>74.267293694999992</v>
      </c>
      <c r="Q89" s="14">
        <f t="shared" si="29"/>
        <v>29.664889441350006</v>
      </c>
      <c r="R89" s="28">
        <f t="shared" si="30"/>
        <v>5.1987105586500002</v>
      </c>
      <c r="S89" s="28">
        <f t="shared" si="31"/>
        <v>17.333912081119305</v>
      </c>
      <c r="T89" s="28">
        <f t="shared" si="32"/>
        <v>13.62763344135</v>
      </c>
      <c r="U89" s="28">
        <f t="shared" si="24"/>
        <v>17.333912081119305</v>
      </c>
      <c r="V89" s="28">
        <f t="shared" si="25"/>
        <v>12.330977360230701</v>
      </c>
      <c r="W89" s="28">
        <f t="shared" si="26"/>
        <v>0.61654886801153508</v>
      </c>
      <c r="X89" s="28">
        <f t="shared" si="33"/>
        <v>17.950460949130839</v>
      </c>
      <c r="Y89" s="14">
        <v>92.214898451953502</v>
      </c>
      <c r="Z89" s="13">
        <v>0.14249999999999999</v>
      </c>
      <c r="AA89" s="14">
        <v>91.545390177205249</v>
      </c>
      <c r="AB89" s="13">
        <f t="shared" si="35"/>
        <v>0.38469999999999999</v>
      </c>
      <c r="AC89" s="14">
        <v>107.53924017720524</v>
      </c>
      <c r="AD89" s="26">
        <f t="shared" si="20"/>
        <v>0.14249999999999996</v>
      </c>
      <c r="AE89" s="4">
        <f t="shared" si="21"/>
        <v>107.54</v>
      </c>
      <c r="AF89" s="27">
        <f t="shared" si="34"/>
        <v>0.14249999999999999</v>
      </c>
      <c r="AG89" s="4">
        <f t="shared" si="22"/>
        <v>92.21</v>
      </c>
      <c r="AH89" s="27">
        <f t="shared" si="23"/>
        <v>0.38469999999999999</v>
      </c>
    </row>
    <row r="90" spans="1:34" x14ac:dyDescent="0.35">
      <c r="A90" s="8" t="s">
        <v>218</v>
      </c>
      <c r="B90" s="9" t="s">
        <v>219</v>
      </c>
      <c r="C90" s="8" t="s">
        <v>1134</v>
      </c>
      <c r="D90" s="8" t="s">
        <v>1168</v>
      </c>
      <c r="E90" s="8" t="s">
        <v>905</v>
      </c>
      <c r="F90" s="25" t="s">
        <v>942</v>
      </c>
      <c r="G90" s="8" t="s">
        <v>3</v>
      </c>
      <c r="H90" s="8">
        <v>30</v>
      </c>
      <c r="I90" s="8" t="s">
        <v>1163</v>
      </c>
      <c r="J90" s="10">
        <v>90.13</v>
      </c>
      <c r="K90" s="22">
        <v>0.39400000000000002</v>
      </c>
      <c r="L90" s="11">
        <v>65.39</v>
      </c>
      <c r="M90" s="13">
        <v>0.71279999999999999</v>
      </c>
      <c r="N90" s="17">
        <f t="shared" si="27"/>
        <v>18.780008000000002</v>
      </c>
      <c r="O90" s="13">
        <v>0.1075</v>
      </c>
      <c r="P90" s="14">
        <f t="shared" si="28"/>
        <v>16.761157140000002</v>
      </c>
      <c r="Q90" s="14">
        <f t="shared" si="29"/>
        <v>14.1488190002</v>
      </c>
      <c r="R90" s="28">
        <f t="shared" si="30"/>
        <v>1.1732809998000002</v>
      </c>
      <c r="S90" s="28">
        <f t="shared" si="31"/>
        <v>3.9120373153188597</v>
      </c>
      <c r="T90" s="28">
        <f t="shared" si="32"/>
        <v>7.1006530001999986</v>
      </c>
      <c r="U90" s="28">
        <f t="shared" si="24"/>
        <v>7.1006530001999986</v>
      </c>
      <c r="V90" s="28">
        <f t="shared" si="25"/>
        <v>7.048166000000001</v>
      </c>
      <c r="W90" s="28">
        <f t="shared" si="26"/>
        <v>0.35240830000000006</v>
      </c>
      <c r="X90" s="28">
        <f t="shared" si="33"/>
        <v>7.453061300199999</v>
      </c>
      <c r="Y90" s="14">
        <v>24.211960686975001</v>
      </c>
      <c r="Z90" s="13">
        <v>0.14249999999999999</v>
      </c>
      <c r="AA90" s="14">
        <v>21.206097667026238</v>
      </c>
      <c r="AB90" s="13">
        <f t="shared" si="35"/>
        <v>0.67569999999999997</v>
      </c>
      <c r="AC90" s="14">
        <v>28.235522667026238</v>
      </c>
      <c r="AD90" s="26">
        <f t="shared" si="20"/>
        <v>0.14249999999999996</v>
      </c>
      <c r="AE90" s="4">
        <f t="shared" si="21"/>
        <v>28.24</v>
      </c>
      <c r="AF90" s="27">
        <f t="shared" si="34"/>
        <v>0.14249999999999999</v>
      </c>
      <c r="AG90" s="4">
        <f t="shared" si="22"/>
        <v>24.21</v>
      </c>
      <c r="AH90" s="27">
        <f t="shared" si="23"/>
        <v>0.67569999999999997</v>
      </c>
    </row>
    <row r="91" spans="1:34" x14ac:dyDescent="0.35">
      <c r="A91" s="8" t="s">
        <v>220</v>
      </c>
      <c r="B91" s="9" t="s">
        <v>221</v>
      </c>
      <c r="C91" s="8" t="s">
        <v>1134</v>
      </c>
      <c r="D91" s="8" t="s">
        <v>1168</v>
      </c>
      <c r="E91" s="8" t="s">
        <v>905</v>
      </c>
      <c r="F91" s="25" t="s">
        <v>942</v>
      </c>
      <c r="G91" s="8" t="s">
        <v>16</v>
      </c>
      <c r="H91" s="8">
        <v>30</v>
      </c>
      <c r="I91" s="8" t="s">
        <v>1163</v>
      </c>
      <c r="J91" s="10">
        <v>143.78</v>
      </c>
      <c r="K91" s="22">
        <v>0.39400000000000002</v>
      </c>
      <c r="L91" s="11">
        <v>104.31</v>
      </c>
      <c r="M91" s="13">
        <v>0.72319999999999995</v>
      </c>
      <c r="N91" s="17">
        <f t="shared" si="27"/>
        <v>28.873008000000006</v>
      </c>
      <c r="O91" s="13">
        <v>0.1075</v>
      </c>
      <c r="P91" s="14">
        <f t="shared" si="28"/>
        <v>25.769159640000005</v>
      </c>
      <c r="Q91" s="14">
        <f t="shared" si="29"/>
        <v>22.6387588252</v>
      </c>
      <c r="R91" s="28">
        <f t="shared" si="30"/>
        <v>1.8038411748000005</v>
      </c>
      <c r="S91" s="28">
        <f t="shared" si="31"/>
        <v>6.0144960908163618</v>
      </c>
      <c r="T91" s="28">
        <f t="shared" si="32"/>
        <v>11.3951628252</v>
      </c>
      <c r="U91" s="28">
        <f t="shared" si="24"/>
        <v>11.3951628252</v>
      </c>
      <c r="V91" s="28">
        <f t="shared" si="25"/>
        <v>11.243596</v>
      </c>
      <c r="W91" s="28">
        <f t="shared" si="26"/>
        <v>0.56217980000000001</v>
      </c>
      <c r="X91" s="28">
        <f t="shared" si="33"/>
        <v>11.957342625199999</v>
      </c>
      <c r="Y91" s="14">
        <v>37.722900701674995</v>
      </c>
      <c r="Z91" s="13">
        <v>0.14249999999999999</v>
      </c>
      <c r="AA91" s="14">
        <v>32.778395934897951</v>
      </c>
      <c r="AB91" s="13">
        <f t="shared" si="35"/>
        <v>0.68579999999999997</v>
      </c>
      <c r="AC91" s="14">
        <v>43.991720934897948</v>
      </c>
      <c r="AD91" s="26">
        <f t="shared" si="20"/>
        <v>0.1424999999999999</v>
      </c>
      <c r="AE91" s="4">
        <f t="shared" si="21"/>
        <v>43.99</v>
      </c>
      <c r="AF91" s="27">
        <f t="shared" si="34"/>
        <v>0.14249999999999999</v>
      </c>
      <c r="AG91" s="4">
        <f t="shared" si="22"/>
        <v>37.72</v>
      </c>
      <c r="AH91" s="27">
        <f t="shared" si="23"/>
        <v>0.68579999999999997</v>
      </c>
    </row>
    <row r="92" spans="1:34" x14ac:dyDescent="0.35">
      <c r="A92" s="8" t="s">
        <v>222</v>
      </c>
      <c r="B92" s="9" t="s">
        <v>223</v>
      </c>
      <c r="C92" s="8" t="s">
        <v>1134</v>
      </c>
      <c r="D92" s="8" t="s">
        <v>1168</v>
      </c>
      <c r="E92" s="8" t="s">
        <v>905</v>
      </c>
      <c r="F92" s="25" t="s">
        <v>942</v>
      </c>
      <c r="G92" s="8" t="s">
        <v>3</v>
      </c>
      <c r="H92" s="8">
        <v>30</v>
      </c>
      <c r="I92" s="8" t="s">
        <v>1163</v>
      </c>
      <c r="J92" s="10">
        <v>56.02</v>
      </c>
      <c r="K92" s="22">
        <v>0.39400000000000002</v>
      </c>
      <c r="L92" s="11">
        <v>40.64</v>
      </c>
      <c r="M92" s="13">
        <v>0.55920000000000003</v>
      </c>
      <c r="N92" s="17">
        <f t="shared" si="27"/>
        <v>17.914111999999999</v>
      </c>
      <c r="O92" s="13">
        <v>0.1075</v>
      </c>
      <c r="P92" s="14">
        <f t="shared" si="28"/>
        <v>15.988344959999999</v>
      </c>
      <c r="Q92" s="14">
        <f t="shared" si="29"/>
        <v>8.4042158528000002</v>
      </c>
      <c r="R92" s="28">
        <f t="shared" si="30"/>
        <v>1.1191841472000001</v>
      </c>
      <c r="S92" s="28">
        <f t="shared" si="31"/>
        <v>3.7316637253190397</v>
      </c>
      <c r="T92" s="28">
        <f t="shared" si="32"/>
        <v>4.0234518528000001</v>
      </c>
      <c r="U92" s="28">
        <f t="shared" si="24"/>
        <v>4.0234518528000001</v>
      </c>
      <c r="V92" s="28">
        <f t="shared" si="25"/>
        <v>4.3807640000000001</v>
      </c>
      <c r="W92" s="28">
        <f t="shared" si="26"/>
        <v>0.21903820000000002</v>
      </c>
      <c r="X92" s="28">
        <f t="shared" si="33"/>
        <v>4.2424900528</v>
      </c>
      <c r="Y92" s="14">
        <v>20.229431815200002</v>
      </c>
      <c r="Z92" s="13">
        <v>0.14249999999999999</v>
      </c>
      <c r="AA92" s="14">
        <v>19.22237412851312</v>
      </c>
      <c r="AB92" s="13">
        <f t="shared" si="35"/>
        <v>0.52700000000000002</v>
      </c>
      <c r="AC92" s="14">
        <v>23.591174128513121</v>
      </c>
      <c r="AD92" s="26">
        <f t="shared" si="20"/>
        <v>0.14249999999999996</v>
      </c>
      <c r="AE92" s="4">
        <f t="shared" si="21"/>
        <v>23.59</v>
      </c>
      <c r="AF92" s="27">
        <f t="shared" si="34"/>
        <v>0.14249999999999999</v>
      </c>
      <c r="AG92" s="4">
        <f t="shared" si="22"/>
        <v>20.23</v>
      </c>
      <c r="AH92" s="27">
        <f t="shared" si="23"/>
        <v>0.52700000000000002</v>
      </c>
    </row>
    <row r="93" spans="1:34" x14ac:dyDescent="0.35">
      <c r="A93" s="8" t="s">
        <v>224</v>
      </c>
      <c r="B93" s="9" t="s">
        <v>225</v>
      </c>
      <c r="C93" s="8" t="s">
        <v>1134</v>
      </c>
      <c r="D93" s="8" t="s">
        <v>1168</v>
      </c>
      <c r="E93" s="8" t="s">
        <v>905</v>
      </c>
      <c r="F93" s="25" t="s">
        <v>942</v>
      </c>
      <c r="G93" s="8" t="s">
        <v>25</v>
      </c>
      <c r="H93" s="8">
        <v>30</v>
      </c>
      <c r="I93" s="8" t="s">
        <v>1163</v>
      </c>
      <c r="J93" s="10">
        <v>68.180000000000007</v>
      </c>
      <c r="K93" s="22">
        <v>0.39400000000000002</v>
      </c>
      <c r="L93" s="11">
        <v>49.46</v>
      </c>
      <c r="M93" s="13">
        <v>0.58660000000000001</v>
      </c>
      <c r="N93" s="17">
        <f t="shared" si="27"/>
        <v>20.446763999999998</v>
      </c>
      <c r="O93" s="13">
        <v>0.1075</v>
      </c>
      <c r="P93" s="14">
        <f t="shared" si="28"/>
        <v>18.248736869999998</v>
      </c>
      <c r="Q93" s="14">
        <f t="shared" si="29"/>
        <v>10.313188419100001</v>
      </c>
      <c r="R93" s="28">
        <f t="shared" si="30"/>
        <v>1.2774115809</v>
      </c>
      <c r="S93" s="28">
        <f t="shared" si="31"/>
        <v>4.2592369367211296</v>
      </c>
      <c r="T93" s="28">
        <f t="shared" si="32"/>
        <v>4.9815124191000004</v>
      </c>
      <c r="U93" s="28">
        <f t="shared" si="24"/>
        <v>4.9815124191000004</v>
      </c>
      <c r="V93" s="28">
        <f t="shared" si="25"/>
        <v>5.3316760000000007</v>
      </c>
      <c r="W93" s="28">
        <f t="shared" si="26"/>
        <v>0.26658380000000004</v>
      </c>
      <c r="X93" s="28">
        <f t="shared" si="33"/>
        <v>5.2480962191000007</v>
      </c>
      <c r="Y93" s="14">
        <v>23.495125358950006</v>
      </c>
      <c r="Z93" s="13">
        <v>0.14249999999999999</v>
      </c>
      <c r="AA93" s="14">
        <v>22.082613100816328</v>
      </c>
      <c r="AB93" s="13">
        <f t="shared" si="35"/>
        <v>0.55349999999999999</v>
      </c>
      <c r="AC93" s="14">
        <v>27.39956310081633</v>
      </c>
      <c r="AD93" s="26">
        <f t="shared" si="20"/>
        <v>0.1424999999999999</v>
      </c>
      <c r="AE93" s="4">
        <f t="shared" si="21"/>
        <v>27.4</v>
      </c>
      <c r="AF93" s="27">
        <f t="shared" si="34"/>
        <v>0.14249999999999999</v>
      </c>
      <c r="AG93" s="4">
        <f t="shared" si="22"/>
        <v>23.5</v>
      </c>
      <c r="AH93" s="27">
        <f t="shared" si="23"/>
        <v>0.55349999999999999</v>
      </c>
    </row>
    <row r="94" spans="1:34" x14ac:dyDescent="0.35">
      <c r="A94" s="8" t="s">
        <v>226</v>
      </c>
      <c r="B94" s="9" t="s">
        <v>227</v>
      </c>
      <c r="C94" s="8" t="s">
        <v>1134</v>
      </c>
      <c r="D94" s="8" t="s">
        <v>1139</v>
      </c>
      <c r="E94" s="8" t="s">
        <v>905</v>
      </c>
      <c r="F94" s="25" t="s">
        <v>943</v>
      </c>
      <c r="G94" s="8" t="s">
        <v>1114</v>
      </c>
      <c r="H94" s="8">
        <v>50</v>
      </c>
      <c r="I94" s="8" t="s">
        <v>1163</v>
      </c>
      <c r="J94" s="10">
        <v>82.65</v>
      </c>
      <c r="K94" s="22">
        <v>0.39400000000000002</v>
      </c>
      <c r="L94" s="11">
        <v>59.96</v>
      </c>
      <c r="M94" s="13">
        <v>0.65010000000000001</v>
      </c>
      <c r="N94" s="17">
        <f t="shared" si="27"/>
        <v>20.980004000000001</v>
      </c>
      <c r="O94" s="13">
        <v>0.1075</v>
      </c>
      <c r="P94" s="14">
        <f t="shared" si="28"/>
        <v>18.724653570000001</v>
      </c>
      <c r="Q94" s="14">
        <f t="shared" si="29"/>
        <v>12.739774250100002</v>
      </c>
      <c r="R94" s="28">
        <f t="shared" si="30"/>
        <v>1.3107257499000002</v>
      </c>
      <c r="S94" s="28">
        <f t="shared" si="31"/>
        <v>4.37031541858443</v>
      </c>
      <c r="T94" s="28">
        <f t="shared" si="32"/>
        <v>6.2765442500999997</v>
      </c>
      <c r="U94" s="28">
        <f t="shared" si="24"/>
        <v>6.2765442500999997</v>
      </c>
      <c r="V94" s="28">
        <f t="shared" si="25"/>
        <v>6.463230000000002</v>
      </c>
      <c r="W94" s="28">
        <f t="shared" si="26"/>
        <v>0.3231615000000001</v>
      </c>
      <c r="X94" s="28">
        <f t="shared" si="33"/>
        <v>6.5997057501</v>
      </c>
      <c r="Y94" s="14">
        <v>25.322289051199999</v>
      </c>
      <c r="Z94" s="13">
        <v>0.14249999999999999</v>
      </c>
      <c r="AA94" s="14">
        <v>23.084666240466468</v>
      </c>
      <c r="AB94" s="13">
        <f t="shared" si="35"/>
        <v>0.61499999999999999</v>
      </c>
      <c r="AC94" s="14">
        <v>29.530366240466471</v>
      </c>
      <c r="AD94" s="26">
        <f t="shared" si="20"/>
        <v>0.14250000000000002</v>
      </c>
      <c r="AE94" s="4">
        <f t="shared" si="21"/>
        <v>29.53</v>
      </c>
      <c r="AF94" s="27">
        <f t="shared" si="34"/>
        <v>0.14249999999999999</v>
      </c>
      <c r="AG94" s="4">
        <f t="shared" si="22"/>
        <v>25.32</v>
      </c>
      <c r="AH94" s="27">
        <f t="shared" si="23"/>
        <v>0.61499999999999999</v>
      </c>
    </row>
    <row r="95" spans="1:34" x14ac:dyDescent="0.35">
      <c r="A95" s="8" t="s">
        <v>228</v>
      </c>
      <c r="B95" s="9" t="s">
        <v>229</v>
      </c>
      <c r="C95" s="8" t="s">
        <v>1134</v>
      </c>
      <c r="D95" s="8" t="s">
        <v>1172</v>
      </c>
      <c r="E95" s="8" t="s">
        <v>905</v>
      </c>
      <c r="F95" s="25" t="s">
        <v>944</v>
      </c>
      <c r="G95" s="8" t="s">
        <v>24</v>
      </c>
      <c r="H95" s="8">
        <v>30</v>
      </c>
      <c r="I95" s="8" t="s">
        <v>1163</v>
      </c>
      <c r="J95" s="10">
        <v>26.41</v>
      </c>
      <c r="K95" s="22">
        <v>0.39400000000000002</v>
      </c>
      <c r="L95" s="11">
        <v>19.16</v>
      </c>
      <c r="M95" s="13">
        <v>0.69310000000000005</v>
      </c>
      <c r="N95" s="17">
        <f t="shared" si="27"/>
        <v>5.8802039999999991</v>
      </c>
      <c r="O95" s="13">
        <v>0.1075</v>
      </c>
      <c r="P95" s="14">
        <f t="shared" si="28"/>
        <v>5.2480820699999988</v>
      </c>
      <c r="Q95" s="14">
        <f t="shared" si="29"/>
        <v>4.1223342551000002</v>
      </c>
      <c r="R95" s="28">
        <f t="shared" si="30"/>
        <v>0.36736574489999996</v>
      </c>
      <c r="S95" s="28">
        <f t="shared" si="31"/>
        <v>1.2248971070559298</v>
      </c>
      <c r="T95" s="28">
        <f t="shared" si="32"/>
        <v>2.0570722551</v>
      </c>
      <c r="U95" s="28">
        <f t="shared" si="24"/>
        <v>2.0570722551</v>
      </c>
      <c r="V95" s="28">
        <f t="shared" si="25"/>
        <v>2.0652620000000002</v>
      </c>
      <c r="W95" s="28">
        <f t="shared" si="26"/>
        <v>0.10326310000000001</v>
      </c>
      <c r="X95" s="28">
        <f t="shared" si="33"/>
        <v>2.1603353551</v>
      </c>
      <c r="Y95" s="14">
        <v>7.4077558782000006</v>
      </c>
      <c r="Z95" s="13">
        <v>0.14249999999999999</v>
      </c>
      <c r="AA95" s="14">
        <v>6.579082365247813</v>
      </c>
      <c r="AB95" s="13">
        <f t="shared" si="35"/>
        <v>0.65659999999999996</v>
      </c>
      <c r="AC95" s="14">
        <v>8.6387823652478133</v>
      </c>
      <c r="AD95" s="26">
        <f t="shared" si="20"/>
        <v>0.14249999999999993</v>
      </c>
      <c r="AE95" s="4">
        <f t="shared" si="21"/>
        <v>8.64</v>
      </c>
      <c r="AF95" s="27">
        <f t="shared" si="34"/>
        <v>0.14249999999999999</v>
      </c>
      <c r="AG95" s="4">
        <f t="shared" si="22"/>
        <v>7.41</v>
      </c>
      <c r="AH95" s="27">
        <f t="shared" si="23"/>
        <v>0.65659999999999996</v>
      </c>
    </row>
    <row r="96" spans="1:34" x14ac:dyDescent="0.35">
      <c r="A96" s="8" t="s">
        <v>230</v>
      </c>
      <c r="B96" s="9" t="s">
        <v>231</v>
      </c>
      <c r="C96" s="8" t="s">
        <v>1134</v>
      </c>
      <c r="D96" s="8" t="s">
        <v>1172</v>
      </c>
      <c r="E96" s="8" t="s">
        <v>905</v>
      </c>
      <c r="F96" s="25" t="s">
        <v>944</v>
      </c>
      <c r="G96" s="8" t="s">
        <v>40</v>
      </c>
      <c r="H96" s="8">
        <v>30</v>
      </c>
      <c r="I96" s="8" t="s">
        <v>1163</v>
      </c>
      <c r="J96" s="10">
        <v>41.5</v>
      </c>
      <c r="K96" s="22">
        <v>0.39400000000000002</v>
      </c>
      <c r="L96" s="11">
        <v>30.11</v>
      </c>
      <c r="M96" s="13">
        <v>0.66749999999999998</v>
      </c>
      <c r="N96" s="17">
        <f t="shared" si="27"/>
        <v>10.011575000000001</v>
      </c>
      <c r="O96" s="13">
        <v>0.1075</v>
      </c>
      <c r="P96" s="14">
        <f t="shared" si="28"/>
        <v>8.9353306875000005</v>
      </c>
      <c r="Q96" s="14">
        <f t="shared" si="29"/>
        <v>6.4295268518750008</v>
      </c>
      <c r="R96" s="28">
        <f t="shared" si="30"/>
        <v>0.6254731481250001</v>
      </c>
      <c r="S96" s="28">
        <f t="shared" si="31"/>
        <v>2.0854972471318125</v>
      </c>
      <c r="T96" s="28">
        <f t="shared" si="32"/>
        <v>3.1842268518749997</v>
      </c>
      <c r="U96" s="28">
        <f t="shared" si="24"/>
        <v>3.1842268518749997</v>
      </c>
      <c r="V96" s="28">
        <f t="shared" si="25"/>
        <v>3.2453000000000012</v>
      </c>
      <c r="W96" s="28">
        <f t="shared" si="26"/>
        <v>0.16226500000000008</v>
      </c>
      <c r="X96" s="28">
        <f t="shared" si="33"/>
        <v>3.3464918518749998</v>
      </c>
      <c r="Y96" s="14">
        <v>12.280782916350002</v>
      </c>
      <c r="Z96" s="13">
        <v>0.14249999999999999</v>
      </c>
      <c r="AA96" s="14">
        <v>11.08478773043732</v>
      </c>
      <c r="AB96" s="13">
        <f t="shared" si="35"/>
        <v>0.63190000000000002</v>
      </c>
      <c r="AC96" s="14">
        <v>14.32161273043732</v>
      </c>
      <c r="AD96" s="26">
        <f t="shared" si="20"/>
        <v>0.14249999999999993</v>
      </c>
      <c r="AE96" s="4">
        <f t="shared" si="21"/>
        <v>14.32</v>
      </c>
      <c r="AF96" s="27">
        <f t="shared" si="34"/>
        <v>0.14249999999999999</v>
      </c>
      <c r="AG96" s="4">
        <f t="shared" si="22"/>
        <v>12.28</v>
      </c>
      <c r="AH96" s="27">
        <f t="shared" si="23"/>
        <v>0.63190000000000002</v>
      </c>
    </row>
    <row r="97" spans="1:34" x14ac:dyDescent="0.35">
      <c r="A97" s="8" t="s">
        <v>232</v>
      </c>
      <c r="B97" s="9" t="s">
        <v>233</v>
      </c>
      <c r="C97" s="8" t="s">
        <v>1134</v>
      </c>
      <c r="D97" s="8" t="s">
        <v>1183</v>
      </c>
      <c r="E97" s="8" t="s">
        <v>905</v>
      </c>
      <c r="F97" s="25" t="s">
        <v>945</v>
      </c>
      <c r="G97" s="8" t="s">
        <v>3</v>
      </c>
      <c r="H97" s="8">
        <v>20</v>
      </c>
      <c r="I97" s="8" t="s">
        <v>1163</v>
      </c>
      <c r="J97" s="10">
        <v>20.58</v>
      </c>
      <c r="K97" s="22">
        <v>0.39400000000000002</v>
      </c>
      <c r="L97" s="11">
        <v>14.93</v>
      </c>
      <c r="M97" s="13">
        <v>0.68310000000000004</v>
      </c>
      <c r="N97" s="17">
        <f t="shared" si="27"/>
        <v>4.7313169999999989</v>
      </c>
      <c r="O97" s="13">
        <v>0.1075</v>
      </c>
      <c r="P97" s="14">
        <f t="shared" si="28"/>
        <v>4.2227004224999991</v>
      </c>
      <c r="Q97" s="14">
        <f t="shared" si="29"/>
        <v>3.2030109704250003</v>
      </c>
      <c r="R97" s="28">
        <f t="shared" si="30"/>
        <v>0.29558902957499994</v>
      </c>
      <c r="S97" s="28">
        <f t="shared" si="31"/>
        <v>0.98557405591107727</v>
      </c>
      <c r="T97" s="28">
        <f t="shared" si="32"/>
        <v>1.5936549704249998</v>
      </c>
      <c r="U97" s="28">
        <f t="shared" si="24"/>
        <v>1.5936549704249998</v>
      </c>
      <c r="V97" s="28">
        <f t="shared" si="25"/>
        <v>1.6093560000000005</v>
      </c>
      <c r="W97" s="28">
        <f t="shared" si="26"/>
        <v>8.0467800000000034E-2</v>
      </c>
      <c r="X97" s="28">
        <f t="shared" si="33"/>
        <v>1.6741227704249999</v>
      </c>
      <c r="Y97" s="14">
        <v>5.8963076973499993</v>
      </c>
      <c r="Z97" s="13">
        <v>0.14249999999999999</v>
      </c>
      <c r="AA97" s="14">
        <v>5.2711855799999991</v>
      </c>
      <c r="AB97" s="13">
        <f t="shared" si="35"/>
        <v>0.64690000000000003</v>
      </c>
      <c r="AC97" s="14">
        <v>6.8761605799999987</v>
      </c>
      <c r="AD97" s="26">
        <f t="shared" si="20"/>
        <v>0.14249999999999996</v>
      </c>
      <c r="AE97" s="4">
        <f t="shared" si="21"/>
        <v>6.88</v>
      </c>
      <c r="AF97" s="27">
        <f t="shared" si="34"/>
        <v>0.14249999999999999</v>
      </c>
      <c r="AG97" s="4">
        <f t="shared" si="22"/>
        <v>5.9</v>
      </c>
      <c r="AH97" s="27">
        <f t="shared" si="23"/>
        <v>0.64690000000000003</v>
      </c>
    </row>
    <row r="98" spans="1:34" x14ac:dyDescent="0.35">
      <c r="A98" s="8" t="s">
        <v>234</v>
      </c>
      <c r="B98" s="9" t="s">
        <v>235</v>
      </c>
      <c r="C98" s="8" t="s">
        <v>1135</v>
      </c>
      <c r="D98" s="8" t="s">
        <v>1168</v>
      </c>
      <c r="E98" s="8" t="s">
        <v>905</v>
      </c>
      <c r="F98" s="25" t="s">
        <v>946</v>
      </c>
      <c r="G98" s="8" t="s">
        <v>18</v>
      </c>
      <c r="H98" s="8">
        <v>24</v>
      </c>
      <c r="I98" s="8" t="s">
        <v>1164</v>
      </c>
      <c r="J98" s="10">
        <v>18.32</v>
      </c>
      <c r="K98" s="22">
        <v>0.3417</v>
      </c>
      <c r="L98" s="11">
        <v>13.66</v>
      </c>
      <c r="M98" s="13">
        <v>0.44790000000000002</v>
      </c>
      <c r="N98" s="17">
        <f t="shared" si="27"/>
        <v>7.5416860000000003</v>
      </c>
      <c r="O98" s="13">
        <v>0.1075</v>
      </c>
      <c r="P98" s="14">
        <f t="shared" si="28"/>
        <v>6.730954755</v>
      </c>
      <c r="Q98" s="14">
        <f t="shared" si="29"/>
        <v>2.64323316715</v>
      </c>
      <c r="R98" s="28">
        <f t="shared" si="30"/>
        <v>0.47116683285000005</v>
      </c>
      <c r="S98" s="28">
        <f t="shared" si="31"/>
        <v>1.5709981088622451</v>
      </c>
      <c r="T98" s="28">
        <f t="shared" si="32"/>
        <v>1.2106091671499999</v>
      </c>
      <c r="U98" s="28">
        <f t="shared" si="24"/>
        <v>1.5709981088622451</v>
      </c>
      <c r="V98" s="28">
        <f t="shared" si="25"/>
        <v>1.0722350582877549</v>
      </c>
      <c r="W98" s="28">
        <f t="shared" si="26"/>
        <v>5.3611752914387745E-2</v>
      </c>
      <c r="X98" s="28">
        <f t="shared" si="33"/>
        <v>1.6246098617766329</v>
      </c>
      <c r="Y98" s="14">
        <v>8.3553023800167026</v>
      </c>
      <c r="Z98" s="13">
        <v>0.14249999999999999</v>
      </c>
      <c r="AA98" s="14">
        <v>8.275342862993238</v>
      </c>
      <c r="AB98" s="13">
        <f t="shared" si="35"/>
        <v>0.39419999999999999</v>
      </c>
      <c r="AC98" s="14">
        <v>9.7437928629932387</v>
      </c>
      <c r="AD98" s="26">
        <f t="shared" si="20"/>
        <v>0.14249999999999996</v>
      </c>
      <c r="AE98" s="4">
        <f t="shared" si="21"/>
        <v>9.74</v>
      </c>
      <c r="AF98" s="27">
        <f t="shared" si="34"/>
        <v>0.14249999999999999</v>
      </c>
      <c r="AG98" s="4">
        <f t="shared" si="22"/>
        <v>8.36</v>
      </c>
      <c r="AH98" s="27">
        <f t="shared" si="23"/>
        <v>0.39419999999999999</v>
      </c>
    </row>
    <row r="99" spans="1:34" x14ac:dyDescent="0.35">
      <c r="A99" s="8" t="s">
        <v>236</v>
      </c>
      <c r="B99" s="9" t="s">
        <v>237</v>
      </c>
      <c r="C99" s="8" t="s">
        <v>1135</v>
      </c>
      <c r="D99" s="8" t="s">
        <v>1184</v>
      </c>
      <c r="E99" s="8" t="s">
        <v>905</v>
      </c>
      <c r="F99" s="25" t="s">
        <v>947</v>
      </c>
      <c r="G99" s="8" t="s">
        <v>16</v>
      </c>
      <c r="H99" s="8">
        <v>20</v>
      </c>
      <c r="I99" s="8" t="s">
        <v>1164</v>
      </c>
      <c r="J99" s="10">
        <v>34.31</v>
      </c>
      <c r="K99" s="22">
        <v>0.3417</v>
      </c>
      <c r="L99" s="11">
        <v>25.58</v>
      </c>
      <c r="M99" s="13">
        <v>0.60099999999999998</v>
      </c>
      <c r="N99" s="17">
        <f t="shared" si="27"/>
        <v>10.20642</v>
      </c>
      <c r="O99" s="13">
        <v>0.1075</v>
      </c>
      <c r="P99" s="14">
        <f t="shared" si="28"/>
        <v>9.1092298499999984</v>
      </c>
      <c r="Q99" s="14">
        <f t="shared" si="29"/>
        <v>5.1950539105000013</v>
      </c>
      <c r="R99" s="28">
        <f t="shared" si="30"/>
        <v>0.6376460894999999</v>
      </c>
      <c r="S99" s="28">
        <f t="shared" si="31"/>
        <v>2.1260851377601493</v>
      </c>
      <c r="T99" s="28">
        <f t="shared" si="32"/>
        <v>2.5120119105000001</v>
      </c>
      <c r="U99" s="28">
        <f t="shared" si="24"/>
        <v>2.5120119105000001</v>
      </c>
      <c r="V99" s="28">
        <f t="shared" si="25"/>
        <v>2.6830420000000013</v>
      </c>
      <c r="W99" s="28">
        <f t="shared" si="26"/>
        <v>0.13415210000000008</v>
      </c>
      <c r="X99" s="28">
        <f t="shared" si="33"/>
        <v>2.6461640105000002</v>
      </c>
      <c r="Y99" s="14">
        <v>11.754510647050001</v>
      </c>
      <c r="Z99" s="13">
        <v>0.14249999999999999</v>
      </c>
      <c r="AA99" s="14">
        <v>10.958034136501457</v>
      </c>
      <c r="AB99" s="13">
        <f t="shared" si="35"/>
        <v>0.5716</v>
      </c>
      <c r="AC99" s="14">
        <v>13.707884136501457</v>
      </c>
      <c r="AD99" s="26">
        <f t="shared" si="20"/>
        <v>0.1424999999999999</v>
      </c>
      <c r="AE99" s="4">
        <f t="shared" si="21"/>
        <v>13.71</v>
      </c>
      <c r="AF99" s="27">
        <f t="shared" si="34"/>
        <v>0.14249999999999999</v>
      </c>
      <c r="AG99" s="4">
        <f t="shared" si="22"/>
        <v>11.75</v>
      </c>
      <c r="AH99" s="27">
        <f t="shared" si="23"/>
        <v>0.5716</v>
      </c>
    </row>
    <row r="100" spans="1:34" x14ac:dyDescent="0.35">
      <c r="A100" s="8" t="s">
        <v>238</v>
      </c>
      <c r="B100" s="9" t="s">
        <v>239</v>
      </c>
      <c r="C100" s="8" t="s">
        <v>1135</v>
      </c>
      <c r="D100" s="8" t="s">
        <v>1184</v>
      </c>
      <c r="E100" s="8" t="s">
        <v>905</v>
      </c>
      <c r="F100" s="25" t="s">
        <v>947</v>
      </c>
      <c r="G100" s="8" t="s">
        <v>18</v>
      </c>
      <c r="H100" s="8">
        <v>20</v>
      </c>
      <c r="I100" s="8" t="s">
        <v>1164</v>
      </c>
      <c r="J100" s="10">
        <v>24.76</v>
      </c>
      <c r="K100" s="22">
        <v>0.3417</v>
      </c>
      <c r="L100" s="11">
        <v>18.46</v>
      </c>
      <c r="M100" s="13">
        <v>0.62380000000000002</v>
      </c>
      <c r="N100" s="17">
        <f t="shared" si="27"/>
        <v>6.9446519999999996</v>
      </c>
      <c r="O100" s="13">
        <v>0.1075</v>
      </c>
      <c r="P100" s="14">
        <f t="shared" si="28"/>
        <v>6.1981019099999992</v>
      </c>
      <c r="Q100" s="14">
        <f t="shared" si="29"/>
        <v>3.7753328663000012</v>
      </c>
      <c r="R100" s="28">
        <f t="shared" si="30"/>
        <v>0.43386713369999996</v>
      </c>
      <c r="S100" s="28">
        <f t="shared" si="31"/>
        <v>1.4466307876920899</v>
      </c>
      <c r="T100" s="28">
        <f t="shared" si="32"/>
        <v>1.8391008663000001</v>
      </c>
      <c r="U100" s="28">
        <f t="shared" si="24"/>
        <v>1.8391008663000001</v>
      </c>
      <c r="V100" s="28">
        <f t="shared" si="25"/>
        <v>1.9362320000000011</v>
      </c>
      <c r="W100" s="28">
        <f t="shared" si="26"/>
        <v>9.6811600000000053E-2</v>
      </c>
      <c r="X100" s="28">
        <f t="shared" si="33"/>
        <v>1.9359124663000002</v>
      </c>
      <c r="Y100" s="14">
        <v>8.1333769986500002</v>
      </c>
      <c r="Z100" s="13">
        <v>0.14249999999999999</v>
      </c>
      <c r="AA100" s="14">
        <v>7.5005377535276958</v>
      </c>
      <c r="AB100" s="13">
        <f t="shared" si="35"/>
        <v>0.59370000000000001</v>
      </c>
      <c r="AC100" s="14">
        <v>9.4849877535276956</v>
      </c>
      <c r="AD100" s="26">
        <f t="shared" si="20"/>
        <v>0.14249999999999988</v>
      </c>
      <c r="AE100" s="4">
        <f t="shared" si="21"/>
        <v>9.48</v>
      </c>
      <c r="AF100" s="27">
        <f t="shared" si="34"/>
        <v>0.14249999999999999</v>
      </c>
      <c r="AG100" s="4">
        <f t="shared" si="22"/>
        <v>8.1300000000000008</v>
      </c>
      <c r="AH100" s="27">
        <f t="shared" si="23"/>
        <v>0.59370000000000001</v>
      </c>
    </row>
    <row r="101" spans="1:34" x14ac:dyDescent="0.35">
      <c r="A101" s="8" t="s">
        <v>240</v>
      </c>
      <c r="B101" s="9" t="s">
        <v>241</v>
      </c>
      <c r="C101" s="8" t="s">
        <v>1134</v>
      </c>
      <c r="D101" s="8" t="s">
        <v>1177</v>
      </c>
      <c r="E101" s="8" t="s">
        <v>905</v>
      </c>
      <c r="F101" s="25" t="s">
        <v>948</v>
      </c>
      <c r="G101" s="8" t="s">
        <v>1122</v>
      </c>
      <c r="H101" s="8">
        <v>120</v>
      </c>
      <c r="I101" s="8" t="s">
        <v>1163</v>
      </c>
      <c r="J101" s="10">
        <v>31.11</v>
      </c>
      <c r="K101" s="22">
        <v>0.39400000000000002</v>
      </c>
      <c r="L101" s="11">
        <v>22.57</v>
      </c>
      <c r="M101" s="13">
        <v>0.23369999999999999</v>
      </c>
      <c r="N101" s="17">
        <f t="shared" si="27"/>
        <v>17.295390999999999</v>
      </c>
      <c r="O101" s="13">
        <v>0.1075</v>
      </c>
      <c r="P101" s="14">
        <f t="shared" si="28"/>
        <v>15.436136467499997</v>
      </c>
      <c r="Q101" s="14">
        <f t="shared" si="29"/>
        <v>4.2081704472750001</v>
      </c>
      <c r="R101" s="28">
        <f t="shared" si="30"/>
        <v>1.0805295527249998</v>
      </c>
      <c r="S101" s="28">
        <f t="shared" si="31"/>
        <v>3.602778815378032</v>
      </c>
      <c r="T101" s="28">
        <f t="shared" si="32"/>
        <v>1.775368447275</v>
      </c>
      <c r="U101" s="28">
        <f t="shared" si="24"/>
        <v>3.602778815378032</v>
      </c>
      <c r="V101" s="28">
        <f t="shared" si="25"/>
        <v>0.6053916318969681</v>
      </c>
      <c r="W101" s="28">
        <f t="shared" si="26"/>
        <v>3.0269581594848407E-2</v>
      </c>
      <c r="X101" s="28">
        <f t="shared" si="33"/>
        <v>3.6330483969728804</v>
      </c>
      <c r="Y101" s="14">
        <v>19.068751578698969</v>
      </c>
      <c r="Z101" s="13">
        <v>0.14249999999999999</v>
      </c>
      <c r="AA101" s="14">
        <v>19.811336170494421</v>
      </c>
      <c r="AB101" s="13">
        <f t="shared" si="35"/>
        <v>0.1222</v>
      </c>
      <c r="AC101" s="14">
        <v>22.237611170494421</v>
      </c>
      <c r="AD101" s="26">
        <f t="shared" si="20"/>
        <v>0.1424999999999999</v>
      </c>
      <c r="AE101" s="4">
        <f t="shared" si="21"/>
        <v>22.24</v>
      </c>
      <c r="AF101" s="27">
        <f t="shared" si="34"/>
        <v>0.14249999999999999</v>
      </c>
      <c r="AG101" s="4">
        <f t="shared" si="22"/>
        <v>19.07</v>
      </c>
      <c r="AH101" s="27">
        <f t="shared" si="23"/>
        <v>0.1222</v>
      </c>
    </row>
    <row r="102" spans="1:34" x14ac:dyDescent="0.35">
      <c r="A102" s="8" t="s">
        <v>242</v>
      </c>
      <c r="B102" s="9" t="s">
        <v>243</v>
      </c>
      <c r="C102" s="8" t="s">
        <v>1134</v>
      </c>
      <c r="D102" s="8" t="s">
        <v>1177</v>
      </c>
      <c r="E102" s="8" t="s">
        <v>905</v>
      </c>
      <c r="F102" s="25" t="s">
        <v>948</v>
      </c>
      <c r="G102" s="8" t="s">
        <v>1123</v>
      </c>
      <c r="H102" s="8">
        <v>120</v>
      </c>
      <c r="I102" s="8" t="s">
        <v>1163</v>
      </c>
      <c r="J102" s="10">
        <v>37.729999999999997</v>
      </c>
      <c r="K102" s="22">
        <v>0.39400000000000002</v>
      </c>
      <c r="L102" s="11">
        <v>27.37</v>
      </c>
      <c r="M102" s="13">
        <v>0.14099999999999999</v>
      </c>
      <c r="N102" s="17">
        <f t="shared" si="27"/>
        <v>23.510830000000002</v>
      </c>
      <c r="O102" s="13">
        <v>0.1075</v>
      </c>
      <c r="P102" s="14">
        <f t="shared" si="28"/>
        <v>20.983415775000001</v>
      </c>
      <c r="Q102" s="14">
        <f t="shared" si="29"/>
        <v>4.9452608957499997</v>
      </c>
      <c r="R102" s="28">
        <f t="shared" si="30"/>
        <v>1.4688391042500002</v>
      </c>
      <c r="S102" s="28">
        <f t="shared" si="31"/>
        <v>4.8975082584692249</v>
      </c>
      <c r="T102" s="28">
        <f t="shared" si="32"/>
        <v>1.9947748957499996</v>
      </c>
      <c r="U102" s="28">
        <f t="shared" si="24"/>
        <v>4.8975082584692249</v>
      </c>
      <c r="V102" s="28">
        <f t="shared" si="25"/>
        <v>4.7752637280774834E-2</v>
      </c>
      <c r="W102" s="28">
        <f t="shared" si="26"/>
        <v>2.3876318640387419E-3</v>
      </c>
      <c r="X102" s="28">
        <f t="shared" si="33"/>
        <v>4.8998958903332639</v>
      </c>
      <c r="Y102" s="14">
        <v>25.882786231942386</v>
      </c>
      <c r="Z102" s="13">
        <v>0.14249999999999999</v>
      </c>
      <c r="AA102" s="14">
        <v>27.241732267571297</v>
      </c>
      <c r="AB102" s="13">
        <f t="shared" si="35"/>
        <v>4.7000000000000002E-3</v>
      </c>
      <c r="AC102" s="14">
        <v>30.184007267571296</v>
      </c>
      <c r="AD102" s="26">
        <f t="shared" si="20"/>
        <v>0.14249999999999999</v>
      </c>
      <c r="AE102" s="4">
        <f t="shared" si="21"/>
        <v>30.18</v>
      </c>
      <c r="AF102" s="27">
        <f t="shared" si="34"/>
        <v>0.14249999999999999</v>
      </c>
      <c r="AG102" s="4">
        <f t="shared" si="22"/>
        <v>25.88</v>
      </c>
      <c r="AH102" s="27">
        <f t="shared" si="23"/>
        <v>4.7000000000000002E-3</v>
      </c>
    </row>
    <row r="103" spans="1:34" x14ac:dyDescent="0.35">
      <c r="A103" s="8" t="s">
        <v>244</v>
      </c>
      <c r="B103" s="9" t="s">
        <v>245</v>
      </c>
      <c r="C103" s="8" t="s">
        <v>1134</v>
      </c>
      <c r="D103" s="8" t="s">
        <v>1168</v>
      </c>
      <c r="E103" s="8" t="s">
        <v>905</v>
      </c>
      <c r="F103" s="25" t="s">
        <v>949</v>
      </c>
      <c r="G103" s="8" t="s">
        <v>1111</v>
      </c>
      <c r="H103" s="8">
        <v>30</v>
      </c>
      <c r="I103" s="8" t="s">
        <v>1163</v>
      </c>
      <c r="J103" s="10">
        <v>152.29</v>
      </c>
      <c r="K103" s="22">
        <v>0.39400000000000002</v>
      </c>
      <c r="L103" s="11">
        <v>110.48</v>
      </c>
      <c r="M103" s="13">
        <v>0.72489999999999999</v>
      </c>
      <c r="N103" s="17">
        <f t="shared" si="27"/>
        <v>30.393048000000004</v>
      </c>
      <c r="O103" s="13">
        <v>0.1075</v>
      </c>
      <c r="P103" s="14">
        <f t="shared" si="28"/>
        <v>27.125795340000003</v>
      </c>
      <c r="Q103" s="14">
        <f t="shared" si="29"/>
        <v>23.9904943262</v>
      </c>
      <c r="R103" s="28">
        <f t="shared" si="30"/>
        <v>1.8988056738000003</v>
      </c>
      <c r="S103" s="28">
        <f t="shared" si="31"/>
        <v>6.3311335065606613</v>
      </c>
      <c r="T103" s="28">
        <f t="shared" si="32"/>
        <v>12.081416326199999</v>
      </c>
      <c r="U103" s="28">
        <f t="shared" si="24"/>
        <v>12.081416326199999</v>
      </c>
      <c r="V103" s="28">
        <f t="shared" si="25"/>
        <v>11.909078000000001</v>
      </c>
      <c r="W103" s="28">
        <f t="shared" si="26"/>
        <v>0.59545390000000009</v>
      </c>
      <c r="X103" s="28">
        <f t="shared" si="33"/>
        <v>12.6768702262</v>
      </c>
      <c r="Y103" s="14">
        <v>39.798850968000004</v>
      </c>
      <c r="Z103" s="13">
        <v>0.14249999999999999</v>
      </c>
      <c r="AA103" s="14">
        <v>34.536054190087462</v>
      </c>
      <c r="AB103" s="13">
        <f t="shared" si="35"/>
        <v>0.68740000000000001</v>
      </c>
      <c r="AC103" s="14">
        <v>46.412654190087466</v>
      </c>
      <c r="AD103" s="26">
        <f t="shared" si="20"/>
        <v>0.14249999999999996</v>
      </c>
      <c r="AE103" s="4">
        <f t="shared" si="21"/>
        <v>46.41</v>
      </c>
      <c r="AF103" s="27">
        <f t="shared" si="34"/>
        <v>0.14249999999999999</v>
      </c>
      <c r="AG103" s="4">
        <f t="shared" si="22"/>
        <v>39.799999999999997</v>
      </c>
      <c r="AH103" s="27">
        <f t="shared" si="23"/>
        <v>0.68740000000000001</v>
      </c>
    </row>
    <row r="104" spans="1:34" x14ac:dyDescent="0.35">
      <c r="A104" s="8" t="s">
        <v>246</v>
      </c>
      <c r="B104" s="9" t="s">
        <v>247</v>
      </c>
      <c r="C104" s="8" t="s">
        <v>1134</v>
      </c>
      <c r="D104" s="8" t="s">
        <v>1168</v>
      </c>
      <c r="E104" s="8" t="s">
        <v>905</v>
      </c>
      <c r="F104" s="25" t="s">
        <v>949</v>
      </c>
      <c r="G104" s="8" t="s">
        <v>1111</v>
      </c>
      <c r="H104" s="8">
        <v>60</v>
      </c>
      <c r="I104" s="8" t="s">
        <v>1163</v>
      </c>
      <c r="J104" s="10">
        <v>293.92</v>
      </c>
      <c r="K104" s="22">
        <v>0.39400000000000002</v>
      </c>
      <c r="L104" s="11">
        <v>213.23</v>
      </c>
      <c r="M104" s="13">
        <v>0.73599999999999999</v>
      </c>
      <c r="N104" s="17">
        <f t="shared" si="27"/>
        <v>56.292720000000003</v>
      </c>
      <c r="O104" s="13">
        <v>0.1075</v>
      </c>
      <c r="P104" s="14">
        <f t="shared" si="28"/>
        <v>50.241252600000003</v>
      </c>
      <c r="Q104" s="14">
        <f t="shared" si="29"/>
        <v>46.449512318000004</v>
      </c>
      <c r="R104" s="28">
        <f t="shared" si="30"/>
        <v>3.5168876820000006</v>
      </c>
      <c r="S104" s="28">
        <f t="shared" si="31"/>
        <v>11.726258115587402</v>
      </c>
      <c r="T104" s="28">
        <f t="shared" si="32"/>
        <v>23.464968318</v>
      </c>
      <c r="U104" s="28">
        <f t="shared" si="24"/>
        <v>23.464968318</v>
      </c>
      <c r="V104" s="28">
        <f t="shared" si="25"/>
        <v>22.984544000000003</v>
      </c>
      <c r="W104" s="28">
        <f t="shared" si="26"/>
        <v>1.1492272000000001</v>
      </c>
      <c r="X104" s="28">
        <f t="shared" si="33"/>
        <v>24.614195517999999</v>
      </c>
      <c r="Y104" s="14">
        <v>74.848085819175012</v>
      </c>
      <c r="Z104" s="13">
        <v>0.14249999999999999</v>
      </c>
      <c r="AA104" s="14">
        <v>64.364172456763853</v>
      </c>
      <c r="AB104" s="13">
        <f t="shared" si="35"/>
        <v>0.69810000000000005</v>
      </c>
      <c r="AC104" s="14">
        <v>87.286397456763851</v>
      </c>
      <c r="AD104" s="26">
        <f t="shared" si="20"/>
        <v>0.14249999999999988</v>
      </c>
      <c r="AE104" s="4">
        <f t="shared" si="21"/>
        <v>87.29</v>
      </c>
      <c r="AF104" s="27">
        <f t="shared" si="34"/>
        <v>0.14249999999999999</v>
      </c>
      <c r="AG104" s="4">
        <f t="shared" si="22"/>
        <v>74.849999999999994</v>
      </c>
      <c r="AH104" s="27">
        <f t="shared" si="23"/>
        <v>0.69810000000000005</v>
      </c>
    </row>
    <row r="105" spans="1:34" x14ac:dyDescent="0.35">
      <c r="A105" s="8" t="s">
        <v>248</v>
      </c>
      <c r="B105" s="9" t="s">
        <v>249</v>
      </c>
      <c r="C105" s="8" t="s">
        <v>1134</v>
      </c>
      <c r="D105" s="8" t="s">
        <v>1168</v>
      </c>
      <c r="E105" s="8" t="s">
        <v>905</v>
      </c>
      <c r="F105" s="25" t="s">
        <v>949</v>
      </c>
      <c r="G105" s="8" t="s">
        <v>1124</v>
      </c>
      <c r="H105" s="8">
        <v>30</v>
      </c>
      <c r="I105" s="8" t="s">
        <v>1163</v>
      </c>
      <c r="J105" s="10">
        <v>205.93</v>
      </c>
      <c r="K105" s="22">
        <v>0.39400000000000002</v>
      </c>
      <c r="L105" s="11">
        <v>149.4</v>
      </c>
      <c r="M105" s="13">
        <v>0.40239999999999998</v>
      </c>
      <c r="N105" s="17">
        <f t="shared" si="27"/>
        <v>89.281440000000003</v>
      </c>
      <c r="O105" s="13">
        <v>0.1075</v>
      </c>
      <c r="P105" s="14">
        <f t="shared" si="28"/>
        <v>79.683685199999999</v>
      </c>
      <c r="Q105" s="14">
        <f t="shared" si="29"/>
        <v>29.430242036000006</v>
      </c>
      <c r="R105" s="28">
        <f t="shared" si="30"/>
        <v>5.5778579640000006</v>
      </c>
      <c r="S105" s="28">
        <f t="shared" si="31"/>
        <v>18.598092441994801</v>
      </c>
      <c r="T105" s="28">
        <f t="shared" si="32"/>
        <v>13.326516035999997</v>
      </c>
      <c r="U105" s="28">
        <f t="shared" si="24"/>
        <v>18.598092441994801</v>
      </c>
      <c r="V105" s="28">
        <f t="shared" si="25"/>
        <v>10.832149594005205</v>
      </c>
      <c r="W105" s="28">
        <f t="shared" si="26"/>
        <v>0.54160747970026024</v>
      </c>
      <c r="X105" s="28">
        <f t="shared" si="33"/>
        <v>19.139699921695062</v>
      </c>
      <c r="Y105" s="14">
        <v>98.820517027117191</v>
      </c>
      <c r="Z105" s="13">
        <v>0.14249999999999999</v>
      </c>
      <c r="AA105" s="14">
        <v>99.182085454364056</v>
      </c>
      <c r="AB105" s="13">
        <f t="shared" si="35"/>
        <v>0.33610000000000001</v>
      </c>
      <c r="AC105" s="14">
        <v>115.24258545436406</v>
      </c>
      <c r="AD105" s="26">
        <f t="shared" si="20"/>
        <v>0.14249999999999993</v>
      </c>
      <c r="AE105" s="4">
        <f t="shared" si="21"/>
        <v>115.24</v>
      </c>
      <c r="AF105" s="27">
        <f t="shared" si="34"/>
        <v>0.14249999999999999</v>
      </c>
      <c r="AG105" s="4">
        <f t="shared" si="22"/>
        <v>98.82</v>
      </c>
      <c r="AH105" s="27">
        <f t="shared" si="23"/>
        <v>0.33610000000000001</v>
      </c>
    </row>
    <row r="106" spans="1:34" x14ac:dyDescent="0.35">
      <c r="A106" s="8" t="s">
        <v>250</v>
      </c>
      <c r="B106" s="9" t="s">
        <v>251</v>
      </c>
      <c r="C106" s="8" t="s">
        <v>1135</v>
      </c>
      <c r="D106" s="8" t="s">
        <v>1184</v>
      </c>
      <c r="E106" s="8" t="s">
        <v>905</v>
      </c>
      <c r="F106" s="25" t="s">
        <v>950</v>
      </c>
      <c r="G106" s="8" t="s">
        <v>21</v>
      </c>
      <c r="H106" s="8">
        <v>20</v>
      </c>
      <c r="I106" s="8" t="s">
        <v>1164</v>
      </c>
      <c r="J106" s="10">
        <v>30.1</v>
      </c>
      <c r="K106" s="22">
        <v>0.3417</v>
      </c>
      <c r="L106" s="11">
        <v>22.44</v>
      </c>
      <c r="M106" s="13">
        <v>0.40479999999999999</v>
      </c>
      <c r="N106" s="17">
        <f t="shared" si="27"/>
        <v>13.356287999999999</v>
      </c>
      <c r="O106" s="13">
        <v>0.1075</v>
      </c>
      <c r="P106" s="14">
        <f t="shared" si="28"/>
        <v>11.920487039999999</v>
      </c>
      <c r="Q106" s="14">
        <f t="shared" si="29"/>
        <v>4.2825659072000004</v>
      </c>
      <c r="R106" s="28">
        <f t="shared" si="30"/>
        <v>0.83443409280000003</v>
      </c>
      <c r="S106" s="28">
        <f t="shared" si="31"/>
        <v>2.7822297546489598</v>
      </c>
      <c r="T106" s="28">
        <f t="shared" si="32"/>
        <v>1.9287459071999997</v>
      </c>
      <c r="U106" s="28">
        <f t="shared" si="24"/>
        <v>2.7822297546489598</v>
      </c>
      <c r="V106" s="28">
        <f t="shared" si="25"/>
        <v>1.5003361525510406</v>
      </c>
      <c r="W106" s="28">
        <f t="shared" si="26"/>
        <v>7.5016807627552029E-2</v>
      </c>
      <c r="X106" s="28">
        <f t="shared" si="33"/>
        <v>2.857246562276512</v>
      </c>
      <c r="Y106" s="14">
        <v>14.777302812167225</v>
      </c>
      <c r="Z106" s="13">
        <v>0.14249999999999999</v>
      </c>
      <c r="AA106" s="14">
        <v>14.820706194947201</v>
      </c>
      <c r="AB106" s="13">
        <f t="shared" si="35"/>
        <v>0.33950000000000002</v>
      </c>
      <c r="AC106" s="14">
        <v>17.233006194947201</v>
      </c>
      <c r="AD106" s="26">
        <f t="shared" si="20"/>
        <v>0.14250000000000002</v>
      </c>
      <c r="AE106" s="4">
        <f t="shared" si="21"/>
        <v>17.23</v>
      </c>
      <c r="AF106" s="27">
        <f t="shared" si="34"/>
        <v>0.14249999999999999</v>
      </c>
      <c r="AG106" s="4">
        <f t="shared" si="22"/>
        <v>14.78</v>
      </c>
      <c r="AH106" s="27">
        <f t="shared" si="23"/>
        <v>0.33950000000000002</v>
      </c>
    </row>
    <row r="107" spans="1:34" x14ac:dyDescent="0.35">
      <c r="A107" s="8" t="s">
        <v>252</v>
      </c>
      <c r="B107" s="9" t="s">
        <v>253</v>
      </c>
      <c r="C107" s="8" t="s">
        <v>1134</v>
      </c>
      <c r="D107" s="8" t="s">
        <v>1139</v>
      </c>
      <c r="E107" s="8" t="s">
        <v>905</v>
      </c>
      <c r="F107" s="25" t="s">
        <v>951</v>
      </c>
      <c r="G107" s="8" t="s">
        <v>1108</v>
      </c>
      <c r="H107" s="8">
        <v>30</v>
      </c>
      <c r="I107" s="8" t="s">
        <v>1163</v>
      </c>
      <c r="J107" s="10">
        <v>17.27</v>
      </c>
      <c r="K107" s="22">
        <v>0.39400000000000002</v>
      </c>
      <c r="L107" s="11">
        <v>12.53</v>
      </c>
      <c r="M107" s="13">
        <v>0.70540000000000003</v>
      </c>
      <c r="N107" s="17">
        <f t="shared" si="27"/>
        <v>3.6913379999999996</v>
      </c>
      <c r="O107" s="13">
        <v>0.1075</v>
      </c>
      <c r="P107" s="14">
        <f t="shared" si="28"/>
        <v>3.2945191649999996</v>
      </c>
      <c r="Q107" s="14">
        <f t="shared" si="29"/>
        <v>2.70528365845</v>
      </c>
      <c r="R107" s="28">
        <f t="shared" si="30"/>
        <v>0.23061634154999999</v>
      </c>
      <c r="S107" s="28">
        <f t="shared" si="31"/>
        <v>0.76893747859183492</v>
      </c>
      <c r="T107" s="28">
        <f t="shared" si="32"/>
        <v>1.35476965845</v>
      </c>
      <c r="U107" s="28">
        <f t="shared" si="24"/>
        <v>1.35476965845</v>
      </c>
      <c r="V107" s="28">
        <f t="shared" si="25"/>
        <v>1.350514</v>
      </c>
      <c r="W107" s="28">
        <f t="shared" si="26"/>
        <v>6.7525700000000008E-2</v>
      </c>
      <c r="X107" s="28">
        <f t="shared" si="33"/>
        <v>1.42229535845</v>
      </c>
      <c r="Y107" s="14">
        <v>4.716381893875</v>
      </c>
      <c r="Z107" s="13">
        <v>0.14249999999999999</v>
      </c>
      <c r="AA107" s="14">
        <v>4.1531788120991253</v>
      </c>
      <c r="AB107" s="13">
        <f t="shared" si="35"/>
        <v>0.66849999999999998</v>
      </c>
      <c r="AC107" s="14">
        <v>5.5001538120991249</v>
      </c>
      <c r="AD107" s="26">
        <f t="shared" si="20"/>
        <v>0.14249999999999993</v>
      </c>
      <c r="AE107" s="4">
        <f t="shared" si="21"/>
        <v>5.5</v>
      </c>
      <c r="AF107" s="27">
        <f t="shared" si="34"/>
        <v>0.14249999999999999</v>
      </c>
      <c r="AG107" s="4">
        <f t="shared" si="22"/>
        <v>4.72</v>
      </c>
      <c r="AH107" s="27">
        <f t="shared" si="23"/>
        <v>0.66849999999999998</v>
      </c>
    </row>
    <row r="108" spans="1:34" x14ac:dyDescent="0.35">
      <c r="A108" s="8" t="s">
        <v>254</v>
      </c>
      <c r="B108" s="9" t="s">
        <v>255</v>
      </c>
      <c r="C108" s="8" t="s">
        <v>1134</v>
      </c>
      <c r="D108" s="8" t="s">
        <v>1139</v>
      </c>
      <c r="E108" s="8" t="s">
        <v>905</v>
      </c>
      <c r="F108" s="25" t="s">
        <v>952</v>
      </c>
      <c r="G108" s="8" t="s">
        <v>1109</v>
      </c>
      <c r="H108" s="8">
        <v>20</v>
      </c>
      <c r="I108" s="8" t="s">
        <v>1163</v>
      </c>
      <c r="J108" s="10">
        <v>15.47</v>
      </c>
      <c r="K108" s="22">
        <v>0.39400000000000002</v>
      </c>
      <c r="L108" s="11">
        <v>11.22</v>
      </c>
      <c r="M108" s="13">
        <v>0.18629999999999999</v>
      </c>
      <c r="N108" s="17">
        <f t="shared" si="27"/>
        <v>9.1297139999999999</v>
      </c>
      <c r="O108" s="13">
        <v>0.1075</v>
      </c>
      <c r="P108" s="14">
        <f t="shared" si="28"/>
        <v>8.1482697450000003</v>
      </c>
      <c r="Q108" s="14">
        <f t="shared" si="29"/>
        <v>2.0595211178500001</v>
      </c>
      <c r="R108" s="28">
        <f t="shared" si="30"/>
        <v>0.5703788821500001</v>
      </c>
      <c r="S108" s="28">
        <f t="shared" si="31"/>
        <v>1.9017980102132555</v>
      </c>
      <c r="T108" s="28">
        <f t="shared" si="32"/>
        <v>0.84976711784999981</v>
      </c>
      <c r="U108" s="28">
        <f t="shared" si="24"/>
        <v>1.9017980102132555</v>
      </c>
      <c r="V108" s="28">
        <f t="shared" si="25"/>
        <v>0.15772310763674469</v>
      </c>
      <c r="W108" s="28">
        <f t="shared" si="26"/>
        <v>7.8861553818372343E-3</v>
      </c>
      <c r="X108" s="28">
        <f t="shared" si="33"/>
        <v>1.9096841655950927</v>
      </c>
      <c r="Y108" s="14">
        <v>10.057738515540448</v>
      </c>
      <c r="Z108" s="13">
        <v>0.14249999999999999</v>
      </c>
      <c r="AA108" s="14">
        <v>10.52299112599469</v>
      </c>
      <c r="AB108" s="13">
        <f t="shared" si="35"/>
        <v>6.2100000000000002E-2</v>
      </c>
      <c r="AC108" s="14">
        <v>11.72914112599469</v>
      </c>
      <c r="AD108" s="26">
        <f t="shared" si="20"/>
        <v>0.1424999999999999</v>
      </c>
      <c r="AE108" s="4">
        <f t="shared" si="21"/>
        <v>11.73</v>
      </c>
      <c r="AF108" s="27">
        <f t="shared" si="34"/>
        <v>0.14249999999999999</v>
      </c>
      <c r="AG108" s="4">
        <f t="shared" si="22"/>
        <v>10.06</v>
      </c>
      <c r="AH108" s="27">
        <f t="shared" si="23"/>
        <v>6.2100000000000002E-2</v>
      </c>
    </row>
    <row r="109" spans="1:34" x14ac:dyDescent="0.35">
      <c r="A109" s="8" t="s">
        <v>256</v>
      </c>
      <c r="B109" s="9" t="s">
        <v>257</v>
      </c>
      <c r="C109" s="8" t="s">
        <v>1134</v>
      </c>
      <c r="D109" s="8" t="s">
        <v>1139</v>
      </c>
      <c r="E109" s="8" t="s">
        <v>905</v>
      </c>
      <c r="F109" s="25" t="s">
        <v>952</v>
      </c>
      <c r="G109" s="8" t="s">
        <v>14</v>
      </c>
      <c r="H109" s="8">
        <v>20</v>
      </c>
      <c r="I109" s="8" t="s">
        <v>1163</v>
      </c>
      <c r="J109" s="10">
        <v>39.090000000000003</v>
      </c>
      <c r="K109" s="22">
        <v>0.39400000000000002</v>
      </c>
      <c r="L109" s="11">
        <v>28.36</v>
      </c>
      <c r="M109" s="13">
        <v>0.2319</v>
      </c>
      <c r="N109" s="17">
        <f t="shared" si="27"/>
        <v>21.783315999999999</v>
      </c>
      <c r="O109" s="13">
        <v>0.1075</v>
      </c>
      <c r="P109" s="14">
        <f t="shared" si="28"/>
        <v>19.441609529999997</v>
      </c>
      <c r="Q109" s="14">
        <f t="shared" si="29"/>
        <v>5.2843873329000006</v>
      </c>
      <c r="R109" s="28">
        <f t="shared" si="30"/>
        <v>1.3609126671</v>
      </c>
      <c r="S109" s="28">
        <f t="shared" si="31"/>
        <v>4.5376522226924694</v>
      </c>
      <c r="T109" s="28">
        <f t="shared" si="32"/>
        <v>2.2275493328999998</v>
      </c>
      <c r="U109" s="28">
        <f t="shared" si="24"/>
        <v>4.5376522226924694</v>
      </c>
      <c r="V109" s="28">
        <f t="shared" si="25"/>
        <v>0.74673511020753125</v>
      </c>
      <c r="W109" s="28">
        <f t="shared" si="26"/>
        <v>3.7336755510376567E-2</v>
      </c>
      <c r="X109" s="28">
        <f t="shared" si="33"/>
        <v>4.5749889782028461</v>
      </c>
      <c r="Y109" s="14">
        <v>24.016054069365978</v>
      </c>
      <c r="Z109" s="13">
        <v>0.14249999999999999</v>
      </c>
      <c r="AA109" s="14">
        <v>24.958360139202306</v>
      </c>
      <c r="AB109" s="13">
        <f t="shared" si="35"/>
        <v>0.11990000000000001</v>
      </c>
      <c r="AC109" s="14">
        <v>28.007060139202306</v>
      </c>
      <c r="AD109" s="26">
        <f t="shared" si="20"/>
        <v>0.14249999999999996</v>
      </c>
      <c r="AE109" s="4">
        <f t="shared" si="21"/>
        <v>28.01</v>
      </c>
      <c r="AF109" s="27">
        <f t="shared" si="34"/>
        <v>0.14249999999999999</v>
      </c>
      <c r="AG109" s="4">
        <f t="shared" si="22"/>
        <v>24.02</v>
      </c>
      <c r="AH109" s="27">
        <f t="shared" si="23"/>
        <v>0.11990000000000001</v>
      </c>
    </row>
    <row r="110" spans="1:34" x14ac:dyDescent="0.35">
      <c r="A110" s="8" t="s">
        <v>258</v>
      </c>
      <c r="B110" s="9" t="s">
        <v>259</v>
      </c>
      <c r="C110" s="8" t="s">
        <v>1135</v>
      </c>
      <c r="D110" s="8" t="s">
        <v>1185</v>
      </c>
      <c r="E110" s="8" t="s">
        <v>905</v>
      </c>
      <c r="F110" s="25" t="s">
        <v>953</v>
      </c>
      <c r="G110" s="8" t="s">
        <v>23</v>
      </c>
      <c r="H110" s="8">
        <v>20</v>
      </c>
      <c r="I110" s="8" t="s">
        <v>1164</v>
      </c>
      <c r="J110" s="10">
        <v>27.63</v>
      </c>
      <c r="K110" s="22">
        <v>0.3417</v>
      </c>
      <c r="L110" s="11">
        <v>20.6</v>
      </c>
      <c r="M110" s="13">
        <v>0.60809999999999997</v>
      </c>
      <c r="N110" s="17">
        <f t="shared" si="27"/>
        <v>8.0731400000000004</v>
      </c>
      <c r="O110" s="13">
        <v>0.1075</v>
      </c>
      <c r="P110" s="14">
        <f t="shared" si="28"/>
        <v>7.2052774499999996</v>
      </c>
      <c r="Q110" s="14">
        <f t="shared" si="29"/>
        <v>4.1927305785</v>
      </c>
      <c r="R110" s="28">
        <f t="shared" si="30"/>
        <v>0.50436942149999997</v>
      </c>
      <c r="S110" s="28">
        <f t="shared" si="31"/>
        <v>1.6817045515525502</v>
      </c>
      <c r="T110" s="28">
        <f t="shared" si="32"/>
        <v>2.0320645785</v>
      </c>
      <c r="U110" s="28">
        <f t="shared" si="24"/>
        <v>2.0320645785</v>
      </c>
      <c r="V110" s="28">
        <f t="shared" si="25"/>
        <v>2.160666</v>
      </c>
      <c r="W110" s="28">
        <f t="shared" si="26"/>
        <v>0.1080333</v>
      </c>
      <c r="X110" s="28">
        <f t="shared" si="33"/>
        <v>2.1400978784999998</v>
      </c>
      <c r="Y110" s="14">
        <v>9.3446640620000014</v>
      </c>
      <c r="Z110" s="13">
        <v>0.14249999999999999</v>
      </c>
      <c r="AA110" s="14">
        <v>8.6830674192419828</v>
      </c>
      <c r="AB110" s="13">
        <f t="shared" si="35"/>
        <v>0.57850000000000001</v>
      </c>
      <c r="AC110" s="14">
        <v>10.897567419241984</v>
      </c>
      <c r="AD110" s="26">
        <f t="shared" si="20"/>
        <v>0.14249999999999996</v>
      </c>
      <c r="AE110" s="4">
        <f t="shared" si="21"/>
        <v>10.9</v>
      </c>
      <c r="AF110" s="27">
        <f t="shared" si="34"/>
        <v>0.14249999999999999</v>
      </c>
      <c r="AG110" s="4">
        <f t="shared" si="22"/>
        <v>9.34</v>
      </c>
      <c r="AH110" s="27">
        <f t="shared" si="23"/>
        <v>0.57850000000000001</v>
      </c>
    </row>
    <row r="111" spans="1:34" x14ac:dyDescent="0.35">
      <c r="A111" s="8" t="s">
        <v>260</v>
      </c>
      <c r="B111" s="9" t="s">
        <v>261</v>
      </c>
      <c r="C111" s="8" t="s">
        <v>1135</v>
      </c>
      <c r="D111" s="8" t="s">
        <v>1185</v>
      </c>
      <c r="E111" s="8" t="s">
        <v>905</v>
      </c>
      <c r="F111" s="25" t="s">
        <v>953</v>
      </c>
      <c r="G111" s="8" t="s">
        <v>20</v>
      </c>
      <c r="H111" s="8">
        <v>20</v>
      </c>
      <c r="I111" s="8" t="s">
        <v>1164</v>
      </c>
      <c r="J111" s="10">
        <v>41</v>
      </c>
      <c r="K111" s="22">
        <v>0.3417</v>
      </c>
      <c r="L111" s="11">
        <v>30.56</v>
      </c>
      <c r="M111" s="13">
        <v>0.48449999999999999</v>
      </c>
      <c r="N111" s="17">
        <f t="shared" si="27"/>
        <v>15.753680000000001</v>
      </c>
      <c r="O111" s="13">
        <v>0.1075</v>
      </c>
      <c r="P111" s="14">
        <f t="shared" si="28"/>
        <v>14.0601594</v>
      </c>
      <c r="Q111" s="14">
        <f t="shared" si="29"/>
        <v>5.9857888420000007</v>
      </c>
      <c r="R111" s="28">
        <f t="shared" si="30"/>
        <v>0.98421115800000003</v>
      </c>
      <c r="S111" s="28">
        <f t="shared" si="31"/>
        <v>3.2816271438006002</v>
      </c>
      <c r="T111" s="28">
        <f t="shared" si="32"/>
        <v>2.7795888419999999</v>
      </c>
      <c r="U111" s="28">
        <f t="shared" si="24"/>
        <v>3.2816271438006002</v>
      </c>
      <c r="V111" s="28">
        <f t="shared" si="25"/>
        <v>2.7041616981994006</v>
      </c>
      <c r="W111" s="28">
        <f t="shared" si="26"/>
        <v>0.13520808490997002</v>
      </c>
      <c r="X111" s="28">
        <f t="shared" si="33"/>
        <v>3.4168352287105703</v>
      </c>
      <c r="Y111" s="14">
        <v>17.475875684799998</v>
      </c>
      <c r="Z111" s="13">
        <v>0.14249999999999999</v>
      </c>
      <c r="AA111" s="14">
        <v>17.094829953119532</v>
      </c>
      <c r="AB111" s="13">
        <f t="shared" si="35"/>
        <v>0.44059999999999999</v>
      </c>
      <c r="AC111" s="14">
        <v>20.380029953119532</v>
      </c>
      <c r="AD111" s="26">
        <f t="shared" si="20"/>
        <v>0.14250000000000002</v>
      </c>
      <c r="AE111" s="4">
        <f t="shared" si="21"/>
        <v>20.38</v>
      </c>
      <c r="AF111" s="27">
        <f t="shared" si="34"/>
        <v>0.14249999999999999</v>
      </c>
      <c r="AG111" s="4">
        <f t="shared" si="22"/>
        <v>17.48</v>
      </c>
      <c r="AH111" s="27">
        <f t="shared" si="23"/>
        <v>0.44059999999999999</v>
      </c>
    </row>
    <row r="112" spans="1:34" x14ac:dyDescent="0.35">
      <c r="A112" s="8" t="s">
        <v>262</v>
      </c>
      <c r="B112" s="9" t="s">
        <v>263</v>
      </c>
      <c r="C112" s="8" t="s">
        <v>1134</v>
      </c>
      <c r="D112" s="8" t="s">
        <v>1139</v>
      </c>
      <c r="E112" s="8" t="s">
        <v>905</v>
      </c>
      <c r="F112" s="25" t="s">
        <v>954</v>
      </c>
      <c r="G112" s="8" t="s">
        <v>3</v>
      </c>
      <c r="H112" s="8">
        <v>30</v>
      </c>
      <c r="I112" s="8" t="s">
        <v>1163</v>
      </c>
      <c r="J112" s="10">
        <v>73.37</v>
      </c>
      <c r="K112" s="22">
        <v>0.39400000000000002</v>
      </c>
      <c r="L112" s="11">
        <v>53.23</v>
      </c>
      <c r="M112" s="13">
        <v>0.79769999999999996</v>
      </c>
      <c r="N112" s="17">
        <f t="shared" si="27"/>
        <v>10.768429000000001</v>
      </c>
      <c r="O112" s="13">
        <v>0.1075</v>
      </c>
      <c r="P112" s="14">
        <f t="shared" si="28"/>
        <v>9.6108228825000008</v>
      </c>
      <c r="Q112" s="14">
        <f t="shared" si="29"/>
        <v>11.800142398225001</v>
      </c>
      <c r="R112" s="28">
        <f t="shared" si="30"/>
        <v>0.6727576017750001</v>
      </c>
      <c r="S112" s="28">
        <f t="shared" si="31"/>
        <v>2.2431564499526173</v>
      </c>
      <c r="T112" s="28">
        <f t="shared" si="32"/>
        <v>6.0626083982249996</v>
      </c>
      <c r="U112" s="28">
        <f t="shared" si="24"/>
        <v>6.0626083982249996</v>
      </c>
      <c r="V112" s="28">
        <f t="shared" si="25"/>
        <v>5.737534000000001</v>
      </c>
      <c r="W112" s="28">
        <f t="shared" si="26"/>
        <v>0.28687670000000004</v>
      </c>
      <c r="X112" s="28">
        <f t="shared" si="33"/>
        <v>6.3494850982249993</v>
      </c>
      <c r="Y112" s="14">
        <v>15.958470081899996</v>
      </c>
      <c r="Z112" s="13">
        <v>0.14249999999999999</v>
      </c>
      <c r="AA112" s="14">
        <v>12.888235736909618</v>
      </c>
      <c r="AB112" s="13">
        <f t="shared" si="35"/>
        <v>0.75790000000000002</v>
      </c>
      <c r="AC112" s="14">
        <v>18.610460736909616</v>
      </c>
      <c r="AD112" s="26">
        <f t="shared" si="20"/>
        <v>0.14249999999999996</v>
      </c>
      <c r="AE112" s="4">
        <f t="shared" si="21"/>
        <v>18.61</v>
      </c>
      <c r="AF112" s="27">
        <f t="shared" si="34"/>
        <v>0.14249999999999999</v>
      </c>
      <c r="AG112" s="4">
        <f t="shared" si="22"/>
        <v>15.96</v>
      </c>
      <c r="AH112" s="27">
        <f t="shared" si="23"/>
        <v>0.75790000000000002</v>
      </c>
    </row>
    <row r="113" spans="1:34" x14ac:dyDescent="0.35">
      <c r="A113" s="8" t="s">
        <v>264</v>
      </c>
      <c r="B113" s="9" t="s">
        <v>265</v>
      </c>
      <c r="C113" s="8" t="s">
        <v>1134</v>
      </c>
      <c r="D113" s="8" t="s">
        <v>1139</v>
      </c>
      <c r="E113" s="8" t="s">
        <v>905</v>
      </c>
      <c r="F113" s="25" t="s">
        <v>954</v>
      </c>
      <c r="G113" s="8" t="s">
        <v>1108</v>
      </c>
      <c r="H113" s="8">
        <v>30</v>
      </c>
      <c r="I113" s="8" t="s">
        <v>1163</v>
      </c>
      <c r="J113" s="10">
        <v>126.23</v>
      </c>
      <c r="K113" s="22">
        <v>0.39400000000000002</v>
      </c>
      <c r="L113" s="11">
        <v>91.58</v>
      </c>
      <c r="M113" s="13">
        <v>0.82640000000000002</v>
      </c>
      <c r="N113" s="17">
        <f t="shared" si="27"/>
        <v>15.898287999999997</v>
      </c>
      <c r="O113" s="13">
        <v>0.1075</v>
      </c>
      <c r="P113" s="14">
        <f t="shared" si="28"/>
        <v>14.189222039999997</v>
      </c>
      <c r="Q113" s="14">
        <f t="shared" si="29"/>
        <v>20.465854457200003</v>
      </c>
      <c r="R113" s="28">
        <f t="shared" si="30"/>
        <v>0.99324554279999988</v>
      </c>
      <c r="S113" s="28">
        <f t="shared" si="31"/>
        <v>3.3117502349139589</v>
      </c>
      <c r="T113" s="28">
        <f t="shared" si="32"/>
        <v>10.594668457199999</v>
      </c>
      <c r="U113" s="28">
        <f t="shared" si="24"/>
        <v>10.594668457199999</v>
      </c>
      <c r="V113" s="28">
        <f t="shared" si="25"/>
        <v>9.8711860000000033</v>
      </c>
      <c r="W113" s="28">
        <f t="shared" si="26"/>
        <v>0.4935593000000002</v>
      </c>
      <c r="X113" s="28">
        <f t="shared" si="33"/>
        <v>11.088227757199999</v>
      </c>
      <c r="Y113" s="14">
        <v>25.274287768749996</v>
      </c>
      <c r="Z113" s="13">
        <v>0.14249999999999999</v>
      </c>
      <c r="AA113" s="14">
        <v>19.629538068513117</v>
      </c>
      <c r="AB113" s="13">
        <f t="shared" si="35"/>
        <v>0.78569999999999995</v>
      </c>
      <c r="AC113" s="14">
        <v>29.474388068513115</v>
      </c>
      <c r="AD113" s="26">
        <f t="shared" si="20"/>
        <v>0.14249999999999999</v>
      </c>
      <c r="AE113" s="4">
        <f t="shared" si="21"/>
        <v>29.47</v>
      </c>
      <c r="AF113" s="27">
        <f t="shared" si="34"/>
        <v>0.14249999999999999</v>
      </c>
      <c r="AG113" s="4">
        <f t="shared" si="22"/>
        <v>25.27</v>
      </c>
      <c r="AH113" s="27">
        <f t="shared" si="23"/>
        <v>0.78569999999999995</v>
      </c>
    </row>
    <row r="114" spans="1:34" x14ac:dyDescent="0.35">
      <c r="A114" s="8" t="s">
        <v>266</v>
      </c>
      <c r="B114" s="9" t="s">
        <v>267</v>
      </c>
      <c r="C114" s="8" t="s">
        <v>1134</v>
      </c>
      <c r="D114" s="8" t="s">
        <v>1139</v>
      </c>
      <c r="E114" s="8" t="s">
        <v>905</v>
      </c>
      <c r="F114" s="25" t="s">
        <v>954</v>
      </c>
      <c r="G114" s="8" t="s">
        <v>3</v>
      </c>
      <c r="H114" s="8">
        <v>30</v>
      </c>
      <c r="I114" s="8" t="s">
        <v>1163</v>
      </c>
      <c r="J114" s="10">
        <v>54.5</v>
      </c>
      <c r="K114" s="22">
        <v>0.39400000000000002</v>
      </c>
      <c r="L114" s="11">
        <v>39.54</v>
      </c>
      <c r="M114" s="13">
        <v>0.80520000000000003</v>
      </c>
      <c r="N114" s="17">
        <f t="shared" si="27"/>
        <v>7.7023919999999988</v>
      </c>
      <c r="O114" s="13">
        <v>0.1075</v>
      </c>
      <c r="P114" s="14">
        <f t="shared" si="28"/>
        <v>6.8743848599999984</v>
      </c>
      <c r="Q114" s="14">
        <f t="shared" si="29"/>
        <v>8.7837930598000007</v>
      </c>
      <c r="R114" s="28">
        <f t="shared" si="30"/>
        <v>0.48120694019999993</v>
      </c>
      <c r="S114" s="28">
        <f t="shared" si="31"/>
        <v>1.6044745519391395</v>
      </c>
      <c r="T114" s="28">
        <f t="shared" si="32"/>
        <v>4.5218930597999991</v>
      </c>
      <c r="U114" s="28">
        <f t="shared" si="24"/>
        <v>4.5218930597999991</v>
      </c>
      <c r="V114" s="28">
        <f t="shared" si="25"/>
        <v>4.2619000000000016</v>
      </c>
      <c r="W114" s="28">
        <f t="shared" si="26"/>
        <v>0.21309500000000009</v>
      </c>
      <c r="X114" s="28">
        <f t="shared" si="33"/>
        <v>4.7349880597999991</v>
      </c>
      <c r="Y114" s="14">
        <v>11.608007702449997</v>
      </c>
      <c r="Z114" s="13">
        <v>0.14249999999999999</v>
      </c>
      <c r="AA114" s="14">
        <v>9.286485221516033</v>
      </c>
      <c r="AB114" s="13">
        <f t="shared" si="35"/>
        <v>0.7651</v>
      </c>
      <c r="AC114" s="14">
        <v>13.537035221516032</v>
      </c>
      <c r="AD114" s="26">
        <f t="shared" si="20"/>
        <v>0.14249999999999999</v>
      </c>
      <c r="AE114" s="4">
        <f t="shared" si="21"/>
        <v>13.54</v>
      </c>
      <c r="AF114" s="27">
        <f t="shared" si="34"/>
        <v>0.14249999999999999</v>
      </c>
      <c r="AG114" s="4">
        <f t="shared" si="22"/>
        <v>11.61</v>
      </c>
      <c r="AH114" s="27">
        <f t="shared" si="23"/>
        <v>0.7651</v>
      </c>
    </row>
    <row r="115" spans="1:34" x14ac:dyDescent="0.35">
      <c r="A115" s="8" t="s">
        <v>268</v>
      </c>
      <c r="B115" s="9" t="s">
        <v>269</v>
      </c>
      <c r="C115" s="8" t="s">
        <v>1134</v>
      </c>
      <c r="D115" s="8" t="s">
        <v>1139</v>
      </c>
      <c r="E115" s="8" t="s">
        <v>905</v>
      </c>
      <c r="F115" s="25" t="s">
        <v>954</v>
      </c>
      <c r="G115" s="8" t="s">
        <v>3</v>
      </c>
      <c r="H115" s="8">
        <v>30</v>
      </c>
      <c r="I115" s="8" t="s">
        <v>1163</v>
      </c>
      <c r="J115" s="10">
        <v>65.430000000000007</v>
      </c>
      <c r="K115" s="22">
        <v>0.39400000000000002</v>
      </c>
      <c r="L115" s="11">
        <v>47.47</v>
      </c>
      <c r="M115" s="13">
        <v>0.7833</v>
      </c>
      <c r="N115" s="17">
        <f t="shared" si="27"/>
        <v>10.286749</v>
      </c>
      <c r="O115" s="13">
        <v>0.1075</v>
      </c>
      <c r="P115" s="14">
        <f t="shared" si="28"/>
        <v>9.1809234825000008</v>
      </c>
      <c r="Q115" s="14">
        <f t="shared" si="29"/>
        <v>10.480435356225003</v>
      </c>
      <c r="R115" s="28">
        <f t="shared" si="30"/>
        <v>0.6426646437750001</v>
      </c>
      <c r="S115" s="28">
        <f t="shared" si="31"/>
        <v>2.1428183598920176</v>
      </c>
      <c r="T115" s="28">
        <f t="shared" si="32"/>
        <v>5.3638093562249995</v>
      </c>
      <c r="U115" s="28">
        <f t="shared" si="24"/>
        <v>5.3638093562249995</v>
      </c>
      <c r="V115" s="28">
        <f t="shared" si="25"/>
        <v>5.1166260000000037</v>
      </c>
      <c r="W115" s="28">
        <f t="shared" si="26"/>
        <v>0.25583130000000021</v>
      </c>
      <c r="X115" s="28">
        <f t="shared" si="33"/>
        <v>5.6196406562250001</v>
      </c>
      <c r="Y115" s="14">
        <v>14.798925118300001</v>
      </c>
      <c r="Z115" s="13">
        <v>0.14249999999999999</v>
      </c>
      <c r="AA115" s="14">
        <v>12.155196712303207</v>
      </c>
      <c r="AB115" s="13">
        <f t="shared" si="35"/>
        <v>0.74390000000000001</v>
      </c>
      <c r="AC115" s="14">
        <v>17.258221712303207</v>
      </c>
      <c r="AD115" s="26">
        <f t="shared" si="20"/>
        <v>0.14249999999999993</v>
      </c>
      <c r="AE115" s="4">
        <f t="shared" si="21"/>
        <v>17.260000000000002</v>
      </c>
      <c r="AF115" s="27">
        <f t="shared" si="34"/>
        <v>0.14249999999999999</v>
      </c>
      <c r="AG115" s="4">
        <f t="shared" si="22"/>
        <v>14.8</v>
      </c>
      <c r="AH115" s="27">
        <f t="shared" si="23"/>
        <v>0.74390000000000001</v>
      </c>
    </row>
    <row r="116" spans="1:34" x14ac:dyDescent="0.35">
      <c r="A116" s="8" t="s">
        <v>270</v>
      </c>
      <c r="B116" s="9" t="s">
        <v>271</v>
      </c>
      <c r="C116" s="8" t="s">
        <v>1134</v>
      </c>
      <c r="D116" s="8" t="s">
        <v>1186</v>
      </c>
      <c r="E116" s="8" t="s">
        <v>905</v>
      </c>
      <c r="F116" s="25" t="s">
        <v>955</v>
      </c>
      <c r="G116" s="8" t="s">
        <v>21</v>
      </c>
      <c r="H116" s="8">
        <v>8</v>
      </c>
      <c r="I116" s="8" t="s">
        <v>1163</v>
      </c>
      <c r="J116" s="10">
        <v>72.17</v>
      </c>
      <c r="K116" s="22">
        <v>0.39400000000000002</v>
      </c>
      <c r="L116" s="11">
        <v>52.36</v>
      </c>
      <c r="M116" s="13">
        <v>0.65439999999999998</v>
      </c>
      <c r="N116" s="17">
        <f t="shared" si="27"/>
        <v>18.095616</v>
      </c>
      <c r="O116" s="13">
        <v>0.1075</v>
      </c>
      <c r="P116" s="14">
        <f t="shared" si="28"/>
        <v>16.150337279999999</v>
      </c>
      <c r="Q116" s="14">
        <f t="shared" si="29"/>
        <v>11.138376390400001</v>
      </c>
      <c r="R116" s="28">
        <f t="shared" si="30"/>
        <v>1.1305236096</v>
      </c>
      <c r="S116" s="28">
        <f t="shared" si="31"/>
        <v>3.7694725708147203</v>
      </c>
      <c r="T116" s="28">
        <f t="shared" si="32"/>
        <v>5.4946823903999995</v>
      </c>
      <c r="U116" s="28">
        <f t="shared" si="24"/>
        <v>5.4946823903999995</v>
      </c>
      <c r="V116" s="28">
        <f t="shared" si="25"/>
        <v>5.6436940000000018</v>
      </c>
      <c r="W116" s="28">
        <f t="shared" si="26"/>
        <v>0.28218470000000012</v>
      </c>
      <c r="X116" s="28">
        <f t="shared" si="33"/>
        <v>5.7768670903999997</v>
      </c>
      <c r="Y116" s="14">
        <v>21.925396510500001</v>
      </c>
      <c r="Z116" s="13">
        <v>0.14249999999999999</v>
      </c>
      <c r="AA116" s="14">
        <v>19.940275522448978</v>
      </c>
      <c r="AB116" s="13">
        <f t="shared" si="35"/>
        <v>0.61919999999999997</v>
      </c>
      <c r="AC116" s="14">
        <v>25.56897552244898</v>
      </c>
      <c r="AD116" s="26">
        <f t="shared" si="20"/>
        <v>0.14249999999999999</v>
      </c>
      <c r="AE116" s="4">
        <f t="shared" si="21"/>
        <v>25.57</v>
      </c>
      <c r="AF116" s="27">
        <f t="shared" si="34"/>
        <v>0.14249999999999999</v>
      </c>
      <c r="AG116" s="4">
        <f t="shared" si="22"/>
        <v>21.93</v>
      </c>
      <c r="AH116" s="27">
        <f t="shared" si="23"/>
        <v>0.61919999999999997</v>
      </c>
    </row>
    <row r="117" spans="1:34" x14ac:dyDescent="0.35">
      <c r="A117" s="8" t="s">
        <v>272</v>
      </c>
      <c r="B117" s="9" t="s">
        <v>273</v>
      </c>
      <c r="C117" s="8" t="s">
        <v>1134</v>
      </c>
      <c r="D117" s="8" t="s">
        <v>1187</v>
      </c>
      <c r="E117" s="8" t="s">
        <v>905</v>
      </c>
      <c r="F117" s="25" t="s">
        <v>956</v>
      </c>
      <c r="G117" s="8" t="s">
        <v>1112</v>
      </c>
      <c r="H117" s="8">
        <v>8</v>
      </c>
      <c r="I117" s="8" t="s">
        <v>1163</v>
      </c>
      <c r="J117" s="10">
        <v>107.09</v>
      </c>
      <c r="K117" s="22">
        <v>0.39400000000000002</v>
      </c>
      <c r="L117" s="11">
        <v>77.69</v>
      </c>
      <c r="M117" s="13">
        <v>0.24959999999999999</v>
      </c>
      <c r="N117" s="17">
        <f t="shared" si="27"/>
        <v>58.298575999999997</v>
      </c>
      <c r="O117" s="13">
        <v>0.1075</v>
      </c>
      <c r="P117" s="14">
        <f t="shared" si="28"/>
        <v>52.031479079999997</v>
      </c>
      <c r="Q117" s="14">
        <f t="shared" si="29"/>
        <v>14.563096464400001</v>
      </c>
      <c r="R117" s="28">
        <f t="shared" si="30"/>
        <v>3.6422035356000002</v>
      </c>
      <c r="S117" s="28">
        <f t="shared" si="31"/>
        <v>12.144095185792919</v>
      </c>
      <c r="T117" s="28">
        <f t="shared" si="32"/>
        <v>6.1886584643999996</v>
      </c>
      <c r="U117" s="28">
        <f t="shared" si="24"/>
        <v>12.144095185792919</v>
      </c>
      <c r="V117" s="28">
        <f t="shared" si="25"/>
        <v>2.419001278607082</v>
      </c>
      <c r="W117" s="28">
        <f t="shared" si="26"/>
        <v>0.12095006393035411</v>
      </c>
      <c r="X117" s="28">
        <f t="shared" si="33"/>
        <v>12.265045249723274</v>
      </c>
      <c r="Y117" s="14">
        <v>64.295032882147922</v>
      </c>
      <c r="Z117" s="13">
        <v>0.14249999999999999</v>
      </c>
      <c r="AA117" s="14">
        <v>66.627955183262884</v>
      </c>
      <c r="AB117" s="13">
        <f t="shared" si="35"/>
        <v>0.1424</v>
      </c>
      <c r="AC117" s="14">
        <v>74.979630183262884</v>
      </c>
      <c r="AD117" s="26">
        <f t="shared" si="20"/>
        <v>0.14250000000000002</v>
      </c>
      <c r="AE117" s="4">
        <f t="shared" si="21"/>
        <v>74.98</v>
      </c>
      <c r="AF117" s="27">
        <f t="shared" si="34"/>
        <v>0.14249999999999999</v>
      </c>
      <c r="AG117" s="4">
        <f t="shared" si="22"/>
        <v>64.3</v>
      </c>
      <c r="AH117" s="27">
        <f t="shared" si="23"/>
        <v>0.1424</v>
      </c>
    </row>
    <row r="118" spans="1:34" x14ac:dyDescent="0.35">
      <c r="A118" s="8" t="s">
        <v>274</v>
      </c>
      <c r="B118" s="9" t="s">
        <v>275</v>
      </c>
      <c r="C118" s="8" t="s">
        <v>1134</v>
      </c>
      <c r="D118" s="8" t="s">
        <v>1187</v>
      </c>
      <c r="E118" s="8" t="s">
        <v>905</v>
      </c>
      <c r="F118" s="25" t="s">
        <v>956</v>
      </c>
      <c r="G118" s="8" t="s">
        <v>1117</v>
      </c>
      <c r="H118" s="8">
        <v>20</v>
      </c>
      <c r="I118" s="8" t="s">
        <v>1163</v>
      </c>
      <c r="J118" s="10">
        <v>73.069999999999993</v>
      </c>
      <c r="K118" s="22">
        <v>0.39400000000000002</v>
      </c>
      <c r="L118" s="11">
        <v>53.01</v>
      </c>
      <c r="M118" s="13">
        <v>0.53259999999999996</v>
      </c>
      <c r="N118" s="17">
        <f t="shared" si="27"/>
        <v>24.776873999999999</v>
      </c>
      <c r="O118" s="13">
        <v>0.1075</v>
      </c>
      <c r="P118" s="14">
        <f t="shared" si="28"/>
        <v>22.113360044999997</v>
      </c>
      <c r="Q118" s="14">
        <f t="shared" si="29"/>
        <v>10.873964796849998</v>
      </c>
      <c r="R118" s="28">
        <f t="shared" si="30"/>
        <v>1.54793520315</v>
      </c>
      <c r="S118" s="28">
        <f t="shared" si="31"/>
        <v>5.161236121142954</v>
      </c>
      <c r="T118" s="28">
        <f t="shared" si="32"/>
        <v>5.1598907968499992</v>
      </c>
      <c r="U118" s="28">
        <f t="shared" si="24"/>
        <v>5.161236121142954</v>
      </c>
      <c r="V118" s="28">
        <f t="shared" si="25"/>
        <v>5.7127286757070443</v>
      </c>
      <c r="W118" s="28">
        <f t="shared" si="26"/>
        <v>0.28563643378535225</v>
      </c>
      <c r="X118" s="28">
        <f t="shared" si="33"/>
        <v>5.4468725549283059</v>
      </c>
      <c r="Y118" s="14">
        <v>27.561524201600001</v>
      </c>
      <c r="Z118" s="13">
        <v>0.14249999999999999</v>
      </c>
      <c r="AA118" s="14">
        <v>26.443144185539357</v>
      </c>
      <c r="AB118" s="13">
        <f t="shared" si="35"/>
        <v>0.50119999999999998</v>
      </c>
      <c r="AC118" s="14">
        <v>32.141719185539358</v>
      </c>
      <c r="AD118" s="26">
        <f t="shared" si="20"/>
        <v>0.14249999999999996</v>
      </c>
      <c r="AE118" s="4">
        <f t="shared" si="21"/>
        <v>32.14</v>
      </c>
      <c r="AF118" s="27">
        <f t="shared" si="34"/>
        <v>0.14249999999999999</v>
      </c>
      <c r="AG118" s="4">
        <f t="shared" si="22"/>
        <v>27.56</v>
      </c>
      <c r="AH118" s="27">
        <f t="shared" si="23"/>
        <v>0.50119999999999998</v>
      </c>
    </row>
    <row r="119" spans="1:34" x14ac:dyDescent="0.35">
      <c r="A119" s="8" t="s">
        <v>276</v>
      </c>
      <c r="B119" s="9" t="s">
        <v>277</v>
      </c>
      <c r="C119" s="8" t="s">
        <v>1134</v>
      </c>
      <c r="D119" s="8" t="s">
        <v>1187</v>
      </c>
      <c r="E119" s="8" t="s">
        <v>905</v>
      </c>
      <c r="F119" s="25" t="s">
        <v>956</v>
      </c>
      <c r="G119" s="8" t="s">
        <v>21</v>
      </c>
      <c r="H119" s="8">
        <v>10</v>
      </c>
      <c r="I119" s="8" t="s">
        <v>1163</v>
      </c>
      <c r="J119" s="10">
        <v>35.74</v>
      </c>
      <c r="K119" s="22">
        <v>0.39400000000000002</v>
      </c>
      <c r="L119" s="11">
        <v>25.93</v>
      </c>
      <c r="M119" s="13">
        <v>0.5202</v>
      </c>
      <c r="N119" s="17">
        <f t="shared" si="27"/>
        <v>12.441214</v>
      </c>
      <c r="O119" s="13">
        <v>0.1075</v>
      </c>
      <c r="P119" s="14">
        <f t="shared" si="28"/>
        <v>11.103783495</v>
      </c>
      <c r="Q119" s="14">
        <f t="shared" si="29"/>
        <v>5.2985351553500006</v>
      </c>
      <c r="R119" s="28">
        <f t="shared" si="30"/>
        <v>0.77726484465000012</v>
      </c>
      <c r="S119" s="28">
        <f t="shared" si="31"/>
        <v>2.5916119639495045</v>
      </c>
      <c r="T119" s="28">
        <f t="shared" si="32"/>
        <v>2.5036671553499996</v>
      </c>
      <c r="U119" s="28">
        <f t="shared" si="24"/>
        <v>2.5916119639495045</v>
      </c>
      <c r="V119" s="28">
        <f t="shared" si="25"/>
        <v>2.7069231914004961</v>
      </c>
      <c r="W119" s="28">
        <f t="shared" si="26"/>
        <v>0.1353461595700248</v>
      </c>
      <c r="X119" s="28">
        <f t="shared" si="33"/>
        <v>2.7269581235195295</v>
      </c>
      <c r="Y119" s="14">
        <v>13.83023669045</v>
      </c>
      <c r="Z119" s="13">
        <v>0.14249999999999999</v>
      </c>
      <c r="AA119" s="14">
        <v>13.341080907230321</v>
      </c>
      <c r="AB119" s="13">
        <f t="shared" si="35"/>
        <v>0.48549999999999999</v>
      </c>
      <c r="AC119" s="14">
        <v>16.128555907230322</v>
      </c>
      <c r="AD119" s="26">
        <f t="shared" si="20"/>
        <v>0.14250000000000002</v>
      </c>
      <c r="AE119" s="4">
        <f t="shared" si="21"/>
        <v>16.13</v>
      </c>
      <c r="AF119" s="27">
        <f t="shared" si="34"/>
        <v>0.14249999999999999</v>
      </c>
      <c r="AG119" s="4">
        <f t="shared" si="22"/>
        <v>13.83</v>
      </c>
      <c r="AH119" s="27">
        <f t="shared" si="23"/>
        <v>0.48549999999999999</v>
      </c>
    </row>
    <row r="120" spans="1:34" x14ac:dyDescent="0.35">
      <c r="A120" s="8" t="s">
        <v>278</v>
      </c>
      <c r="B120" s="9" t="s">
        <v>279</v>
      </c>
      <c r="C120" s="8" t="s">
        <v>1134</v>
      </c>
      <c r="D120" s="8" t="s">
        <v>1187</v>
      </c>
      <c r="E120" s="8" t="s">
        <v>905</v>
      </c>
      <c r="F120" s="25" t="s">
        <v>956</v>
      </c>
      <c r="G120" s="8" t="s">
        <v>21</v>
      </c>
      <c r="H120" s="8">
        <v>8</v>
      </c>
      <c r="I120" s="8" t="s">
        <v>1163</v>
      </c>
      <c r="J120" s="10">
        <v>37.22</v>
      </c>
      <c r="K120" s="22">
        <v>0.39400000000000002</v>
      </c>
      <c r="L120" s="11">
        <v>27</v>
      </c>
      <c r="M120" s="13">
        <v>0.51070000000000004</v>
      </c>
      <c r="N120" s="17">
        <f t="shared" si="27"/>
        <v>13.211099999999998</v>
      </c>
      <c r="O120" s="13">
        <v>0.1075</v>
      </c>
      <c r="P120" s="14">
        <f t="shared" si="28"/>
        <v>11.790906749999998</v>
      </c>
      <c r="Q120" s="14">
        <f t="shared" si="29"/>
        <v>5.5020365274999996</v>
      </c>
      <c r="R120" s="28">
        <f t="shared" si="30"/>
        <v>0.82536347249999997</v>
      </c>
      <c r="S120" s="28">
        <f t="shared" si="31"/>
        <v>2.7519858445432495</v>
      </c>
      <c r="T120" s="28">
        <f t="shared" si="32"/>
        <v>2.5914325274999999</v>
      </c>
      <c r="U120" s="28">
        <f t="shared" si="24"/>
        <v>2.7519858445432495</v>
      </c>
      <c r="V120" s="28">
        <f t="shared" si="25"/>
        <v>2.7500506829567501</v>
      </c>
      <c r="W120" s="28">
        <f t="shared" si="26"/>
        <v>0.1375025341478375</v>
      </c>
      <c r="X120" s="28">
        <f t="shared" si="33"/>
        <v>2.889488378691087</v>
      </c>
      <c r="Y120" s="14">
        <v>14.681570892499998</v>
      </c>
      <c r="Z120" s="13">
        <v>0.14249999999999999</v>
      </c>
      <c r="AA120" s="14">
        <v>14.218865472303206</v>
      </c>
      <c r="AB120" s="13">
        <f t="shared" si="35"/>
        <v>0.47339999999999999</v>
      </c>
      <c r="AC120" s="14">
        <v>17.121365472303204</v>
      </c>
      <c r="AD120" s="26">
        <f t="shared" si="20"/>
        <v>0.14249999999999993</v>
      </c>
      <c r="AE120" s="4">
        <f t="shared" si="21"/>
        <v>17.12</v>
      </c>
      <c r="AF120" s="27">
        <f t="shared" si="34"/>
        <v>0.14249999999999999</v>
      </c>
      <c r="AG120" s="4">
        <f t="shared" si="22"/>
        <v>14.68</v>
      </c>
      <c r="AH120" s="27">
        <f t="shared" si="23"/>
        <v>0.47339999999999999</v>
      </c>
    </row>
    <row r="121" spans="1:34" x14ac:dyDescent="0.35">
      <c r="A121" s="8" t="s">
        <v>280</v>
      </c>
      <c r="B121" s="9" t="s">
        <v>281</v>
      </c>
      <c r="C121" s="8" t="s">
        <v>1134</v>
      </c>
      <c r="D121" s="8" t="s">
        <v>1149</v>
      </c>
      <c r="E121" s="8" t="s">
        <v>905</v>
      </c>
      <c r="F121" s="25" t="s">
        <v>957</v>
      </c>
      <c r="G121" s="8" t="s">
        <v>1109</v>
      </c>
      <c r="H121" s="8">
        <v>10</v>
      </c>
      <c r="I121" s="8" t="s">
        <v>1163</v>
      </c>
      <c r="J121" s="10">
        <v>54.42</v>
      </c>
      <c r="K121" s="22">
        <v>0.39400000000000002</v>
      </c>
      <c r="L121" s="11">
        <v>39.479999999999997</v>
      </c>
      <c r="M121" s="13">
        <v>0.70050000000000001</v>
      </c>
      <c r="N121" s="17">
        <f t="shared" si="27"/>
        <v>11.824259999999999</v>
      </c>
      <c r="O121" s="13">
        <v>0.1075</v>
      </c>
      <c r="P121" s="14">
        <f t="shared" si="28"/>
        <v>10.553152049999998</v>
      </c>
      <c r="Q121" s="14">
        <f t="shared" si="29"/>
        <v>8.5126793564999996</v>
      </c>
      <c r="R121" s="28">
        <f t="shared" si="30"/>
        <v>0.73872064349999988</v>
      </c>
      <c r="S121" s="28">
        <f t="shared" si="31"/>
        <v>2.4630951353179493</v>
      </c>
      <c r="T121" s="28">
        <f t="shared" si="32"/>
        <v>4.2570353565000003</v>
      </c>
      <c r="U121" s="28">
        <f t="shared" si="24"/>
        <v>4.2570353565000003</v>
      </c>
      <c r="V121" s="28">
        <f t="shared" si="25"/>
        <v>4.2556439999999993</v>
      </c>
      <c r="W121" s="28">
        <f t="shared" si="26"/>
        <v>0.21278219999999998</v>
      </c>
      <c r="X121" s="28">
        <f t="shared" si="33"/>
        <v>4.4698175565000007</v>
      </c>
      <c r="Y121" s="14">
        <v>15.021606460799999</v>
      </c>
      <c r="Z121" s="13">
        <v>0.14249999999999999</v>
      </c>
      <c r="AA121" s="14">
        <v>13.273808409096208</v>
      </c>
      <c r="AB121" s="13">
        <f t="shared" si="35"/>
        <v>0.66379999999999995</v>
      </c>
      <c r="AC121" s="14">
        <v>17.517908409096208</v>
      </c>
      <c r="AD121" s="26">
        <f t="shared" si="20"/>
        <v>0.14249999999999993</v>
      </c>
      <c r="AE121" s="4">
        <f t="shared" si="21"/>
        <v>17.52</v>
      </c>
      <c r="AF121" s="27">
        <f t="shared" si="34"/>
        <v>0.14249999999999999</v>
      </c>
      <c r="AG121" s="4">
        <f t="shared" si="22"/>
        <v>15.02</v>
      </c>
      <c r="AH121" s="27">
        <f t="shared" si="23"/>
        <v>0.66379999999999995</v>
      </c>
    </row>
    <row r="122" spans="1:34" x14ac:dyDescent="0.35">
      <c r="A122" s="8" t="s">
        <v>282</v>
      </c>
      <c r="B122" s="9" t="s">
        <v>283</v>
      </c>
      <c r="C122" s="8" t="s">
        <v>1134</v>
      </c>
      <c r="D122" s="8" t="s">
        <v>1149</v>
      </c>
      <c r="E122" s="8" t="s">
        <v>905</v>
      </c>
      <c r="F122" s="25" t="s">
        <v>957</v>
      </c>
      <c r="G122" s="8" t="s">
        <v>1109</v>
      </c>
      <c r="H122" s="8">
        <v>30</v>
      </c>
      <c r="I122" s="8" t="s">
        <v>1163</v>
      </c>
      <c r="J122" s="10">
        <v>159.09</v>
      </c>
      <c r="K122" s="22">
        <v>0.39400000000000002</v>
      </c>
      <c r="L122" s="11">
        <v>115.42</v>
      </c>
      <c r="M122" s="13">
        <v>0.71479999999999999</v>
      </c>
      <c r="N122" s="17">
        <f t="shared" si="27"/>
        <v>32.917784000000005</v>
      </c>
      <c r="O122" s="13">
        <v>0.1075</v>
      </c>
      <c r="P122" s="14">
        <f t="shared" si="28"/>
        <v>29.379122220000003</v>
      </c>
      <c r="Q122" s="14">
        <f t="shared" si="29"/>
        <v>24.988761444600001</v>
      </c>
      <c r="R122" s="28">
        <f t="shared" si="30"/>
        <v>2.0565385554000004</v>
      </c>
      <c r="S122" s="28">
        <f t="shared" si="31"/>
        <v>6.8570577470257801</v>
      </c>
      <c r="T122" s="28">
        <f t="shared" si="32"/>
        <v>12.547923444599999</v>
      </c>
      <c r="U122" s="28">
        <f t="shared" si="24"/>
        <v>12.547923444599999</v>
      </c>
      <c r="V122" s="28">
        <f t="shared" si="25"/>
        <v>12.440838000000003</v>
      </c>
      <c r="W122" s="28">
        <f t="shared" si="26"/>
        <v>0.62204190000000015</v>
      </c>
      <c r="X122" s="28">
        <f t="shared" si="33"/>
        <v>13.169965344599998</v>
      </c>
      <c r="Y122" s="14">
        <v>42.545102400549993</v>
      </c>
      <c r="Z122" s="13">
        <v>0.14249999999999999</v>
      </c>
      <c r="AA122" s="14">
        <v>37.207629767405244</v>
      </c>
      <c r="AB122" s="13">
        <f t="shared" si="35"/>
        <v>0.67759999999999998</v>
      </c>
      <c r="AC122" s="14">
        <v>49.615279767405241</v>
      </c>
      <c r="AD122" s="26">
        <f t="shared" si="20"/>
        <v>0.14250000000000002</v>
      </c>
      <c r="AE122" s="4">
        <f t="shared" si="21"/>
        <v>49.62</v>
      </c>
      <c r="AF122" s="27">
        <f t="shared" si="34"/>
        <v>0.14249999999999999</v>
      </c>
      <c r="AG122" s="4">
        <f t="shared" si="22"/>
        <v>42.55</v>
      </c>
      <c r="AH122" s="27">
        <f t="shared" si="23"/>
        <v>0.67759999999999998</v>
      </c>
    </row>
    <row r="123" spans="1:34" x14ac:dyDescent="0.35">
      <c r="A123" s="8" t="s">
        <v>284</v>
      </c>
      <c r="B123" s="9" t="s">
        <v>285</v>
      </c>
      <c r="C123" s="8" t="s">
        <v>12</v>
      </c>
      <c r="D123" s="8" t="s">
        <v>1179</v>
      </c>
      <c r="E123" s="8" t="s">
        <v>905</v>
      </c>
      <c r="F123" s="25" t="s">
        <v>958</v>
      </c>
      <c r="G123" s="8" t="s">
        <v>23</v>
      </c>
      <c r="H123" s="8">
        <v>20</v>
      </c>
      <c r="I123" s="8" t="s">
        <v>1164</v>
      </c>
      <c r="J123" s="10">
        <v>78.45</v>
      </c>
      <c r="K123" s="22">
        <v>0.3417</v>
      </c>
      <c r="L123" s="11">
        <v>58.48</v>
      </c>
      <c r="M123" s="13">
        <v>0.54979999999999996</v>
      </c>
      <c r="N123" s="17">
        <f t="shared" si="27"/>
        <v>26.327696</v>
      </c>
      <c r="O123" s="13">
        <v>0.1075</v>
      </c>
      <c r="P123" s="14">
        <f t="shared" si="28"/>
        <v>23.497468679999997</v>
      </c>
      <c r="Q123" s="14">
        <f t="shared" si="29"/>
        <v>11.6916771924</v>
      </c>
      <c r="R123" s="28">
        <f t="shared" si="30"/>
        <v>1.6448228076</v>
      </c>
      <c r="S123" s="28">
        <f t="shared" si="31"/>
        <v>5.4842856924433194</v>
      </c>
      <c r="T123" s="28">
        <f t="shared" si="32"/>
        <v>5.5568871924000005</v>
      </c>
      <c r="U123" s="28">
        <f t="shared" si="24"/>
        <v>5.5568871924000005</v>
      </c>
      <c r="V123" s="28">
        <f t="shared" si="25"/>
        <v>6.1347899999999997</v>
      </c>
      <c r="W123" s="28">
        <f t="shared" si="26"/>
        <v>0.3067395</v>
      </c>
      <c r="X123" s="28">
        <f t="shared" si="33"/>
        <v>5.8636266924000005</v>
      </c>
      <c r="Y123" s="14">
        <v>29.359076204199994</v>
      </c>
      <c r="Z123" s="13">
        <v>0.14249999999999999</v>
      </c>
      <c r="AA123" s="14">
        <v>27.951389742507281</v>
      </c>
      <c r="AB123" s="13">
        <f t="shared" si="35"/>
        <v>0.52200000000000002</v>
      </c>
      <c r="AC123" s="14">
        <v>34.237989742507281</v>
      </c>
      <c r="AD123" s="26">
        <f t="shared" si="20"/>
        <v>0.14249999999999999</v>
      </c>
      <c r="AE123" s="4">
        <f t="shared" si="21"/>
        <v>34.24</v>
      </c>
      <c r="AF123" s="27">
        <f t="shared" si="34"/>
        <v>0.14249999999999999</v>
      </c>
      <c r="AG123" s="4">
        <f t="shared" si="22"/>
        <v>29.36</v>
      </c>
      <c r="AH123" s="27">
        <f t="shared" si="23"/>
        <v>0.52200000000000002</v>
      </c>
    </row>
    <row r="124" spans="1:34" x14ac:dyDescent="0.35">
      <c r="A124" s="8" t="s">
        <v>286</v>
      </c>
      <c r="B124" s="9" t="s">
        <v>287</v>
      </c>
      <c r="C124" s="8" t="s">
        <v>12</v>
      </c>
      <c r="D124" s="8" t="s">
        <v>1179</v>
      </c>
      <c r="E124" s="8" t="s">
        <v>905</v>
      </c>
      <c r="F124" s="25" t="s">
        <v>958</v>
      </c>
      <c r="G124" s="8" t="s">
        <v>3</v>
      </c>
      <c r="H124" s="8">
        <v>30</v>
      </c>
      <c r="I124" s="8" t="s">
        <v>1164</v>
      </c>
      <c r="J124" s="10">
        <v>34.74</v>
      </c>
      <c r="K124" s="22">
        <v>0.3417</v>
      </c>
      <c r="L124" s="11">
        <v>25.9</v>
      </c>
      <c r="M124" s="13">
        <v>0.66069999999999995</v>
      </c>
      <c r="N124" s="17">
        <f t="shared" si="27"/>
        <v>8.7878699999999998</v>
      </c>
      <c r="O124" s="13">
        <v>0.1075</v>
      </c>
      <c r="P124" s="14">
        <f t="shared" si="28"/>
        <v>7.8431739749999991</v>
      </c>
      <c r="Q124" s="14">
        <f t="shared" si="29"/>
        <v>5.3567778217500006</v>
      </c>
      <c r="R124" s="28">
        <f t="shared" si="30"/>
        <v>0.54902217824999999</v>
      </c>
      <c r="S124" s="28">
        <f t="shared" si="31"/>
        <v>1.8305889625910248</v>
      </c>
      <c r="T124" s="28">
        <f t="shared" si="32"/>
        <v>2.6401098217500003</v>
      </c>
      <c r="U124" s="28">
        <f t="shared" si="24"/>
        <v>2.6401098217500003</v>
      </c>
      <c r="V124" s="28">
        <f t="shared" si="25"/>
        <v>2.7166680000000003</v>
      </c>
      <c r="W124" s="28">
        <f t="shared" si="26"/>
        <v>0.13583340000000002</v>
      </c>
      <c r="X124" s="28">
        <f t="shared" si="33"/>
        <v>2.7759432217500004</v>
      </c>
      <c r="Y124" s="14">
        <v>10.618222934499997</v>
      </c>
      <c r="Z124" s="13">
        <v>0.14249999999999999</v>
      </c>
      <c r="AA124" s="14">
        <v>9.5985172705539323</v>
      </c>
      <c r="AB124" s="13">
        <f t="shared" si="35"/>
        <v>0.62939999999999996</v>
      </c>
      <c r="AC124" s="14">
        <v>12.382767270553932</v>
      </c>
      <c r="AD124" s="26">
        <f t="shared" si="20"/>
        <v>0.14250000000000002</v>
      </c>
      <c r="AE124" s="4">
        <f t="shared" si="21"/>
        <v>12.38</v>
      </c>
      <c r="AF124" s="27">
        <f t="shared" si="34"/>
        <v>0.14249999999999999</v>
      </c>
      <c r="AG124" s="4">
        <f t="shared" si="22"/>
        <v>10.62</v>
      </c>
      <c r="AH124" s="27">
        <f t="shared" si="23"/>
        <v>0.62939999999999996</v>
      </c>
    </row>
    <row r="125" spans="1:34" x14ac:dyDescent="0.35">
      <c r="A125" s="8" t="s">
        <v>288</v>
      </c>
      <c r="B125" s="9" t="s">
        <v>289</v>
      </c>
      <c r="C125" s="8" t="s">
        <v>1134</v>
      </c>
      <c r="D125" s="8" t="s">
        <v>1179</v>
      </c>
      <c r="E125" s="8" t="s">
        <v>905</v>
      </c>
      <c r="F125" s="25" t="s">
        <v>958</v>
      </c>
      <c r="G125" s="8" t="s">
        <v>1109</v>
      </c>
      <c r="H125" s="8">
        <v>10</v>
      </c>
      <c r="I125" s="8" t="s">
        <v>1163</v>
      </c>
      <c r="J125" s="10">
        <v>52.85</v>
      </c>
      <c r="K125" s="22">
        <v>0.39400000000000002</v>
      </c>
      <c r="L125" s="11">
        <v>38.340000000000003</v>
      </c>
      <c r="M125" s="13">
        <v>0.68700000000000006</v>
      </c>
      <c r="N125" s="17">
        <f t="shared" si="27"/>
        <v>12.000419999999998</v>
      </c>
      <c r="O125" s="13">
        <v>0.1075</v>
      </c>
      <c r="P125" s="14">
        <f t="shared" si="28"/>
        <v>10.710374849999997</v>
      </c>
      <c r="Q125" s="14">
        <f t="shared" si="29"/>
        <v>8.2347737605000013</v>
      </c>
      <c r="R125" s="28">
        <f t="shared" si="30"/>
        <v>0.74972623949999984</v>
      </c>
      <c r="S125" s="28">
        <f t="shared" si="31"/>
        <v>2.4997907796151497</v>
      </c>
      <c r="T125" s="28">
        <f t="shared" si="32"/>
        <v>4.1019037604999999</v>
      </c>
      <c r="U125" s="28">
        <f t="shared" si="24"/>
        <v>4.1019037604999999</v>
      </c>
      <c r="V125" s="28">
        <f t="shared" si="25"/>
        <v>4.1328700000000014</v>
      </c>
      <c r="W125" s="28">
        <f t="shared" si="26"/>
        <v>0.20664350000000009</v>
      </c>
      <c r="X125" s="28">
        <f t="shared" si="33"/>
        <v>4.3085472605000001</v>
      </c>
      <c r="Y125" s="14">
        <v>15.017598326149999</v>
      </c>
      <c r="Z125" s="13">
        <v>0.14249999999999999</v>
      </c>
      <c r="AA125" s="14">
        <v>13.391684199591836</v>
      </c>
      <c r="AB125" s="13">
        <f t="shared" si="35"/>
        <v>0.65069999999999995</v>
      </c>
      <c r="AC125" s="14">
        <v>17.513234199591835</v>
      </c>
      <c r="AD125" s="26">
        <f t="shared" si="20"/>
        <v>0.14249999999999999</v>
      </c>
      <c r="AE125" s="4">
        <f t="shared" si="21"/>
        <v>17.510000000000002</v>
      </c>
      <c r="AF125" s="27">
        <f t="shared" si="34"/>
        <v>0.14249999999999999</v>
      </c>
      <c r="AG125" s="4">
        <f t="shared" si="22"/>
        <v>15.02</v>
      </c>
      <c r="AH125" s="27">
        <f t="shared" si="23"/>
        <v>0.65069999999999995</v>
      </c>
    </row>
    <row r="126" spans="1:34" x14ac:dyDescent="0.35">
      <c r="A126" s="8" t="s">
        <v>290</v>
      </c>
      <c r="B126" s="9" t="s">
        <v>291</v>
      </c>
      <c r="C126" s="8" t="s">
        <v>1134</v>
      </c>
      <c r="D126" s="8" t="s">
        <v>1179</v>
      </c>
      <c r="E126" s="8" t="s">
        <v>905</v>
      </c>
      <c r="F126" s="25" t="s">
        <v>958</v>
      </c>
      <c r="G126" s="8" t="s">
        <v>1109</v>
      </c>
      <c r="H126" s="8">
        <v>30</v>
      </c>
      <c r="I126" s="8" t="s">
        <v>1163</v>
      </c>
      <c r="J126" s="10">
        <v>147.21</v>
      </c>
      <c r="K126" s="22">
        <v>0.39400000000000002</v>
      </c>
      <c r="L126" s="11">
        <v>106.8</v>
      </c>
      <c r="M126" s="13">
        <v>0.6714</v>
      </c>
      <c r="N126" s="17">
        <f t="shared" si="27"/>
        <v>35.094479999999997</v>
      </c>
      <c r="O126" s="13">
        <v>0.1075</v>
      </c>
      <c r="P126" s="14">
        <f t="shared" si="28"/>
        <v>31.321823399999996</v>
      </c>
      <c r="Q126" s="14">
        <f t="shared" si="29"/>
        <v>22.833172362000003</v>
      </c>
      <c r="R126" s="28">
        <f t="shared" si="30"/>
        <v>2.1925276380000001</v>
      </c>
      <c r="S126" s="28">
        <f t="shared" si="31"/>
        <v>7.3104822597365988</v>
      </c>
      <c r="T126" s="28">
        <f t="shared" si="32"/>
        <v>11.321350362</v>
      </c>
      <c r="U126" s="28">
        <f t="shared" si="24"/>
        <v>11.321350362</v>
      </c>
      <c r="V126" s="28">
        <f t="shared" si="25"/>
        <v>11.511822000000002</v>
      </c>
      <c r="W126" s="28">
        <f t="shared" si="26"/>
        <v>0.57559110000000013</v>
      </c>
      <c r="X126" s="28">
        <f t="shared" si="33"/>
        <v>11.896941462000001</v>
      </c>
      <c r="Y126" s="14">
        <v>43.215077325000003</v>
      </c>
      <c r="Z126" s="13">
        <v>0.14249999999999999</v>
      </c>
      <c r="AA126" s="14">
        <v>38.915591632653062</v>
      </c>
      <c r="AB126" s="13">
        <f t="shared" si="35"/>
        <v>0.63560000000000005</v>
      </c>
      <c r="AC126" s="14">
        <v>50.396591632653063</v>
      </c>
      <c r="AD126" s="26">
        <f t="shared" ref="AD126:AD189" si="36">(AC126-Y126)/AC126</f>
        <v>0.14249999999999999</v>
      </c>
      <c r="AE126" s="4">
        <f t="shared" ref="AE126:AE189" si="37">ROUND(AC126,2)</f>
        <v>50.4</v>
      </c>
      <c r="AF126" s="27">
        <f t="shared" si="34"/>
        <v>0.14249999999999999</v>
      </c>
      <c r="AG126" s="4">
        <f t="shared" si="22"/>
        <v>43.22</v>
      </c>
      <c r="AH126" s="27">
        <f t="shared" si="23"/>
        <v>0.63560000000000005</v>
      </c>
    </row>
    <row r="127" spans="1:34" x14ac:dyDescent="0.35">
      <c r="A127" s="8" t="s">
        <v>292</v>
      </c>
      <c r="B127" s="9" t="s">
        <v>293</v>
      </c>
      <c r="C127" s="8" t="s">
        <v>1134</v>
      </c>
      <c r="D127" s="8" t="s">
        <v>1181</v>
      </c>
      <c r="E127" s="8" t="s">
        <v>905</v>
      </c>
      <c r="F127" s="25" t="s">
        <v>959</v>
      </c>
      <c r="G127" s="8" t="s">
        <v>1111</v>
      </c>
      <c r="H127" s="8">
        <v>10</v>
      </c>
      <c r="I127" s="8" t="s">
        <v>1163</v>
      </c>
      <c r="J127" s="10">
        <v>57.34</v>
      </c>
      <c r="K127" s="22">
        <v>0.39400000000000002</v>
      </c>
      <c r="L127" s="11">
        <v>41.6</v>
      </c>
      <c r="M127" s="13">
        <v>0.74399999999999999</v>
      </c>
      <c r="N127" s="17">
        <f t="shared" si="27"/>
        <v>10.649600000000001</v>
      </c>
      <c r="O127" s="13">
        <v>0.1075</v>
      </c>
      <c r="P127" s="14">
        <f t="shared" si="28"/>
        <v>9.5047680000000003</v>
      </c>
      <c r="Q127" s="14">
        <f t="shared" si="29"/>
        <v>9.0824662400000022</v>
      </c>
      <c r="R127" s="28">
        <f t="shared" si="30"/>
        <v>0.66533376000000011</v>
      </c>
      <c r="S127" s="28">
        <f t="shared" si="31"/>
        <v>2.2184033464319999</v>
      </c>
      <c r="T127" s="28">
        <f t="shared" si="32"/>
        <v>4.5984782400000004</v>
      </c>
      <c r="U127" s="28">
        <f t="shared" si="24"/>
        <v>4.5984782400000004</v>
      </c>
      <c r="V127" s="28">
        <f t="shared" si="25"/>
        <v>4.4839880000000019</v>
      </c>
      <c r="W127" s="28">
        <f t="shared" si="26"/>
        <v>0.2241994000000001</v>
      </c>
      <c r="X127" s="28">
        <f t="shared" si="33"/>
        <v>4.8226776400000002</v>
      </c>
      <c r="Y127" s="14">
        <v>14.326009296000002</v>
      </c>
      <c r="Z127" s="13">
        <v>0.14249999999999999</v>
      </c>
      <c r="AA127" s="14">
        <v>12.234716380174927</v>
      </c>
      <c r="AB127" s="13">
        <f t="shared" si="35"/>
        <v>0.70589999999999997</v>
      </c>
      <c r="AC127" s="14">
        <v>16.706716380174928</v>
      </c>
      <c r="AD127" s="26">
        <f t="shared" si="36"/>
        <v>0.1424999999999999</v>
      </c>
      <c r="AE127" s="4">
        <f t="shared" si="37"/>
        <v>16.71</v>
      </c>
      <c r="AF127" s="27">
        <f t="shared" si="34"/>
        <v>0.14249999999999999</v>
      </c>
      <c r="AG127" s="4">
        <f t="shared" ref="AG127:AG190" si="38">ROUND(Y127,2)</f>
        <v>14.33</v>
      </c>
      <c r="AH127" s="27">
        <f t="shared" ref="AH127:AH190" si="39">ROUND(AB127,4)</f>
        <v>0.70589999999999997</v>
      </c>
    </row>
    <row r="128" spans="1:34" x14ac:dyDescent="0.35">
      <c r="A128" s="8" t="s">
        <v>294</v>
      </c>
      <c r="B128" s="9" t="s">
        <v>295</v>
      </c>
      <c r="C128" s="8" t="s">
        <v>1134</v>
      </c>
      <c r="D128" s="8" t="s">
        <v>1181</v>
      </c>
      <c r="E128" s="8" t="s">
        <v>905</v>
      </c>
      <c r="F128" s="25" t="s">
        <v>959</v>
      </c>
      <c r="G128" s="8" t="s">
        <v>20</v>
      </c>
      <c r="H128" s="8">
        <v>24</v>
      </c>
      <c r="I128" s="8" t="s">
        <v>1163</v>
      </c>
      <c r="J128" s="10">
        <v>42.25</v>
      </c>
      <c r="K128" s="22">
        <v>0.39400000000000002</v>
      </c>
      <c r="L128" s="11">
        <v>30.65</v>
      </c>
      <c r="M128" s="13">
        <v>0.58279999999999998</v>
      </c>
      <c r="N128" s="17">
        <f t="shared" si="27"/>
        <v>12.787179999999999</v>
      </c>
      <c r="O128" s="13">
        <v>0.1075</v>
      </c>
      <c r="P128" s="14">
        <f t="shared" si="28"/>
        <v>11.412558149999999</v>
      </c>
      <c r="Q128" s="14">
        <f t="shared" si="29"/>
        <v>6.3836209295000002</v>
      </c>
      <c r="R128" s="28">
        <f t="shared" si="30"/>
        <v>0.79887907049999995</v>
      </c>
      <c r="S128" s="28">
        <f t="shared" si="31"/>
        <v>2.6636796596518497</v>
      </c>
      <c r="T128" s="28">
        <f t="shared" si="32"/>
        <v>3.0796709294999998</v>
      </c>
      <c r="U128" s="28">
        <f t="shared" si="24"/>
        <v>3.0796709294999998</v>
      </c>
      <c r="V128" s="28">
        <f t="shared" si="25"/>
        <v>3.3039500000000004</v>
      </c>
      <c r="W128" s="28">
        <f t="shared" si="26"/>
        <v>0.16519750000000002</v>
      </c>
      <c r="X128" s="28">
        <f t="shared" si="33"/>
        <v>3.2448684294999999</v>
      </c>
      <c r="Y128" s="14">
        <v>14.656368311625002</v>
      </c>
      <c r="Z128" s="13">
        <v>0.14249999999999999</v>
      </c>
      <c r="AA128" s="14">
        <v>13.797099707434402</v>
      </c>
      <c r="AB128" s="13">
        <f t="shared" si="35"/>
        <v>0.54979999999999996</v>
      </c>
      <c r="AC128" s="14">
        <v>17.091974707434403</v>
      </c>
      <c r="AD128" s="26">
        <f t="shared" si="36"/>
        <v>0.14249999999999993</v>
      </c>
      <c r="AE128" s="4">
        <f t="shared" si="37"/>
        <v>17.09</v>
      </c>
      <c r="AF128" s="27">
        <f t="shared" si="34"/>
        <v>0.14249999999999999</v>
      </c>
      <c r="AG128" s="4">
        <f t="shared" si="38"/>
        <v>14.66</v>
      </c>
      <c r="AH128" s="27">
        <f t="shared" si="39"/>
        <v>0.54979999999999996</v>
      </c>
    </row>
    <row r="129" spans="1:34" x14ac:dyDescent="0.35">
      <c r="A129" s="8" t="s">
        <v>296</v>
      </c>
      <c r="B129" s="9" t="s">
        <v>297</v>
      </c>
      <c r="C129" s="8" t="s">
        <v>1134</v>
      </c>
      <c r="D129" s="8" t="s">
        <v>1138</v>
      </c>
      <c r="E129" s="8" t="s">
        <v>905</v>
      </c>
      <c r="F129" s="25" t="s">
        <v>960</v>
      </c>
      <c r="G129" s="8" t="s">
        <v>16</v>
      </c>
      <c r="H129" s="8">
        <v>10</v>
      </c>
      <c r="I129" s="8" t="s">
        <v>1163</v>
      </c>
      <c r="J129" s="10">
        <v>36.46</v>
      </c>
      <c r="K129" s="22">
        <v>0.39400000000000002</v>
      </c>
      <c r="L129" s="11">
        <v>26.45</v>
      </c>
      <c r="M129" s="13">
        <v>0.65749999999999997</v>
      </c>
      <c r="N129" s="17">
        <f t="shared" si="27"/>
        <v>9.0591249999999999</v>
      </c>
      <c r="O129" s="13">
        <v>0.1075</v>
      </c>
      <c r="P129" s="14">
        <f t="shared" si="28"/>
        <v>8.0852690625000001</v>
      </c>
      <c r="Q129" s="14">
        <f t="shared" si="29"/>
        <v>5.6322311656250008</v>
      </c>
      <c r="R129" s="28">
        <f t="shared" si="30"/>
        <v>0.56596883437500001</v>
      </c>
      <c r="S129" s="28">
        <f t="shared" si="31"/>
        <v>1.8870937139184374</v>
      </c>
      <c r="T129" s="28">
        <f t="shared" si="32"/>
        <v>2.7810591656250003</v>
      </c>
      <c r="U129" s="28">
        <f t="shared" ref="U129:U192" si="40">IFERROR(IF(J129="-",P129*7%,LARGE(S129:T129,1)),"-")</f>
        <v>2.7810591656250003</v>
      </c>
      <c r="V129" s="28">
        <f t="shared" ref="V129:V192" si="41">IFERROR(Q129-U129,"-")</f>
        <v>2.8511720000000005</v>
      </c>
      <c r="W129" s="28">
        <f t="shared" ref="W129:W192" si="42">IFERROR(V129*5%,"-")</f>
        <v>0.14255860000000004</v>
      </c>
      <c r="X129" s="28">
        <f t="shared" si="33"/>
        <v>2.9236177656250004</v>
      </c>
      <c r="Y129" s="14">
        <v>11.007973575750002</v>
      </c>
      <c r="Z129" s="13">
        <v>0.14249999999999999</v>
      </c>
      <c r="AA129" s="14">
        <v>9.9939119688046656</v>
      </c>
      <c r="AB129" s="13">
        <f t="shared" si="35"/>
        <v>0.62219999999999998</v>
      </c>
      <c r="AC129" s="14">
        <v>12.837286968804666</v>
      </c>
      <c r="AD129" s="26">
        <f t="shared" si="36"/>
        <v>0.1424999999999999</v>
      </c>
      <c r="AE129" s="4">
        <f t="shared" si="37"/>
        <v>12.84</v>
      </c>
      <c r="AF129" s="27">
        <f t="shared" si="34"/>
        <v>0.14249999999999999</v>
      </c>
      <c r="AG129" s="4">
        <f t="shared" si="38"/>
        <v>11.01</v>
      </c>
      <c r="AH129" s="27">
        <f t="shared" si="39"/>
        <v>0.62219999999999998</v>
      </c>
    </row>
    <row r="130" spans="1:34" x14ac:dyDescent="0.35">
      <c r="A130" s="8" t="s">
        <v>298</v>
      </c>
      <c r="B130" s="9" t="s">
        <v>299</v>
      </c>
      <c r="C130" s="8" t="s">
        <v>1134</v>
      </c>
      <c r="D130" s="8" t="s">
        <v>1138</v>
      </c>
      <c r="E130" s="8" t="s">
        <v>905</v>
      </c>
      <c r="F130" s="25" t="s">
        <v>960</v>
      </c>
      <c r="G130" s="8" t="s">
        <v>16</v>
      </c>
      <c r="H130" s="8">
        <v>20</v>
      </c>
      <c r="I130" s="8" t="s">
        <v>1163</v>
      </c>
      <c r="J130" s="10">
        <v>69.91</v>
      </c>
      <c r="K130" s="22">
        <v>0.39400000000000002</v>
      </c>
      <c r="L130" s="11">
        <v>50.72</v>
      </c>
      <c r="M130" s="13">
        <v>0.64049999999999996</v>
      </c>
      <c r="N130" s="17">
        <f t="shared" ref="N130:N193" si="43">L130*(1-M130)</f>
        <v>18.233840000000001</v>
      </c>
      <c r="O130" s="13">
        <v>0.1075</v>
      </c>
      <c r="P130" s="14">
        <f t="shared" ref="P130:P193" si="44">N130*(1-O130)</f>
        <v>16.273702199999999</v>
      </c>
      <c r="Q130" s="14">
        <f t="shared" ref="Q130:Q193" si="45">IFERROR(IF(J130="-",P130*(1+K130)*17%,(J130*17%)-R130),"-")</f>
        <v>10.745540846000001</v>
      </c>
      <c r="R130" s="28">
        <f t="shared" ref="R130:R193" si="46">IFERROR(P130*7%,"-")</f>
        <v>1.1391591540000001</v>
      </c>
      <c r="S130" s="28">
        <f t="shared" ref="S130:S193" si="47">IFERROR((P130*1.983*0.153)-R130,0)</f>
        <v>3.7982658197777996</v>
      </c>
      <c r="T130" s="28">
        <f t="shared" ref="T130:T193" si="48">IFERROR((J130*0.6*0.153)-R130,0)</f>
        <v>5.2785788460000003</v>
      </c>
      <c r="U130" s="28">
        <f t="shared" si="40"/>
        <v>5.2785788460000003</v>
      </c>
      <c r="V130" s="28">
        <f t="shared" si="41"/>
        <v>5.4669620000000005</v>
      </c>
      <c r="W130" s="28">
        <f t="shared" si="42"/>
        <v>0.27334810000000004</v>
      </c>
      <c r="X130" s="28">
        <f t="shared" ref="X130:X193" si="49">IF($J130="-",Q130-U130,Q130-V130+W130)</f>
        <v>5.551926946</v>
      </c>
      <c r="Y130" s="14">
        <v>21.823877911199997</v>
      </c>
      <c r="Z130" s="13">
        <v>0.14249999999999999</v>
      </c>
      <c r="AA130" s="14">
        <v>19.998186485364425</v>
      </c>
      <c r="AB130" s="13">
        <f t="shared" si="35"/>
        <v>0.60570000000000002</v>
      </c>
      <c r="AC130" s="14">
        <v>25.450586485364425</v>
      </c>
      <c r="AD130" s="26">
        <f t="shared" si="36"/>
        <v>0.14249999999999993</v>
      </c>
      <c r="AE130" s="4">
        <f t="shared" si="37"/>
        <v>25.45</v>
      </c>
      <c r="AF130" s="27">
        <f t="shared" ref="AF130:AF193" si="50">ROUND(AD130,4)</f>
        <v>0.14249999999999999</v>
      </c>
      <c r="AG130" s="4">
        <f t="shared" si="38"/>
        <v>21.82</v>
      </c>
      <c r="AH130" s="27">
        <f t="shared" si="39"/>
        <v>0.60570000000000002</v>
      </c>
    </row>
    <row r="131" spans="1:34" x14ac:dyDescent="0.35">
      <c r="A131" s="8" t="s">
        <v>300</v>
      </c>
      <c r="B131" s="9" t="s">
        <v>301</v>
      </c>
      <c r="C131" s="8" t="s">
        <v>1134</v>
      </c>
      <c r="D131" s="8" t="s">
        <v>1138</v>
      </c>
      <c r="E131" s="8" t="s">
        <v>905</v>
      </c>
      <c r="F131" s="25" t="s">
        <v>960</v>
      </c>
      <c r="G131" s="8" t="s">
        <v>25</v>
      </c>
      <c r="H131" s="8">
        <v>50</v>
      </c>
      <c r="I131" s="8" t="s">
        <v>1163</v>
      </c>
      <c r="J131" s="10">
        <v>59.86</v>
      </c>
      <c r="K131" s="22">
        <v>0.39400000000000002</v>
      </c>
      <c r="L131" s="11">
        <v>43.43</v>
      </c>
      <c r="M131" s="13">
        <v>0.27629999999999999</v>
      </c>
      <c r="N131" s="17">
        <f t="shared" si="43"/>
        <v>31.430291</v>
      </c>
      <c r="O131" s="13">
        <v>0.1075</v>
      </c>
      <c r="P131" s="14">
        <f t="shared" si="44"/>
        <v>28.051534717499997</v>
      </c>
      <c r="Q131" s="14">
        <f t="shared" si="45"/>
        <v>8.2125925697750013</v>
      </c>
      <c r="R131" s="28">
        <f t="shared" si="46"/>
        <v>1.963607430225</v>
      </c>
      <c r="S131" s="28">
        <f t="shared" si="47"/>
        <v>6.5472001515297809</v>
      </c>
      <c r="T131" s="28">
        <f t="shared" si="48"/>
        <v>3.5315405697749993</v>
      </c>
      <c r="U131" s="28">
        <f t="shared" si="40"/>
        <v>6.5472001515297809</v>
      </c>
      <c r="V131" s="28">
        <f t="shared" si="41"/>
        <v>1.6653924182452204</v>
      </c>
      <c r="W131" s="28">
        <f t="shared" si="42"/>
        <v>8.3269620912261033E-2</v>
      </c>
      <c r="X131" s="28">
        <f t="shared" si="49"/>
        <v>6.6304697724420416</v>
      </c>
      <c r="Y131" s="14">
        <v>34.681170745982755</v>
      </c>
      <c r="Z131" s="13">
        <v>0.14249999999999999</v>
      </c>
      <c r="AA131" s="14">
        <v>35.775788989484262</v>
      </c>
      <c r="AB131" s="13">
        <f t="shared" ref="AB131:AB194" si="51">ROUND(1-(AA131/L131),4)</f>
        <v>0.1762</v>
      </c>
      <c r="AC131" s="14">
        <v>40.444513989484264</v>
      </c>
      <c r="AD131" s="26">
        <f t="shared" si="36"/>
        <v>0.14250000000000004</v>
      </c>
      <c r="AE131" s="4">
        <f t="shared" si="37"/>
        <v>40.44</v>
      </c>
      <c r="AF131" s="27">
        <f t="shared" si="50"/>
        <v>0.14249999999999999</v>
      </c>
      <c r="AG131" s="4">
        <f t="shared" si="38"/>
        <v>34.68</v>
      </c>
      <c r="AH131" s="27">
        <f t="shared" si="39"/>
        <v>0.1762</v>
      </c>
    </row>
    <row r="132" spans="1:34" x14ac:dyDescent="0.35">
      <c r="A132" s="8" t="s">
        <v>302</v>
      </c>
      <c r="B132" s="9" t="s">
        <v>303</v>
      </c>
      <c r="C132" s="8" t="s">
        <v>1135</v>
      </c>
      <c r="D132" s="8" t="s">
        <v>1168</v>
      </c>
      <c r="E132" s="8" t="s">
        <v>905</v>
      </c>
      <c r="F132" s="25" t="s">
        <v>961</v>
      </c>
      <c r="G132" s="8" t="s">
        <v>16</v>
      </c>
      <c r="H132" s="8">
        <v>10</v>
      </c>
      <c r="I132" s="8" t="s">
        <v>1164</v>
      </c>
      <c r="J132" s="10">
        <v>15.25</v>
      </c>
      <c r="K132" s="22">
        <v>0.3417</v>
      </c>
      <c r="L132" s="11">
        <v>11.37</v>
      </c>
      <c r="M132" s="13">
        <v>0.57620000000000005</v>
      </c>
      <c r="N132" s="17">
        <f t="shared" si="43"/>
        <v>4.8186059999999991</v>
      </c>
      <c r="O132" s="13">
        <v>0.1075</v>
      </c>
      <c r="P132" s="14">
        <f t="shared" si="44"/>
        <v>4.3006058549999988</v>
      </c>
      <c r="Q132" s="14">
        <f t="shared" si="45"/>
        <v>2.2914575901500003</v>
      </c>
      <c r="R132" s="28">
        <f t="shared" si="46"/>
        <v>0.30104240984999997</v>
      </c>
      <c r="S132" s="28">
        <f t="shared" si="47"/>
        <v>1.0037571059511448</v>
      </c>
      <c r="T132" s="28">
        <f t="shared" si="48"/>
        <v>1.0989075901500001</v>
      </c>
      <c r="U132" s="28">
        <f t="shared" si="40"/>
        <v>1.0989075901500001</v>
      </c>
      <c r="V132" s="28">
        <f t="shared" si="41"/>
        <v>1.1925500000000002</v>
      </c>
      <c r="W132" s="28">
        <f t="shared" si="42"/>
        <v>5.9627500000000014E-2</v>
      </c>
      <c r="X132" s="28">
        <f t="shared" si="49"/>
        <v>1.15853509015</v>
      </c>
      <c r="Y132" s="14">
        <v>5.4587483674749988</v>
      </c>
      <c r="Z132" s="13">
        <v>0.14249999999999999</v>
      </c>
      <c r="AA132" s="14">
        <v>5.1436123090087449</v>
      </c>
      <c r="AB132" s="13">
        <f t="shared" si="51"/>
        <v>0.54759999999999998</v>
      </c>
      <c r="AC132" s="14">
        <v>6.3658873090087447</v>
      </c>
      <c r="AD132" s="26">
        <f t="shared" si="36"/>
        <v>0.14249999999999996</v>
      </c>
      <c r="AE132" s="4">
        <f t="shared" si="37"/>
        <v>6.37</v>
      </c>
      <c r="AF132" s="27">
        <f t="shared" si="50"/>
        <v>0.14249999999999999</v>
      </c>
      <c r="AG132" s="4">
        <f t="shared" si="38"/>
        <v>5.46</v>
      </c>
      <c r="AH132" s="27">
        <f t="shared" si="39"/>
        <v>0.54759999999999998</v>
      </c>
    </row>
    <row r="133" spans="1:34" x14ac:dyDescent="0.35">
      <c r="A133" s="8" t="s">
        <v>304</v>
      </c>
      <c r="B133" s="9" t="s">
        <v>305</v>
      </c>
      <c r="C133" s="8" t="s">
        <v>1135</v>
      </c>
      <c r="D133" s="8" t="s">
        <v>1168</v>
      </c>
      <c r="E133" s="8" t="s">
        <v>905</v>
      </c>
      <c r="F133" s="25" t="s">
        <v>961</v>
      </c>
      <c r="G133" s="8" t="s">
        <v>16</v>
      </c>
      <c r="H133" s="8">
        <v>15</v>
      </c>
      <c r="I133" s="8" t="s">
        <v>1164</v>
      </c>
      <c r="J133" s="10">
        <v>22.91</v>
      </c>
      <c r="K133" s="22">
        <v>0.3417</v>
      </c>
      <c r="L133" s="11">
        <v>17.079999999999998</v>
      </c>
      <c r="M133" s="13">
        <v>0.60699999999999998</v>
      </c>
      <c r="N133" s="17">
        <f t="shared" si="43"/>
        <v>6.71244</v>
      </c>
      <c r="O133" s="13">
        <v>0.1075</v>
      </c>
      <c r="P133" s="14">
        <f t="shared" si="44"/>
        <v>5.9908526999999996</v>
      </c>
      <c r="Q133" s="14">
        <f t="shared" si="45"/>
        <v>3.4753403110000001</v>
      </c>
      <c r="R133" s="28">
        <f t="shared" si="46"/>
        <v>0.41935968900000004</v>
      </c>
      <c r="S133" s="28">
        <f t="shared" si="47"/>
        <v>1.3982590293272998</v>
      </c>
      <c r="T133" s="28">
        <f t="shared" si="48"/>
        <v>1.683778311</v>
      </c>
      <c r="U133" s="28">
        <f t="shared" si="40"/>
        <v>1.683778311</v>
      </c>
      <c r="V133" s="28">
        <f t="shared" si="41"/>
        <v>1.7915620000000001</v>
      </c>
      <c r="W133" s="28">
        <f t="shared" si="42"/>
        <v>8.9578100000000008E-2</v>
      </c>
      <c r="X133" s="28">
        <f t="shared" si="49"/>
        <v>1.773356411</v>
      </c>
      <c r="Y133" s="14">
        <v>7.7636193812999998</v>
      </c>
      <c r="Z133" s="13">
        <v>0.14249999999999999</v>
      </c>
      <c r="AA133" s="14">
        <v>7.2176835350437312</v>
      </c>
      <c r="AB133" s="13">
        <f t="shared" si="51"/>
        <v>0.57740000000000002</v>
      </c>
      <c r="AC133" s="14">
        <v>9.0537835350437312</v>
      </c>
      <c r="AD133" s="26">
        <f t="shared" si="36"/>
        <v>0.14249999999999996</v>
      </c>
      <c r="AE133" s="4">
        <f t="shared" si="37"/>
        <v>9.0500000000000007</v>
      </c>
      <c r="AF133" s="27">
        <f t="shared" si="50"/>
        <v>0.14249999999999999</v>
      </c>
      <c r="AG133" s="4">
        <f t="shared" si="38"/>
        <v>7.76</v>
      </c>
      <c r="AH133" s="27">
        <f t="shared" si="39"/>
        <v>0.57740000000000002</v>
      </c>
    </row>
    <row r="134" spans="1:34" x14ac:dyDescent="0.35">
      <c r="A134" s="8" t="s">
        <v>306</v>
      </c>
      <c r="B134" s="9" t="s">
        <v>307</v>
      </c>
      <c r="C134" s="8" t="s">
        <v>1135</v>
      </c>
      <c r="D134" s="8" t="s">
        <v>1168</v>
      </c>
      <c r="E134" s="8" t="s">
        <v>905</v>
      </c>
      <c r="F134" s="25" t="s">
        <v>961</v>
      </c>
      <c r="G134" s="8" t="s">
        <v>16</v>
      </c>
      <c r="H134" s="8">
        <v>30</v>
      </c>
      <c r="I134" s="8" t="s">
        <v>1164</v>
      </c>
      <c r="J134" s="10">
        <v>45.81</v>
      </c>
      <c r="K134" s="22">
        <v>0.3417</v>
      </c>
      <c r="L134" s="11">
        <v>34.15</v>
      </c>
      <c r="M134" s="13">
        <v>0.64190000000000003</v>
      </c>
      <c r="N134" s="17">
        <f t="shared" si="43"/>
        <v>12.229114999999998</v>
      </c>
      <c r="O134" s="13">
        <v>0.1075</v>
      </c>
      <c r="P134" s="14">
        <f t="shared" si="44"/>
        <v>10.914485137499998</v>
      </c>
      <c r="Q134" s="14">
        <f t="shared" si="45"/>
        <v>7.0236860403750008</v>
      </c>
      <c r="R134" s="28">
        <f t="shared" si="46"/>
        <v>0.76401395962499996</v>
      </c>
      <c r="S134" s="28">
        <f t="shared" si="47"/>
        <v>2.5474299166073617</v>
      </c>
      <c r="T134" s="28">
        <f t="shared" si="48"/>
        <v>3.4413440403750002</v>
      </c>
      <c r="U134" s="28">
        <f t="shared" si="40"/>
        <v>3.4413440403750002</v>
      </c>
      <c r="V134" s="28">
        <f t="shared" si="41"/>
        <v>3.5823420000000006</v>
      </c>
      <c r="W134" s="28">
        <f t="shared" si="42"/>
        <v>0.17911710000000003</v>
      </c>
      <c r="X134" s="28">
        <f t="shared" si="49"/>
        <v>3.6204611403750002</v>
      </c>
      <c r="Y134" s="14">
        <v>14.533767163750001</v>
      </c>
      <c r="Z134" s="13">
        <v>0.14249999999999999</v>
      </c>
      <c r="AA134" s="14">
        <v>13.27787460787172</v>
      </c>
      <c r="AB134" s="13">
        <f t="shared" si="51"/>
        <v>0.61119999999999997</v>
      </c>
      <c r="AC134" s="14">
        <v>16.94899960787172</v>
      </c>
      <c r="AD134" s="26">
        <f t="shared" si="36"/>
        <v>0.1424999999999999</v>
      </c>
      <c r="AE134" s="4">
        <f t="shared" si="37"/>
        <v>16.95</v>
      </c>
      <c r="AF134" s="27">
        <f t="shared" si="50"/>
        <v>0.14249999999999999</v>
      </c>
      <c r="AG134" s="4">
        <f t="shared" si="38"/>
        <v>14.53</v>
      </c>
      <c r="AH134" s="27">
        <f t="shared" si="39"/>
        <v>0.61119999999999997</v>
      </c>
    </row>
    <row r="135" spans="1:34" x14ac:dyDescent="0.35">
      <c r="A135" s="8" t="s">
        <v>308</v>
      </c>
      <c r="B135" s="9" t="s">
        <v>309</v>
      </c>
      <c r="C135" s="8" t="s">
        <v>1135</v>
      </c>
      <c r="D135" s="8" t="s">
        <v>1168</v>
      </c>
      <c r="E135" s="8" t="s">
        <v>905</v>
      </c>
      <c r="F135" s="25" t="s">
        <v>961</v>
      </c>
      <c r="G135" s="8" t="s">
        <v>25</v>
      </c>
      <c r="H135" s="8">
        <v>30</v>
      </c>
      <c r="I135" s="8" t="s">
        <v>1164</v>
      </c>
      <c r="J135" s="10">
        <v>41.06</v>
      </c>
      <c r="K135" s="22">
        <v>0.3417</v>
      </c>
      <c r="L135" s="11">
        <v>30.61</v>
      </c>
      <c r="M135" s="13">
        <v>0.72109999999999996</v>
      </c>
      <c r="N135" s="17">
        <f t="shared" si="43"/>
        <v>8.5371290000000002</v>
      </c>
      <c r="O135" s="13">
        <v>0.1075</v>
      </c>
      <c r="P135" s="14">
        <f t="shared" si="44"/>
        <v>7.6193876324999996</v>
      </c>
      <c r="Q135" s="14">
        <f t="shared" si="45"/>
        <v>6.4468428657250012</v>
      </c>
      <c r="R135" s="28">
        <f t="shared" si="46"/>
        <v>0.53335713427499998</v>
      </c>
      <c r="S135" s="28">
        <f t="shared" si="47"/>
        <v>1.7783574540378675</v>
      </c>
      <c r="T135" s="28">
        <f t="shared" si="48"/>
        <v>3.2359508657249996</v>
      </c>
      <c r="U135" s="28">
        <f t="shared" si="40"/>
        <v>3.2359508657249996</v>
      </c>
      <c r="V135" s="28">
        <f t="shared" si="41"/>
        <v>3.2108920000000016</v>
      </c>
      <c r="W135" s="28">
        <f t="shared" si="42"/>
        <v>0.16054460000000009</v>
      </c>
      <c r="X135" s="28">
        <f t="shared" si="49"/>
        <v>3.3964954657249997</v>
      </c>
      <c r="Y135" s="14">
        <v>11.01482621145</v>
      </c>
      <c r="Z135" s="13">
        <v>0.14249999999999999</v>
      </c>
      <c r="AA135" s="14">
        <v>9.5547033806997081</v>
      </c>
      <c r="AB135" s="13">
        <f t="shared" si="51"/>
        <v>0.68789999999999996</v>
      </c>
      <c r="AC135" s="14">
        <v>12.845278380699709</v>
      </c>
      <c r="AD135" s="26">
        <f t="shared" si="36"/>
        <v>0.14250000000000002</v>
      </c>
      <c r="AE135" s="4">
        <f t="shared" si="37"/>
        <v>12.85</v>
      </c>
      <c r="AF135" s="27">
        <f t="shared" si="50"/>
        <v>0.14249999999999999</v>
      </c>
      <c r="AG135" s="4">
        <f t="shared" si="38"/>
        <v>11.01</v>
      </c>
      <c r="AH135" s="27">
        <f t="shared" si="39"/>
        <v>0.68789999999999996</v>
      </c>
    </row>
    <row r="136" spans="1:34" x14ac:dyDescent="0.35">
      <c r="A136" s="8" t="s">
        <v>310</v>
      </c>
      <c r="B136" s="9" t="s">
        <v>311</v>
      </c>
      <c r="C136" s="8" t="s">
        <v>1135</v>
      </c>
      <c r="D136" s="8" t="s">
        <v>1168</v>
      </c>
      <c r="E136" s="8" t="s">
        <v>905</v>
      </c>
      <c r="F136" s="25" t="s">
        <v>962</v>
      </c>
      <c r="G136" s="8" t="s">
        <v>1125</v>
      </c>
      <c r="H136" s="8">
        <v>15</v>
      </c>
      <c r="I136" s="8" t="s">
        <v>1164</v>
      </c>
      <c r="J136" s="10">
        <v>37.950000000000003</v>
      </c>
      <c r="K136" s="22">
        <v>0.3417</v>
      </c>
      <c r="L136" s="11">
        <v>28.29</v>
      </c>
      <c r="M136" s="13">
        <v>0.3029</v>
      </c>
      <c r="N136" s="17">
        <f t="shared" si="43"/>
        <v>19.720959000000001</v>
      </c>
      <c r="O136" s="13">
        <v>0.1075</v>
      </c>
      <c r="P136" s="14">
        <f t="shared" si="44"/>
        <v>17.600955907500001</v>
      </c>
      <c r="Q136" s="14">
        <f t="shared" si="45"/>
        <v>5.2194330864750009</v>
      </c>
      <c r="R136" s="28">
        <f t="shared" si="46"/>
        <v>1.2320669135250002</v>
      </c>
      <c r="S136" s="28">
        <f t="shared" si="47"/>
        <v>4.1080455078545928</v>
      </c>
      <c r="T136" s="28">
        <f t="shared" si="48"/>
        <v>2.2517430864749999</v>
      </c>
      <c r="U136" s="28">
        <f t="shared" si="40"/>
        <v>4.1080455078545928</v>
      </c>
      <c r="V136" s="28">
        <f t="shared" si="41"/>
        <v>1.1113875786204082</v>
      </c>
      <c r="W136" s="28">
        <f t="shared" si="42"/>
        <v>5.5569378931020409E-2</v>
      </c>
      <c r="X136" s="28">
        <f t="shared" si="49"/>
        <v>4.1636148867856129</v>
      </c>
      <c r="Y136" s="14">
        <v>21.764027699268155</v>
      </c>
      <c r="Z136" s="13">
        <v>0.14249999999999999</v>
      </c>
      <c r="AA136" s="14">
        <v>22.339615319846246</v>
      </c>
      <c r="AB136" s="13">
        <f t="shared" si="51"/>
        <v>0.21029999999999999</v>
      </c>
      <c r="AC136" s="14">
        <v>25.380790319846245</v>
      </c>
      <c r="AD136" s="26">
        <f t="shared" si="36"/>
        <v>0.14249999999999999</v>
      </c>
      <c r="AE136" s="4">
        <f t="shared" si="37"/>
        <v>25.38</v>
      </c>
      <c r="AF136" s="27">
        <f t="shared" si="50"/>
        <v>0.14249999999999999</v>
      </c>
      <c r="AG136" s="4">
        <f t="shared" si="38"/>
        <v>21.76</v>
      </c>
      <c r="AH136" s="27">
        <f t="shared" si="39"/>
        <v>0.21029999999999999</v>
      </c>
    </row>
    <row r="137" spans="1:34" x14ac:dyDescent="0.35">
      <c r="A137" s="8" t="s">
        <v>312</v>
      </c>
      <c r="B137" s="9" t="s">
        <v>313</v>
      </c>
      <c r="C137" s="8" t="s">
        <v>1135</v>
      </c>
      <c r="D137" s="8" t="s">
        <v>1139</v>
      </c>
      <c r="E137" s="8" t="s">
        <v>905</v>
      </c>
      <c r="F137" s="25" t="s">
        <v>963</v>
      </c>
      <c r="G137" s="8" t="s">
        <v>16</v>
      </c>
      <c r="H137" s="8">
        <v>15</v>
      </c>
      <c r="I137" s="8" t="s">
        <v>1164</v>
      </c>
      <c r="J137" s="10">
        <v>36.9</v>
      </c>
      <c r="K137" s="22">
        <v>0.3417</v>
      </c>
      <c r="L137" s="11">
        <v>27.51</v>
      </c>
      <c r="M137" s="13">
        <v>0.57920000000000005</v>
      </c>
      <c r="N137" s="17">
        <f t="shared" si="43"/>
        <v>11.576207999999999</v>
      </c>
      <c r="O137" s="13">
        <v>0.1075</v>
      </c>
      <c r="P137" s="14">
        <f t="shared" si="44"/>
        <v>10.331765639999999</v>
      </c>
      <c r="Q137" s="14">
        <f t="shared" si="45"/>
        <v>5.5497764052000003</v>
      </c>
      <c r="R137" s="28">
        <f t="shared" si="46"/>
        <v>0.72322359479999998</v>
      </c>
      <c r="S137" s="28">
        <f t="shared" si="47"/>
        <v>2.4114237686103599</v>
      </c>
      <c r="T137" s="28">
        <f t="shared" si="48"/>
        <v>2.6641964051999998</v>
      </c>
      <c r="U137" s="28">
        <f t="shared" si="40"/>
        <v>2.6641964051999998</v>
      </c>
      <c r="V137" s="28">
        <f t="shared" si="41"/>
        <v>2.8855800000000005</v>
      </c>
      <c r="W137" s="28">
        <f t="shared" si="42"/>
        <v>0.14427900000000002</v>
      </c>
      <c r="X137" s="28">
        <f t="shared" si="49"/>
        <v>2.8084754051999998</v>
      </c>
      <c r="Y137" s="14">
        <v>13.139291193675</v>
      </c>
      <c r="Z137" s="13">
        <v>0.14249999999999999</v>
      </c>
      <c r="AA137" s="14">
        <v>12.365463564052478</v>
      </c>
      <c r="AB137" s="13">
        <f t="shared" si="51"/>
        <v>0.55049999999999999</v>
      </c>
      <c r="AC137" s="14">
        <v>15.322788564052477</v>
      </c>
      <c r="AD137" s="26">
        <f t="shared" si="36"/>
        <v>0.14249999999999996</v>
      </c>
      <c r="AE137" s="4">
        <f t="shared" si="37"/>
        <v>15.32</v>
      </c>
      <c r="AF137" s="27">
        <f t="shared" si="50"/>
        <v>0.14249999999999999</v>
      </c>
      <c r="AG137" s="4">
        <f t="shared" si="38"/>
        <v>13.14</v>
      </c>
      <c r="AH137" s="27">
        <f t="shared" si="39"/>
        <v>0.55049999999999999</v>
      </c>
    </row>
    <row r="138" spans="1:34" x14ac:dyDescent="0.35">
      <c r="A138" s="8" t="s">
        <v>314</v>
      </c>
      <c r="B138" s="9" t="s">
        <v>315</v>
      </c>
      <c r="C138" s="8" t="s">
        <v>1134</v>
      </c>
      <c r="D138" s="8" t="s">
        <v>1139</v>
      </c>
      <c r="E138" s="8" t="s">
        <v>905</v>
      </c>
      <c r="F138" s="25" t="s">
        <v>964</v>
      </c>
      <c r="G138" s="8" t="s">
        <v>13</v>
      </c>
      <c r="H138" s="8">
        <v>30</v>
      </c>
      <c r="I138" s="8" t="s">
        <v>1163</v>
      </c>
      <c r="J138" s="10">
        <v>44.77</v>
      </c>
      <c r="K138" s="22">
        <v>0.39400000000000002</v>
      </c>
      <c r="L138" s="11">
        <v>32.479999999999997</v>
      </c>
      <c r="M138" s="13">
        <v>0.2079</v>
      </c>
      <c r="N138" s="17">
        <f t="shared" si="43"/>
        <v>25.727407999999997</v>
      </c>
      <c r="O138" s="13">
        <v>0.1075</v>
      </c>
      <c r="P138" s="14">
        <f t="shared" si="44"/>
        <v>22.961711639999997</v>
      </c>
      <c r="Q138" s="14">
        <f t="shared" si="45"/>
        <v>6.0035801852000006</v>
      </c>
      <c r="R138" s="28">
        <f t="shared" si="46"/>
        <v>1.6073198147999999</v>
      </c>
      <c r="S138" s="28">
        <f t="shared" si="47"/>
        <v>5.3592405350643588</v>
      </c>
      <c r="T138" s="28">
        <f t="shared" si="48"/>
        <v>2.5025661852000005</v>
      </c>
      <c r="U138" s="28">
        <f t="shared" si="40"/>
        <v>5.3592405350643588</v>
      </c>
      <c r="V138" s="28">
        <f t="shared" si="41"/>
        <v>0.64433965013564176</v>
      </c>
      <c r="W138" s="28">
        <f t="shared" si="42"/>
        <v>3.2216982506782087E-2</v>
      </c>
      <c r="X138" s="28">
        <f t="shared" si="49"/>
        <v>5.3914575175711406</v>
      </c>
      <c r="Y138" s="14">
        <v>28.352545625363042</v>
      </c>
      <c r="Z138" s="13">
        <v>0.14249999999999999</v>
      </c>
      <c r="AA138" s="14">
        <v>29.57259314911142</v>
      </c>
      <c r="AB138" s="13">
        <f t="shared" si="51"/>
        <v>8.9499999999999996E-2</v>
      </c>
      <c r="AC138" s="14">
        <v>33.064193149111418</v>
      </c>
      <c r="AD138" s="26">
        <f t="shared" si="36"/>
        <v>0.14249999999999996</v>
      </c>
      <c r="AE138" s="4">
        <f t="shared" si="37"/>
        <v>33.06</v>
      </c>
      <c r="AF138" s="27">
        <f t="shared" si="50"/>
        <v>0.14249999999999999</v>
      </c>
      <c r="AG138" s="4">
        <f t="shared" si="38"/>
        <v>28.35</v>
      </c>
      <c r="AH138" s="27">
        <f t="shared" si="39"/>
        <v>8.9499999999999996E-2</v>
      </c>
    </row>
    <row r="139" spans="1:34" x14ac:dyDescent="0.35">
      <c r="A139" s="8" t="s">
        <v>316</v>
      </c>
      <c r="B139" s="9" t="s">
        <v>317</v>
      </c>
      <c r="C139" s="8" t="s">
        <v>1134</v>
      </c>
      <c r="D139" s="8" t="s">
        <v>1139</v>
      </c>
      <c r="E139" s="8" t="s">
        <v>905</v>
      </c>
      <c r="F139" s="25" t="s">
        <v>964</v>
      </c>
      <c r="G139" s="8" t="s">
        <v>13</v>
      </c>
      <c r="H139" s="8">
        <v>60</v>
      </c>
      <c r="I139" s="8" t="s">
        <v>1163</v>
      </c>
      <c r="J139" s="10">
        <v>62.92</v>
      </c>
      <c r="K139" s="22">
        <v>0.39400000000000002</v>
      </c>
      <c r="L139" s="11">
        <v>45.65</v>
      </c>
      <c r="M139" s="13">
        <v>0.27400000000000002</v>
      </c>
      <c r="N139" s="17">
        <f t="shared" si="43"/>
        <v>33.1419</v>
      </c>
      <c r="O139" s="13">
        <v>0.1075</v>
      </c>
      <c r="P139" s="14">
        <f t="shared" si="44"/>
        <v>29.579145749999999</v>
      </c>
      <c r="Q139" s="14">
        <f t="shared" si="45"/>
        <v>8.6258597975000004</v>
      </c>
      <c r="R139" s="28">
        <f t="shared" si="46"/>
        <v>2.0705402025000001</v>
      </c>
      <c r="S139" s="28">
        <f t="shared" si="47"/>
        <v>6.9037430389042491</v>
      </c>
      <c r="T139" s="28">
        <f t="shared" si="48"/>
        <v>3.7055157975000004</v>
      </c>
      <c r="U139" s="28">
        <f t="shared" si="40"/>
        <v>6.9037430389042491</v>
      </c>
      <c r="V139" s="28">
        <f t="shared" si="41"/>
        <v>1.7221167585957513</v>
      </c>
      <c r="W139" s="28">
        <f t="shared" si="42"/>
        <v>8.6105837929787571E-2</v>
      </c>
      <c r="X139" s="28">
        <f t="shared" si="49"/>
        <v>6.9898488768340368</v>
      </c>
      <c r="Y139" s="14">
        <v>36.568118264601907</v>
      </c>
      <c r="Z139" s="13">
        <v>0.14249999999999999</v>
      </c>
      <c r="AA139" s="14">
        <v>37.737660877086768</v>
      </c>
      <c r="AB139" s="13">
        <f t="shared" si="51"/>
        <v>0.17330000000000001</v>
      </c>
      <c r="AC139" s="14">
        <v>42.645035877086769</v>
      </c>
      <c r="AD139" s="26">
        <f t="shared" si="36"/>
        <v>0.14249999999999996</v>
      </c>
      <c r="AE139" s="4">
        <f t="shared" si="37"/>
        <v>42.65</v>
      </c>
      <c r="AF139" s="27">
        <f t="shared" si="50"/>
        <v>0.14249999999999999</v>
      </c>
      <c r="AG139" s="4">
        <f t="shared" si="38"/>
        <v>36.57</v>
      </c>
      <c r="AH139" s="27">
        <f t="shared" si="39"/>
        <v>0.17330000000000001</v>
      </c>
    </row>
    <row r="140" spans="1:34" x14ac:dyDescent="0.35">
      <c r="A140" s="8" t="s">
        <v>318</v>
      </c>
      <c r="B140" s="9" t="s">
        <v>319</v>
      </c>
      <c r="C140" s="8" t="s">
        <v>1134</v>
      </c>
      <c r="D140" s="8" t="s">
        <v>1139</v>
      </c>
      <c r="E140" s="8" t="s">
        <v>905</v>
      </c>
      <c r="F140" s="25" t="s">
        <v>964</v>
      </c>
      <c r="G140" s="8" t="s">
        <v>20</v>
      </c>
      <c r="H140" s="8">
        <v>30</v>
      </c>
      <c r="I140" s="8" t="s">
        <v>1163</v>
      </c>
      <c r="J140" s="10">
        <v>20.84</v>
      </c>
      <c r="K140" s="22">
        <v>0.39400000000000002</v>
      </c>
      <c r="L140" s="11">
        <v>15.12</v>
      </c>
      <c r="M140" s="13">
        <v>0.36149999999999999</v>
      </c>
      <c r="N140" s="17">
        <f t="shared" si="43"/>
        <v>9.6541200000000007</v>
      </c>
      <c r="O140" s="13">
        <v>0.1075</v>
      </c>
      <c r="P140" s="14">
        <f t="shared" si="44"/>
        <v>8.6163021000000004</v>
      </c>
      <c r="Q140" s="14">
        <f t="shared" si="45"/>
        <v>2.9396588530000001</v>
      </c>
      <c r="R140" s="28">
        <f t="shared" si="46"/>
        <v>0.6031411470000001</v>
      </c>
      <c r="S140" s="28">
        <f t="shared" si="47"/>
        <v>2.0110362938379001</v>
      </c>
      <c r="T140" s="28">
        <f t="shared" si="48"/>
        <v>1.3099708529999998</v>
      </c>
      <c r="U140" s="28">
        <f t="shared" si="40"/>
        <v>2.0110362938379001</v>
      </c>
      <c r="V140" s="28">
        <f t="shared" si="41"/>
        <v>0.92862255916210001</v>
      </c>
      <c r="W140" s="28">
        <f t="shared" si="42"/>
        <v>4.6431127958105001E-2</v>
      </c>
      <c r="X140" s="28">
        <f t="shared" si="49"/>
        <v>2.0574674217960052</v>
      </c>
      <c r="Y140" s="14">
        <v>10.673479256802581</v>
      </c>
      <c r="Z140" s="13">
        <v>0.14249999999999999</v>
      </c>
      <c r="AA140" s="14">
        <v>10.821806130382019</v>
      </c>
      <c r="AB140" s="13">
        <f t="shared" si="51"/>
        <v>0.2843</v>
      </c>
      <c r="AC140" s="14">
        <v>12.447206130382018</v>
      </c>
      <c r="AD140" s="26">
        <f t="shared" si="36"/>
        <v>0.1424999999999999</v>
      </c>
      <c r="AE140" s="4">
        <f t="shared" si="37"/>
        <v>12.45</v>
      </c>
      <c r="AF140" s="27">
        <f t="shared" si="50"/>
        <v>0.14249999999999999</v>
      </c>
      <c r="AG140" s="4">
        <f t="shared" si="38"/>
        <v>10.67</v>
      </c>
      <c r="AH140" s="27">
        <f t="shared" si="39"/>
        <v>0.2843</v>
      </c>
    </row>
    <row r="141" spans="1:34" x14ac:dyDescent="0.35">
      <c r="A141" s="8" t="s">
        <v>320</v>
      </c>
      <c r="B141" s="9" t="s">
        <v>321</v>
      </c>
      <c r="C141" s="8" t="s">
        <v>1134</v>
      </c>
      <c r="D141" s="8" t="s">
        <v>1139</v>
      </c>
      <c r="E141" s="8" t="s">
        <v>905</v>
      </c>
      <c r="F141" s="25" t="s">
        <v>964</v>
      </c>
      <c r="G141" s="8" t="s">
        <v>20</v>
      </c>
      <c r="H141" s="8">
        <v>60</v>
      </c>
      <c r="I141" s="8" t="s">
        <v>1163</v>
      </c>
      <c r="J141" s="10">
        <v>31.3</v>
      </c>
      <c r="K141" s="22">
        <v>0.39400000000000002</v>
      </c>
      <c r="L141" s="11">
        <v>22.71</v>
      </c>
      <c r="M141" s="13">
        <v>0.3352</v>
      </c>
      <c r="N141" s="17">
        <f t="shared" si="43"/>
        <v>15.097608000000001</v>
      </c>
      <c r="O141" s="13">
        <v>0.1075</v>
      </c>
      <c r="P141" s="14">
        <f t="shared" si="44"/>
        <v>13.474615140000001</v>
      </c>
      <c r="Q141" s="14">
        <f t="shared" si="45"/>
        <v>4.3777769402000004</v>
      </c>
      <c r="R141" s="28">
        <f t="shared" si="46"/>
        <v>0.94322305980000021</v>
      </c>
      <c r="S141" s="28">
        <f t="shared" si="47"/>
        <v>3.1449616990608602</v>
      </c>
      <c r="T141" s="28">
        <f t="shared" si="48"/>
        <v>1.9301169402</v>
      </c>
      <c r="U141" s="28">
        <f t="shared" si="40"/>
        <v>3.1449616990608602</v>
      </c>
      <c r="V141" s="28">
        <f t="shared" si="41"/>
        <v>1.2328152411391402</v>
      </c>
      <c r="W141" s="28">
        <f t="shared" si="42"/>
        <v>6.164076205695701E-2</v>
      </c>
      <c r="X141" s="28">
        <f t="shared" si="49"/>
        <v>3.206602461117817</v>
      </c>
      <c r="Y141" s="14">
        <v>16.68078162770508</v>
      </c>
      <c r="Z141" s="13">
        <v>0.14249999999999999</v>
      </c>
      <c r="AA141" s="14">
        <v>17.011481562921375</v>
      </c>
      <c r="AB141" s="13">
        <f t="shared" si="51"/>
        <v>0.25090000000000001</v>
      </c>
      <c r="AC141" s="14">
        <v>19.452806562921374</v>
      </c>
      <c r="AD141" s="26">
        <f t="shared" si="36"/>
        <v>0.1424999999999999</v>
      </c>
      <c r="AE141" s="4">
        <f t="shared" si="37"/>
        <v>19.45</v>
      </c>
      <c r="AF141" s="27">
        <f t="shared" si="50"/>
        <v>0.14249999999999999</v>
      </c>
      <c r="AG141" s="4">
        <f t="shared" si="38"/>
        <v>16.68</v>
      </c>
      <c r="AH141" s="27">
        <f t="shared" si="39"/>
        <v>0.25090000000000001</v>
      </c>
    </row>
    <row r="142" spans="1:34" x14ac:dyDescent="0.35">
      <c r="A142" s="8" t="s">
        <v>322</v>
      </c>
      <c r="B142" s="9" t="s">
        <v>323</v>
      </c>
      <c r="C142" s="8" t="s">
        <v>1134</v>
      </c>
      <c r="D142" s="8" t="s">
        <v>1139</v>
      </c>
      <c r="E142" s="8" t="s">
        <v>905</v>
      </c>
      <c r="F142" s="25" t="s">
        <v>965</v>
      </c>
      <c r="G142" s="8" t="s">
        <v>21</v>
      </c>
      <c r="H142" s="8">
        <v>14</v>
      </c>
      <c r="I142" s="8" t="s">
        <v>1163</v>
      </c>
      <c r="J142" s="10">
        <v>56.25</v>
      </c>
      <c r="K142" s="22">
        <v>0.39400000000000002</v>
      </c>
      <c r="L142" s="11">
        <v>40.81</v>
      </c>
      <c r="M142" s="13">
        <v>0.70820000000000005</v>
      </c>
      <c r="N142" s="17">
        <f t="shared" si="43"/>
        <v>11.908357999999998</v>
      </c>
      <c r="O142" s="13">
        <v>0.1075</v>
      </c>
      <c r="P142" s="14">
        <f t="shared" si="44"/>
        <v>10.628209514999998</v>
      </c>
      <c r="Q142" s="14">
        <f t="shared" si="45"/>
        <v>8.8185253339499994</v>
      </c>
      <c r="R142" s="28">
        <f t="shared" si="46"/>
        <v>0.74397466604999996</v>
      </c>
      <c r="S142" s="28">
        <f t="shared" si="47"/>
        <v>2.4806134725914841</v>
      </c>
      <c r="T142" s="28">
        <f t="shared" si="48"/>
        <v>4.4197753339500006</v>
      </c>
      <c r="U142" s="28">
        <f t="shared" si="40"/>
        <v>4.4197753339500006</v>
      </c>
      <c r="V142" s="28">
        <f t="shared" si="41"/>
        <v>4.3987499999999988</v>
      </c>
      <c r="W142" s="28">
        <f t="shared" si="42"/>
        <v>0.21993749999999995</v>
      </c>
      <c r="X142" s="28">
        <f t="shared" si="49"/>
        <v>4.6397128339500009</v>
      </c>
      <c r="Y142" s="14">
        <v>15.266513281675001</v>
      </c>
      <c r="Z142" s="13">
        <v>0.14249999999999999</v>
      </c>
      <c r="AA142" s="14">
        <v>13.416439031107872</v>
      </c>
      <c r="AB142" s="13">
        <f t="shared" si="51"/>
        <v>0.67120000000000002</v>
      </c>
      <c r="AC142" s="14">
        <v>17.803514031107873</v>
      </c>
      <c r="AD142" s="26">
        <f t="shared" si="36"/>
        <v>0.14250000000000002</v>
      </c>
      <c r="AE142" s="4">
        <f t="shared" si="37"/>
        <v>17.8</v>
      </c>
      <c r="AF142" s="27">
        <f t="shared" si="50"/>
        <v>0.14249999999999999</v>
      </c>
      <c r="AG142" s="4">
        <f t="shared" si="38"/>
        <v>15.27</v>
      </c>
      <c r="AH142" s="27">
        <f t="shared" si="39"/>
        <v>0.67120000000000002</v>
      </c>
    </row>
    <row r="143" spans="1:34" x14ac:dyDescent="0.35">
      <c r="A143" s="8" t="s">
        <v>324</v>
      </c>
      <c r="B143" s="9" t="s">
        <v>325</v>
      </c>
      <c r="C143" s="8" t="s">
        <v>1134</v>
      </c>
      <c r="D143" s="8" t="s">
        <v>1139</v>
      </c>
      <c r="E143" s="8" t="s">
        <v>905</v>
      </c>
      <c r="F143" s="25" t="s">
        <v>966</v>
      </c>
      <c r="G143" s="8" t="s">
        <v>3</v>
      </c>
      <c r="H143" s="8">
        <v>50</v>
      </c>
      <c r="I143" s="8" t="s">
        <v>1163</v>
      </c>
      <c r="J143" s="10">
        <v>35.659999999999997</v>
      </c>
      <c r="K143" s="22">
        <v>0.39400000000000002</v>
      </c>
      <c r="L143" s="11">
        <v>25.87</v>
      </c>
      <c r="M143" s="13">
        <v>0.35560000000000003</v>
      </c>
      <c r="N143" s="17">
        <f t="shared" si="43"/>
        <v>16.670628000000001</v>
      </c>
      <c r="O143" s="13">
        <v>0.1075</v>
      </c>
      <c r="P143" s="14">
        <f t="shared" si="44"/>
        <v>14.878535489999999</v>
      </c>
      <c r="Q143" s="14">
        <f t="shared" si="45"/>
        <v>5.0207025157</v>
      </c>
      <c r="R143" s="28">
        <f t="shared" si="46"/>
        <v>1.0414974843</v>
      </c>
      <c r="S143" s="28">
        <f t="shared" si="47"/>
        <v>3.4726353048305096</v>
      </c>
      <c r="T143" s="28">
        <f t="shared" si="48"/>
        <v>2.2320905156999995</v>
      </c>
      <c r="U143" s="28">
        <f t="shared" si="40"/>
        <v>3.4726353048305096</v>
      </c>
      <c r="V143" s="28">
        <f t="shared" si="41"/>
        <v>1.5480672108694904</v>
      </c>
      <c r="W143" s="28">
        <f t="shared" si="42"/>
        <v>7.740336054347452E-2</v>
      </c>
      <c r="X143" s="28">
        <f t="shared" si="49"/>
        <v>3.5500386653739842</v>
      </c>
      <c r="Y143" s="14">
        <v>18.428077518113412</v>
      </c>
      <c r="Z143" s="13">
        <v>0.14249999999999999</v>
      </c>
      <c r="AA143" s="14">
        <v>18.709444408878614</v>
      </c>
      <c r="AB143" s="13">
        <f t="shared" si="51"/>
        <v>0.27679999999999999</v>
      </c>
      <c r="AC143" s="14">
        <v>21.490469408878614</v>
      </c>
      <c r="AD143" s="26">
        <f t="shared" si="36"/>
        <v>0.14249999999999999</v>
      </c>
      <c r="AE143" s="4">
        <f t="shared" si="37"/>
        <v>21.49</v>
      </c>
      <c r="AF143" s="27">
        <f t="shared" si="50"/>
        <v>0.14249999999999999</v>
      </c>
      <c r="AG143" s="4">
        <f t="shared" si="38"/>
        <v>18.43</v>
      </c>
      <c r="AH143" s="27">
        <f t="shared" si="39"/>
        <v>0.27679999999999999</v>
      </c>
    </row>
    <row r="144" spans="1:34" x14ac:dyDescent="0.35">
      <c r="A144" s="8" t="s">
        <v>326</v>
      </c>
      <c r="B144" s="9" t="s">
        <v>327</v>
      </c>
      <c r="C144" s="8" t="s">
        <v>1134</v>
      </c>
      <c r="D144" s="8" t="s">
        <v>1147</v>
      </c>
      <c r="E144" s="8" t="s">
        <v>905</v>
      </c>
      <c r="F144" s="25" t="s">
        <v>967</v>
      </c>
      <c r="G144" s="8" t="s">
        <v>23</v>
      </c>
      <c r="H144" s="8">
        <v>30</v>
      </c>
      <c r="I144" s="8" t="s">
        <v>1163</v>
      </c>
      <c r="J144" s="10">
        <v>69.290000000000006</v>
      </c>
      <c r="K144" s="22">
        <v>0.39400000000000002</v>
      </c>
      <c r="L144" s="11">
        <v>50.27</v>
      </c>
      <c r="M144" s="13">
        <v>0.72719999999999996</v>
      </c>
      <c r="N144" s="17">
        <f t="shared" si="43"/>
        <v>13.713656000000004</v>
      </c>
      <c r="O144" s="13">
        <v>0.1075</v>
      </c>
      <c r="P144" s="14">
        <f t="shared" si="44"/>
        <v>12.239437980000003</v>
      </c>
      <c r="Q144" s="14">
        <f t="shared" si="45"/>
        <v>10.922539341400002</v>
      </c>
      <c r="R144" s="28">
        <f t="shared" si="46"/>
        <v>0.85676065860000028</v>
      </c>
      <c r="S144" s="28">
        <f t="shared" si="47"/>
        <v>2.8566725850940209</v>
      </c>
      <c r="T144" s="28">
        <f t="shared" si="48"/>
        <v>5.5040613413999999</v>
      </c>
      <c r="U144" s="28">
        <f t="shared" si="40"/>
        <v>5.5040613413999999</v>
      </c>
      <c r="V144" s="28">
        <f t="shared" si="41"/>
        <v>5.4184780000000021</v>
      </c>
      <c r="W144" s="28">
        <f t="shared" si="42"/>
        <v>0.27092390000000011</v>
      </c>
      <c r="X144" s="28">
        <f t="shared" si="49"/>
        <v>5.7749852413999996</v>
      </c>
      <c r="Y144" s="14">
        <v>18.012687523975</v>
      </c>
      <c r="Z144" s="13">
        <v>0.14249999999999999</v>
      </c>
      <c r="AA144" s="14">
        <v>15.602024590641399</v>
      </c>
      <c r="AB144" s="13">
        <f t="shared" si="51"/>
        <v>0.68959999999999999</v>
      </c>
      <c r="AC144" s="14">
        <v>21.0060495906414</v>
      </c>
      <c r="AD144" s="26">
        <f t="shared" si="36"/>
        <v>0.14250000000000002</v>
      </c>
      <c r="AE144" s="4">
        <f t="shared" si="37"/>
        <v>21.01</v>
      </c>
      <c r="AF144" s="27">
        <f t="shared" si="50"/>
        <v>0.14249999999999999</v>
      </c>
      <c r="AG144" s="4">
        <f t="shared" si="38"/>
        <v>18.010000000000002</v>
      </c>
      <c r="AH144" s="27">
        <f t="shared" si="39"/>
        <v>0.68959999999999999</v>
      </c>
    </row>
    <row r="145" spans="1:34" x14ac:dyDescent="0.35">
      <c r="A145" s="8" t="s">
        <v>328</v>
      </c>
      <c r="B145" s="9" t="s">
        <v>329</v>
      </c>
      <c r="C145" s="8" t="s">
        <v>1134</v>
      </c>
      <c r="D145" s="8" t="s">
        <v>1175</v>
      </c>
      <c r="E145" s="8" t="s">
        <v>905</v>
      </c>
      <c r="F145" s="25" t="s">
        <v>968</v>
      </c>
      <c r="G145" s="8" t="s">
        <v>1117</v>
      </c>
      <c r="H145" s="8">
        <v>12</v>
      </c>
      <c r="I145" s="8" t="s">
        <v>1163</v>
      </c>
      <c r="J145" s="10">
        <v>168.55</v>
      </c>
      <c r="K145" s="22">
        <v>0.39400000000000002</v>
      </c>
      <c r="L145" s="11">
        <v>122.28</v>
      </c>
      <c r="M145" s="13">
        <v>0.13730000000000001</v>
      </c>
      <c r="N145" s="17">
        <f t="shared" si="43"/>
        <v>105.490956</v>
      </c>
      <c r="O145" s="13">
        <v>0.1075</v>
      </c>
      <c r="P145" s="14">
        <f t="shared" si="44"/>
        <v>94.150678229999997</v>
      </c>
      <c r="Q145" s="14">
        <f t="shared" si="45"/>
        <v>22.062952523900005</v>
      </c>
      <c r="R145" s="28">
        <f t="shared" si="46"/>
        <v>6.5905474761000002</v>
      </c>
      <c r="S145" s="28">
        <f t="shared" si="47"/>
        <v>21.974674148203771</v>
      </c>
      <c r="T145" s="28">
        <f t="shared" si="48"/>
        <v>8.8823425239000002</v>
      </c>
      <c r="U145" s="28">
        <f t="shared" si="40"/>
        <v>21.974674148203771</v>
      </c>
      <c r="V145" s="28">
        <f t="shared" si="41"/>
        <v>8.8278375696233979E-2</v>
      </c>
      <c r="W145" s="28">
        <f t="shared" si="42"/>
        <v>4.4139187848116993E-3</v>
      </c>
      <c r="X145" s="28">
        <f t="shared" si="49"/>
        <v>21.979088066988584</v>
      </c>
      <c r="Y145" s="14">
        <v>116.12682922630894</v>
      </c>
      <c r="Z145" s="13">
        <v>0.14249999999999999</v>
      </c>
      <c r="AA145" s="14">
        <v>122.27977373330489</v>
      </c>
      <c r="AB145" s="13">
        <f t="shared" si="51"/>
        <v>0</v>
      </c>
      <c r="AC145" s="14">
        <v>135.42487373330488</v>
      </c>
      <c r="AD145" s="26">
        <f t="shared" si="36"/>
        <v>0.14249999999999993</v>
      </c>
      <c r="AE145" s="4">
        <f t="shared" si="37"/>
        <v>135.41999999999999</v>
      </c>
      <c r="AF145" s="27">
        <f t="shared" si="50"/>
        <v>0.14249999999999999</v>
      </c>
      <c r="AG145" s="4">
        <f t="shared" si="38"/>
        <v>116.13</v>
      </c>
      <c r="AH145" s="27">
        <f t="shared" si="39"/>
        <v>0</v>
      </c>
    </row>
    <row r="146" spans="1:34" x14ac:dyDescent="0.35">
      <c r="A146" s="8" t="s">
        <v>330</v>
      </c>
      <c r="B146" s="9" t="s">
        <v>1225</v>
      </c>
      <c r="C146" s="8" t="s">
        <v>1134</v>
      </c>
      <c r="D146" s="8" t="s">
        <v>1175</v>
      </c>
      <c r="E146" s="8" t="s">
        <v>905</v>
      </c>
      <c r="F146" s="25" t="s">
        <v>968</v>
      </c>
      <c r="G146" s="8" t="s">
        <v>21</v>
      </c>
      <c r="H146" s="8">
        <v>10</v>
      </c>
      <c r="I146" s="8" t="s">
        <v>1163</v>
      </c>
      <c r="J146" s="10">
        <v>195.19</v>
      </c>
      <c r="K146" s="22">
        <v>0.39400000000000002</v>
      </c>
      <c r="L146" s="11">
        <v>141.61000000000001</v>
      </c>
      <c r="M146" s="13">
        <v>0.54949999999999999</v>
      </c>
      <c r="N146" s="17">
        <f t="shared" si="43"/>
        <v>63.795305000000006</v>
      </c>
      <c r="O146" s="13">
        <v>0.1075</v>
      </c>
      <c r="P146" s="14">
        <f t="shared" si="44"/>
        <v>56.937309712500003</v>
      </c>
      <c r="Q146" s="14">
        <f t="shared" si="45"/>
        <v>29.196688320125006</v>
      </c>
      <c r="R146" s="28">
        <f t="shared" si="46"/>
        <v>3.9856116798750008</v>
      </c>
      <c r="S146" s="28">
        <f t="shared" si="47"/>
        <v>13.289111149587788</v>
      </c>
      <c r="T146" s="28">
        <f t="shared" si="48"/>
        <v>13.932830320124998</v>
      </c>
      <c r="U146" s="28">
        <f t="shared" si="40"/>
        <v>13.932830320124998</v>
      </c>
      <c r="V146" s="28">
        <f t="shared" si="41"/>
        <v>15.263858000000008</v>
      </c>
      <c r="W146" s="28">
        <f t="shared" si="42"/>
        <v>0.7631929000000004</v>
      </c>
      <c r="X146" s="28">
        <f t="shared" si="49"/>
        <v>14.696023220124998</v>
      </c>
      <c r="Y146" s="14">
        <v>71.628443493350005</v>
      </c>
      <c r="Z146" s="13">
        <v>0.14249999999999999</v>
      </c>
      <c r="AA146" s="14">
        <v>68.308637528688052</v>
      </c>
      <c r="AB146" s="13">
        <f t="shared" si="51"/>
        <v>0.51759999999999995</v>
      </c>
      <c r="AC146" s="14">
        <v>83.531712528688047</v>
      </c>
      <c r="AD146" s="26">
        <f t="shared" si="36"/>
        <v>0.14249999999999993</v>
      </c>
      <c r="AE146" s="4">
        <f t="shared" si="37"/>
        <v>83.53</v>
      </c>
      <c r="AF146" s="27">
        <f t="shared" si="50"/>
        <v>0.14249999999999999</v>
      </c>
      <c r="AG146" s="4">
        <f t="shared" si="38"/>
        <v>71.63</v>
      </c>
      <c r="AH146" s="27">
        <f t="shared" si="39"/>
        <v>0.51759999999999995</v>
      </c>
    </row>
    <row r="147" spans="1:34" x14ac:dyDescent="0.35">
      <c r="A147" s="8" t="s">
        <v>331</v>
      </c>
      <c r="B147" s="9" t="s">
        <v>332</v>
      </c>
      <c r="C147" s="8" t="s">
        <v>1134</v>
      </c>
      <c r="D147" s="8" t="s">
        <v>1175</v>
      </c>
      <c r="E147" s="8" t="s">
        <v>905</v>
      </c>
      <c r="F147" s="25" t="s">
        <v>968</v>
      </c>
      <c r="G147" s="8" t="s">
        <v>21</v>
      </c>
      <c r="H147" s="8">
        <v>14</v>
      </c>
      <c r="I147" s="8" t="s">
        <v>1163</v>
      </c>
      <c r="J147" s="10">
        <v>286.08999999999997</v>
      </c>
      <c r="K147" s="22">
        <v>0.39400000000000002</v>
      </c>
      <c r="L147" s="11">
        <v>207.55</v>
      </c>
      <c r="M147" s="13">
        <v>0.5212</v>
      </c>
      <c r="N147" s="17">
        <f t="shared" si="43"/>
        <v>99.374940000000009</v>
      </c>
      <c r="O147" s="13">
        <v>0.1075</v>
      </c>
      <c r="P147" s="14">
        <f t="shared" si="44"/>
        <v>88.692133949999999</v>
      </c>
      <c r="Q147" s="14">
        <f t="shared" si="45"/>
        <v>42.426850623500002</v>
      </c>
      <c r="R147" s="28">
        <f t="shared" si="46"/>
        <v>6.2084493765000008</v>
      </c>
      <c r="S147" s="28">
        <f t="shared" si="47"/>
        <v>20.700655371796053</v>
      </c>
      <c r="T147" s="28">
        <f t="shared" si="48"/>
        <v>20.054612623499992</v>
      </c>
      <c r="U147" s="28">
        <f t="shared" si="40"/>
        <v>20.700655371796053</v>
      </c>
      <c r="V147" s="28">
        <f t="shared" si="41"/>
        <v>21.726195251703949</v>
      </c>
      <c r="W147" s="28">
        <f t="shared" si="42"/>
        <v>1.0863097625851974</v>
      </c>
      <c r="X147" s="28">
        <f t="shared" si="49"/>
        <v>21.786965134381251</v>
      </c>
      <c r="Y147" s="14">
        <v>110.47837037037499</v>
      </c>
      <c r="Z147" s="13">
        <v>0.14249999999999999</v>
      </c>
      <c r="AA147" s="14">
        <v>106.5261247030612</v>
      </c>
      <c r="AB147" s="13">
        <f t="shared" si="51"/>
        <v>0.48670000000000002</v>
      </c>
      <c r="AC147" s="14">
        <v>128.83774970306121</v>
      </c>
      <c r="AD147" s="26">
        <f t="shared" si="36"/>
        <v>0.14249999999999996</v>
      </c>
      <c r="AE147" s="4">
        <f t="shared" si="37"/>
        <v>128.84</v>
      </c>
      <c r="AF147" s="27">
        <f t="shared" si="50"/>
        <v>0.14249999999999999</v>
      </c>
      <c r="AG147" s="4">
        <f t="shared" si="38"/>
        <v>110.48</v>
      </c>
      <c r="AH147" s="27">
        <f t="shared" si="39"/>
        <v>0.48670000000000002</v>
      </c>
    </row>
    <row r="148" spans="1:34" x14ac:dyDescent="0.35">
      <c r="A148" s="8" t="s">
        <v>333</v>
      </c>
      <c r="B148" s="9" t="s">
        <v>334</v>
      </c>
      <c r="C148" s="8" t="s">
        <v>1134</v>
      </c>
      <c r="D148" s="8" t="s">
        <v>1177</v>
      </c>
      <c r="E148" s="8" t="s">
        <v>905</v>
      </c>
      <c r="F148" s="25" t="s">
        <v>969</v>
      </c>
      <c r="G148" s="8" t="s">
        <v>3</v>
      </c>
      <c r="H148" s="8">
        <v>30</v>
      </c>
      <c r="I148" s="8" t="s">
        <v>1163</v>
      </c>
      <c r="J148" s="10">
        <v>29.33</v>
      </c>
      <c r="K148" s="22">
        <v>0.39400000000000002</v>
      </c>
      <c r="L148" s="11">
        <v>21.28</v>
      </c>
      <c r="M148" s="13">
        <v>0.59370000000000001</v>
      </c>
      <c r="N148" s="17">
        <f t="shared" si="43"/>
        <v>8.6460640000000009</v>
      </c>
      <c r="O148" s="13">
        <v>0.1075</v>
      </c>
      <c r="P148" s="14">
        <f t="shared" si="44"/>
        <v>7.7166121200000006</v>
      </c>
      <c r="Q148" s="14">
        <f t="shared" si="45"/>
        <v>4.4459371516000008</v>
      </c>
      <c r="R148" s="28">
        <f t="shared" si="46"/>
        <v>0.54016284840000006</v>
      </c>
      <c r="S148" s="28">
        <f t="shared" si="47"/>
        <v>1.8010495521958805</v>
      </c>
      <c r="T148" s="28">
        <f t="shared" si="48"/>
        <v>2.1523311515999999</v>
      </c>
      <c r="U148" s="28">
        <f t="shared" si="40"/>
        <v>2.1523311515999999</v>
      </c>
      <c r="V148" s="28">
        <f t="shared" si="41"/>
        <v>2.2936060000000009</v>
      </c>
      <c r="W148" s="28">
        <f t="shared" si="42"/>
        <v>0.11468030000000005</v>
      </c>
      <c r="X148" s="28">
        <f t="shared" si="49"/>
        <v>2.2670114515999997</v>
      </c>
      <c r="Y148" s="14">
        <v>9.9828888264000017</v>
      </c>
      <c r="Z148" s="13">
        <v>0.14249999999999999</v>
      </c>
      <c r="AA148" s="14">
        <v>9.35425285877551</v>
      </c>
      <c r="AB148" s="13">
        <f t="shared" si="51"/>
        <v>0.56040000000000001</v>
      </c>
      <c r="AC148" s="14">
        <v>11.641852858775511</v>
      </c>
      <c r="AD148" s="26">
        <f t="shared" si="36"/>
        <v>0.14249999999999993</v>
      </c>
      <c r="AE148" s="4">
        <f t="shared" si="37"/>
        <v>11.64</v>
      </c>
      <c r="AF148" s="27">
        <f t="shared" si="50"/>
        <v>0.14249999999999999</v>
      </c>
      <c r="AG148" s="4">
        <f t="shared" si="38"/>
        <v>9.98</v>
      </c>
      <c r="AH148" s="27">
        <f t="shared" si="39"/>
        <v>0.56040000000000001</v>
      </c>
    </row>
    <row r="149" spans="1:34" x14ac:dyDescent="0.35">
      <c r="A149" s="8" t="s">
        <v>335</v>
      </c>
      <c r="B149" s="9" t="s">
        <v>336</v>
      </c>
      <c r="C149" s="8" t="s">
        <v>1134</v>
      </c>
      <c r="D149" s="8" t="s">
        <v>1139</v>
      </c>
      <c r="E149" s="8" t="s">
        <v>905</v>
      </c>
      <c r="F149" s="25" t="s">
        <v>970</v>
      </c>
      <c r="G149" s="8" t="s">
        <v>1108</v>
      </c>
      <c r="H149" s="8">
        <v>20</v>
      </c>
      <c r="I149" s="8" t="s">
        <v>1163</v>
      </c>
      <c r="J149" s="10">
        <v>42.22</v>
      </c>
      <c r="K149" s="22">
        <v>0.39400000000000002</v>
      </c>
      <c r="L149" s="11">
        <v>30.63</v>
      </c>
      <c r="M149" s="13">
        <v>0.2712</v>
      </c>
      <c r="N149" s="17">
        <f t="shared" si="43"/>
        <v>22.323143999999999</v>
      </c>
      <c r="O149" s="13">
        <v>0.1075</v>
      </c>
      <c r="P149" s="14">
        <f t="shared" si="44"/>
        <v>19.923406019999998</v>
      </c>
      <c r="Q149" s="14">
        <f t="shared" si="45"/>
        <v>5.7827615786000006</v>
      </c>
      <c r="R149" s="28">
        <f t="shared" si="46"/>
        <v>1.3946384214000001</v>
      </c>
      <c r="S149" s="28">
        <f t="shared" si="47"/>
        <v>4.6501030416619802</v>
      </c>
      <c r="T149" s="28">
        <f t="shared" si="48"/>
        <v>2.4811575785999995</v>
      </c>
      <c r="U149" s="28">
        <f t="shared" si="40"/>
        <v>4.6501030416619802</v>
      </c>
      <c r="V149" s="28">
        <f t="shared" si="41"/>
        <v>1.1326585369380204</v>
      </c>
      <c r="W149" s="28">
        <f t="shared" si="42"/>
        <v>5.6632926846901022E-2</v>
      </c>
      <c r="X149" s="28">
        <f t="shared" si="49"/>
        <v>4.7067359685088812</v>
      </c>
      <c r="Y149" s="14">
        <v>24.629553971528154</v>
      </c>
      <c r="Z149" s="13">
        <v>0.14249999999999999</v>
      </c>
      <c r="AA149" s="14">
        <v>25.429786920149446</v>
      </c>
      <c r="AB149" s="13">
        <f t="shared" si="51"/>
        <v>0.16980000000000001</v>
      </c>
      <c r="AC149" s="14">
        <v>28.722511920149447</v>
      </c>
      <c r="AD149" s="26">
        <f t="shared" si="36"/>
        <v>0.1424999999999999</v>
      </c>
      <c r="AE149" s="4">
        <f t="shared" si="37"/>
        <v>28.72</v>
      </c>
      <c r="AF149" s="27">
        <f t="shared" si="50"/>
        <v>0.14249999999999999</v>
      </c>
      <c r="AG149" s="4">
        <f t="shared" si="38"/>
        <v>24.63</v>
      </c>
      <c r="AH149" s="27">
        <f t="shared" si="39"/>
        <v>0.16980000000000001</v>
      </c>
    </row>
    <row r="150" spans="1:34" x14ac:dyDescent="0.35">
      <c r="A150" s="8" t="s">
        <v>337</v>
      </c>
      <c r="B150" s="9" t="s">
        <v>1226</v>
      </c>
      <c r="C150" s="8" t="s">
        <v>1134</v>
      </c>
      <c r="D150" s="8" t="s">
        <v>1139</v>
      </c>
      <c r="E150" s="8" t="s">
        <v>905</v>
      </c>
      <c r="F150" s="25" t="s">
        <v>971</v>
      </c>
      <c r="G150" s="8" t="s">
        <v>1114</v>
      </c>
      <c r="H150" s="8">
        <v>30</v>
      </c>
      <c r="I150" s="8" t="s">
        <v>1163</v>
      </c>
      <c r="J150" s="10">
        <v>23.9</v>
      </c>
      <c r="K150" s="22">
        <v>0.39400000000000002</v>
      </c>
      <c r="L150" s="11">
        <v>17.34</v>
      </c>
      <c r="M150" s="13">
        <v>0.7056</v>
      </c>
      <c r="N150" s="17">
        <f t="shared" si="43"/>
        <v>5.1048960000000001</v>
      </c>
      <c r="O150" s="13">
        <v>0.1075</v>
      </c>
      <c r="P150" s="14">
        <f t="shared" si="44"/>
        <v>4.5561196800000001</v>
      </c>
      <c r="Q150" s="14">
        <f t="shared" si="45"/>
        <v>3.7440716223999999</v>
      </c>
      <c r="R150" s="28">
        <f t="shared" si="46"/>
        <v>0.31892837760000003</v>
      </c>
      <c r="S150" s="28">
        <f t="shared" si="47"/>
        <v>1.0633937771923201</v>
      </c>
      <c r="T150" s="28">
        <f t="shared" si="48"/>
        <v>1.8750916223999996</v>
      </c>
      <c r="U150" s="28">
        <f t="shared" si="40"/>
        <v>1.8750916223999996</v>
      </c>
      <c r="V150" s="28">
        <f t="shared" si="41"/>
        <v>1.8689800000000003</v>
      </c>
      <c r="W150" s="28">
        <f t="shared" si="42"/>
        <v>9.3449000000000018E-2</v>
      </c>
      <c r="X150" s="28">
        <f t="shared" si="49"/>
        <v>1.9685406223999997</v>
      </c>
      <c r="Y150" s="14">
        <v>6.5240615955499992</v>
      </c>
      <c r="Z150" s="13">
        <v>0.14249999999999999</v>
      </c>
      <c r="AA150" s="14">
        <v>5.7441850968513108</v>
      </c>
      <c r="AB150" s="13">
        <f t="shared" si="51"/>
        <v>0.66869999999999996</v>
      </c>
      <c r="AC150" s="14">
        <v>7.6082350968513106</v>
      </c>
      <c r="AD150" s="26">
        <f t="shared" si="36"/>
        <v>0.14249999999999996</v>
      </c>
      <c r="AE150" s="4">
        <f t="shared" si="37"/>
        <v>7.61</v>
      </c>
      <c r="AF150" s="27">
        <f t="shared" si="50"/>
        <v>0.14249999999999999</v>
      </c>
      <c r="AG150" s="4">
        <f t="shared" si="38"/>
        <v>6.52</v>
      </c>
      <c r="AH150" s="27">
        <f t="shared" si="39"/>
        <v>0.66869999999999996</v>
      </c>
    </row>
    <row r="151" spans="1:34" x14ac:dyDescent="0.35">
      <c r="A151" s="8" t="s">
        <v>338</v>
      </c>
      <c r="B151" s="9" t="s">
        <v>339</v>
      </c>
      <c r="C151" s="8" t="s">
        <v>1134</v>
      </c>
      <c r="D151" s="8" t="s">
        <v>1139</v>
      </c>
      <c r="E151" s="8" t="s">
        <v>905</v>
      </c>
      <c r="F151" s="25" t="s">
        <v>971</v>
      </c>
      <c r="G151" s="8" t="s">
        <v>1114</v>
      </c>
      <c r="H151" s="8">
        <v>60</v>
      </c>
      <c r="I151" s="8" t="s">
        <v>1163</v>
      </c>
      <c r="J151" s="10">
        <v>44.21</v>
      </c>
      <c r="K151" s="22">
        <v>0.39400000000000002</v>
      </c>
      <c r="L151" s="11">
        <v>32.07</v>
      </c>
      <c r="M151" s="13">
        <v>0.64329999999999998</v>
      </c>
      <c r="N151" s="17">
        <f t="shared" si="43"/>
        <v>11.439369000000001</v>
      </c>
      <c r="O151" s="13">
        <v>0.1075</v>
      </c>
      <c r="P151" s="14">
        <f t="shared" si="44"/>
        <v>10.209636832500001</v>
      </c>
      <c r="Q151" s="14">
        <f t="shared" si="45"/>
        <v>6.8010254217250008</v>
      </c>
      <c r="R151" s="28">
        <f t="shared" si="46"/>
        <v>0.71467457827500014</v>
      </c>
      <c r="S151" s="28">
        <f t="shared" si="47"/>
        <v>2.3829190270686675</v>
      </c>
      <c r="T151" s="28">
        <f t="shared" si="48"/>
        <v>3.3438034217250001</v>
      </c>
      <c r="U151" s="28">
        <f t="shared" si="40"/>
        <v>3.3438034217250001</v>
      </c>
      <c r="V151" s="28">
        <f t="shared" si="41"/>
        <v>3.4572220000000007</v>
      </c>
      <c r="W151" s="28">
        <f t="shared" si="42"/>
        <v>0.17286110000000005</v>
      </c>
      <c r="X151" s="28">
        <f t="shared" si="49"/>
        <v>3.5166645217250001</v>
      </c>
      <c r="Y151" s="14">
        <v>13.7251940573</v>
      </c>
      <c r="Z151" s="13">
        <v>0.14249999999999999</v>
      </c>
      <c r="AA151" s="14">
        <v>12.558532209679299</v>
      </c>
      <c r="AB151" s="13">
        <f t="shared" si="51"/>
        <v>0.60840000000000005</v>
      </c>
      <c r="AC151" s="14">
        <v>16.006057209679298</v>
      </c>
      <c r="AD151" s="26">
        <f t="shared" si="36"/>
        <v>0.1424999999999999</v>
      </c>
      <c r="AE151" s="4">
        <f t="shared" si="37"/>
        <v>16.010000000000002</v>
      </c>
      <c r="AF151" s="27">
        <f t="shared" si="50"/>
        <v>0.14249999999999999</v>
      </c>
      <c r="AG151" s="4">
        <f t="shared" si="38"/>
        <v>13.73</v>
      </c>
      <c r="AH151" s="27">
        <f t="shared" si="39"/>
        <v>0.60840000000000005</v>
      </c>
    </row>
    <row r="152" spans="1:34" x14ac:dyDescent="0.35">
      <c r="A152" s="8" t="s">
        <v>340</v>
      </c>
      <c r="B152" s="9" t="s">
        <v>341</v>
      </c>
      <c r="C152" s="8" t="s">
        <v>1134</v>
      </c>
      <c r="D152" s="8" t="s">
        <v>1139</v>
      </c>
      <c r="E152" s="8" t="s">
        <v>905</v>
      </c>
      <c r="F152" s="25" t="s">
        <v>971</v>
      </c>
      <c r="G152" s="8" t="s">
        <v>3</v>
      </c>
      <c r="H152" s="8">
        <v>20</v>
      </c>
      <c r="I152" s="8" t="s">
        <v>1163</v>
      </c>
      <c r="J152" s="10">
        <v>19.89</v>
      </c>
      <c r="K152" s="22">
        <v>0.39400000000000002</v>
      </c>
      <c r="L152" s="11">
        <v>14.43</v>
      </c>
      <c r="M152" s="13">
        <v>0.55830000000000002</v>
      </c>
      <c r="N152" s="17">
        <f t="shared" si="43"/>
        <v>6.3737309999999994</v>
      </c>
      <c r="O152" s="13">
        <v>0.1075</v>
      </c>
      <c r="P152" s="14">
        <f t="shared" si="44"/>
        <v>5.6885549174999994</v>
      </c>
      <c r="Q152" s="14">
        <f t="shared" si="45"/>
        <v>2.9831011557750005</v>
      </c>
      <c r="R152" s="28">
        <f t="shared" si="46"/>
        <v>0.39819884422500001</v>
      </c>
      <c r="S152" s="28">
        <f t="shared" si="47"/>
        <v>1.3277030291895824</v>
      </c>
      <c r="T152" s="28">
        <f t="shared" si="48"/>
        <v>1.427703155775</v>
      </c>
      <c r="U152" s="28">
        <f t="shared" si="40"/>
        <v>1.427703155775</v>
      </c>
      <c r="V152" s="28">
        <f t="shared" si="41"/>
        <v>1.5553980000000005</v>
      </c>
      <c r="W152" s="28">
        <f t="shared" si="42"/>
        <v>7.7769900000000031E-2</v>
      </c>
      <c r="X152" s="28">
        <f t="shared" si="49"/>
        <v>1.505473055775</v>
      </c>
      <c r="Y152" s="14">
        <v>7.193529741449999</v>
      </c>
      <c r="Z152" s="13">
        <v>0.14249999999999999</v>
      </c>
      <c r="AA152" s="14">
        <v>6.8377309667055384</v>
      </c>
      <c r="AB152" s="13">
        <f t="shared" si="51"/>
        <v>0.52610000000000001</v>
      </c>
      <c r="AC152" s="14">
        <v>8.388955966705538</v>
      </c>
      <c r="AD152" s="26">
        <f t="shared" si="36"/>
        <v>0.14249999999999999</v>
      </c>
      <c r="AE152" s="4">
        <f t="shared" si="37"/>
        <v>8.39</v>
      </c>
      <c r="AF152" s="27">
        <f t="shared" si="50"/>
        <v>0.14249999999999999</v>
      </c>
      <c r="AG152" s="4">
        <f t="shared" si="38"/>
        <v>7.19</v>
      </c>
      <c r="AH152" s="27">
        <f t="shared" si="39"/>
        <v>0.52610000000000001</v>
      </c>
    </row>
    <row r="153" spans="1:34" x14ac:dyDescent="0.35">
      <c r="A153" s="8" t="s">
        <v>342</v>
      </c>
      <c r="B153" s="9" t="s">
        <v>343</v>
      </c>
      <c r="C153" s="8" t="s">
        <v>1135</v>
      </c>
      <c r="D153" s="8" t="s">
        <v>1139</v>
      </c>
      <c r="E153" s="8" t="s">
        <v>905</v>
      </c>
      <c r="F153" s="25" t="s">
        <v>972</v>
      </c>
      <c r="G153" s="8" t="s">
        <v>3</v>
      </c>
      <c r="H153" s="8">
        <v>24</v>
      </c>
      <c r="I153" s="8" t="s">
        <v>1164</v>
      </c>
      <c r="J153" s="10">
        <v>25.69</v>
      </c>
      <c r="K153" s="22">
        <v>0.3417</v>
      </c>
      <c r="L153" s="11">
        <v>19.149999999999999</v>
      </c>
      <c r="M153" s="13">
        <v>0.13700000000000001</v>
      </c>
      <c r="N153" s="17">
        <f t="shared" si="43"/>
        <v>16.526449999999997</v>
      </c>
      <c r="O153" s="13">
        <v>0.1075</v>
      </c>
      <c r="P153" s="14">
        <f t="shared" si="44"/>
        <v>14.749856624999996</v>
      </c>
      <c r="Q153" s="14">
        <f t="shared" si="45"/>
        <v>3.3348100362500004</v>
      </c>
      <c r="R153" s="28">
        <f t="shared" si="46"/>
        <v>1.0324899637499998</v>
      </c>
      <c r="S153" s="28">
        <f t="shared" si="47"/>
        <v>3.4426017864183747</v>
      </c>
      <c r="T153" s="28">
        <f t="shared" si="48"/>
        <v>1.3258520362500001</v>
      </c>
      <c r="U153" s="28">
        <f t="shared" si="40"/>
        <v>3.4426017864183747</v>
      </c>
      <c r="V153" s="28">
        <f t="shared" si="41"/>
        <v>-0.10779175016837428</v>
      </c>
      <c r="W153" s="28">
        <f t="shared" si="42"/>
        <v>-5.3895875084187146E-3</v>
      </c>
      <c r="X153" s="28">
        <f t="shared" si="49"/>
        <v>3.4372121989099558</v>
      </c>
      <c r="Y153" s="14">
        <v>18.186608855775226</v>
      </c>
      <c r="Z153" s="13">
        <v>0.14249999999999999</v>
      </c>
      <c r="AA153" s="14">
        <v>19.1502483011956</v>
      </c>
      <c r="AB153" s="13">
        <f t="shared" si="51"/>
        <v>0</v>
      </c>
      <c r="AC153" s="14">
        <v>21.208873301195599</v>
      </c>
      <c r="AD153" s="26">
        <f t="shared" si="36"/>
        <v>0.14249999999999999</v>
      </c>
      <c r="AE153" s="4">
        <f t="shared" si="37"/>
        <v>21.21</v>
      </c>
      <c r="AF153" s="27">
        <f t="shared" si="50"/>
        <v>0.14249999999999999</v>
      </c>
      <c r="AG153" s="4">
        <f t="shared" si="38"/>
        <v>18.190000000000001</v>
      </c>
      <c r="AH153" s="27">
        <f t="shared" si="39"/>
        <v>0</v>
      </c>
    </row>
    <row r="154" spans="1:34" x14ac:dyDescent="0.35">
      <c r="A154" s="8" t="s">
        <v>344</v>
      </c>
      <c r="B154" s="9" t="s">
        <v>345</v>
      </c>
      <c r="C154" s="8" t="s">
        <v>1134</v>
      </c>
      <c r="D154" s="8" t="s">
        <v>1149</v>
      </c>
      <c r="E154" s="8" t="s">
        <v>905</v>
      </c>
      <c r="F154" s="25" t="s">
        <v>973</v>
      </c>
      <c r="G154" s="8" t="s">
        <v>1116</v>
      </c>
      <c r="H154" s="8">
        <v>28</v>
      </c>
      <c r="I154" s="8" t="s">
        <v>1163</v>
      </c>
      <c r="J154" s="10">
        <v>95.43</v>
      </c>
      <c r="K154" s="22">
        <v>0.39400000000000002</v>
      </c>
      <c r="L154" s="11">
        <v>69.23</v>
      </c>
      <c r="M154" s="13">
        <v>0.68840000000000001</v>
      </c>
      <c r="N154" s="17">
        <f t="shared" si="43"/>
        <v>21.572068000000002</v>
      </c>
      <c r="O154" s="13">
        <v>0.1075</v>
      </c>
      <c r="P154" s="14">
        <f t="shared" si="44"/>
        <v>19.253070690000001</v>
      </c>
      <c r="Q154" s="14">
        <f t="shared" si="45"/>
        <v>14.875385051700002</v>
      </c>
      <c r="R154" s="28">
        <f t="shared" si="46"/>
        <v>1.3477149483000002</v>
      </c>
      <c r="S154" s="28">
        <f t="shared" si="47"/>
        <v>4.4936474459753102</v>
      </c>
      <c r="T154" s="28">
        <f t="shared" si="48"/>
        <v>7.4127590517000002</v>
      </c>
      <c r="U154" s="28">
        <f t="shared" si="40"/>
        <v>7.4127590517000002</v>
      </c>
      <c r="V154" s="28">
        <f t="shared" si="41"/>
        <v>7.462626000000002</v>
      </c>
      <c r="W154" s="28">
        <f t="shared" si="42"/>
        <v>0.37313130000000011</v>
      </c>
      <c r="X154" s="28">
        <f t="shared" si="49"/>
        <v>7.7858903517</v>
      </c>
      <c r="Y154" s="14">
        <v>27.036570702875</v>
      </c>
      <c r="Z154" s="13">
        <v>0.14249999999999999</v>
      </c>
      <c r="AA154" s="14">
        <v>24.087303516472303</v>
      </c>
      <c r="AB154" s="13">
        <f t="shared" si="51"/>
        <v>0.65210000000000001</v>
      </c>
      <c r="AC154" s="14">
        <v>31.529528516472304</v>
      </c>
      <c r="AD154" s="26">
        <f t="shared" si="36"/>
        <v>0.14250000000000002</v>
      </c>
      <c r="AE154" s="4">
        <f t="shared" si="37"/>
        <v>31.53</v>
      </c>
      <c r="AF154" s="27">
        <f t="shared" si="50"/>
        <v>0.14249999999999999</v>
      </c>
      <c r="AG154" s="4">
        <f t="shared" si="38"/>
        <v>27.04</v>
      </c>
      <c r="AH154" s="27">
        <f t="shared" si="39"/>
        <v>0.65210000000000001</v>
      </c>
    </row>
    <row r="155" spans="1:34" x14ac:dyDescent="0.35">
      <c r="A155" s="8" t="s">
        <v>346</v>
      </c>
      <c r="B155" s="9" t="s">
        <v>347</v>
      </c>
      <c r="C155" s="8" t="s">
        <v>1134</v>
      </c>
      <c r="D155" s="8" t="s">
        <v>1188</v>
      </c>
      <c r="E155" s="8" t="s">
        <v>905</v>
      </c>
      <c r="F155" s="25" t="s">
        <v>974</v>
      </c>
      <c r="G155" s="8" t="s">
        <v>3</v>
      </c>
      <c r="H155" s="8">
        <v>60</v>
      </c>
      <c r="I155" s="8" t="s">
        <v>1163</v>
      </c>
      <c r="J155" s="10">
        <v>22.84</v>
      </c>
      <c r="K155" s="22">
        <v>0.39400000000000002</v>
      </c>
      <c r="L155" s="11">
        <v>16.57</v>
      </c>
      <c r="M155" s="13">
        <v>0.13730000000000001</v>
      </c>
      <c r="N155" s="17">
        <f t="shared" si="43"/>
        <v>14.294939000000001</v>
      </c>
      <c r="O155" s="13">
        <v>0.1075</v>
      </c>
      <c r="P155" s="14">
        <f t="shared" si="44"/>
        <v>12.7582330575</v>
      </c>
      <c r="Q155" s="14">
        <f t="shared" si="45"/>
        <v>2.9897236859750005</v>
      </c>
      <c r="R155" s="28">
        <f t="shared" si="46"/>
        <v>0.8930763140250001</v>
      </c>
      <c r="S155" s="28">
        <f t="shared" si="47"/>
        <v>2.9777588373874422</v>
      </c>
      <c r="T155" s="28">
        <f t="shared" si="48"/>
        <v>1.2036356859749997</v>
      </c>
      <c r="U155" s="28">
        <f t="shared" si="40"/>
        <v>2.9777588373874422</v>
      </c>
      <c r="V155" s="28">
        <f t="shared" si="41"/>
        <v>1.1964848587558308E-2</v>
      </c>
      <c r="W155" s="28">
        <f t="shared" si="42"/>
        <v>5.9824242937791541E-4</v>
      </c>
      <c r="X155" s="28">
        <f t="shared" si="49"/>
        <v>2.9783570798168202</v>
      </c>
      <c r="Y155" s="14">
        <v>15.736192138779357</v>
      </c>
      <c r="Z155" s="13">
        <v>0.14249999999999999</v>
      </c>
      <c r="AA155" s="14">
        <v>16.569969476710618</v>
      </c>
      <c r="AB155" s="13">
        <f t="shared" si="51"/>
        <v>0</v>
      </c>
      <c r="AC155" s="14">
        <v>18.351244476710619</v>
      </c>
      <c r="AD155" s="26">
        <f t="shared" si="36"/>
        <v>0.14249999999999993</v>
      </c>
      <c r="AE155" s="4">
        <f t="shared" si="37"/>
        <v>18.350000000000001</v>
      </c>
      <c r="AF155" s="27">
        <f t="shared" si="50"/>
        <v>0.14249999999999999</v>
      </c>
      <c r="AG155" s="4">
        <f t="shared" si="38"/>
        <v>15.74</v>
      </c>
      <c r="AH155" s="27">
        <f t="shared" si="39"/>
        <v>0</v>
      </c>
    </row>
    <row r="156" spans="1:34" x14ac:dyDescent="0.35">
      <c r="A156" s="8" t="s">
        <v>348</v>
      </c>
      <c r="B156" s="9" t="s">
        <v>349</v>
      </c>
      <c r="C156" s="8" t="s">
        <v>1134</v>
      </c>
      <c r="D156" s="8" t="s">
        <v>1188</v>
      </c>
      <c r="E156" s="8" t="s">
        <v>905</v>
      </c>
      <c r="F156" s="25" t="s">
        <v>974</v>
      </c>
      <c r="G156" s="8" t="s">
        <v>1108</v>
      </c>
      <c r="H156" s="8">
        <v>60</v>
      </c>
      <c r="I156" s="8" t="s">
        <v>1163</v>
      </c>
      <c r="J156" s="10">
        <v>40.15</v>
      </c>
      <c r="K156" s="22">
        <v>0.39400000000000002</v>
      </c>
      <c r="L156" s="11">
        <v>29.13</v>
      </c>
      <c r="M156" s="13">
        <v>0.13730000000000001</v>
      </c>
      <c r="N156" s="17">
        <f t="shared" si="43"/>
        <v>25.130451000000001</v>
      </c>
      <c r="O156" s="13">
        <v>0.1075</v>
      </c>
      <c r="P156" s="14">
        <f t="shared" si="44"/>
        <v>22.4289275175</v>
      </c>
      <c r="Q156" s="14">
        <f t="shared" si="45"/>
        <v>5.255475073775</v>
      </c>
      <c r="R156" s="28">
        <f t="shared" si="46"/>
        <v>1.5700249262250001</v>
      </c>
      <c r="S156" s="28">
        <f t="shared" si="47"/>
        <v>5.2348892536569824</v>
      </c>
      <c r="T156" s="28">
        <f t="shared" si="48"/>
        <v>2.1157450737749999</v>
      </c>
      <c r="U156" s="28">
        <f t="shared" si="40"/>
        <v>5.2348892536569824</v>
      </c>
      <c r="V156" s="28">
        <f t="shared" si="41"/>
        <v>2.0585820118017573E-2</v>
      </c>
      <c r="W156" s="28">
        <f t="shared" si="42"/>
        <v>1.0292910059008786E-3</v>
      </c>
      <c r="X156" s="28">
        <f t="shared" si="49"/>
        <v>5.2359185446628835</v>
      </c>
      <c r="Y156" s="14">
        <v>27.664146382175172</v>
      </c>
      <c r="Z156" s="13">
        <v>0.14249999999999999</v>
      </c>
      <c r="AA156" s="14">
        <v>29.129920197871918</v>
      </c>
      <c r="AB156" s="13">
        <f t="shared" si="51"/>
        <v>0</v>
      </c>
      <c r="AC156" s="14">
        <v>32.26139519787192</v>
      </c>
      <c r="AD156" s="26">
        <f t="shared" si="36"/>
        <v>0.14249999999999999</v>
      </c>
      <c r="AE156" s="4">
        <f t="shared" si="37"/>
        <v>32.26</v>
      </c>
      <c r="AF156" s="27">
        <f t="shared" si="50"/>
        <v>0.14249999999999999</v>
      </c>
      <c r="AG156" s="4">
        <f t="shared" si="38"/>
        <v>27.66</v>
      </c>
      <c r="AH156" s="27">
        <f t="shared" si="39"/>
        <v>0</v>
      </c>
    </row>
    <row r="157" spans="1:34" x14ac:dyDescent="0.35">
      <c r="A157" s="8" t="s">
        <v>350</v>
      </c>
      <c r="B157" s="9" t="s">
        <v>351</v>
      </c>
      <c r="C157" s="8" t="s">
        <v>1134</v>
      </c>
      <c r="D157" s="8" t="s">
        <v>1188</v>
      </c>
      <c r="E157" s="8" t="s">
        <v>905</v>
      </c>
      <c r="F157" s="25" t="s">
        <v>974</v>
      </c>
      <c r="G157" s="8" t="s">
        <v>20</v>
      </c>
      <c r="H157" s="8">
        <v>30</v>
      </c>
      <c r="I157" s="8" t="s">
        <v>1163</v>
      </c>
      <c r="J157" s="10">
        <v>30.59</v>
      </c>
      <c r="K157" s="22">
        <v>0.39400000000000002</v>
      </c>
      <c r="L157" s="11">
        <v>22.19</v>
      </c>
      <c r="M157" s="13">
        <v>0.17649999999999999</v>
      </c>
      <c r="N157" s="17">
        <f t="shared" si="43"/>
        <v>18.273465000000002</v>
      </c>
      <c r="O157" s="13">
        <v>0.1075</v>
      </c>
      <c r="P157" s="14">
        <f t="shared" si="44"/>
        <v>16.3090675125</v>
      </c>
      <c r="Q157" s="14">
        <f t="shared" si="45"/>
        <v>4.0586652741250004</v>
      </c>
      <c r="R157" s="28">
        <f t="shared" si="46"/>
        <v>1.1416347258750001</v>
      </c>
      <c r="S157" s="28">
        <f t="shared" si="47"/>
        <v>3.8065200483499879</v>
      </c>
      <c r="T157" s="28">
        <f t="shared" si="48"/>
        <v>1.6665272741249997</v>
      </c>
      <c r="U157" s="28">
        <f t="shared" si="40"/>
        <v>3.8065200483499879</v>
      </c>
      <c r="V157" s="28">
        <f t="shared" si="41"/>
        <v>0.25214522577501253</v>
      </c>
      <c r="W157" s="28">
        <f t="shared" si="42"/>
        <v>1.2607261288750627E-2</v>
      </c>
      <c r="X157" s="28">
        <f t="shared" si="49"/>
        <v>3.8191273096387386</v>
      </c>
      <c r="Y157" s="14">
        <v>20.127768831384504</v>
      </c>
      <c r="Z157" s="13">
        <v>0.14249999999999999</v>
      </c>
      <c r="AA157" s="14">
        <v>21.08719171298484</v>
      </c>
      <c r="AB157" s="13">
        <f t="shared" si="51"/>
        <v>4.9700000000000001E-2</v>
      </c>
      <c r="AC157" s="14">
        <v>23.472616712984841</v>
      </c>
      <c r="AD157" s="26">
        <f t="shared" si="36"/>
        <v>0.14249999999999988</v>
      </c>
      <c r="AE157" s="4">
        <f t="shared" si="37"/>
        <v>23.47</v>
      </c>
      <c r="AF157" s="27">
        <f t="shared" si="50"/>
        <v>0.14249999999999999</v>
      </c>
      <c r="AG157" s="4">
        <f t="shared" si="38"/>
        <v>20.13</v>
      </c>
      <c r="AH157" s="27">
        <f t="shared" si="39"/>
        <v>4.9700000000000001E-2</v>
      </c>
    </row>
    <row r="158" spans="1:34" x14ac:dyDescent="0.35">
      <c r="A158" s="8" t="s">
        <v>352</v>
      </c>
      <c r="B158" s="9" t="s">
        <v>353</v>
      </c>
      <c r="C158" s="8" t="s">
        <v>1135</v>
      </c>
      <c r="D158" s="8" t="s">
        <v>1139</v>
      </c>
      <c r="E158" s="8" t="s">
        <v>905</v>
      </c>
      <c r="F158" s="25" t="s">
        <v>975</v>
      </c>
      <c r="G158" s="8" t="s">
        <v>16</v>
      </c>
      <c r="H158" s="8">
        <v>200</v>
      </c>
      <c r="I158" s="8" t="s">
        <v>1164</v>
      </c>
      <c r="J158" s="10">
        <v>20.2</v>
      </c>
      <c r="K158" s="22">
        <v>0.3417</v>
      </c>
      <c r="L158" s="11">
        <v>15.06</v>
      </c>
      <c r="M158" s="13">
        <v>0.4904</v>
      </c>
      <c r="N158" s="17">
        <f t="shared" si="43"/>
        <v>7.674576000000001</v>
      </c>
      <c r="O158" s="13">
        <v>0.1075</v>
      </c>
      <c r="P158" s="14">
        <f t="shared" si="44"/>
        <v>6.8495590800000006</v>
      </c>
      <c r="Q158" s="14">
        <f t="shared" si="45"/>
        <v>2.9545308644000001</v>
      </c>
      <c r="R158" s="28">
        <f t="shared" si="46"/>
        <v>0.4794691356000001</v>
      </c>
      <c r="S158" s="28">
        <f t="shared" si="47"/>
        <v>1.5986802397129201</v>
      </c>
      <c r="T158" s="28">
        <f t="shared" si="48"/>
        <v>1.3748908643999997</v>
      </c>
      <c r="U158" s="28">
        <f t="shared" si="40"/>
        <v>1.5986802397129201</v>
      </c>
      <c r="V158" s="28">
        <f t="shared" si="41"/>
        <v>1.3558506246870801</v>
      </c>
      <c r="W158" s="28">
        <f t="shared" si="42"/>
        <v>6.7792531234354012E-2</v>
      </c>
      <c r="X158" s="28">
        <f t="shared" si="49"/>
        <v>1.666472770947274</v>
      </c>
      <c r="Y158" s="14">
        <v>8.5166649783999997</v>
      </c>
      <c r="Z158" s="13">
        <v>0.14249999999999999</v>
      </c>
      <c r="AA158" s="14">
        <v>8.3130208202915448</v>
      </c>
      <c r="AB158" s="13">
        <f t="shared" si="51"/>
        <v>0.44800000000000001</v>
      </c>
      <c r="AC158" s="14">
        <v>9.9319708202915447</v>
      </c>
      <c r="AD158" s="26">
        <f t="shared" si="36"/>
        <v>0.14249999999999999</v>
      </c>
      <c r="AE158" s="4">
        <f t="shared" si="37"/>
        <v>9.93</v>
      </c>
      <c r="AF158" s="27">
        <f t="shared" si="50"/>
        <v>0.14249999999999999</v>
      </c>
      <c r="AG158" s="4">
        <f t="shared" si="38"/>
        <v>8.52</v>
      </c>
      <c r="AH158" s="27">
        <f t="shared" si="39"/>
        <v>0.44800000000000001</v>
      </c>
    </row>
    <row r="159" spans="1:34" x14ac:dyDescent="0.35">
      <c r="A159" s="8" t="s">
        <v>354</v>
      </c>
      <c r="B159" s="9" t="s">
        <v>355</v>
      </c>
      <c r="C159" s="8" t="s">
        <v>1135</v>
      </c>
      <c r="D159" s="8" t="s">
        <v>1139</v>
      </c>
      <c r="E159" s="8" t="s">
        <v>905</v>
      </c>
      <c r="F159" s="25" t="s">
        <v>975</v>
      </c>
      <c r="G159" s="8" t="s">
        <v>16</v>
      </c>
      <c r="H159" s="8">
        <v>35</v>
      </c>
      <c r="I159" s="8" t="s">
        <v>1164</v>
      </c>
      <c r="J159" s="10">
        <v>67.45</v>
      </c>
      <c r="K159" s="22">
        <v>0.3417</v>
      </c>
      <c r="L159" s="11">
        <v>50.28</v>
      </c>
      <c r="M159" s="13">
        <v>0.63529999999999998</v>
      </c>
      <c r="N159" s="17">
        <f t="shared" si="43"/>
        <v>18.337116000000002</v>
      </c>
      <c r="O159" s="13">
        <v>0.1075</v>
      </c>
      <c r="P159" s="14">
        <f t="shared" si="44"/>
        <v>16.365876030000003</v>
      </c>
      <c r="Q159" s="14">
        <f t="shared" si="45"/>
        <v>10.320888677900001</v>
      </c>
      <c r="R159" s="28">
        <f t="shared" si="46"/>
        <v>1.1456113221000004</v>
      </c>
      <c r="S159" s="28">
        <f t="shared" si="47"/>
        <v>3.8197790995259702</v>
      </c>
      <c r="T159" s="28">
        <f t="shared" si="48"/>
        <v>5.0462986778999994</v>
      </c>
      <c r="U159" s="28">
        <f t="shared" si="40"/>
        <v>5.0462986778999994</v>
      </c>
      <c r="V159" s="28">
        <f t="shared" si="41"/>
        <v>5.2745900000000017</v>
      </c>
      <c r="W159" s="28">
        <f t="shared" si="42"/>
        <v>0.26372950000000012</v>
      </c>
      <c r="X159" s="28">
        <f t="shared" si="49"/>
        <v>5.3100281778999996</v>
      </c>
      <c r="Y159" s="14">
        <v>21.674168165200001</v>
      </c>
      <c r="Z159" s="13">
        <v>0.14249999999999999</v>
      </c>
      <c r="AA159" s="14">
        <v>19.870897860291546</v>
      </c>
      <c r="AB159" s="13">
        <f t="shared" si="51"/>
        <v>0.6048</v>
      </c>
      <c r="AC159" s="14">
        <v>25.275997860291547</v>
      </c>
      <c r="AD159" s="26">
        <f t="shared" si="36"/>
        <v>0.14250000000000002</v>
      </c>
      <c r="AE159" s="4">
        <f t="shared" si="37"/>
        <v>25.28</v>
      </c>
      <c r="AF159" s="27">
        <f t="shared" si="50"/>
        <v>0.14249999999999999</v>
      </c>
      <c r="AG159" s="4">
        <f t="shared" si="38"/>
        <v>21.67</v>
      </c>
      <c r="AH159" s="27">
        <f t="shared" si="39"/>
        <v>0.6048</v>
      </c>
    </row>
    <row r="160" spans="1:34" x14ac:dyDescent="0.35">
      <c r="A160" s="8" t="s">
        <v>356</v>
      </c>
      <c r="B160" s="9" t="s">
        <v>357</v>
      </c>
      <c r="C160" s="8" t="s">
        <v>1135</v>
      </c>
      <c r="D160" s="8" t="s">
        <v>1189</v>
      </c>
      <c r="E160" s="8" t="s">
        <v>905</v>
      </c>
      <c r="F160" s="25" t="s">
        <v>976</v>
      </c>
      <c r="G160" s="8" t="s">
        <v>21</v>
      </c>
      <c r="H160" s="8">
        <v>12</v>
      </c>
      <c r="I160" s="8" t="s">
        <v>1164</v>
      </c>
      <c r="J160" s="10">
        <v>27.47</v>
      </c>
      <c r="K160" s="22">
        <v>0.3417</v>
      </c>
      <c r="L160" s="11">
        <v>20.48</v>
      </c>
      <c r="M160" s="13">
        <v>0.5252</v>
      </c>
      <c r="N160" s="17">
        <f t="shared" si="43"/>
        <v>9.723904000000001</v>
      </c>
      <c r="O160" s="13">
        <v>0.1075</v>
      </c>
      <c r="P160" s="14">
        <f t="shared" si="44"/>
        <v>8.6785843200000006</v>
      </c>
      <c r="Q160" s="14">
        <f t="shared" si="45"/>
        <v>4.0623990976000002</v>
      </c>
      <c r="R160" s="28">
        <f t="shared" si="46"/>
        <v>0.6075009024000001</v>
      </c>
      <c r="S160" s="28">
        <f t="shared" si="47"/>
        <v>2.0255729017036801</v>
      </c>
      <c r="T160" s="28">
        <f t="shared" si="48"/>
        <v>1.9142450975999998</v>
      </c>
      <c r="U160" s="28">
        <f t="shared" si="40"/>
        <v>2.0255729017036801</v>
      </c>
      <c r="V160" s="28">
        <f t="shared" si="41"/>
        <v>2.0368261958963201</v>
      </c>
      <c r="W160" s="28">
        <f t="shared" si="42"/>
        <v>0.10184130979481601</v>
      </c>
      <c r="X160" s="28">
        <f t="shared" si="49"/>
        <v>2.127414211498496</v>
      </c>
      <c r="Y160" s="14">
        <v>10.806623139999999</v>
      </c>
      <c r="Z160" s="13">
        <v>0.14249999999999999</v>
      </c>
      <c r="AA160" s="14">
        <v>10.400875965014576</v>
      </c>
      <c r="AB160" s="13">
        <f t="shared" si="51"/>
        <v>0.49209999999999998</v>
      </c>
      <c r="AC160" s="14">
        <v>12.602475965014577</v>
      </c>
      <c r="AD160" s="26">
        <f t="shared" si="36"/>
        <v>0.14250000000000002</v>
      </c>
      <c r="AE160" s="4">
        <f t="shared" si="37"/>
        <v>12.6</v>
      </c>
      <c r="AF160" s="27">
        <f t="shared" si="50"/>
        <v>0.14249999999999999</v>
      </c>
      <c r="AG160" s="4">
        <f t="shared" si="38"/>
        <v>10.81</v>
      </c>
      <c r="AH160" s="27">
        <f t="shared" si="39"/>
        <v>0.49209999999999998</v>
      </c>
    </row>
    <row r="161" spans="1:34" x14ac:dyDescent="0.35">
      <c r="A161" s="8" t="s">
        <v>358</v>
      </c>
      <c r="B161" s="9" t="s">
        <v>359</v>
      </c>
      <c r="C161" s="8" t="s">
        <v>1135</v>
      </c>
      <c r="D161" s="8" t="s">
        <v>1189</v>
      </c>
      <c r="E161" s="8" t="s">
        <v>905</v>
      </c>
      <c r="F161" s="25" t="s">
        <v>976</v>
      </c>
      <c r="G161" s="8" t="s">
        <v>21</v>
      </c>
      <c r="H161" s="8">
        <v>24</v>
      </c>
      <c r="I161" s="8" t="s">
        <v>1164</v>
      </c>
      <c r="J161" s="10">
        <v>60.93</v>
      </c>
      <c r="K161" s="22">
        <v>0.3417</v>
      </c>
      <c r="L161" s="11">
        <v>45.42</v>
      </c>
      <c r="M161" s="13">
        <v>0.5756</v>
      </c>
      <c r="N161" s="17">
        <f t="shared" si="43"/>
        <v>19.276247999999999</v>
      </c>
      <c r="O161" s="13">
        <v>0.1075</v>
      </c>
      <c r="P161" s="14">
        <f t="shared" si="44"/>
        <v>17.204051339999999</v>
      </c>
      <c r="Q161" s="14">
        <f t="shared" si="45"/>
        <v>9.1538164062000007</v>
      </c>
      <c r="R161" s="28">
        <f t="shared" si="46"/>
        <v>1.2042835938000001</v>
      </c>
      <c r="S161" s="28">
        <f t="shared" si="47"/>
        <v>4.0154083787046595</v>
      </c>
      <c r="T161" s="28">
        <f t="shared" si="48"/>
        <v>4.3890904061999994</v>
      </c>
      <c r="U161" s="28">
        <f t="shared" si="40"/>
        <v>4.3890904061999994</v>
      </c>
      <c r="V161" s="28">
        <f t="shared" si="41"/>
        <v>4.7647260000000013</v>
      </c>
      <c r="W161" s="28">
        <f t="shared" si="42"/>
        <v>0.23823630000000007</v>
      </c>
      <c r="X161" s="28">
        <f t="shared" si="49"/>
        <v>4.6273267061999999</v>
      </c>
      <c r="Y161" s="14">
        <v>21.829809807149999</v>
      </c>
      <c r="Z161" s="13">
        <v>0.14249999999999999</v>
      </c>
      <c r="AA161" s="14">
        <v>20.574854148279883</v>
      </c>
      <c r="AB161" s="13">
        <f t="shared" si="51"/>
        <v>0.54700000000000004</v>
      </c>
      <c r="AC161" s="14">
        <v>25.457504148279881</v>
      </c>
      <c r="AD161" s="26">
        <f t="shared" si="36"/>
        <v>0.14249999999999993</v>
      </c>
      <c r="AE161" s="4">
        <f t="shared" si="37"/>
        <v>25.46</v>
      </c>
      <c r="AF161" s="27">
        <f t="shared" si="50"/>
        <v>0.14249999999999999</v>
      </c>
      <c r="AG161" s="4">
        <f t="shared" si="38"/>
        <v>21.83</v>
      </c>
      <c r="AH161" s="27">
        <f t="shared" si="39"/>
        <v>0.54700000000000004</v>
      </c>
    </row>
    <row r="162" spans="1:34" x14ac:dyDescent="0.35">
      <c r="A162" s="8" t="s">
        <v>360</v>
      </c>
      <c r="B162" s="9" t="s">
        <v>361</v>
      </c>
      <c r="C162" s="8" t="s">
        <v>1135</v>
      </c>
      <c r="D162" s="8" t="s">
        <v>1189</v>
      </c>
      <c r="E162" s="8" t="s">
        <v>905</v>
      </c>
      <c r="F162" s="25" t="s">
        <v>976</v>
      </c>
      <c r="G162" s="8" t="s">
        <v>21</v>
      </c>
      <c r="H162" s="8">
        <v>36</v>
      </c>
      <c r="I162" s="8" t="s">
        <v>1164</v>
      </c>
      <c r="J162" s="10">
        <v>82.41</v>
      </c>
      <c r="K162" s="22">
        <v>0.3417</v>
      </c>
      <c r="L162" s="11">
        <v>61.43</v>
      </c>
      <c r="M162" s="13">
        <v>0.50690000000000002</v>
      </c>
      <c r="N162" s="17">
        <f t="shared" si="43"/>
        <v>30.291132999999999</v>
      </c>
      <c r="O162" s="13">
        <v>0.1075</v>
      </c>
      <c r="P162" s="14">
        <f t="shared" si="44"/>
        <v>27.034836202499996</v>
      </c>
      <c r="Q162" s="14">
        <f t="shared" si="45"/>
        <v>12.117261465825001</v>
      </c>
      <c r="R162" s="28">
        <f t="shared" si="46"/>
        <v>1.8924385341749999</v>
      </c>
      <c r="S162" s="28">
        <f t="shared" si="47"/>
        <v>6.3099037348272962</v>
      </c>
      <c r="T162" s="28">
        <f t="shared" si="48"/>
        <v>5.6727994658250003</v>
      </c>
      <c r="U162" s="28">
        <f t="shared" si="40"/>
        <v>6.3099037348272962</v>
      </c>
      <c r="V162" s="28">
        <f t="shared" si="41"/>
        <v>5.8073577309977047</v>
      </c>
      <c r="W162" s="28">
        <f t="shared" si="42"/>
        <v>0.29036788654988527</v>
      </c>
      <c r="X162" s="28">
        <f t="shared" si="49"/>
        <v>6.600271621377181</v>
      </c>
      <c r="Y162" s="14">
        <v>33.634500129425</v>
      </c>
      <c r="Z162" s="13">
        <v>0.14249999999999999</v>
      </c>
      <c r="AA162" s="14">
        <v>32.620181856472307</v>
      </c>
      <c r="AB162" s="13">
        <f t="shared" si="51"/>
        <v>0.46899999999999997</v>
      </c>
      <c r="AC162" s="14">
        <v>39.223906856472304</v>
      </c>
      <c r="AD162" s="26">
        <f t="shared" si="36"/>
        <v>0.14250000000000002</v>
      </c>
      <c r="AE162" s="4">
        <f t="shared" si="37"/>
        <v>39.22</v>
      </c>
      <c r="AF162" s="27">
        <f t="shared" si="50"/>
        <v>0.14249999999999999</v>
      </c>
      <c r="AG162" s="4">
        <f t="shared" si="38"/>
        <v>33.630000000000003</v>
      </c>
      <c r="AH162" s="27">
        <f t="shared" si="39"/>
        <v>0.46899999999999997</v>
      </c>
    </row>
    <row r="163" spans="1:34" x14ac:dyDescent="0.35">
      <c r="A163" s="8" t="s">
        <v>362</v>
      </c>
      <c r="B163" s="9" t="s">
        <v>363</v>
      </c>
      <c r="C163" s="8" t="s">
        <v>1134</v>
      </c>
      <c r="D163" s="8" t="s">
        <v>1177</v>
      </c>
      <c r="E163" s="8" t="s">
        <v>905</v>
      </c>
      <c r="F163" s="25" t="s">
        <v>977</v>
      </c>
      <c r="G163" s="8" t="s">
        <v>39</v>
      </c>
      <c r="H163" s="8">
        <v>10</v>
      </c>
      <c r="I163" s="8" t="s">
        <v>1163</v>
      </c>
      <c r="J163" s="10">
        <v>161.69</v>
      </c>
      <c r="K163" s="22">
        <v>0.39400000000000002</v>
      </c>
      <c r="L163" s="11">
        <v>117.3</v>
      </c>
      <c r="M163" s="13">
        <v>0.13730000000000001</v>
      </c>
      <c r="N163" s="17">
        <f t="shared" si="43"/>
        <v>101.19471</v>
      </c>
      <c r="O163" s="13">
        <v>0.1075</v>
      </c>
      <c r="P163" s="14">
        <f t="shared" si="44"/>
        <v>90.316278674999992</v>
      </c>
      <c r="Q163" s="14">
        <f t="shared" si="45"/>
        <v>21.165160492750001</v>
      </c>
      <c r="R163" s="28">
        <f t="shared" si="46"/>
        <v>6.3221395072500002</v>
      </c>
      <c r="S163" s="28">
        <f t="shared" si="47"/>
        <v>21.079729126466322</v>
      </c>
      <c r="T163" s="28">
        <f t="shared" si="48"/>
        <v>8.5210024927499983</v>
      </c>
      <c r="U163" s="28">
        <f t="shared" si="40"/>
        <v>21.079729126466322</v>
      </c>
      <c r="V163" s="28">
        <f t="shared" si="41"/>
        <v>8.5431366283678756E-2</v>
      </c>
      <c r="W163" s="28">
        <f t="shared" si="42"/>
        <v>4.2715683141839383E-3</v>
      </c>
      <c r="X163" s="28">
        <f t="shared" si="49"/>
        <v>21.084000694780507</v>
      </c>
      <c r="Y163" s="14">
        <v>111.39746191483513</v>
      </c>
      <c r="Z163" s="13">
        <v>0.14249999999999999</v>
      </c>
      <c r="AA163" s="14">
        <v>117.29982657706721</v>
      </c>
      <c r="AB163" s="13">
        <f t="shared" si="51"/>
        <v>0</v>
      </c>
      <c r="AC163" s="14">
        <v>129.90957657706721</v>
      </c>
      <c r="AD163" s="26">
        <f t="shared" si="36"/>
        <v>0.14250000000000002</v>
      </c>
      <c r="AE163" s="4">
        <f t="shared" si="37"/>
        <v>129.91</v>
      </c>
      <c r="AF163" s="27">
        <f t="shared" si="50"/>
        <v>0.14249999999999999</v>
      </c>
      <c r="AG163" s="4">
        <f t="shared" si="38"/>
        <v>111.4</v>
      </c>
      <c r="AH163" s="27">
        <f t="shared" si="39"/>
        <v>0</v>
      </c>
    </row>
    <row r="164" spans="1:34" x14ac:dyDescent="0.35">
      <c r="A164" s="8" t="s">
        <v>364</v>
      </c>
      <c r="B164" s="9" t="s">
        <v>365</v>
      </c>
      <c r="C164" s="8" t="s">
        <v>1134</v>
      </c>
      <c r="D164" s="8" t="s">
        <v>1177</v>
      </c>
      <c r="E164" s="8" t="s">
        <v>905</v>
      </c>
      <c r="F164" s="25" t="s">
        <v>977</v>
      </c>
      <c r="G164" s="8" t="s">
        <v>40</v>
      </c>
      <c r="H164" s="8">
        <v>20</v>
      </c>
      <c r="I164" s="8" t="s">
        <v>1163</v>
      </c>
      <c r="J164" s="10">
        <v>67.680000000000007</v>
      </c>
      <c r="K164" s="22">
        <v>0.39400000000000002</v>
      </c>
      <c r="L164" s="11">
        <v>49.1</v>
      </c>
      <c r="M164" s="13">
        <v>0.21010000000000001</v>
      </c>
      <c r="N164" s="17">
        <f t="shared" si="43"/>
        <v>38.784090000000006</v>
      </c>
      <c r="O164" s="13">
        <v>0.1075</v>
      </c>
      <c r="P164" s="14">
        <f t="shared" si="44"/>
        <v>34.614800325000004</v>
      </c>
      <c r="Q164" s="14">
        <f t="shared" si="45"/>
        <v>9.0825639772500004</v>
      </c>
      <c r="R164" s="28">
        <f t="shared" si="46"/>
        <v>2.4230360227500007</v>
      </c>
      <c r="S164" s="28">
        <f t="shared" si="47"/>
        <v>8.079059781054676</v>
      </c>
      <c r="T164" s="28">
        <f t="shared" si="48"/>
        <v>3.78998797725</v>
      </c>
      <c r="U164" s="28">
        <f t="shared" si="40"/>
        <v>8.079059781054676</v>
      </c>
      <c r="V164" s="28">
        <f t="shared" si="41"/>
        <v>1.0035041961953244</v>
      </c>
      <c r="W164" s="28">
        <f t="shared" si="42"/>
        <v>5.0175209809766225E-2</v>
      </c>
      <c r="X164" s="28">
        <f t="shared" si="49"/>
        <v>8.1292349908644415</v>
      </c>
      <c r="Y164" s="14">
        <v>42.74309272253263</v>
      </c>
      <c r="Z164" s="13">
        <v>0.14249999999999999</v>
      </c>
      <c r="AA164" s="14">
        <v>44.567922271175078</v>
      </c>
      <c r="AB164" s="13">
        <f t="shared" si="51"/>
        <v>9.2299999999999993E-2</v>
      </c>
      <c r="AC164" s="14">
        <v>49.846172271175078</v>
      </c>
      <c r="AD164" s="26">
        <f t="shared" si="36"/>
        <v>0.14249999999999999</v>
      </c>
      <c r="AE164" s="4">
        <f t="shared" si="37"/>
        <v>49.85</v>
      </c>
      <c r="AF164" s="27">
        <f t="shared" si="50"/>
        <v>0.14249999999999999</v>
      </c>
      <c r="AG164" s="4">
        <f t="shared" si="38"/>
        <v>42.74</v>
      </c>
      <c r="AH164" s="27">
        <f t="shared" si="39"/>
        <v>9.2299999999999993E-2</v>
      </c>
    </row>
    <row r="165" spans="1:34" x14ac:dyDescent="0.35">
      <c r="A165" s="8" t="s">
        <v>366</v>
      </c>
      <c r="B165" s="9" t="s">
        <v>367</v>
      </c>
      <c r="C165" s="8" t="s">
        <v>1135</v>
      </c>
      <c r="D165" s="8" t="s">
        <v>1139</v>
      </c>
      <c r="E165" s="8" t="s">
        <v>905</v>
      </c>
      <c r="F165" s="25" t="s">
        <v>978</v>
      </c>
      <c r="G165" s="8" t="s">
        <v>3</v>
      </c>
      <c r="H165" s="8">
        <v>20</v>
      </c>
      <c r="I165" s="8" t="s">
        <v>1164</v>
      </c>
      <c r="J165" s="10">
        <v>83.37</v>
      </c>
      <c r="K165" s="22">
        <v>0.3417</v>
      </c>
      <c r="L165" s="11">
        <v>62.15</v>
      </c>
      <c r="M165" s="13">
        <v>0.69530000000000003</v>
      </c>
      <c r="N165" s="17">
        <f t="shared" si="43"/>
        <v>18.937104999999999</v>
      </c>
      <c r="O165" s="13">
        <v>0.1075</v>
      </c>
      <c r="P165" s="14">
        <f t="shared" si="44"/>
        <v>16.901366212499997</v>
      </c>
      <c r="Q165" s="14">
        <f t="shared" si="45"/>
        <v>12.989804365125002</v>
      </c>
      <c r="R165" s="28">
        <f t="shared" si="46"/>
        <v>1.1830956348749999</v>
      </c>
      <c r="S165" s="28">
        <f t="shared" si="47"/>
        <v>3.9447619726312877</v>
      </c>
      <c r="T165" s="28">
        <f t="shared" si="48"/>
        <v>6.4702703651249998</v>
      </c>
      <c r="U165" s="28">
        <f t="shared" si="40"/>
        <v>6.4702703651249998</v>
      </c>
      <c r="V165" s="28">
        <f t="shared" si="41"/>
        <v>6.5195340000000019</v>
      </c>
      <c r="W165" s="28">
        <f t="shared" si="42"/>
        <v>0.32597670000000012</v>
      </c>
      <c r="X165" s="28">
        <f t="shared" si="49"/>
        <v>6.7962470651249998</v>
      </c>
      <c r="Y165" s="14">
        <v>23.6954673935</v>
      </c>
      <c r="Z165" s="13">
        <v>0.14249999999999999</v>
      </c>
      <c r="AA165" s="14">
        <v>20.95207312653061</v>
      </c>
      <c r="AB165" s="13">
        <f t="shared" si="51"/>
        <v>0.66290000000000004</v>
      </c>
      <c r="AC165" s="14">
        <v>27.633198126530608</v>
      </c>
      <c r="AD165" s="26">
        <f t="shared" si="36"/>
        <v>0.1424999999999999</v>
      </c>
      <c r="AE165" s="4">
        <f t="shared" si="37"/>
        <v>27.63</v>
      </c>
      <c r="AF165" s="27">
        <f t="shared" si="50"/>
        <v>0.14249999999999999</v>
      </c>
      <c r="AG165" s="4">
        <f t="shared" si="38"/>
        <v>23.7</v>
      </c>
      <c r="AH165" s="27">
        <f t="shared" si="39"/>
        <v>0.66290000000000004</v>
      </c>
    </row>
    <row r="166" spans="1:34" x14ac:dyDescent="0.35">
      <c r="A166" s="8" t="s">
        <v>368</v>
      </c>
      <c r="B166" s="9" t="s">
        <v>369</v>
      </c>
      <c r="C166" s="8" t="s">
        <v>1135</v>
      </c>
      <c r="D166" s="8" t="s">
        <v>1139</v>
      </c>
      <c r="E166" s="8" t="s">
        <v>905</v>
      </c>
      <c r="F166" s="25" t="s">
        <v>978</v>
      </c>
      <c r="G166" s="8" t="s">
        <v>3</v>
      </c>
      <c r="H166" s="8">
        <v>12</v>
      </c>
      <c r="I166" s="8" t="s">
        <v>1164</v>
      </c>
      <c r="J166" s="10">
        <v>50.51</v>
      </c>
      <c r="K166" s="22">
        <v>0.3417</v>
      </c>
      <c r="L166" s="11">
        <v>37.65</v>
      </c>
      <c r="M166" s="13">
        <v>0.67379999999999995</v>
      </c>
      <c r="N166" s="17">
        <f t="shared" si="43"/>
        <v>12.281430000000002</v>
      </c>
      <c r="O166" s="13">
        <v>0.1075</v>
      </c>
      <c r="P166" s="14">
        <f t="shared" si="44"/>
        <v>10.961176275000001</v>
      </c>
      <c r="Q166" s="14">
        <f t="shared" si="45"/>
        <v>7.8194176607500001</v>
      </c>
      <c r="R166" s="28">
        <f t="shared" si="46"/>
        <v>0.76728233925000022</v>
      </c>
      <c r="S166" s="28">
        <f t="shared" si="47"/>
        <v>2.5583275814087254</v>
      </c>
      <c r="T166" s="28">
        <f t="shared" si="48"/>
        <v>3.8695356607499996</v>
      </c>
      <c r="U166" s="28">
        <f t="shared" si="40"/>
        <v>3.8695356607499996</v>
      </c>
      <c r="V166" s="28">
        <f t="shared" si="41"/>
        <v>3.9498820000000006</v>
      </c>
      <c r="W166" s="28">
        <f t="shared" si="42"/>
        <v>0.19749410000000003</v>
      </c>
      <c r="X166" s="28">
        <f t="shared" si="49"/>
        <v>4.0670297607499997</v>
      </c>
      <c r="Y166" s="14">
        <v>15.026906075374999</v>
      </c>
      <c r="Z166" s="13">
        <v>0.14249999999999999</v>
      </c>
      <c r="AA166" s="14">
        <v>13.476713717638482</v>
      </c>
      <c r="AB166" s="13">
        <f t="shared" si="51"/>
        <v>0.6421</v>
      </c>
      <c r="AC166" s="14">
        <v>17.524088717638481</v>
      </c>
      <c r="AD166" s="26">
        <f t="shared" si="36"/>
        <v>0.1424999999999999</v>
      </c>
      <c r="AE166" s="4">
        <f t="shared" si="37"/>
        <v>17.52</v>
      </c>
      <c r="AF166" s="27">
        <f t="shared" si="50"/>
        <v>0.14249999999999999</v>
      </c>
      <c r="AG166" s="4">
        <f t="shared" si="38"/>
        <v>15.03</v>
      </c>
      <c r="AH166" s="27">
        <f t="shared" si="39"/>
        <v>0.6421</v>
      </c>
    </row>
    <row r="167" spans="1:34" x14ac:dyDescent="0.35">
      <c r="A167" s="8" t="s">
        <v>370</v>
      </c>
      <c r="B167" s="9" t="s">
        <v>371</v>
      </c>
      <c r="C167" s="8" t="s">
        <v>1135</v>
      </c>
      <c r="D167" s="8" t="s">
        <v>1139</v>
      </c>
      <c r="E167" s="8" t="s">
        <v>905</v>
      </c>
      <c r="F167" s="25" t="s">
        <v>978</v>
      </c>
      <c r="G167" s="8" t="s">
        <v>25</v>
      </c>
      <c r="H167" s="8">
        <v>10</v>
      </c>
      <c r="I167" s="8" t="s">
        <v>1164</v>
      </c>
      <c r="J167" s="10">
        <v>79.599999999999994</v>
      </c>
      <c r="K167" s="22">
        <v>0.3417</v>
      </c>
      <c r="L167" s="11">
        <v>59.34</v>
      </c>
      <c r="M167" s="13">
        <v>0.78620000000000001</v>
      </c>
      <c r="N167" s="17">
        <f t="shared" si="43"/>
        <v>12.686892</v>
      </c>
      <c r="O167" s="13">
        <v>0.1075</v>
      </c>
      <c r="P167" s="14">
        <f t="shared" si="44"/>
        <v>11.32305111</v>
      </c>
      <c r="Q167" s="14">
        <f t="shared" si="45"/>
        <v>12.739386422300001</v>
      </c>
      <c r="R167" s="28">
        <f t="shared" si="46"/>
        <v>0.79261357770000007</v>
      </c>
      <c r="S167" s="28">
        <f t="shared" si="47"/>
        <v>2.6427888060228897</v>
      </c>
      <c r="T167" s="28">
        <f t="shared" si="48"/>
        <v>6.5146664222999995</v>
      </c>
      <c r="U167" s="28">
        <f t="shared" si="40"/>
        <v>6.5146664222999995</v>
      </c>
      <c r="V167" s="28">
        <f t="shared" si="41"/>
        <v>6.2247200000000014</v>
      </c>
      <c r="W167" s="28">
        <f t="shared" si="42"/>
        <v>0.31123600000000007</v>
      </c>
      <c r="X167" s="28">
        <f t="shared" si="49"/>
        <v>6.8259024222999996</v>
      </c>
      <c r="Y167" s="14">
        <v>18.146904670449999</v>
      </c>
      <c r="Z167" s="13">
        <v>0.14249999999999999</v>
      </c>
      <c r="AA167" s="14">
        <v>14.78352104425656</v>
      </c>
      <c r="AB167" s="13">
        <f t="shared" si="51"/>
        <v>0.75090000000000001</v>
      </c>
      <c r="AC167" s="14">
        <v>21.162571044256559</v>
      </c>
      <c r="AD167" s="26">
        <f t="shared" si="36"/>
        <v>0.14250000000000004</v>
      </c>
      <c r="AE167" s="4">
        <f t="shared" si="37"/>
        <v>21.16</v>
      </c>
      <c r="AF167" s="27">
        <f t="shared" si="50"/>
        <v>0.14249999999999999</v>
      </c>
      <c r="AG167" s="4">
        <f t="shared" si="38"/>
        <v>18.149999999999999</v>
      </c>
      <c r="AH167" s="27">
        <f t="shared" si="39"/>
        <v>0.75090000000000001</v>
      </c>
    </row>
    <row r="168" spans="1:34" x14ac:dyDescent="0.35">
      <c r="A168" s="8" t="s">
        <v>372</v>
      </c>
      <c r="B168" s="9" t="s">
        <v>373</v>
      </c>
      <c r="C168" s="8" t="s">
        <v>1135</v>
      </c>
      <c r="D168" s="8" t="s">
        <v>1139</v>
      </c>
      <c r="E168" s="8" t="s">
        <v>905</v>
      </c>
      <c r="F168" s="25" t="s">
        <v>978</v>
      </c>
      <c r="G168" s="8" t="s">
        <v>25</v>
      </c>
      <c r="H168" s="8">
        <v>30</v>
      </c>
      <c r="I168" s="8" t="s">
        <v>1164</v>
      </c>
      <c r="J168" s="10">
        <v>191.16</v>
      </c>
      <c r="K168" s="22">
        <v>0.3417</v>
      </c>
      <c r="L168" s="11">
        <v>142.5</v>
      </c>
      <c r="M168" s="13">
        <v>0.77410000000000001</v>
      </c>
      <c r="N168" s="17">
        <f t="shared" si="43"/>
        <v>32.190750000000001</v>
      </c>
      <c r="O168" s="13">
        <v>0.1075</v>
      </c>
      <c r="P168" s="14">
        <f t="shared" si="44"/>
        <v>28.730244375000002</v>
      </c>
      <c r="Q168" s="14">
        <f t="shared" si="45"/>
        <v>30.486082893749998</v>
      </c>
      <c r="R168" s="28">
        <f t="shared" si="46"/>
        <v>2.0111171062500004</v>
      </c>
      <c r="S168" s="28">
        <f t="shared" si="47"/>
        <v>6.705610306880625</v>
      </c>
      <c r="T168" s="28">
        <f t="shared" si="48"/>
        <v>15.537370893749998</v>
      </c>
      <c r="U168" s="28">
        <f t="shared" si="40"/>
        <v>15.537370893749998</v>
      </c>
      <c r="V168" s="28">
        <f t="shared" si="41"/>
        <v>14.948712</v>
      </c>
      <c r="W168" s="28">
        <f t="shared" si="42"/>
        <v>0.74743560000000009</v>
      </c>
      <c r="X168" s="28">
        <f t="shared" si="49"/>
        <v>16.284806493749997</v>
      </c>
      <c r="Y168" s="14">
        <v>45.010130700000005</v>
      </c>
      <c r="Z168" s="13">
        <v>0.14249999999999999</v>
      </c>
      <c r="AA168" s="14">
        <v>37.171198338192418</v>
      </c>
      <c r="AB168" s="13">
        <f t="shared" si="51"/>
        <v>0.73909999999999998</v>
      </c>
      <c r="AC168" s="14">
        <v>52.48994833819242</v>
      </c>
      <c r="AD168" s="26">
        <f t="shared" si="36"/>
        <v>0.1424999999999999</v>
      </c>
      <c r="AE168" s="4">
        <f t="shared" si="37"/>
        <v>52.49</v>
      </c>
      <c r="AF168" s="27">
        <f t="shared" si="50"/>
        <v>0.14249999999999999</v>
      </c>
      <c r="AG168" s="4">
        <f t="shared" si="38"/>
        <v>45.01</v>
      </c>
      <c r="AH168" s="27">
        <f t="shared" si="39"/>
        <v>0.73909999999999998</v>
      </c>
    </row>
    <row r="169" spans="1:34" x14ac:dyDescent="0.35">
      <c r="A169" s="8" t="s">
        <v>374</v>
      </c>
      <c r="B169" s="9" t="s">
        <v>375</v>
      </c>
      <c r="C169" s="8" t="s">
        <v>1136</v>
      </c>
      <c r="D169" s="8" t="s">
        <v>1171</v>
      </c>
      <c r="E169" s="8" t="s">
        <v>905</v>
      </c>
      <c r="F169" s="25" t="s">
        <v>979</v>
      </c>
      <c r="G169" s="8" t="s">
        <v>1116</v>
      </c>
      <c r="H169" s="8">
        <v>28</v>
      </c>
      <c r="I169" s="8" t="s">
        <v>1163</v>
      </c>
      <c r="J169" s="10">
        <v>40.47</v>
      </c>
      <c r="K169" s="22">
        <v>0.39400000000000002</v>
      </c>
      <c r="L169" s="11">
        <v>29.36</v>
      </c>
      <c r="M169" s="13">
        <v>0.65780000000000005</v>
      </c>
      <c r="N169" s="17">
        <f t="shared" si="43"/>
        <v>10.046991999999998</v>
      </c>
      <c r="O169" s="13">
        <v>0.1075</v>
      </c>
      <c r="P169" s="14">
        <f t="shared" si="44"/>
        <v>8.9669403599999971</v>
      </c>
      <c r="Q169" s="14">
        <f t="shared" si="45"/>
        <v>6.2522141748000006</v>
      </c>
      <c r="R169" s="28">
        <f t="shared" si="46"/>
        <v>0.62768582519999983</v>
      </c>
      <c r="S169" s="28">
        <f t="shared" si="47"/>
        <v>2.0928749130836395</v>
      </c>
      <c r="T169" s="28">
        <f t="shared" si="48"/>
        <v>3.0874601747999999</v>
      </c>
      <c r="U169" s="28">
        <f t="shared" si="40"/>
        <v>3.0874601747999999</v>
      </c>
      <c r="V169" s="28">
        <f t="shared" si="41"/>
        <v>3.1647540000000007</v>
      </c>
      <c r="W169" s="28">
        <f t="shared" si="42"/>
        <v>0.15823770000000004</v>
      </c>
      <c r="X169" s="28">
        <f t="shared" si="49"/>
        <v>3.2456978747999998</v>
      </c>
      <c r="Y169" s="14">
        <v>12.2116245074</v>
      </c>
      <c r="Z169" s="13">
        <v>0.14249999999999999</v>
      </c>
      <c r="AA169" s="14">
        <v>11.084761524664723</v>
      </c>
      <c r="AB169" s="13">
        <f t="shared" si="51"/>
        <v>0.62250000000000005</v>
      </c>
      <c r="AC169" s="14">
        <v>14.240961524664723</v>
      </c>
      <c r="AD169" s="26">
        <f t="shared" si="36"/>
        <v>0.14249999999999999</v>
      </c>
      <c r="AE169" s="4">
        <f t="shared" si="37"/>
        <v>14.24</v>
      </c>
      <c r="AF169" s="27">
        <f t="shared" si="50"/>
        <v>0.14249999999999999</v>
      </c>
      <c r="AG169" s="4">
        <f t="shared" si="38"/>
        <v>12.21</v>
      </c>
      <c r="AH169" s="27">
        <f t="shared" si="39"/>
        <v>0.62250000000000005</v>
      </c>
    </row>
    <row r="170" spans="1:34" x14ac:dyDescent="0.35">
      <c r="A170" s="8" t="s">
        <v>376</v>
      </c>
      <c r="B170" s="9" t="s">
        <v>377</v>
      </c>
      <c r="C170" s="8" t="s">
        <v>1136</v>
      </c>
      <c r="D170" s="8" t="s">
        <v>1171</v>
      </c>
      <c r="E170" s="8" t="s">
        <v>905</v>
      </c>
      <c r="F170" s="25" t="s">
        <v>979</v>
      </c>
      <c r="G170" s="8" t="s">
        <v>1116</v>
      </c>
      <c r="H170" s="8">
        <v>84</v>
      </c>
      <c r="I170" s="8" t="s">
        <v>1163</v>
      </c>
      <c r="J170" s="10">
        <v>102.73</v>
      </c>
      <c r="K170" s="22">
        <v>0.39400000000000002</v>
      </c>
      <c r="L170" s="11">
        <v>74.53</v>
      </c>
      <c r="M170" s="13">
        <v>0.68530000000000002</v>
      </c>
      <c r="N170" s="17">
        <f t="shared" si="43"/>
        <v>23.454590999999997</v>
      </c>
      <c r="O170" s="13">
        <v>0.1075</v>
      </c>
      <c r="P170" s="14">
        <f t="shared" si="44"/>
        <v>20.933222467499995</v>
      </c>
      <c r="Q170" s="14">
        <f t="shared" si="45"/>
        <v>15.998774427275002</v>
      </c>
      <c r="R170" s="28">
        <f t="shared" si="46"/>
        <v>1.4653255727249999</v>
      </c>
      <c r="S170" s="28">
        <f t="shared" si="47"/>
        <v>4.8857931906920316</v>
      </c>
      <c r="T170" s="28">
        <f t="shared" si="48"/>
        <v>7.9652884272750004</v>
      </c>
      <c r="U170" s="28">
        <f t="shared" si="40"/>
        <v>7.9652884272750004</v>
      </c>
      <c r="V170" s="28">
        <f t="shared" si="41"/>
        <v>8.0334860000000017</v>
      </c>
      <c r="W170" s="28">
        <f t="shared" si="42"/>
        <v>0.4016743000000001</v>
      </c>
      <c r="X170" s="28">
        <f t="shared" si="49"/>
        <v>8.3669627272750002</v>
      </c>
      <c r="Y170" s="14">
        <v>29.297611860200004</v>
      </c>
      <c r="Z170" s="13">
        <v>0.14249999999999999</v>
      </c>
      <c r="AA170" s="14">
        <v>26.154336207230319</v>
      </c>
      <c r="AB170" s="13">
        <f t="shared" si="51"/>
        <v>0.64910000000000001</v>
      </c>
      <c r="AC170" s="14">
        <v>34.166311207230322</v>
      </c>
      <c r="AD170" s="26">
        <f t="shared" si="36"/>
        <v>0.14249999999999993</v>
      </c>
      <c r="AE170" s="4">
        <f t="shared" si="37"/>
        <v>34.17</v>
      </c>
      <c r="AF170" s="27">
        <f t="shared" si="50"/>
        <v>0.14249999999999999</v>
      </c>
      <c r="AG170" s="4">
        <f t="shared" si="38"/>
        <v>29.3</v>
      </c>
      <c r="AH170" s="27">
        <f t="shared" si="39"/>
        <v>0.64910000000000001</v>
      </c>
    </row>
    <row r="171" spans="1:34" x14ac:dyDescent="0.35">
      <c r="A171" s="8" t="s">
        <v>378</v>
      </c>
      <c r="B171" s="9" t="s">
        <v>379</v>
      </c>
      <c r="C171" s="8" t="s">
        <v>1135</v>
      </c>
      <c r="D171" s="8" t="s">
        <v>1177</v>
      </c>
      <c r="E171" s="8" t="s">
        <v>905</v>
      </c>
      <c r="F171" s="25" t="s">
        <v>980</v>
      </c>
      <c r="G171" s="8" t="s">
        <v>3</v>
      </c>
      <c r="H171" s="8">
        <v>30</v>
      </c>
      <c r="I171" s="8" t="s">
        <v>1164</v>
      </c>
      <c r="J171" s="10">
        <v>45.05</v>
      </c>
      <c r="K171" s="22">
        <v>0.3417</v>
      </c>
      <c r="L171" s="11">
        <v>33.58</v>
      </c>
      <c r="M171" s="13">
        <v>0.59540000000000004</v>
      </c>
      <c r="N171" s="17">
        <f t="shared" si="43"/>
        <v>13.586467999999998</v>
      </c>
      <c r="O171" s="13">
        <v>0.1075</v>
      </c>
      <c r="P171" s="14">
        <f t="shared" si="44"/>
        <v>12.125922689999998</v>
      </c>
      <c r="Q171" s="14">
        <f t="shared" si="45"/>
        <v>6.8096854117000003</v>
      </c>
      <c r="R171" s="28">
        <f t="shared" si="46"/>
        <v>0.84881458829999989</v>
      </c>
      <c r="S171" s="28">
        <f t="shared" si="47"/>
        <v>2.8301782299233098</v>
      </c>
      <c r="T171" s="28">
        <f t="shared" si="48"/>
        <v>3.2867754116999999</v>
      </c>
      <c r="U171" s="28">
        <f t="shared" si="40"/>
        <v>3.2867754116999999</v>
      </c>
      <c r="V171" s="28">
        <f t="shared" si="41"/>
        <v>3.5229100000000004</v>
      </c>
      <c r="W171" s="28">
        <f t="shared" si="42"/>
        <v>0.17614550000000004</v>
      </c>
      <c r="X171" s="28">
        <f t="shared" si="49"/>
        <v>3.4629209116999999</v>
      </c>
      <c r="Y171" s="14">
        <v>15.587684168249998</v>
      </c>
      <c r="Z171" s="13">
        <v>0.14249999999999999</v>
      </c>
      <c r="AA171" s="14">
        <v>14.568207339067053</v>
      </c>
      <c r="AB171" s="13">
        <f t="shared" si="51"/>
        <v>0.56620000000000004</v>
      </c>
      <c r="AC171" s="14">
        <v>18.178057339067053</v>
      </c>
      <c r="AD171" s="26">
        <f t="shared" si="36"/>
        <v>0.14249999999999996</v>
      </c>
      <c r="AE171" s="4">
        <f t="shared" si="37"/>
        <v>18.18</v>
      </c>
      <c r="AF171" s="27">
        <f t="shared" si="50"/>
        <v>0.14249999999999999</v>
      </c>
      <c r="AG171" s="4">
        <f t="shared" si="38"/>
        <v>15.59</v>
      </c>
      <c r="AH171" s="27">
        <f t="shared" si="39"/>
        <v>0.56620000000000004</v>
      </c>
    </row>
    <row r="172" spans="1:34" x14ac:dyDescent="0.35">
      <c r="A172" s="8" t="s">
        <v>380</v>
      </c>
      <c r="B172" s="9" t="s">
        <v>381</v>
      </c>
      <c r="C172" s="8" t="s">
        <v>1134</v>
      </c>
      <c r="D172" s="8" t="s">
        <v>1168</v>
      </c>
      <c r="E172" s="8" t="s">
        <v>905</v>
      </c>
      <c r="F172" s="25" t="s">
        <v>981</v>
      </c>
      <c r="G172" s="8" t="s">
        <v>13</v>
      </c>
      <c r="H172" s="8">
        <v>30</v>
      </c>
      <c r="I172" s="8" t="s">
        <v>1163</v>
      </c>
      <c r="J172" s="10">
        <v>188.85</v>
      </c>
      <c r="K172" s="22">
        <v>0.39400000000000002</v>
      </c>
      <c r="L172" s="11">
        <v>137.01</v>
      </c>
      <c r="M172" s="13">
        <v>0.66579999999999995</v>
      </c>
      <c r="N172" s="17">
        <f t="shared" si="43"/>
        <v>45.788742000000006</v>
      </c>
      <c r="O172" s="13">
        <v>0.1075</v>
      </c>
      <c r="P172" s="14">
        <f t="shared" si="44"/>
        <v>40.866452235000004</v>
      </c>
      <c r="Q172" s="14">
        <f t="shared" si="45"/>
        <v>29.243848343550003</v>
      </c>
      <c r="R172" s="28">
        <f t="shared" si="46"/>
        <v>2.8606516564500004</v>
      </c>
      <c r="S172" s="28">
        <f t="shared" si="47"/>
        <v>9.5381890851967661</v>
      </c>
      <c r="T172" s="28">
        <f t="shared" si="48"/>
        <v>14.475778343549996</v>
      </c>
      <c r="U172" s="28">
        <f t="shared" si="40"/>
        <v>14.475778343549996</v>
      </c>
      <c r="V172" s="28">
        <f t="shared" si="41"/>
        <v>14.768070000000007</v>
      </c>
      <c r="W172" s="28">
        <f t="shared" si="42"/>
        <v>0.73840350000000043</v>
      </c>
      <c r="X172" s="28">
        <f t="shared" si="49"/>
        <v>15.214181843549996</v>
      </c>
      <c r="Y172" s="14">
        <v>56.075903465774985</v>
      </c>
      <c r="Z172" s="13">
        <v>0.14249999999999999</v>
      </c>
      <c r="AA172" s="14">
        <v>50.666064610233221</v>
      </c>
      <c r="AB172" s="13">
        <f t="shared" si="51"/>
        <v>0.63019999999999998</v>
      </c>
      <c r="AC172" s="14">
        <v>65.394639610233213</v>
      </c>
      <c r="AD172" s="26">
        <f t="shared" si="36"/>
        <v>0.14249999999999993</v>
      </c>
      <c r="AE172" s="4">
        <f t="shared" si="37"/>
        <v>65.39</v>
      </c>
      <c r="AF172" s="27">
        <f t="shared" si="50"/>
        <v>0.14249999999999999</v>
      </c>
      <c r="AG172" s="4">
        <f t="shared" si="38"/>
        <v>56.08</v>
      </c>
      <c r="AH172" s="27">
        <f t="shared" si="39"/>
        <v>0.63019999999999998</v>
      </c>
    </row>
    <row r="173" spans="1:34" x14ac:dyDescent="0.35">
      <c r="A173" s="8" t="s">
        <v>382</v>
      </c>
      <c r="B173" s="9" t="s">
        <v>383</v>
      </c>
      <c r="C173" s="8" t="s">
        <v>1134</v>
      </c>
      <c r="D173" s="8" t="s">
        <v>1168</v>
      </c>
      <c r="E173" s="8" t="s">
        <v>905</v>
      </c>
      <c r="F173" s="25" t="s">
        <v>981</v>
      </c>
      <c r="G173" s="8" t="s">
        <v>20</v>
      </c>
      <c r="H173" s="8">
        <v>30</v>
      </c>
      <c r="I173" s="8" t="s">
        <v>1163</v>
      </c>
      <c r="J173" s="10">
        <v>180.34</v>
      </c>
      <c r="K173" s="22">
        <v>0.39400000000000002</v>
      </c>
      <c r="L173" s="11">
        <v>130.83000000000001</v>
      </c>
      <c r="M173" s="13">
        <v>0.69410000000000005</v>
      </c>
      <c r="N173" s="17">
        <f t="shared" si="43"/>
        <v>40.020896999999998</v>
      </c>
      <c r="O173" s="13">
        <v>0.1075</v>
      </c>
      <c r="P173" s="14">
        <f t="shared" si="44"/>
        <v>35.718650572499996</v>
      </c>
      <c r="Q173" s="14">
        <f t="shared" si="45"/>
        <v>28.157494459925001</v>
      </c>
      <c r="R173" s="28">
        <f t="shared" si="46"/>
        <v>2.5003055400749998</v>
      </c>
      <c r="S173" s="28">
        <f t="shared" si="47"/>
        <v>8.3366973249709275</v>
      </c>
      <c r="T173" s="28">
        <f t="shared" si="48"/>
        <v>14.054906459924997</v>
      </c>
      <c r="U173" s="28">
        <f t="shared" si="40"/>
        <v>14.054906459924997</v>
      </c>
      <c r="V173" s="28">
        <f t="shared" si="41"/>
        <v>14.102588000000004</v>
      </c>
      <c r="W173" s="28">
        <f t="shared" si="42"/>
        <v>0.70512940000000024</v>
      </c>
      <c r="X173" s="28">
        <f t="shared" si="49"/>
        <v>14.760035859924997</v>
      </c>
      <c r="Y173" s="14">
        <v>50.474169199599999</v>
      </c>
      <c r="Z173" s="13">
        <v>0.14249999999999999</v>
      </c>
      <c r="AA173" s="14">
        <v>44.797779897492703</v>
      </c>
      <c r="AB173" s="13">
        <f t="shared" si="51"/>
        <v>0.65759999999999996</v>
      </c>
      <c r="AC173" s="14">
        <v>58.862004897492703</v>
      </c>
      <c r="AD173" s="26">
        <f t="shared" si="36"/>
        <v>0.1424999999999999</v>
      </c>
      <c r="AE173" s="4">
        <f t="shared" si="37"/>
        <v>58.86</v>
      </c>
      <c r="AF173" s="27">
        <f t="shared" si="50"/>
        <v>0.14249999999999999</v>
      </c>
      <c r="AG173" s="4">
        <f t="shared" si="38"/>
        <v>50.47</v>
      </c>
      <c r="AH173" s="27">
        <f t="shared" si="39"/>
        <v>0.65759999999999996</v>
      </c>
    </row>
    <row r="174" spans="1:34" x14ac:dyDescent="0.35">
      <c r="A174" s="8" t="s">
        <v>384</v>
      </c>
      <c r="B174" s="9" t="s">
        <v>385</v>
      </c>
      <c r="C174" s="8" t="s">
        <v>1134</v>
      </c>
      <c r="D174" s="8" t="s">
        <v>1177</v>
      </c>
      <c r="E174" s="8" t="s">
        <v>905</v>
      </c>
      <c r="F174" s="25" t="s">
        <v>982</v>
      </c>
      <c r="G174" s="8" t="s">
        <v>3</v>
      </c>
      <c r="H174" s="8">
        <v>24</v>
      </c>
      <c r="I174" s="8" t="s">
        <v>1163</v>
      </c>
      <c r="J174" s="10">
        <v>21.19</v>
      </c>
      <c r="K174" s="22">
        <v>0.39400000000000002</v>
      </c>
      <c r="L174" s="11">
        <v>15.37</v>
      </c>
      <c r="M174" s="13">
        <v>0.60560000000000003</v>
      </c>
      <c r="N174" s="17">
        <f t="shared" si="43"/>
        <v>6.0619279999999991</v>
      </c>
      <c r="O174" s="13">
        <v>0.1075</v>
      </c>
      <c r="P174" s="14">
        <f t="shared" si="44"/>
        <v>5.4102707399999987</v>
      </c>
      <c r="Q174" s="14">
        <f t="shared" si="45"/>
        <v>3.2235810482000007</v>
      </c>
      <c r="R174" s="28">
        <f t="shared" si="46"/>
        <v>0.37871895179999993</v>
      </c>
      <c r="S174" s="28">
        <f t="shared" si="47"/>
        <v>1.2627517804452597</v>
      </c>
      <c r="T174" s="28">
        <f t="shared" si="48"/>
        <v>1.5665230482000001</v>
      </c>
      <c r="U174" s="28">
        <f t="shared" si="40"/>
        <v>1.5665230482000001</v>
      </c>
      <c r="V174" s="28">
        <f t="shared" si="41"/>
        <v>1.6570580000000006</v>
      </c>
      <c r="W174" s="28">
        <f t="shared" si="42"/>
        <v>8.2852900000000035E-2</v>
      </c>
      <c r="X174" s="28">
        <f t="shared" si="49"/>
        <v>1.6493759482000001</v>
      </c>
      <c r="Y174" s="14">
        <v>7.0591160005249982</v>
      </c>
      <c r="Z174" s="13">
        <v>0.14249999999999999</v>
      </c>
      <c r="AA174" s="14">
        <v>6.5799302484256543</v>
      </c>
      <c r="AB174" s="13">
        <f t="shared" si="51"/>
        <v>0.57189999999999996</v>
      </c>
      <c r="AC174" s="14">
        <v>8.2322052484256538</v>
      </c>
      <c r="AD174" s="26">
        <f t="shared" si="36"/>
        <v>0.14249999999999999</v>
      </c>
      <c r="AE174" s="4">
        <f t="shared" si="37"/>
        <v>8.23</v>
      </c>
      <c r="AF174" s="27">
        <f t="shared" si="50"/>
        <v>0.14249999999999999</v>
      </c>
      <c r="AG174" s="4">
        <f t="shared" si="38"/>
        <v>7.06</v>
      </c>
      <c r="AH174" s="27">
        <f t="shared" si="39"/>
        <v>0.57189999999999996</v>
      </c>
    </row>
    <row r="175" spans="1:34" x14ac:dyDescent="0.35">
      <c r="A175" s="8" t="s">
        <v>386</v>
      </c>
      <c r="B175" s="9" t="s">
        <v>387</v>
      </c>
      <c r="C175" s="8" t="s">
        <v>1134</v>
      </c>
      <c r="D175" s="8" t="s">
        <v>1177</v>
      </c>
      <c r="E175" s="8" t="s">
        <v>905</v>
      </c>
      <c r="F175" s="25" t="s">
        <v>982</v>
      </c>
      <c r="G175" s="8" t="s">
        <v>1112</v>
      </c>
      <c r="H175" s="8">
        <v>100</v>
      </c>
      <c r="I175" s="8" t="s">
        <v>1163</v>
      </c>
      <c r="J175" s="10">
        <v>14.75</v>
      </c>
      <c r="K175" s="22">
        <v>0.39400000000000002</v>
      </c>
      <c r="L175" s="11">
        <v>10.7</v>
      </c>
      <c r="M175" s="13">
        <v>0.59660000000000002</v>
      </c>
      <c r="N175" s="17">
        <f t="shared" si="43"/>
        <v>4.3163799999999997</v>
      </c>
      <c r="O175" s="13">
        <v>0.1075</v>
      </c>
      <c r="P175" s="14">
        <f t="shared" si="44"/>
        <v>3.8523691499999995</v>
      </c>
      <c r="Q175" s="14">
        <f t="shared" si="45"/>
        <v>2.2378341595000002</v>
      </c>
      <c r="R175" s="28">
        <f t="shared" si="46"/>
        <v>0.26966584049999998</v>
      </c>
      <c r="S175" s="28">
        <f t="shared" si="47"/>
        <v>0.89913910724085</v>
      </c>
      <c r="T175" s="28">
        <f t="shared" si="48"/>
        <v>1.0843841594999999</v>
      </c>
      <c r="U175" s="28">
        <f t="shared" si="40"/>
        <v>1.0843841594999999</v>
      </c>
      <c r="V175" s="28">
        <f t="shared" si="41"/>
        <v>1.1534500000000003</v>
      </c>
      <c r="W175" s="28">
        <f t="shared" si="42"/>
        <v>5.7672500000000015E-2</v>
      </c>
      <c r="X175" s="28">
        <f t="shared" si="49"/>
        <v>1.1420566594999999</v>
      </c>
      <c r="Y175" s="14">
        <v>4.9940563652499996</v>
      </c>
      <c r="Z175" s="13">
        <v>0.14249999999999999</v>
      </c>
      <c r="AA175" s="14">
        <v>4.6737224376093289</v>
      </c>
      <c r="AB175" s="13">
        <f t="shared" si="51"/>
        <v>0.56320000000000003</v>
      </c>
      <c r="AC175" s="14">
        <v>5.8239724376093287</v>
      </c>
      <c r="AD175" s="26">
        <f t="shared" si="36"/>
        <v>0.14249999999999996</v>
      </c>
      <c r="AE175" s="4">
        <f t="shared" si="37"/>
        <v>5.82</v>
      </c>
      <c r="AF175" s="27">
        <f t="shared" si="50"/>
        <v>0.14249999999999999</v>
      </c>
      <c r="AG175" s="4">
        <f t="shared" si="38"/>
        <v>4.99</v>
      </c>
      <c r="AH175" s="27">
        <f t="shared" si="39"/>
        <v>0.56320000000000003</v>
      </c>
    </row>
    <row r="176" spans="1:34" x14ac:dyDescent="0.35">
      <c r="A176" s="8" t="s">
        <v>388</v>
      </c>
      <c r="B176" s="9" t="s">
        <v>389</v>
      </c>
      <c r="C176" s="8" t="s">
        <v>1134</v>
      </c>
      <c r="D176" s="8" t="s">
        <v>1177</v>
      </c>
      <c r="E176" s="8" t="s">
        <v>905</v>
      </c>
      <c r="F176" s="25" t="s">
        <v>982</v>
      </c>
      <c r="G176" s="8" t="s">
        <v>18</v>
      </c>
      <c r="H176" s="8">
        <v>10</v>
      </c>
      <c r="I176" s="8" t="s">
        <v>1163</v>
      </c>
      <c r="J176" s="10">
        <v>17.239999999999998</v>
      </c>
      <c r="K176" s="22">
        <v>0.39400000000000002</v>
      </c>
      <c r="L176" s="11">
        <v>12.51</v>
      </c>
      <c r="M176" s="13">
        <v>0.52739999999999998</v>
      </c>
      <c r="N176" s="17">
        <f t="shared" si="43"/>
        <v>5.9122260000000004</v>
      </c>
      <c r="O176" s="13">
        <v>0.1075</v>
      </c>
      <c r="P176" s="14">
        <f t="shared" si="44"/>
        <v>5.2766617050000004</v>
      </c>
      <c r="Q176" s="14">
        <f t="shared" si="45"/>
        <v>2.56143368065</v>
      </c>
      <c r="R176" s="28">
        <f t="shared" si="46"/>
        <v>0.36936631935000008</v>
      </c>
      <c r="S176" s="28">
        <f t="shared" si="47"/>
        <v>1.2315675652852951</v>
      </c>
      <c r="T176" s="28">
        <f t="shared" si="48"/>
        <v>1.2132656806499997</v>
      </c>
      <c r="U176" s="28">
        <f t="shared" si="40"/>
        <v>1.2315675652852951</v>
      </c>
      <c r="V176" s="28">
        <f t="shared" si="41"/>
        <v>1.3298661153647049</v>
      </c>
      <c r="W176" s="28">
        <f t="shared" si="42"/>
        <v>6.6493305768235242E-2</v>
      </c>
      <c r="X176" s="28">
        <f t="shared" si="49"/>
        <v>1.2980608710535304</v>
      </c>
      <c r="Y176" s="14">
        <v>6.5745559883000002</v>
      </c>
      <c r="Z176" s="13">
        <v>0.14249999999999999</v>
      </c>
      <c r="AA176" s="14">
        <v>6.3222956860641393</v>
      </c>
      <c r="AB176" s="13">
        <f t="shared" si="51"/>
        <v>0.49459999999999998</v>
      </c>
      <c r="AC176" s="14">
        <v>7.6671206860641394</v>
      </c>
      <c r="AD176" s="26">
        <f t="shared" si="36"/>
        <v>0.1424999999999999</v>
      </c>
      <c r="AE176" s="4">
        <f t="shared" si="37"/>
        <v>7.67</v>
      </c>
      <c r="AF176" s="27">
        <f t="shared" si="50"/>
        <v>0.14249999999999999</v>
      </c>
      <c r="AG176" s="4">
        <f t="shared" si="38"/>
        <v>6.57</v>
      </c>
      <c r="AH176" s="27">
        <f t="shared" si="39"/>
        <v>0.49459999999999998</v>
      </c>
    </row>
    <row r="177" spans="1:34" x14ac:dyDescent="0.35">
      <c r="A177" s="8" t="s">
        <v>390</v>
      </c>
      <c r="B177" s="9" t="s">
        <v>391</v>
      </c>
      <c r="C177" s="8" t="s">
        <v>1135</v>
      </c>
      <c r="D177" s="8" t="s">
        <v>1139</v>
      </c>
      <c r="E177" s="8" t="s">
        <v>905</v>
      </c>
      <c r="F177" s="25" t="s">
        <v>983</v>
      </c>
      <c r="G177" s="8" t="s">
        <v>3</v>
      </c>
      <c r="H177" s="8">
        <v>24</v>
      </c>
      <c r="I177" s="8" t="s">
        <v>1164</v>
      </c>
      <c r="J177" s="10">
        <v>26</v>
      </c>
      <c r="K177" s="22">
        <v>0.3417</v>
      </c>
      <c r="L177" s="11">
        <v>19.38</v>
      </c>
      <c r="M177" s="13">
        <v>0.53380000000000005</v>
      </c>
      <c r="N177" s="17">
        <f t="shared" si="43"/>
        <v>9.0349559999999993</v>
      </c>
      <c r="O177" s="13">
        <v>0.1075</v>
      </c>
      <c r="P177" s="14">
        <f t="shared" si="44"/>
        <v>8.0636982299999982</v>
      </c>
      <c r="Q177" s="14">
        <f t="shared" si="45"/>
        <v>3.8555411239000001</v>
      </c>
      <c r="R177" s="28">
        <f t="shared" si="46"/>
        <v>0.5644588760999999</v>
      </c>
      <c r="S177" s="28">
        <f t="shared" si="47"/>
        <v>1.8820591031837699</v>
      </c>
      <c r="T177" s="28">
        <f t="shared" si="48"/>
        <v>1.8223411239000002</v>
      </c>
      <c r="U177" s="28">
        <f t="shared" si="40"/>
        <v>1.8820591031837699</v>
      </c>
      <c r="V177" s="28">
        <f t="shared" si="41"/>
        <v>1.9734820207162302</v>
      </c>
      <c r="W177" s="28">
        <f t="shared" si="42"/>
        <v>9.8674101035811521E-2</v>
      </c>
      <c r="X177" s="28">
        <f t="shared" si="49"/>
        <v>1.9807332042195813</v>
      </c>
      <c r="Y177" s="14">
        <v>10.044939395149999</v>
      </c>
      <c r="Z177" s="13">
        <v>0.14249999999999999</v>
      </c>
      <c r="AA177" s="14">
        <v>9.6308650380758003</v>
      </c>
      <c r="AB177" s="13">
        <f t="shared" si="51"/>
        <v>0.50309999999999999</v>
      </c>
      <c r="AC177" s="14">
        <v>11.7142150380758</v>
      </c>
      <c r="AD177" s="26">
        <f t="shared" si="36"/>
        <v>0.1424999999999999</v>
      </c>
      <c r="AE177" s="4">
        <f t="shared" si="37"/>
        <v>11.71</v>
      </c>
      <c r="AF177" s="27">
        <f t="shared" si="50"/>
        <v>0.14249999999999999</v>
      </c>
      <c r="AG177" s="4">
        <f t="shared" si="38"/>
        <v>10.039999999999999</v>
      </c>
      <c r="AH177" s="27">
        <f t="shared" si="39"/>
        <v>0.50309999999999999</v>
      </c>
    </row>
    <row r="178" spans="1:34" x14ac:dyDescent="0.35">
      <c r="A178" s="8" t="s">
        <v>392</v>
      </c>
      <c r="B178" s="9" t="s">
        <v>393</v>
      </c>
      <c r="C178" s="8" t="s">
        <v>1135</v>
      </c>
      <c r="D178" s="8" t="s">
        <v>1139</v>
      </c>
      <c r="E178" s="8" t="s">
        <v>905</v>
      </c>
      <c r="F178" s="25" t="s">
        <v>983</v>
      </c>
      <c r="G178" s="8" t="s">
        <v>16</v>
      </c>
      <c r="H178" s="8">
        <v>30</v>
      </c>
      <c r="I178" s="8" t="s">
        <v>1164</v>
      </c>
      <c r="J178" s="10">
        <v>19.02</v>
      </c>
      <c r="K178" s="22">
        <v>0.3417</v>
      </c>
      <c r="L178" s="11">
        <v>14.18</v>
      </c>
      <c r="M178" s="13">
        <v>0.48680000000000001</v>
      </c>
      <c r="N178" s="17">
        <f t="shared" si="43"/>
        <v>7.2771759999999999</v>
      </c>
      <c r="O178" s="13">
        <v>0.1075</v>
      </c>
      <c r="P178" s="14">
        <f t="shared" si="44"/>
        <v>6.4948795799999992</v>
      </c>
      <c r="Q178" s="14">
        <f t="shared" si="45"/>
        <v>2.7787584293999998</v>
      </c>
      <c r="R178" s="28">
        <f t="shared" si="46"/>
        <v>0.45464157059999999</v>
      </c>
      <c r="S178" s="28">
        <f t="shared" si="47"/>
        <v>1.51589839909242</v>
      </c>
      <c r="T178" s="28">
        <f t="shared" si="48"/>
        <v>1.2913944293999999</v>
      </c>
      <c r="U178" s="28">
        <f t="shared" si="40"/>
        <v>1.51589839909242</v>
      </c>
      <c r="V178" s="28">
        <f t="shared" si="41"/>
        <v>1.2628600303075799</v>
      </c>
      <c r="W178" s="28">
        <f t="shared" si="42"/>
        <v>6.3143001515378994E-2</v>
      </c>
      <c r="X178" s="28">
        <f t="shared" si="49"/>
        <v>1.5790414006077991</v>
      </c>
      <c r="Y178" s="14">
        <v>8.0743621413499991</v>
      </c>
      <c r="Z178" s="13">
        <v>0.14249999999999999</v>
      </c>
      <c r="AA178" s="14">
        <v>7.8918157625072878</v>
      </c>
      <c r="AB178" s="13">
        <f t="shared" si="51"/>
        <v>0.44350000000000001</v>
      </c>
      <c r="AC178" s="14">
        <v>9.416165762507287</v>
      </c>
      <c r="AD178" s="26">
        <f t="shared" si="36"/>
        <v>0.14249999999999996</v>
      </c>
      <c r="AE178" s="4">
        <f t="shared" si="37"/>
        <v>9.42</v>
      </c>
      <c r="AF178" s="27">
        <f t="shared" si="50"/>
        <v>0.14249999999999999</v>
      </c>
      <c r="AG178" s="4">
        <f t="shared" si="38"/>
        <v>8.07</v>
      </c>
      <c r="AH178" s="27">
        <f t="shared" si="39"/>
        <v>0.44350000000000001</v>
      </c>
    </row>
    <row r="179" spans="1:34" x14ac:dyDescent="0.35">
      <c r="A179" s="8" t="s">
        <v>394</v>
      </c>
      <c r="B179" s="9" t="s">
        <v>395</v>
      </c>
      <c r="C179" s="8" t="s">
        <v>1135</v>
      </c>
      <c r="D179" s="8" t="s">
        <v>1139</v>
      </c>
      <c r="E179" s="8" t="s">
        <v>905</v>
      </c>
      <c r="F179" s="25" t="s">
        <v>983</v>
      </c>
      <c r="G179" s="8" t="s">
        <v>1114</v>
      </c>
      <c r="H179" s="8">
        <v>20</v>
      </c>
      <c r="I179" s="8" t="s">
        <v>1164</v>
      </c>
      <c r="J179" s="10">
        <v>17.41</v>
      </c>
      <c r="K179" s="22">
        <v>0.3417</v>
      </c>
      <c r="L179" s="11">
        <v>12.98</v>
      </c>
      <c r="M179" s="13">
        <v>0.54969999999999997</v>
      </c>
      <c r="N179" s="17">
        <f t="shared" si="43"/>
        <v>5.8448940000000009</v>
      </c>
      <c r="O179" s="13">
        <v>0.1075</v>
      </c>
      <c r="P179" s="14">
        <f t="shared" si="44"/>
        <v>5.2165678950000007</v>
      </c>
      <c r="Q179" s="14">
        <f t="shared" si="45"/>
        <v>2.5945402473500003</v>
      </c>
      <c r="R179" s="28">
        <f t="shared" si="46"/>
        <v>0.36515975265000011</v>
      </c>
      <c r="S179" s="28">
        <f t="shared" si="47"/>
        <v>1.217541730125105</v>
      </c>
      <c r="T179" s="28">
        <f t="shared" si="48"/>
        <v>1.2330782473499997</v>
      </c>
      <c r="U179" s="28">
        <f t="shared" si="40"/>
        <v>1.2330782473499997</v>
      </c>
      <c r="V179" s="28">
        <f t="shared" si="41"/>
        <v>1.3614620000000006</v>
      </c>
      <c r="W179" s="28">
        <f t="shared" si="42"/>
        <v>6.8073100000000039E-2</v>
      </c>
      <c r="X179" s="28">
        <f t="shared" si="49"/>
        <v>1.3011513473499998</v>
      </c>
      <c r="Y179" s="14">
        <v>6.5172710754000001</v>
      </c>
      <c r="Z179" s="13">
        <v>0.14249999999999999</v>
      </c>
      <c r="AA179" s="14">
        <v>6.2049661229154509</v>
      </c>
      <c r="AB179" s="13">
        <f t="shared" si="51"/>
        <v>0.52200000000000002</v>
      </c>
      <c r="AC179" s="14">
        <v>7.6003161229154514</v>
      </c>
      <c r="AD179" s="26">
        <f t="shared" si="36"/>
        <v>0.14249999999999993</v>
      </c>
      <c r="AE179" s="4">
        <f t="shared" si="37"/>
        <v>7.6</v>
      </c>
      <c r="AF179" s="27">
        <f t="shared" si="50"/>
        <v>0.14249999999999999</v>
      </c>
      <c r="AG179" s="4">
        <f t="shared" si="38"/>
        <v>6.52</v>
      </c>
      <c r="AH179" s="27">
        <f t="shared" si="39"/>
        <v>0.52200000000000002</v>
      </c>
    </row>
    <row r="180" spans="1:34" x14ac:dyDescent="0.35">
      <c r="A180" s="8" t="s">
        <v>396</v>
      </c>
      <c r="B180" s="9" t="s">
        <v>397</v>
      </c>
      <c r="C180" s="8" t="s">
        <v>1134</v>
      </c>
      <c r="D180" s="8" t="s">
        <v>1190</v>
      </c>
      <c r="E180" s="8" t="s">
        <v>905</v>
      </c>
      <c r="F180" s="25" t="s">
        <v>984</v>
      </c>
      <c r="G180" s="8" t="s">
        <v>13</v>
      </c>
      <c r="H180" s="8">
        <v>10</v>
      </c>
      <c r="I180" s="8" t="s">
        <v>1163</v>
      </c>
      <c r="J180" s="10">
        <v>36.9</v>
      </c>
      <c r="K180" s="22">
        <v>0.39400000000000002</v>
      </c>
      <c r="L180" s="11">
        <v>26.77</v>
      </c>
      <c r="M180" s="13">
        <v>0.68269999999999997</v>
      </c>
      <c r="N180" s="17">
        <f t="shared" si="43"/>
        <v>8.4941209999999998</v>
      </c>
      <c r="O180" s="13">
        <v>0.1075</v>
      </c>
      <c r="P180" s="14">
        <f t="shared" si="44"/>
        <v>7.5810029924999993</v>
      </c>
      <c r="Q180" s="14">
        <f t="shared" si="45"/>
        <v>5.7423297905250008</v>
      </c>
      <c r="R180" s="28">
        <f t="shared" si="46"/>
        <v>0.53067020947499999</v>
      </c>
      <c r="S180" s="28">
        <f t="shared" si="47"/>
        <v>1.7693985174465074</v>
      </c>
      <c r="T180" s="28">
        <f t="shared" si="48"/>
        <v>2.8567497905249999</v>
      </c>
      <c r="U180" s="28">
        <f t="shared" si="40"/>
        <v>2.8567497905249999</v>
      </c>
      <c r="V180" s="28">
        <f t="shared" si="41"/>
        <v>2.8855800000000009</v>
      </c>
      <c r="W180" s="28">
        <f t="shared" si="42"/>
        <v>0.14427900000000005</v>
      </c>
      <c r="X180" s="28">
        <f t="shared" si="49"/>
        <v>3.0010287905249999</v>
      </c>
      <c r="Y180" s="14">
        <v>10.581107481850001</v>
      </c>
      <c r="Z180" s="13">
        <v>0.14249999999999999</v>
      </c>
      <c r="AA180" s="14">
        <v>9.4617089438483966</v>
      </c>
      <c r="AB180" s="13">
        <f t="shared" si="51"/>
        <v>0.64659999999999995</v>
      </c>
      <c r="AC180" s="14">
        <v>12.339483943848396</v>
      </c>
      <c r="AD180" s="26">
        <f t="shared" si="36"/>
        <v>0.1424999999999999</v>
      </c>
      <c r="AE180" s="4">
        <f t="shared" si="37"/>
        <v>12.34</v>
      </c>
      <c r="AF180" s="27">
        <f t="shared" si="50"/>
        <v>0.14249999999999999</v>
      </c>
      <c r="AG180" s="4">
        <f t="shared" si="38"/>
        <v>10.58</v>
      </c>
      <c r="AH180" s="27">
        <f t="shared" si="39"/>
        <v>0.64659999999999995</v>
      </c>
    </row>
    <row r="181" spans="1:34" x14ac:dyDescent="0.35">
      <c r="A181" s="8" t="s">
        <v>398</v>
      </c>
      <c r="B181" s="9" t="s">
        <v>399</v>
      </c>
      <c r="C181" s="8" t="s">
        <v>1134</v>
      </c>
      <c r="D181" s="8" t="s">
        <v>1190</v>
      </c>
      <c r="E181" s="8" t="s">
        <v>905</v>
      </c>
      <c r="F181" s="25" t="s">
        <v>984</v>
      </c>
      <c r="G181" s="8" t="s">
        <v>13</v>
      </c>
      <c r="H181" s="8">
        <v>20</v>
      </c>
      <c r="I181" s="8" t="s">
        <v>1163</v>
      </c>
      <c r="J181" s="10">
        <v>72.790000000000006</v>
      </c>
      <c r="K181" s="22">
        <v>0.39400000000000002</v>
      </c>
      <c r="L181" s="11">
        <v>52.81</v>
      </c>
      <c r="M181" s="13">
        <v>0.23710000000000001</v>
      </c>
      <c r="N181" s="17">
        <f t="shared" si="43"/>
        <v>40.288749000000003</v>
      </c>
      <c r="O181" s="13">
        <v>0.1075</v>
      </c>
      <c r="P181" s="14">
        <f t="shared" si="44"/>
        <v>35.957708482500003</v>
      </c>
      <c r="Q181" s="14">
        <f t="shared" si="45"/>
        <v>9.8572604062250022</v>
      </c>
      <c r="R181" s="28">
        <f t="shared" si="46"/>
        <v>2.5170395937750003</v>
      </c>
      <c r="S181" s="28">
        <f t="shared" si="47"/>
        <v>8.3924932021070191</v>
      </c>
      <c r="T181" s="28">
        <f t="shared" si="48"/>
        <v>4.1650824062249994</v>
      </c>
      <c r="U181" s="28">
        <f t="shared" si="40"/>
        <v>8.3924932021070191</v>
      </c>
      <c r="V181" s="28">
        <f t="shared" si="41"/>
        <v>1.4647672041179831</v>
      </c>
      <c r="W181" s="28">
        <f t="shared" si="42"/>
        <v>7.3238360205899161E-2</v>
      </c>
      <c r="X181" s="28">
        <f t="shared" si="49"/>
        <v>8.4657315623129179</v>
      </c>
      <c r="Y181" s="14">
        <v>44.422426229052157</v>
      </c>
      <c r="Z181" s="13">
        <v>0.14249999999999999</v>
      </c>
      <c r="AA181" s="14">
        <v>46.127503692772187</v>
      </c>
      <c r="AB181" s="13">
        <f t="shared" si="51"/>
        <v>0.1265</v>
      </c>
      <c r="AC181" s="14">
        <v>51.804578692772189</v>
      </c>
      <c r="AD181" s="26">
        <f t="shared" si="36"/>
        <v>0.1424999999999999</v>
      </c>
      <c r="AE181" s="4">
        <f t="shared" si="37"/>
        <v>51.8</v>
      </c>
      <c r="AF181" s="27">
        <f t="shared" si="50"/>
        <v>0.14249999999999999</v>
      </c>
      <c r="AG181" s="4">
        <f t="shared" si="38"/>
        <v>44.42</v>
      </c>
      <c r="AH181" s="27">
        <f t="shared" si="39"/>
        <v>0.1265</v>
      </c>
    </row>
    <row r="182" spans="1:34" x14ac:dyDescent="0.35">
      <c r="A182" s="8" t="s">
        <v>400</v>
      </c>
      <c r="B182" s="9" t="s">
        <v>401</v>
      </c>
      <c r="C182" s="8" t="s">
        <v>1135</v>
      </c>
      <c r="D182" s="8" t="s">
        <v>1190</v>
      </c>
      <c r="E182" s="8" t="s">
        <v>905</v>
      </c>
      <c r="F182" s="25" t="s">
        <v>1191</v>
      </c>
      <c r="G182" s="8" t="s">
        <v>16</v>
      </c>
      <c r="H182" s="8">
        <v>60</v>
      </c>
      <c r="I182" s="8" t="s">
        <v>1164</v>
      </c>
      <c r="J182" s="10">
        <v>19.260000000000002</v>
      </c>
      <c r="K182" s="22">
        <v>0.3417</v>
      </c>
      <c r="L182" s="11">
        <v>14.36</v>
      </c>
      <c r="M182" s="13">
        <v>0.3947</v>
      </c>
      <c r="N182" s="17">
        <f t="shared" si="43"/>
        <v>8.6921079999999993</v>
      </c>
      <c r="O182" s="13">
        <v>0.1075</v>
      </c>
      <c r="P182" s="14">
        <f t="shared" si="44"/>
        <v>7.7577063899999992</v>
      </c>
      <c r="Q182" s="14">
        <f t="shared" si="45"/>
        <v>2.7311605527000005</v>
      </c>
      <c r="R182" s="28">
        <f t="shared" si="46"/>
        <v>0.54303944729999998</v>
      </c>
      <c r="S182" s="28">
        <f t="shared" si="47"/>
        <v>1.8106409137196096</v>
      </c>
      <c r="T182" s="28">
        <f t="shared" si="48"/>
        <v>1.2250285527000002</v>
      </c>
      <c r="U182" s="28">
        <f t="shared" si="40"/>
        <v>1.8106409137196096</v>
      </c>
      <c r="V182" s="28">
        <f t="shared" si="41"/>
        <v>0.92051963898039091</v>
      </c>
      <c r="W182" s="28">
        <f t="shared" si="42"/>
        <v>4.6025981949019551E-2</v>
      </c>
      <c r="X182" s="28">
        <f t="shared" si="49"/>
        <v>1.8566668956686292</v>
      </c>
      <c r="Y182" s="14">
        <v>9.6140976107145555</v>
      </c>
      <c r="Z182" s="13">
        <v>0.14249999999999999</v>
      </c>
      <c r="AA182" s="14">
        <v>9.6680756393172658</v>
      </c>
      <c r="AB182" s="13">
        <f t="shared" si="51"/>
        <v>0.32669999999999999</v>
      </c>
      <c r="AC182" s="14">
        <v>11.211775639317265</v>
      </c>
      <c r="AD182" s="26">
        <f t="shared" si="36"/>
        <v>0.14249999999999996</v>
      </c>
      <c r="AE182" s="4">
        <f t="shared" si="37"/>
        <v>11.21</v>
      </c>
      <c r="AF182" s="27">
        <f t="shared" si="50"/>
        <v>0.14249999999999999</v>
      </c>
      <c r="AG182" s="4">
        <f t="shared" si="38"/>
        <v>9.61</v>
      </c>
      <c r="AH182" s="27">
        <f t="shared" si="39"/>
        <v>0.32669999999999999</v>
      </c>
    </row>
    <row r="183" spans="1:34" x14ac:dyDescent="0.35">
      <c r="A183" s="8" t="s">
        <v>402</v>
      </c>
      <c r="B183" s="9" t="s">
        <v>403</v>
      </c>
      <c r="C183" s="8" t="s">
        <v>1134</v>
      </c>
      <c r="D183" s="8" t="s">
        <v>1192</v>
      </c>
      <c r="E183" s="8" t="s">
        <v>905</v>
      </c>
      <c r="F183" s="25" t="s">
        <v>985</v>
      </c>
      <c r="G183" s="8" t="s">
        <v>22</v>
      </c>
      <c r="H183" s="8">
        <v>20</v>
      </c>
      <c r="I183" s="8" t="s">
        <v>1163</v>
      </c>
      <c r="J183" s="10">
        <v>21.23</v>
      </c>
      <c r="K183" s="22">
        <v>0.39400000000000002</v>
      </c>
      <c r="L183" s="11">
        <v>15.4</v>
      </c>
      <c r="M183" s="13">
        <v>0.66569999999999996</v>
      </c>
      <c r="N183" s="17">
        <f t="shared" si="43"/>
        <v>5.1482200000000011</v>
      </c>
      <c r="O183" s="13">
        <v>0.1075</v>
      </c>
      <c r="P183" s="14">
        <f t="shared" si="44"/>
        <v>4.5947863500000006</v>
      </c>
      <c r="Q183" s="14">
        <f t="shared" si="45"/>
        <v>3.2874649555</v>
      </c>
      <c r="R183" s="28">
        <f t="shared" si="46"/>
        <v>0.32163504450000008</v>
      </c>
      <c r="S183" s="28">
        <f t="shared" si="47"/>
        <v>1.0724185393036503</v>
      </c>
      <c r="T183" s="28">
        <f t="shared" si="48"/>
        <v>1.6272789554999998</v>
      </c>
      <c r="U183" s="28">
        <f t="shared" si="40"/>
        <v>1.6272789554999998</v>
      </c>
      <c r="V183" s="28">
        <f t="shared" si="41"/>
        <v>1.6601860000000002</v>
      </c>
      <c r="W183" s="28">
        <f t="shared" si="42"/>
        <v>8.3009300000000008E-2</v>
      </c>
      <c r="X183" s="28">
        <f t="shared" si="49"/>
        <v>1.7102882554999999</v>
      </c>
      <c r="Y183" s="14">
        <v>6.3045428819999998</v>
      </c>
      <c r="Z183" s="13">
        <v>0.14249999999999999</v>
      </c>
      <c r="AA183" s="14">
        <v>5.6967365970845476</v>
      </c>
      <c r="AB183" s="13">
        <f t="shared" si="51"/>
        <v>0.63009999999999999</v>
      </c>
      <c r="AC183" s="14">
        <v>7.3522365970845476</v>
      </c>
      <c r="AD183" s="26">
        <f t="shared" si="36"/>
        <v>0.14249999999999996</v>
      </c>
      <c r="AE183" s="4">
        <f t="shared" si="37"/>
        <v>7.35</v>
      </c>
      <c r="AF183" s="27">
        <f t="shared" si="50"/>
        <v>0.14249999999999999</v>
      </c>
      <c r="AG183" s="4">
        <f t="shared" si="38"/>
        <v>6.3</v>
      </c>
      <c r="AH183" s="27">
        <f t="shared" si="39"/>
        <v>0.63009999999999999</v>
      </c>
    </row>
    <row r="184" spans="1:34" x14ac:dyDescent="0.35">
      <c r="A184" s="8" t="s">
        <v>404</v>
      </c>
      <c r="B184" s="9" t="s">
        <v>405</v>
      </c>
      <c r="C184" s="8" t="s">
        <v>1134</v>
      </c>
      <c r="D184" s="8" t="s">
        <v>1190</v>
      </c>
      <c r="E184" s="8" t="s">
        <v>905</v>
      </c>
      <c r="F184" s="25" t="s">
        <v>986</v>
      </c>
      <c r="G184" s="8" t="s">
        <v>20</v>
      </c>
      <c r="H184" s="8">
        <v>10</v>
      </c>
      <c r="I184" s="8" t="s">
        <v>1163</v>
      </c>
      <c r="J184" s="10">
        <v>18.75</v>
      </c>
      <c r="K184" s="22">
        <v>0.39400000000000002</v>
      </c>
      <c r="L184" s="11">
        <v>13.6</v>
      </c>
      <c r="M184" s="13">
        <v>0.35049999999999998</v>
      </c>
      <c r="N184" s="17">
        <f t="shared" si="43"/>
        <v>8.8331999999999997</v>
      </c>
      <c r="O184" s="13">
        <v>0.1075</v>
      </c>
      <c r="P184" s="14">
        <f t="shared" si="44"/>
        <v>7.8836309999999994</v>
      </c>
      <c r="Q184" s="14">
        <f t="shared" si="45"/>
        <v>2.6356458300000005</v>
      </c>
      <c r="R184" s="28">
        <f t="shared" si="46"/>
        <v>0.55185417000000003</v>
      </c>
      <c r="S184" s="28">
        <f t="shared" si="47"/>
        <v>1.8400315917690002</v>
      </c>
      <c r="T184" s="28">
        <f t="shared" si="48"/>
        <v>1.16939583</v>
      </c>
      <c r="U184" s="28">
        <f t="shared" si="40"/>
        <v>1.8400315917690002</v>
      </c>
      <c r="V184" s="28">
        <f t="shared" si="41"/>
        <v>0.7956142382310003</v>
      </c>
      <c r="W184" s="28">
        <f t="shared" si="42"/>
        <v>3.9780711911550019E-2</v>
      </c>
      <c r="X184" s="28">
        <f t="shared" si="49"/>
        <v>1.8798123036805503</v>
      </c>
      <c r="Y184" s="14">
        <v>9.763182218765829</v>
      </c>
      <c r="Z184" s="13">
        <v>0.14249999999999999</v>
      </c>
      <c r="AA184" s="14">
        <v>9.9236352405432413</v>
      </c>
      <c r="AB184" s="13">
        <f t="shared" si="51"/>
        <v>0.27029999999999998</v>
      </c>
      <c r="AC184" s="14">
        <v>11.385635240543241</v>
      </c>
      <c r="AD184" s="26">
        <f t="shared" si="36"/>
        <v>0.14250000000000002</v>
      </c>
      <c r="AE184" s="4">
        <f t="shared" si="37"/>
        <v>11.39</v>
      </c>
      <c r="AF184" s="27">
        <f t="shared" si="50"/>
        <v>0.14249999999999999</v>
      </c>
      <c r="AG184" s="4">
        <f t="shared" si="38"/>
        <v>9.76</v>
      </c>
      <c r="AH184" s="27">
        <f t="shared" si="39"/>
        <v>0.27029999999999998</v>
      </c>
    </row>
    <row r="185" spans="1:34" x14ac:dyDescent="0.35">
      <c r="A185" s="8" t="s">
        <v>406</v>
      </c>
      <c r="B185" s="9" t="s">
        <v>407</v>
      </c>
      <c r="C185" s="8" t="s">
        <v>1134</v>
      </c>
      <c r="D185" s="8" t="s">
        <v>1190</v>
      </c>
      <c r="E185" s="8" t="s">
        <v>905</v>
      </c>
      <c r="F185" s="25" t="s">
        <v>986</v>
      </c>
      <c r="G185" s="8" t="s">
        <v>20</v>
      </c>
      <c r="H185" s="8">
        <v>20</v>
      </c>
      <c r="I185" s="8" t="s">
        <v>1163</v>
      </c>
      <c r="J185" s="10">
        <v>29.81</v>
      </c>
      <c r="K185" s="22">
        <v>0.39400000000000002</v>
      </c>
      <c r="L185" s="11">
        <v>21.63</v>
      </c>
      <c r="M185" s="13">
        <v>0.71740000000000004</v>
      </c>
      <c r="N185" s="17">
        <f t="shared" si="43"/>
        <v>6.1126379999999987</v>
      </c>
      <c r="O185" s="13">
        <v>0.1075</v>
      </c>
      <c r="P185" s="14">
        <f t="shared" si="44"/>
        <v>5.4555294149999982</v>
      </c>
      <c r="Q185" s="14">
        <f t="shared" si="45"/>
        <v>4.68581294095</v>
      </c>
      <c r="R185" s="28">
        <f t="shared" si="46"/>
        <v>0.38188705904999992</v>
      </c>
      <c r="S185" s="28">
        <f t="shared" si="47"/>
        <v>1.2733151099315847</v>
      </c>
      <c r="T185" s="28">
        <f t="shared" si="48"/>
        <v>2.3546709409500002</v>
      </c>
      <c r="U185" s="28">
        <f t="shared" si="40"/>
        <v>2.3546709409500002</v>
      </c>
      <c r="V185" s="28">
        <f t="shared" si="41"/>
        <v>2.3311419999999998</v>
      </c>
      <c r="W185" s="28">
        <f t="shared" si="42"/>
        <v>0.1165571</v>
      </c>
      <c r="X185" s="28">
        <f t="shared" si="49"/>
        <v>2.4712280409500003</v>
      </c>
      <c r="Y185" s="14">
        <v>7.9260106261249996</v>
      </c>
      <c r="Z185" s="13">
        <v>0.14249999999999999</v>
      </c>
      <c r="AA185" s="14">
        <v>6.9179360800291532</v>
      </c>
      <c r="AB185" s="13">
        <f t="shared" si="51"/>
        <v>0.68020000000000003</v>
      </c>
      <c r="AC185" s="14">
        <v>9.2431610800291537</v>
      </c>
      <c r="AD185" s="26">
        <f t="shared" si="36"/>
        <v>0.14249999999999996</v>
      </c>
      <c r="AE185" s="4">
        <f t="shared" si="37"/>
        <v>9.24</v>
      </c>
      <c r="AF185" s="27">
        <f t="shared" si="50"/>
        <v>0.14249999999999999</v>
      </c>
      <c r="AG185" s="4">
        <f t="shared" si="38"/>
        <v>7.93</v>
      </c>
      <c r="AH185" s="27">
        <f t="shared" si="39"/>
        <v>0.68020000000000003</v>
      </c>
    </row>
    <row r="186" spans="1:34" x14ac:dyDescent="0.35">
      <c r="A186" s="8" t="s">
        <v>408</v>
      </c>
      <c r="B186" s="9" t="s">
        <v>409</v>
      </c>
      <c r="C186" s="8" t="s">
        <v>1134</v>
      </c>
      <c r="D186" s="8" t="s">
        <v>1190</v>
      </c>
      <c r="E186" s="8" t="s">
        <v>905</v>
      </c>
      <c r="F186" s="25" t="s">
        <v>984</v>
      </c>
      <c r="G186" s="8" t="s">
        <v>20</v>
      </c>
      <c r="H186" s="8">
        <v>20</v>
      </c>
      <c r="I186" s="8" t="s">
        <v>1163</v>
      </c>
      <c r="J186" s="10">
        <v>33.630000000000003</v>
      </c>
      <c r="K186" s="22">
        <v>0.39400000000000002</v>
      </c>
      <c r="L186" s="11">
        <v>24.4</v>
      </c>
      <c r="M186" s="13">
        <v>0.69610000000000005</v>
      </c>
      <c r="N186" s="17">
        <f t="shared" si="43"/>
        <v>7.4151599999999984</v>
      </c>
      <c r="O186" s="13">
        <v>0.1075</v>
      </c>
      <c r="P186" s="14">
        <f t="shared" si="44"/>
        <v>6.6180302999999983</v>
      </c>
      <c r="Q186" s="14">
        <f t="shared" si="45"/>
        <v>5.2538378790000015</v>
      </c>
      <c r="R186" s="28">
        <f t="shared" si="46"/>
        <v>0.46326212099999992</v>
      </c>
      <c r="S186" s="28">
        <f t="shared" si="47"/>
        <v>1.5446416539896994</v>
      </c>
      <c r="T186" s="28">
        <f t="shared" si="48"/>
        <v>2.623971879</v>
      </c>
      <c r="U186" s="28">
        <f t="shared" si="40"/>
        <v>2.623971879</v>
      </c>
      <c r="V186" s="28">
        <f t="shared" si="41"/>
        <v>2.6298660000000016</v>
      </c>
      <c r="W186" s="28">
        <f t="shared" si="42"/>
        <v>0.13149330000000009</v>
      </c>
      <c r="X186" s="28">
        <f t="shared" si="49"/>
        <v>2.7554651790000002</v>
      </c>
      <c r="Y186" s="14">
        <v>9.3726530079999986</v>
      </c>
      <c r="Z186" s="13">
        <v>0.14249999999999999</v>
      </c>
      <c r="AA186" s="14">
        <v>8.3072075895043707</v>
      </c>
      <c r="AB186" s="13">
        <f t="shared" si="51"/>
        <v>0.65949999999999998</v>
      </c>
      <c r="AC186" s="14">
        <v>10.93020758950437</v>
      </c>
      <c r="AD186" s="26">
        <f t="shared" si="36"/>
        <v>0.14249999999999988</v>
      </c>
      <c r="AE186" s="4">
        <f t="shared" si="37"/>
        <v>10.93</v>
      </c>
      <c r="AF186" s="27">
        <f t="shared" si="50"/>
        <v>0.14249999999999999</v>
      </c>
      <c r="AG186" s="4">
        <f t="shared" si="38"/>
        <v>9.3699999999999992</v>
      </c>
      <c r="AH186" s="27">
        <f t="shared" si="39"/>
        <v>0.65949999999999998</v>
      </c>
    </row>
    <row r="187" spans="1:34" x14ac:dyDescent="0.35">
      <c r="A187" s="8" t="s">
        <v>410</v>
      </c>
      <c r="B187" s="9" t="s">
        <v>411</v>
      </c>
      <c r="C187" s="8" t="s">
        <v>1134</v>
      </c>
      <c r="D187" s="8" t="s">
        <v>1192</v>
      </c>
      <c r="E187" s="8" t="s">
        <v>905</v>
      </c>
      <c r="F187" s="25" t="s">
        <v>987</v>
      </c>
      <c r="G187" s="8" t="s">
        <v>1113</v>
      </c>
      <c r="H187" s="8">
        <v>14</v>
      </c>
      <c r="I187" s="8" t="s">
        <v>1163</v>
      </c>
      <c r="J187" s="10">
        <v>38.479999999999997</v>
      </c>
      <c r="K187" s="22">
        <v>0.39400000000000002</v>
      </c>
      <c r="L187" s="11">
        <v>27.92</v>
      </c>
      <c r="M187" s="13">
        <v>0.62319999999999998</v>
      </c>
      <c r="N187" s="17">
        <f t="shared" si="43"/>
        <v>10.520256000000002</v>
      </c>
      <c r="O187" s="13">
        <v>0.1075</v>
      </c>
      <c r="P187" s="14">
        <f t="shared" si="44"/>
        <v>9.3893284800000014</v>
      </c>
      <c r="Q187" s="14">
        <f t="shared" si="45"/>
        <v>5.8843470063999996</v>
      </c>
      <c r="R187" s="28">
        <f t="shared" si="46"/>
        <v>0.65725299360000011</v>
      </c>
      <c r="S187" s="28">
        <f t="shared" si="47"/>
        <v>2.1914598779035201</v>
      </c>
      <c r="T187" s="28">
        <f t="shared" si="48"/>
        <v>2.8752110063999994</v>
      </c>
      <c r="U187" s="28">
        <f t="shared" si="40"/>
        <v>2.8752110063999994</v>
      </c>
      <c r="V187" s="28">
        <f t="shared" si="41"/>
        <v>3.0091360000000003</v>
      </c>
      <c r="W187" s="28">
        <f t="shared" si="42"/>
        <v>0.15045680000000003</v>
      </c>
      <c r="X187" s="28">
        <f t="shared" si="49"/>
        <v>3.0256678063999995</v>
      </c>
      <c r="Y187" s="14">
        <v>12.414032278600002</v>
      </c>
      <c r="Z187" s="13">
        <v>0.14249999999999999</v>
      </c>
      <c r="AA187" s="14">
        <v>11.475605572711371</v>
      </c>
      <c r="AB187" s="13">
        <f t="shared" si="51"/>
        <v>0.58899999999999997</v>
      </c>
      <c r="AC187" s="14">
        <v>14.477005572711372</v>
      </c>
      <c r="AD187" s="26">
        <f t="shared" si="36"/>
        <v>0.14249999999999993</v>
      </c>
      <c r="AE187" s="4">
        <f t="shared" si="37"/>
        <v>14.48</v>
      </c>
      <c r="AF187" s="27">
        <f t="shared" si="50"/>
        <v>0.14249999999999999</v>
      </c>
      <c r="AG187" s="4">
        <f t="shared" si="38"/>
        <v>12.41</v>
      </c>
      <c r="AH187" s="27">
        <f t="shared" si="39"/>
        <v>0.58899999999999997</v>
      </c>
    </row>
    <row r="188" spans="1:34" x14ac:dyDescent="0.35">
      <c r="A188" s="8" t="s">
        <v>412</v>
      </c>
      <c r="B188" s="9" t="s">
        <v>413</v>
      </c>
      <c r="C188" s="8" t="s">
        <v>1134</v>
      </c>
      <c r="D188" s="8" t="s">
        <v>1192</v>
      </c>
      <c r="E188" s="8" t="s">
        <v>905</v>
      </c>
      <c r="F188" s="25" t="s">
        <v>987</v>
      </c>
      <c r="G188" s="8" t="s">
        <v>1113</v>
      </c>
      <c r="H188" s="8">
        <v>20</v>
      </c>
      <c r="I188" s="8" t="s">
        <v>1163</v>
      </c>
      <c r="J188" s="10">
        <v>52.38</v>
      </c>
      <c r="K188" s="22">
        <v>0.39400000000000002</v>
      </c>
      <c r="L188" s="11">
        <v>38</v>
      </c>
      <c r="M188" s="13">
        <v>0.65349999999999997</v>
      </c>
      <c r="N188" s="17">
        <f t="shared" si="43"/>
        <v>13.167000000000002</v>
      </c>
      <c r="O188" s="13">
        <v>0.1075</v>
      </c>
      <c r="P188" s="14">
        <f t="shared" si="44"/>
        <v>11.751547500000001</v>
      </c>
      <c r="Q188" s="14">
        <f t="shared" si="45"/>
        <v>8.0819916749999994</v>
      </c>
      <c r="R188" s="28">
        <f t="shared" si="46"/>
        <v>0.82260832500000014</v>
      </c>
      <c r="S188" s="28">
        <f t="shared" si="47"/>
        <v>2.7427994349525004</v>
      </c>
      <c r="T188" s="28">
        <f t="shared" si="48"/>
        <v>3.985875675</v>
      </c>
      <c r="U188" s="28">
        <f t="shared" si="40"/>
        <v>3.985875675</v>
      </c>
      <c r="V188" s="28">
        <f t="shared" si="41"/>
        <v>4.0961159999999994</v>
      </c>
      <c r="W188" s="28">
        <f t="shared" si="42"/>
        <v>0.20480579999999998</v>
      </c>
      <c r="X188" s="28">
        <f t="shared" si="49"/>
        <v>4.1906814749999999</v>
      </c>
      <c r="Y188" s="14">
        <v>15.94091693</v>
      </c>
      <c r="Z188" s="13">
        <v>0.14249999999999999</v>
      </c>
      <c r="AA188" s="14">
        <v>14.504990588921283</v>
      </c>
      <c r="AB188" s="13">
        <f t="shared" si="51"/>
        <v>0.61829999999999996</v>
      </c>
      <c r="AC188" s="14">
        <v>18.589990588921282</v>
      </c>
      <c r="AD188" s="26">
        <f>(AC188-Y188)/AC188</f>
        <v>0.14249999999999993</v>
      </c>
      <c r="AE188" s="4">
        <f t="shared" si="37"/>
        <v>18.59</v>
      </c>
      <c r="AF188" s="27">
        <f t="shared" si="50"/>
        <v>0.14249999999999999</v>
      </c>
      <c r="AG188" s="4">
        <f t="shared" si="38"/>
        <v>15.94</v>
      </c>
      <c r="AH188" s="27">
        <f t="shared" si="39"/>
        <v>0.61829999999999996</v>
      </c>
    </row>
    <row r="189" spans="1:34" x14ac:dyDescent="0.35">
      <c r="A189" s="8" t="s">
        <v>414</v>
      </c>
      <c r="B189" s="9" t="s">
        <v>415</v>
      </c>
      <c r="C189" s="8" t="s">
        <v>1135</v>
      </c>
      <c r="D189" s="8" t="s">
        <v>1193</v>
      </c>
      <c r="E189" s="8" t="s">
        <v>905</v>
      </c>
      <c r="F189" s="25" t="s">
        <v>988</v>
      </c>
      <c r="G189" s="8" t="s">
        <v>1114</v>
      </c>
      <c r="H189" s="8">
        <v>30</v>
      </c>
      <c r="I189" s="8" t="s">
        <v>1164</v>
      </c>
      <c r="J189" s="10">
        <v>85.85</v>
      </c>
      <c r="K189" s="22">
        <v>0.3417</v>
      </c>
      <c r="L189" s="11">
        <v>64</v>
      </c>
      <c r="M189" s="13">
        <v>0.62409999999999999</v>
      </c>
      <c r="N189" s="17">
        <f t="shared" si="43"/>
        <v>24.057600000000001</v>
      </c>
      <c r="O189" s="13">
        <v>0.1075</v>
      </c>
      <c r="P189" s="14">
        <f t="shared" si="44"/>
        <v>21.471408</v>
      </c>
      <c r="Q189" s="14">
        <f t="shared" si="45"/>
        <v>13.09150144</v>
      </c>
      <c r="R189" s="28">
        <f t="shared" si="46"/>
        <v>1.5029985600000002</v>
      </c>
      <c r="S189" s="28">
        <f t="shared" si="47"/>
        <v>5.0114051557920005</v>
      </c>
      <c r="T189" s="28">
        <f t="shared" si="48"/>
        <v>6.37803144</v>
      </c>
      <c r="U189" s="28">
        <f t="shared" si="40"/>
        <v>6.37803144</v>
      </c>
      <c r="V189" s="28">
        <f t="shared" si="41"/>
        <v>6.71347</v>
      </c>
      <c r="W189" s="28">
        <f t="shared" si="42"/>
        <v>0.33567350000000001</v>
      </c>
      <c r="X189" s="28">
        <f t="shared" si="49"/>
        <v>6.7137049400000004</v>
      </c>
      <c r="Y189" s="14">
        <v>28.182903180000004</v>
      </c>
      <c r="Z189" s="13">
        <v>0.14249999999999999</v>
      </c>
      <c r="AA189" s="14">
        <v>25.986359393586007</v>
      </c>
      <c r="AB189" s="13">
        <f t="shared" si="51"/>
        <v>0.59399999999999997</v>
      </c>
      <c r="AC189" s="14">
        <v>32.866359393586009</v>
      </c>
      <c r="AD189" s="26">
        <f t="shared" si="36"/>
        <v>0.14249999999999996</v>
      </c>
      <c r="AE189" s="4">
        <f t="shared" si="37"/>
        <v>32.869999999999997</v>
      </c>
      <c r="AF189" s="27">
        <f t="shared" si="50"/>
        <v>0.14249999999999999</v>
      </c>
      <c r="AG189" s="4">
        <f t="shared" si="38"/>
        <v>28.18</v>
      </c>
      <c r="AH189" s="27">
        <f t="shared" si="39"/>
        <v>0.59399999999999997</v>
      </c>
    </row>
    <row r="190" spans="1:34" x14ac:dyDescent="0.35">
      <c r="A190" s="8" t="s">
        <v>416</v>
      </c>
      <c r="B190" s="9" t="s">
        <v>417</v>
      </c>
      <c r="C190" s="8" t="s">
        <v>1134</v>
      </c>
      <c r="D190" s="8" t="s">
        <v>1149</v>
      </c>
      <c r="E190" s="8" t="s">
        <v>905</v>
      </c>
      <c r="F190" s="25" t="s">
        <v>989</v>
      </c>
      <c r="G190" s="8" t="s">
        <v>39</v>
      </c>
      <c r="H190" s="8">
        <v>50</v>
      </c>
      <c r="I190" s="8" t="s">
        <v>1163</v>
      </c>
      <c r="J190" s="10">
        <v>27.9</v>
      </c>
      <c r="K190" s="22">
        <v>0.39400000000000002</v>
      </c>
      <c r="L190" s="11">
        <v>20.239999999999998</v>
      </c>
      <c r="M190" s="13">
        <v>0.16639999999999999</v>
      </c>
      <c r="N190" s="17">
        <f t="shared" si="43"/>
        <v>16.872063999999998</v>
      </c>
      <c r="O190" s="13">
        <v>0.1075</v>
      </c>
      <c r="P190" s="14">
        <f t="shared" si="44"/>
        <v>15.058317119999998</v>
      </c>
      <c r="Q190" s="14">
        <f t="shared" si="45"/>
        <v>3.6889178016000006</v>
      </c>
      <c r="R190" s="28">
        <f t="shared" si="46"/>
        <v>1.0540821983999999</v>
      </c>
      <c r="S190" s="28">
        <f t="shared" si="47"/>
        <v>3.5145961574908799</v>
      </c>
      <c r="T190" s="28">
        <f t="shared" si="48"/>
        <v>1.5071378015999997</v>
      </c>
      <c r="U190" s="28">
        <f t="shared" si="40"/>
        <v>3.5145961574908799</v>
      </c>
      <c r="V190" s="28">
        <f t="shared" si="41"/>
        <v>0.17432164410912065</v>
      </c>
      <c r="W190" s="28">
        <f t="shared" si="42"/>
        <v>8.7160822054560324E-3</v>
      </c>
      <c r="X190" s="28">
        <f t="shared" si="49"/>
        <v>3.5233122396963359</v>
      </c>
      <c r="Y190" s="14">
        <v>18.581240803911488</v>
      </c>
      <c r="Z190" s="13">
        <v>0.14249999999999999</v>
      </c>
      <c r="AA190" s="14">
        <v>19.493285485611064</v>
      </c>
      <c r="AB190" s="13">
        <f t="shared" si="51"/>
        <v>3.6900000000000002E-2</v>
      </c>
      <c r="AC190" s="14">
        <v>21.669085485611063</v>
      </c>
      <c r="AD190" s="26">
        <f t="shared" ref="AD190:AD248" si="52">(AC190-Y190)/AC190</f>
        <v>0.14249999999999996</v>
      </c>
      <c r="AE190" s="4">
        <f t="shared" ref="AE190:AE248" si="53">ROUND(AC190,2)</f>
        <v>21.67</v>
      </c>
      <c r="AF190" s="27">
        <f t="shared" si="50"/>
        <v>0.14249999999999999</v>
      </c>
      <c r="AG190" s="4">
        <f t="shared" si="38"/>
        <v>18.579999999999998</v>
      </c>
      <c r="AH190" s="27">
        <f t="shared" si="39"/>
        <v>3.6900000000000002E-2</v>
      </c>
    </row>
    <row r="191" spans="1:34" x14ac:dyDescent="0.35">
      <c r="A191" s="8" t="s">
        <v>418</v>
      </c>
      <c r="B191" s="9" t="s">
        <v>419</v>
      </c>
      <c r="C191" s="8" t="s">
        <v>1134</v>
      </c>
      <c r="D191" s="8" t="s">
        <v>1149</v>
      </c>
      <c r="E191" s="8" t="s">
        <v>905</v>
      </c>
      <c r="F191" s="25" t="s">
        <v>989</v>
      </c>
      <c r="G191" s="8" t="s">
        <v>1119</v>
      </c>
      <c r="H191" s="8">
        <v>25</v>
      </c>
      <c r="I191" s="8" t="s">
        <v>1163</v>
      </c>
      <c r="J191" s="10">
        <v>26.09</v>
      </c>
      <c r="K191" s="22">
        <v>0.39400000000000002</v>
      </c>
      <c r="L191" s="11">
        <v>18.93</v>
      </c>
      <c r="M191" s="13">
        <v>0.37819999999999998</v>
      </c>
      <c r="N191" s="17">
        <f t="shared" si="43"/>
        <v>11.770674</v>
      </c>
      <c r="O191" s="13">
        <v>0.1075</v>
      </c>
      <c r="P191" s="14">
        <f t="shared" si="44"/>
        <v>10.505326544999999</v>
      </c>
      <c r="Q191" s="14">
        <f t="shared" si="45"/>
        <v>3.6999271418500008</v>
      </c>
      <c r="R191" s="28">
        <f t="shared" si="46"/>
        <v>0.73537285814999998</v>
      </c>
      <c r="S191" s="28">
        <f t="shared" si="47"/>
        <v>2.4519327102764548</v>
      </c>
      <c r="T191" s="28">
        <f t="shared" si="48"/>
        <v>1.6596891418499999</v>
      </c>
      <c r="U191" s="28">
        <f t="shared" si="40"/>
        <v>2.4519327102764548</v>
      </c>
      <c r="V191" s="28">
        <f t="shared" si="41"/>
        <v>1.2479944315735461</v>
      </c>
      <c r="W191" s="28">
        <f t="shared" si="42"/>
        <v>6.2399721578677306E-2</v>
      </c>
      <c r="X191" s="28">
        <f t="shared" si="49"/>
        <v>2.5143324318551321</v>
      </c>
      <c r="Y191" s="14">
        <v>13.019295569690744</v>
      </c>
      <c r="Z191" s="13">
        <v>0.14249999999999999</v>
      </c>
      <c r="AA191" s="14">
        <v>13.147876976315736</v>
      </c>
      <c r="AB191" s="13">
        <f t="shared" si="51"/>
        <v>0.3054</v>
      </c>
      <c r="AC191" s="14">
        <v>15.182851976315735</v>
      </c>
      <c r="AD191" s="26">
        <f t="shared" si="52"/>
        <v>0.14249999999999993</v>
      </c>
      <c r="AE191" s="4">
        <f t="shared" si="53"/>
        <v>15.18</v>
      </c>
      <c r="AF191" s="27">
        <f t="shared" si="50"/>
        <v>0.14249999999999999</v>
      </c>
      <c r="AG191" s="4">
        <f t="shared" ref="AG191:AG250" si="54">ROUND(Y191,2)</f>
        <v>13.02</v>
      </c>
      <c r="AH191" s="27">
        <f t="shared" ref="AH191:AH250" si="55">ROUND(AB191,4)</f>
        <v>0.3054</v>
      </c>
    </row>
    <row r="192" spans="1:34" x14ac:dyDescent="0.35">
      <c r="A192" s="8" t="s">
        <v>420</v>
      </c>
      <c r="B192" s="9" t="s">
        <v>421</v>
      </c>
      <c r="C192" s="8" t="s">
        <v>1134</v>
      </c>
      <c r="D192" s="8" t="s">
        <v>1149</v>
      </c>
      <c r="E192" s="8" t="s">
        <v>905</v>
      </c>
      <c r="F192" s="25" t="s">
        <v>989</v>
      </c>
      <c r="G192" s="8" t="s">
        <v>1119</v>
      </c>
      <c r="H192" s="8">
        <v>50</v>
      </c>
      <c r="I192" s="8" t="s">
        <v>1163</v>
      </c>
      <c r="J192" s="10">
        <v>51.15</v>
      </c>
      <c r="K192" s="22">
        <v>0.39400000000000002</v>
      </c>
      <c r="L192" s="11">
        <v>37.11</v>
      </c>
      <c r="M192" s="13">
        <v>0.24229999999999999</v>
      </c>
      <c r="N192" s="17">
        <f t="shared" si="43"/>
        <v>28.118247</v>
      </c>
      <c r="O192" s="13">
        <v>0.1075</v>
      </c>
      <c r="P192" s="14">
        <f t="shared" si="44"/>
        <v>25.095535447499998</v>
      </c>
      <c r="Q192" s="14">
        <f t="shared" si="45"/>
        <v>6.9388125186750012</v>
      </c>
      <c r="R192" s="28">
        <f t="shared" si="46"/>
        <v>1.756687481325</v>
      </c>
      <c r="S192" s="28">
        <f t="shared" si="47"/>
        <v>5.8572728779110523</v>
      </c>
      <c r="T192" s="28">
        <f t="shared" si="48"/>
        <v>2.9388825186749994</v>
      </c>
      <c r="U192" s="28">
        <f t="shared" si="40"/>
        <v>5.8572728779110523</v>
      </c>
      <c r="V192" s="28">
        <f t="shared" si="41"/>
        <v>1.0815396407639488</v>
      </c>
      <c r="W192" s="28">
        <f t="shared" si="42"/>
        <v>5.4076982038197441E-2</v>
      </c>
      <c r="X192" s="28">
        <f t="shared" si="49"/>
        <v>5.91134985994925</v>
      </c>
      <c r="Y192" s="14">
        <v>31.006172891185631</v>
      </c>
      <c r="Z192" s="13">
        <v>0.14249999999999999</v>
      </c>
      <c r="AA192" s="14">
        <v>32.16947720546429</v>
      </c>
      <c r="AB192" s="13">
        <f t="shared" si="51"/>
        <v>0.1331</v>
      </c>
      <c r="AC192" s="14">
        <v>36.158802205464291</v>
      </c>
      <c r="AD192" s="26">
        <f t="shared" si="52"/>
        <v>0.14249999999999993</v>
      </c>
      <c r="AE192" s="4">
        <f t="shared" si="53"/>
        <v>36.159999999999997</v>
      </c>
      <c r="AF192" s="27">
        <f t="shared" si="50"/>
        <v>0.14249999999999999</v>
      </c>
      <c r="AG192" s="4">
        <f t="shared" si="54"/>
        <v>31.01</v>
      </c>
      <c r="AH192" s="27">
        <f t="shared" si="55"/>
        <v>0.1331</v>
      </c>
    </row>
    <row r="193" spans="1:34" x14ac:dyDescent="0.35">
      <c r="A193" s="8" t="s">
        <v>422</v>
      </c>
      <c r="B193" s="9" t="s">
        <v>423</v>
      </c>
      <c r="C193" s="8" t="s">
        <v>12</v>
      </c>
      <c r="D193" s="8" t="s">
        <v>1154</v>
      </c>
      <c r="E193" s="8" t="s">
        <v>905</v>
      </c>
      <c r="F193" s="25" t="s">
        <v>990</v>
      </c>
      <c r="G193" s="8" t="s">
        <v>1125</v>
      </c>
      <c r="H193" s="8">
        <v>10</v>
      </c>
      <c r="I193" s="8" t="s">
        <v>1164</v>
      </c>
      <c r="J193" s="10" t="s">
        <v>3</v>
      </c>
      <c r="K193" s="22">
        <v>0.3417</v>
      </c>
      <c r="L193" s="11">
        <v>26.78</v>
      </c>
      <c r="M193" s="13">
        <v>0.75970000000000004</v>
      </c>
      <c r="N193" s="17">
        <f t="shared" si="43"/>
        <v>6.4352339999999995</v>
      </c>
      <c r="O193" s="13">
        <v>0.1075</v>
      </c>
      <c r="P193" s="14">
        <f t="shared" si="44"/>
        <v>5.7434463449999988</v>
      </c>
      <c r="Q193" s="14">
        <f t="shared" si="45"/>
        <v>1.3100169333847047</v>
      </c>
      <c r="R193" s="28">
        <f t="shared" si="46"/>
        <v>0.40204124414999998</v>
      </c>
      <c r="S193" s="28">
        <f t="shared" si="47"/>
        <v>1.3405146334766549</v>
      </c>
      <c r="T193" s="28">
        <f t="shared" si="48"/>
        <v>0</v>
      </c>
      <c r="U193" s="28">
        <f t="shared" ref="U193:U255" si="56">IFERROR(IF(J193="-",P193*7%,LARGE(S193:T193,1)),"-")</f>
        <v>0.40204124414999998</v>
      </c>
      <c r="V193" s="28">
        <f t="shared" ref="V193:V255" si="57">IFERROR(Q193-U193,"-")</f>
        <v>0.90797568923470473</v>
      </c>
      <c r="W193" s="28">
        <f t="shared" ref="W193:W255" si="58">IFERROR(V193*5%,"-")</f>
        <v>4.5398784461735238E-2</v>
      </c>
      <c r="X193" s="28">
        <f t="shared" si="49"/>
        <v>0.90797568923470473</v>
      </c>
      <c r="Y193" s="14">
        <v>6.1908863736117343</v>
      </c>
      <c r="Z193" s="13">
        <v>0.14249999999999999</v>
      </c>
      <c r="AA193" s="14">
        <v>7.2196925639786986</v>
      </c>
      <c r="AB193" s="13">
        <f t="shared" si="51"/>
        <v>0.73040000000000005</v>
      </c>
      <c r="AC193" s="14">
        <v>10.098542563978699</v>
      </c>
      <c r="AD193" s="26">
        <f t="shared" si="52"/>
        <v>0.38695248998657455</v>
      </c>
      <c r="AE193" s="4">
        <f t="shared" si="53"/>
        <v>10.1</v>
      </c>
      <c r="AF193" s="27">
        <f t="shared" si="50"/>
        <v>0.38700000000000001</v>
      </c>
      <c r="AG193" s="4">
        <f t="shared" si="54"/>
        <v>6.19</v>
      </c>
      <c r="AH193" s="27">
        <f t="shared" si="55"/>
        <v>0.73040000000000005</v>
      </c>
    </row>
    <row r="194" spans="1:34" x14ac:dyDescent="0.35">
      <c r="A194" s="8" t="s">
        <v>424</v>
      </c>
      <c r="B194" s="9" t="s">
        <v>425</v>
      </c>
      <c r="C194" s="8" t="s">
        <v>12</v>
      </c>
      <c r="D194" s="8" t="s">
        <v>1154</v>
      </c>
      <c r="E194" s="8" t="s">
        <v>905</v>
      </c>
      <c r="F194" s="25" t="s">
        <v>990</v>
      </c>
      <c r="G194" s="8" t="s">
        <v>19</v>
      </c>
      <c r="H194" s="8">
        <v>20</v>
      </c>
      <c r="I194" s="8" t="s">
        <v>1164</v>
      </c>
      <c r="J194" s="10" t="s">
        <v>3</v>
      </c>
      <c r="K194" s="22">
        <v>0.3417</v>
      </c>
      <c r="L194" s="11">
        <v>14.35</v>
      </c>
      <c r="M194" s="13">
        <v>0.82830000000000004</v>
      </c>
      <c r="N194" s="17">
        <f t="shared" ref="N194:N256" si="59">L194*(1-M194)</f>
        <v>2.4638949999999995</v>
      </c>
      <c r="O194" s="13">
        <v>0.1075</v>
      </c>
      <c r="P194" s="14">
        <f t="shared" ref="P194:P256" si="60">N194*(1-O194)</f>
        <v>2.1990262874999993</v>
      </c>
      <c r="Q194" s="14">
        <f t="shared" ref="Q194:Q256" si="61">IFERROR(IF(J194="-",P194*(1+K194)*17%,(J194*17%)-R194),"-")</f>
        <v>0.50157370688958736</v>
      </c>
      <c r="R194" s="28">
        <f t="shared" ref="R194:R256" si="62">IFERROR(P194*7%,"-")</f>
        <v>0.15393184012499997</v>
      </c>
      <c r="S194" s="28">
        <f t="shared" ref="S194:S256" si="63">IFERROR((P194*1.983*0.153)-R194,0)</f>
        <v>0.51325053647621244</v>
      </c>
      <c r="T194" s="28">
        <f t="shared" ref="T194:T256" si="64">IFERROR((J194*0.6*0.153)-R194,0)</f>
        <v>0</v>
      </c>
      <c r="U194" s="28">
        <f t="shared" si="56"/>
        <v>0.15393184012499997</v>
      </c>
      <c r="V194" s="28">
        <f t="shared" si="57"/>
        <v>0.34764186676458741</v>
      </c>
      <c r="W194" s="28">
        <f t="shared" si="58"/>
        <v>1.7382093338229373E-2</v>
      </c>
      <c r="X194" s="28">
        <f t="shared" ref="X194:X256" si="65">IF($J194="-",Q194-U194,Q194-V194+W194)</f>
        <v>0.34764186676458741</v>
      </c>
      <c r="Y194" s="14">
        <v>2.3703402209632287</v>
      </c>
      <c r="Z194" s="13">
        <v>0.14249999999999999</v>
      </c>
      <c r="AA194" s="14">
        <v>2.7642451556422492</v>
      </c>
      <c r="AB194" s="13">
        <f t="shared" si="51"/>
        <v>0.80740000000000001</v>
      </c>
      <c r="AC194" s="14">
        <v>4.3068701556422493</v>
      </c>
      <c r="AD194" s="26">
        <f t="shared" si="52"/>
        <v>0.44963740830265203</v>
      </c>
      <c r="AE194" s="4">
        <f t="shared" si="53"/>
        <v>4.3099999999999996</v>
      </c>
      <c r="AF194" s="27">
        <f t="shared" ref="AF194:AF256" si="66">ROUND(AD194,4)</f>
        <v>0.4496</v>
      </c>
      <c r="AG194" s="4">
        <f t="shared" si="54"/>
        <v>2.37</v>
      </c>
      <c r="AH194" s="27">
        <f t="shared" si="55"/>
        <v>0.80740000000000001</v>
      </c>
    </row>
    <row r="195" spans="1:34" x14ac:dyDescent="0.35">
      <c r="A195" s="8" t="s">
        <v>426</v>
      </c>
      <c r="B195" s="9" t="s">
        <v>427</v>
      </c>
      <c r="C195" s="8" t="s">
        <v>12</v>
      </c>
      <c r="D195" s="8" t="s">
        <v>1154</v>
      </c>
      <c r="E195" s="8" t="s">
        <v>905</v>
      </c>
      <c r="F195" s="25" t="s">
        <v>990</v>
      </c>
      <c r="G195" s="8" t="s">
        <v>1116</v>
      </c>
      <c r="H195" s="8">
        <v>15</v>
      </c>
      <c r="I195" s="8" t="s">
        <v>1164</v>
      </c>
      <c r="J195" s="10" t="s">
        <v>3</v>
      </c>
      <c r="K195" s="22">
        <v>0.3417</v>
      </c>
      <c r="L195" s="11">
        <v>21.86</v>
      </c>
      <c r="M195" s="13">
        <v>0.83779999999999999</v>
      </c>
      <c r="N195" s="17">
        <f t="shared" si="59"/>
        <v>3.5456920000000003</v>
      </c>
      <c r="O195" s="13">
        <v>0.1075</v>
      </c>
      <c r="P195" s="14">
        <f t="shared" si="60"/>
        <v>3.1645301100000003</v>
      </c>
      <c r="Q195" s="14">
        <f t="shared" si="61"/>
        <v>0.72179450825979008</v>
      </c>
      <c r="R195" s="28">
        <f t="shared" si="62"/>
        <v>0.22151710770000005</v>
      </c>
      <c r="S195" s="28">
        <f t="shared" si="63"/>
        <v>0.73859816314389004</v>
      </c>
      <c r="T195" s="28">
        <f t="shared" si="64"/>
        <v>0</v>
      </c>
      <c r="U195" s="28">
        <f t="shared" si="56"/>
        <v>0.22151710770000005</v>
      </c>
      <c r="V195" s="28">
        <f t="shared" si="57"/>
        <v>0.50027740055979009</v>
      </c>
      <c r="W195" s="28">
        <f t="shared" si="58"/>
        <v>2.5013870027989507E-2</v>
      </c>
      <c r="X195" s="28">
        <f t="shared" si="65"/>
        <v>0.50027740055979009</v>
      </c>
      <c r="Y195" s="14">
        <v>3.4110610877279899</v>
      </c>
      <c r="Z195" s="13">
        <v>0.14249999999999999</v>
      </c>
      <c r="AA195" s="14">
        <v>3.9779138049306004</v>
      </c>
      <c r="AB195" s="13">
        <f t="shared" ref="AB195:AB258" si="67">ROUND(1-(AA195/L195),4)</f>
        <v>0.81799999999999995</v>
      </c>
      <c r="AC195" s="14">
        <v>6.3278638049306002</v>
      </c>
      <c r="AD195" s="26">
        <f t="shared" si="52"/>
        <v>0.46094587480373245</v>
      </c>
      <c r="AE195" s="4">
        <f t="shared" si="53"/>
        <v>6.33</v>
      </c>
      <c r="AF195" s="27">
        <f t="shared" si="66"/>
        <v>0.46089999999999998</v>
      </c>
      <c r="AG195" s="4">
        <f t="shared" si="54"/>
        <v>3.41</v>
      </c>
      <c r="AH195" s="27">
        <f t="shared" si="55"/>
        <v>0.81799999999999995</v>
      </c>
    </row>
    <row r="196" spans="1:34" x14ac:dyDescent="0.35">
      <c r="A196" s="8" t="s">
        <v>428</v>
      </c>
      <c r="B196" s="9" t="s">
        <v>429</v>
      </c>
      <c r="C196" s="8" t="s">
        <v>1134</v>
      </c>
      <c r="D196" s="8" t="s">
        <v>1154</v>
      </c>
      <c r="E196" s="8" t="s">
        <v>905</v>
      </c>
      <c r="F196" s="25" t="s">
        <v>991</v>
      </c>
      <c r="G196" s="8" t="s">
        <v>3</v>
      </c>
      <c r="H196" s="8">
        <v>20</v>
      </c>
      <c r="I196" s="8" t="s">
        <v>1163</v>
      </c>
      <c r="J196" s="10">
        <v>18.72</v>
      </c>
      <c r="K196" s="22">
        <v>0.39400000000000002</v>
      </c>
      <c r="L196" s="11">
        <v>13.54</v>
      </c>
      <c r="M196" s="13">
        <v>0.15090000000000001</v>
      </c>
      <c r="N196" s="17">
        <f t="shared" si="59"/>
        <v>11.496813999999999</v>
      </c>
      <c r="O196" s="13">
        <v>0.1075</v>
      </c>
      <c r="P196" s="14">
        <f t="shared" si="60"/>
        <v>10.260906494999999</v>
      </c>
      <c r="Q196" s="14">
        <f t="shared" si="61"/>
        <v>2.4641365453499997</v>
      </c>
      <c r="R196" s="28">
        <f t="shared" si="62"/>
        <v>0.71826345464999997</v>
      </c>
      <c r="S196" s="28">
        <f t="shared" si="63"/>
        <v>2.3948853150265048</v>
      </c>
      <c r="T196" s="28">
        <f t="shared" si="64"/>
        <v>1.0002325453499998</v>
      </c>
      <c r="U196" s="28">
        <f t="shared" si="56"/>
        <v>2.3948853150265048</v>
      </c>
      <c r="V196" s="28">
        <f t="shared" si="57"/>
        <v>6.9251230323494894E-2</v>
      </c>
      <c r="W196" s="28">
        <f t="shared" si="58"/>
        <v>3.4625615161747447E-3</v>
      </c>
      <c r="X196" s="28">
        <f t="shared" si="65"/>
        <v>2.3983478765426796</v>
      </c>
      <c r="Y196" s="14">
        <v>12.658994438473171</v>
      </c>
      <c r="Z196" s="13">
        <v>0.14249999999999999</v>
      </c>
      <c r="AA196" s="14">
        <v>13.307125729997866</v>
      </c>
      <c r="AB196" s="13">
        <f t="shared" si="67"/>
        <v>1.72E-2</v>
      </c>
      <c r="AC196" s="14">
        <v>14.762675729997866</v>
      </c>
      <c r="AD196" s="26">
        <f t="shared" si="52"/>
        <v>0.14249999999999999</v>
      </c>
      <c r="AE196" s="4">
        <f t="shared" si="53"/>
        <v>14.76</v>
      </c>
      <c r="AF196" s="27">
        <f t="shared" si="66"/>
        <v>0.14249999999999999</v>
      </c>
      <c r="AG196" s="4">
        <f t="shared" si="54"/>
        <v>12.66</v>
      </c>
      <c r="AH196" s="27">
        <f t="shared" si="55"/>
        <v>1.72E-2</v>
      </c>
    </row>
    <row r="197" spans="1:34" x14ac:dyDescent="0.35">
      <c r="A197" s="8" t="s">
        <v>430</v>
      </c>
      <c r="B197" s="9" t="s">
        <v>431</v>
      </c>
      <c r="C197" s="8" t="s">
        <v>1135</v>
      </c>
      <c r="D197" s="8" t="s">
        <v>1139</v>
      </c>
      <c r="E197" s="8" t="s">
        <v>905</v>
      </c>
      <c r="F197" s="25" t="s">
        <v>992</v>
      </c>
      <c r="G197" s="8" t="s">
        <v>1112</v>
      </c>
      <c r="H197" s="8">
        <v>10</v>
      </c>
      <c r="I197" s="8" t="s">
        <v>1164</v>
      </c>
      <c r="J197" s="10">
        <v>25.46</v>
      </c>
      <c r="K197" s="22">
        <v>0.3417</v>
      </c>
      <c r="L197" s="11">
        <v>18.98</v>
      </c>
      <c r="M197" s="13">
        <v>0.62039999999999995</v>
      </c>
      <c r="N197" s="17">
        <f t="shared" si="59"/>
        <v>7.2048080000000008</v>
      </c>
      <c r="O197" s="13">
        <v>0.1075</v>
      </c>
      <c r="P197" s="14">
        <f t="shared" si="60"/>
        <v>6.4302911400000005</v>
      </c>
      <c r="Q197" s="14">
        <f t="shared" si="61"/>
        <v>3.8780796202000007</v>
      </c>
      <c r="R197" s="28">
        <f t="shared" si="62"/>
        <v>0.45012037980000008</v>
      </c>
      <c r="S197" s="28">
        <f t="shared" si="63"/>
        <v>1.5008235217848602</v>
      </c>
      <c r="T197" s="28">
        <f t="shared" si="64"/>
        <v>1.8871076202000001</v>
      </c>
      <c r="U197" s="28">
        <f t="shared" si="56"/>
        <v>1.8871076202000001</v>
      </c>
      <c r="V197" s="28">
        <f t="shared" si="57"/>
        <v>1.9909720000000006</v>
      </c>
      <c r="W197" s="28">
        <f t="shared" si="58"/>
        <v>9.9548600000000043E-2</v>
      </c>
      <c r="X197" s="28">
        <f t="shared" si="65"/>
        <v>1.9866562202000002</v>
      </c>
      <c r="Y197" s="14">
        <v>8.41629202825</v>
      </c>
      <c r="Z197" s="13">
        <v>0.14249999999999999</v>
      </c>
      <c r="AA197" s="14">
        <v>7.7745678172011647</v>
      </c>
      <c r="AB197" s="13">
        <f t="shared" si="67"/>
        <v>0.59040000000000004</v>
      </c>
      <c r="AC197" s="14">
        <v>9.8149178172011649</v>
      </c>
      <c r="AD197" s="26">
        <f t="shared" si="52"/>
        <v>0.14249999999999988</v>
      </c>
      <c r="AE197" s="4">
        <f t="shared" si="53"/>
        <v>9.81</v>
      </c>
      <c r="AF197" s="27">
        <f t="shared" si="66"/>
        <v>0.14249999999999999</v>
      </c>
      <c r="AG197" s="4">
        <f t="shared" si="54"/>
        <v>8.42</v>
      </c>
      <c r="AH197" s="27">
        <f t="shared" si="55"/>
        <v>0.59040000000000004</v>
      </c>
    </row>
    <row r="198" spans="1:34" x14ac:dyDescent="0.35">
      <c r="A198" s="8" t="s">
        <v>432</v>
      </c>
      <c r="B198" s="9" t="s">
        <v>433</v>
      </c>
      <c r="C198" s="8" t="s">
        <v>1135</v>
      </c>
      <c r="D198" s="8" t="s">
        <v>1139</v>
      </c>
      <c r="E198" s="8" t="s">
        <v>905</v>
      </c>
      <c r="F198" s="25" t="s">
        <v>992</v>
      </c>
      <c r="G198" s="8" t="s">
        <v>1112</v>
      </c>
      <c r="H198" s="8">
        <v>20</v>
      </c>
      <c r="I198" s="8" t="s">
        <v>1164</v>
      </c>
      <c r="J198" s="10">
        <v>48.15</v>
      </c>
      <c r="K198" s="22">
        <v>0.3417</v>
      </c>
      <c r="L198" s="11">
        <v>35.89</v>
      </c>
      <c r="M198" s="13">
        <v>0.58360000000000001</v>
      </c>
      <c r="N198" s="17">
        <f t="shared" si="59"/>
        <v>14.944596000000001</v>
      </c>
      <c r="O198" s="13">
        <v>0.1075</v>
      </c>
      <c r="P198" s="14">
        <f t="shared" si="60"/>
        <v>13.338051930000001</v>
      </c>
      <c r="Q198" s="14">
        <f t="shared" si="61"/>
        <v>7.2518363649000008</v>
      </c>
      <c r="R198" s="28">
        <f t="shared" si="62"/>
        <v>0.93366363510000017</v>
      </c>
      <c r="S198" s="28">
        <f t="shared" si="63"/>
        <v>3.1130879824100699</v>
      </c>
      <c r="T198" s="28">
        <f t="shared" si="64"/>
        <v>3.4865063648999994</v>
      </c>
      <c r="U198" s="28">
        <f t="shared" si="56"/>
        <v>3.4865063648999994</v>
      </c>
      <c r="V198" s="28">
        <f t="shared" si="57"/>
        <v>3.7653300000000014</v>
      </c>
      <c r="W198" s="28">
        <f t="shared" si="58"/>
        <v>0.18826650000000009</v>
      </c>
      <c r="X198" s="28">
        <f t="shared" si="65"/>
        <v>3.6747728648999995</v>
      </c>
      <c r="Y198" s="14">
        <v>17.011585602924999</v>
      </c>
      <c r="Z198" s="13">
        <v>0.14249999999999999</v>
      </c>
      <c r="AA198" s="14">
        <v>15.98040879349854</v>
      </c>
      <c r="AB198" s="13">
        <f t="shared" si="67"/>
        <v>0.55469999999999997</v>
      </c>
      <c r="AC198" s="14">
        <v>19.83858379349854</v>
      </c>
      <c r="AD198" s="26">
        <f t="shared" si="52"/>
        <v>0.14249999999999993</v>
      </c>
      <c r="AE198" s="4">
        <f t="shared" si="53"/>
        <v>19.84</v>
      </c>
      <c r="AF198" s="27">
        <f t="shared" si="66"/>
        <v>0.14249999999999999</v>
      </c>
      <c r="AG198" s="4">
        <f t="shared" si="54"/>
        <v>17.010000000000002</v>
      </c>
      <c r="AH198" s="27">
        <f t="shared" si="55"/>
        <v>0.55469999999999997</v>
      </c>
    </row>
    <row r="199" spans="1:34" x14ac:dyDescent="0.35">
      <c r="A199" s="8" t="s">
        <v>434</v>
      </c>
      <c r="B199" s="9" t="s">
        <v>435</v>
      </c>
      <c r="C199" s="8" t="s">
        <v>1135</v>
      </c>
      <c r="D199" s="8" t="s">
        <v>1139</v>
      </c>
      <c r="E199" s="8" t="s">
        <v>905</v>
      </c>
      <c r="F199" s="25" t="s">
        <v>992</v>
      </c>
      <c r="G199" s="8" t="s">
        <v>20</v>
      </c>
      <c r="H199" s="8">
        <v>20</v>
      </c>
      <c r="I199" s="8" t="s">
        <v>1164</v>
      </c>
      <c r="J199" s="10">
        <v>22.54</v>
      </c>
      <c r="K199" s="22">
        <v>0.3417</v>
      </c>
      <c r="L199" s="11">
        <v>16.8</v>
      </c>
      <c r="M199" s="13">
        <v>0.50880000000000003</v>
      </c>
      <c r="N199" s="17">
        <f t="shared" si="59"/>
        <v>8.2521599999999999</v>
      </c>
      <c r="O199" s="13">
        <v>0.1075</v>
      </c>
      <c r="P199" s="14">
        <f t="shared" si="60"/>
        <v>7.3650528</v>
      </c>
      <c r="Q199" s="14">
        <f t="shared" si="61"/>
        <v>3.3162463040000003</v>
      </c>
      <c r="R199" s="28">
        <f t="shared" si="62"/>
        <v>0.51555369600000001</v>
      </c>
      <c r="S199" s="28">
        <f t="shared" si="63"/>
        <v>1.7189959584671999</v>
      </c>
      <c r="T199" s="28">
        <f t="shared" si="64"/>
        <v>1.553618304</v>
      </c>
      <c r="U199" s="28">
        <f t="shared" si="56"/>
        <v>1.7189959584671999</v>
      </c>
      <c r="V199" s="28">
        <f t="shared" si="57"/>
        <v>1.5972503455328004</v>
      </c>
      <c r="W199" s="28">
        <f t="shared" si="58"/>
        <v>7.9862517276640024E-2</v>
      </c>
      <c r="X199" s="28">
        <f t="shared" si="65"/>
        <v>1.7988584757438399</v>
      </c>
      <c r="Y199" s="14">
        <v>9.1637943879999995</v>
      </c>
      <c r="Z199" s="13">
        <v>0.14249999999999999</v>
      </c>
      <c r="AA199" s="14">
        <v>8.880640685714285</v>
      </c>
      <c r="AB199" s="13">
        <f t="shared" si="67"/>
        <v>0.47139999999999999</v>
      </c>
      <c r="AC199" s="14">
        <v>10.686640685714284</v>
      </c>
      <c r="AD199" s="26">
        <f t="shared" si="52"/>
        <v>0.14249999999999993</v>
      </c>
      <c r="AE199" s="4">
        <f t="shared" si="53"/>
        <v>10.69</v>
      </c>
      <c r="AF199" s="27">
        <f t="shared" si="66"/>
        <v>0.14249999999999999</v>
      </c>
      <c r="AG199" s="4">
        <f t="shared" si="54"/>
        <v>9.16</v>
      </c>
      <c r="AH199" s="27">
        <f t="shared" si="55"/>
        <v>0.47139999999999999</v>
      </c>
    </row>
    <row r="200" spans="1:34" x14ac:dyDescent="0.35">
      <c r="A200" s="8" t="s">
        <v>436</v>
      </c>
      <c r="B200" s="9" t="s">
        <v>437</v>
      </c>
      <c r="C200" s="8" t="s">
        <v>1135</v>
      </c>
      <c r="D200" s="8" t="s">
        <v>1139</v>
      </c>
      <c r="E200" s="8" t="s">
        <v>905</v>
      </c>
      <c r="F200" s="25" t="s">
        <v>992</v>
      </c>
      <c r="G200" s="8" t="s">
        <v>21</v>
      </c>
      <c r="H200" s="8">
        <v>10</v>
      </c>
      <c r="I200" s="8" t="s">
        <v>1164</v>
      </c>
      <c r="J200" s="10">
        <v>9.69</v>
      </c>
      <c r="K200" s="22">
        <v>0.3417</v>
      </c>
      <c r="L200" s="11">
        <v>7.22</v>
      </c>
      <c r="M200" s="13">
        <v>0.59589999999999999</v>
      </c>
      <c r="N200" s="17">
        <f t="shared" si="59"/>
        <v>2.917602</v>
      </c>
      <c r="O200" s="13">
        <v>0.1075</v>
      </c>
      <c r="P200" s="14">
        <f t="shared" si="60"/>
        <v>2.6039597849999998</v>
      </c>
      <c r="Q200" s="14">
        <f t="shared" si="61"/>
        <v>1.46502281505</v>
      </c>
      <c r="R200" s="28">
        <f t="shared" si="62"/>
        <v>0.18227718495</v>
      </c>
      <c r="S200" s="28">
        <f t="shared" si="63"/>
        <v>0.60776160985921501</v>
      </c>
      <c r="T200" s="28">
        <f t="shared" si="64"/>
        <v>0.70726481504999983</v>
      </c>
      <c r="U200" s="28">
        <f t="shared" si="56"/>
        <v>0.70726481504999983</v>
      </c>
      <c r="V200" s="28">
        <f t="shared" si="57"/>
        <v>0.75775800000000015</v>
      </c>
      <c r="W200" s="28">
        <f t="shared" si="58"/>
        <v>3.7887900000000009E-2</v>
      </c>
      <c r="X200" s="28">
        <f t="shared" si="65"/>
        <v>0.7451527150499998</v>
      </c>
      <c r="Y200" s="14">
        <v>3.3488632114999994</v>
      </c>
      <c r="Z200" s="13">
        <v>0.14249999999999999</v>
      </c>
      <c r="AA200" s="14">
        <v>3.1292298384839645</v>
      </c>
      <c r="AB200" s="13">
        <f t="shared" si="67"/>
        <v>0.56659999999999999</v>
      </c>
      <c r="AC200" s="14">
        <v>3.9053798384839644</v>
      </c>
      <c r="AD200" s="26">
        <f t="shared" si="52"/>
        <v>0.14250000000000002</v>
      </c>
      <c r="AE200" s="4">
        <f t="shared" si="53"/>
        <v>3.91</v>
      </c>
      <c r="AF200" s="27">
        <f t="shared" si="66"/>
        <v>0.14249999999999999</v>
      </c>
      <c r="AG200" s="4">
        <f t="shared" si="54"/>
        <v>3.35</v>
      </c>
      <c r="AH200" s="27">
        <f t="shared" si="55"/>
        <v>0.56659999999999999</v>
      </c>
    </row>
    <row r="201" spans="1:34" x14ac:dyDescent="0.35">
      <c r="A201" s="8" t="s">
        <v>438</v>
      </c>
      <c r="B201" s="9" t="s">
        <v>439</v>
      </c>
      <c r="C201" s="8" t="s">
        <v>1135</v>
      </c>
      <c r="D201" s="8" t="s">
        <v>1139</v>
      </c>
      <c r="E201" s="8" t="s">
        <v>905</v>
      </c>
      <c r="F201" s="25" t="s">
        <v>992</v>
      </c>
      <c r="G201" s="8" t="s">
        <v>21</v>
      </c>
      <c r="H201" s="8">
        <v>20</v>
      </c>
      <c r="I201" s="8" t="s">
        <v>1164</v>
      </c>
      <c r="J201" s="10">
        <v>17.8</v>
      </c>
      <c r="K201" s="22">
        <v>0.3417</v>
      </c>
      <c r="L201" s="11">
        <v>13.27</v>
      </c>
      <c r="M201" s="13">
        <v>0.61980000000000002</v>
      </c>
      <c r="N201" s="17">
        <f t="shared" si="59"/>
        <v>5.0452539999999999</v>
      </c>
      <c r="O201" s="13">
        <v>0.1075</v>
      </c>
      <c r="P201" s="14">
        <f t="shared" si="60"/>
        <v>4.5028891949999998</v>
      </c>
      <c r="Q201" s="14">
        <f t="shared" si="61"/>
        <v>2.7107977563500003</v>
      </c>
      <c r="R201" s="28">
        <f t="shared" si="62"/>
        <v>0.31520224365000005</v>
      </c>
      <c r="S201" s="28">
        <f t="shared" si="63"/>
        <v>1.050969835223805</v>
      </c>
      <c r="T201" s="28">
        <f t="shared" si="64"/>
        <v>1.3188377563499998</v>
      </c>
      <c r="U201" s="28">
        <f t="shared" si="56"/>
        <v>1.3188377563499998</v>
      </c>
      <c r="V201" s="28">
        <f t="shared" si="57"/>
        <v>1.3919600000000005</v>
      </c>
      <c r="W201" s="28">
        <f t="shared" si="58"/>
        <v>6.9598000000000035E-2</v>
      </c>
      <c r="X201" s="28">
        <f t="shared" si="65"/>
        <v>1.3884357563499998</v>
      </c>
      <c r="Y201" s="14">
        <v>5.8908667714249994</v>
      </c>
      <c r="Z201" s="13">
        <v>0.14249999999999999</v>
      </c>
      <c r="AA201" s="14">
        <v>5.443290476880466</v>
      </c>
      <c r="AB201" s="13">
        <f t="shared" si="67"/>
        <v>0.58979999999999999</v>
      </c>
      <c r="AC201" s="14">
        <v>6.8698154768804658</v>
      </c>
      <c r="AD201" s="26">
        <f t="shared" si="52"/>
        <v>0.14250000000000002</v>
      </c>
      <c r="AE201" s="4">
        <f t="shared" si="53"/>
        <v>6.87</v>
      </c>
      <c r="AF201" s="27">
        <f t="shared" si="66"/>
        <v>0.14249999999999999</v>
      </c>
      <c r="AG201" s="4">
        <f t="shared" si="54"/>
        <v>5.89</v>
      </c>
      <c r="AH201" s="27">
        <f t="shared" si="55"/>
        <v>0.58979999999999999</v>
      </c>
    </row>
    <row r="202" spans="1:34" x14ac:dyDescent="0.35">
      <c r="A202" s="8" t="s">
        <v>440</v>
      </c>
      <c r="B202" s="9" t="s">
        <v>441</v>
      </c>
      <c r="C202" s="8" t="s">
        <v>1135</v>
      </c>
      <c r="D202" s="8" t="s">
        <v>1139</v>
      </c>
      <c r="E202" s="8" t="s">
        <v>905</v>
      </c>
      <c r="F202" s="25" t="s">
        <v>992</v>
      </c>
      <c r="G202" s="8" t="s">
        <v>21</v>
      </c>
      <c r="H202" s="8">
        <v>240</v>
      </c>
      <c r="I202" s="8" t="s">
        <v>1164</v>
      </c>
      <c r="J202" s="10">
        <v>243.05</v>
      </c>
      <c r="K202" s="22">
        <v>0.3417</v>
      </c>
      <c r="L202" s="11">
        <v>181.18</v>
      </c>
      <c r="M202" s="13">
        <v>0.61780000000000002</v>
      </c>
      <c r="N202" s="17">
        <f t="shared" si="59"/>
        <v>69.246995999999996</v>
      </c>
      <c r="O202" s="13">
        <v>0.1075</v>
      </c>
      <c r="P202" s="14">
        <f t="shared" si="60"/>
        <v>61.802943929999991</v>
      </c>
      <c r="Q202" s="14">
        <f t="shared" si="61"/>
        <v>36.992293924900011</v>
      </c>
      <c r="R202" s="28">
        <f t="shared" si="62"/>
        <v>4.3262060751</v>
      </c>
      <c r="S202" s="28">
        <f t="shared" si="63"/>
        <v>14.42474531031807</v>
      </c>
      <c r="T202" s="28">
        <f t="shared" si="64"/>
        <v>17.985783924900002</v>
      </c>
      <c r="U202" s="28">
        <f t="shared" si="56"/>
        <v>17.985783924900002</v>
      </c>
      <c r="V202" s="28">
        <f t="shared" si="57"/>
        <v>19.006510000000009</v>
      </c>
      <c r="W202" s="28">
        <f t="shared" si="58"/>
        <v>0.95032550000000049</v>
      </c>
      <c r="X202" s="28">
        <f t="shared" si="65"/>
        <v>18.936109424900003</v>
      </c>
      <c r="Y202" s="14">
        <v>80.732797662449997</v>
      </c>
      <c r="Z202" s="13">
        <v>0.14249999999999999</v>
      </c>
      <c r="AA202" s="14">
        <v>74.672185174868801</v>
      </c>
      <c r="AB202" s="13">
        <f t="shared" si="67"/>
        <v>0.58789999999999998</v>
      </c>
      <c r="AC202" s="14">
        <v>94.1490351748688</v>
      </c>
      <c r="AD202" s="26">
        <f t="shared" si="52"/>
        <v>0.14249999999999999</v>
      </c>
      <c r="AE202" s="4">
        <f t="shared" si="53"/>
        <v>94.15</v>
      </c>
      <c r="AF202" s="27">
        <f t="shared" si="66"/>
        <v>0.14249999999999999</v>
      </c>
      <c r="AG202" s="4">
        <f t="shared" si="54"/>
        <v>80.73</v>
      </c>
      <c r="AH202" s="27">
        <f t="shared" si="55"/>
        <v>0.58789999999999998</v>
      </c>
    </row>
    <row r="203" spans="1:34" x14ac:dyDescent="0.35">
      <c r="A203" s="8" t="s">
        <v>442</v>
      </c>
      <c r="B203" s="9" t="s">
        <v>443</v>
      </c>
      <c r="C203" s="8" t="s">
        <v>1135</v>
      </c>
      <c r="D203" s="8" t="s">
        <v>1139</v>
      </c>
      <c r="E203" s="8" t="s">
        <v>905</v>
      </c>
      <c r="F203" s="25" t="s">
        <v>993</v>
      </c>
      <c r="G203" s="8" t="s">
        <v>16</v>
      </c>
      <c r="H203" s="8">
        <v>30</v>
      </c>
      <c r="I203" s="8" t="s">
        <v>1164</v>
      </c>
      <c r="J203" s="10">
        <v>25.09</v>
      </c>
      <c r="K203" s="22">
        <v>0.3417</v>
      </c>
      <c r="L203" s="11">
        <v>18.7</v>
      </c>
      <c r="M203" s="13">
        <v>0.69669999999999999</v>
      </c>
      <c r="N203" s="17">
        <f t="shared" si="59"/>
        <v>5.67171</v>
      </c>
      <c r="O203" s="13">
        <v>0.1075</v>
      </c>
      <c r="P203" s="14">
        <f t="shared" si="60"/>
        <v>5.0620011749999998</v>
      </c>
      <c r="Q203" s="14">
        <f t="shared" si="61"/>
        <v>3.9109599177499996</v>
      </c>
      <c r="R203" s="28">
        <f t="shared" si="62"/>
        <v>0.35434008225000002</v>
      </c>
      <c r="S203" s="28">
        <f t="shared" si="63"/>
        <v>1.181466012243825</v>
      </c>
      <c r="T203" s="28">
        <f t="shared" si="64"/>
        <v>1.9489219177499997</v>
      </c>
      <c r="U203" s="28">
        <f t="shared" si="56"/>
        <v>1.9489219177499997</v>
      </c>
      <c r="V203" s="28">
        <f t="shared" si="57"/>
        <v>1.9620379999999999</v>
      </c>
      <c r="W203" s="28">
        <f t="shared" si="58"/>
        <v>9.8101900000000006E-2</v>
      </c>
      <c r="X203" s="28">
        <f t="shared" si="65"/>
        <v>2.0470238177499995</v>
      </c>
      <c r="Y203" s="14">
        <v>7.1083793285000016</v>
      </c>
      <c r="Z203" s="13">
        <v>0.14249999999999999</v>
      </c>
      <c r="AA203" s="14">
        <v>6.2794051935860065</v>
      </c>
      <c r="AB203" s="13">
        <f t="shared" si="67"/>
        <v>0.66420000000000001</v>
      </c>
      <c r="AC203" s="14">
        <v>8.2896551935860074</v>
      </c>
      <c r="AD203" s="26">
        <f t="shared" si="52"/>
        <v>0.14249999999999996</v>
      </c>
      <c r="AE203" s="4">
        <f t="shared" si="53"/>
        <v>8.2899999999999991</v>
      </c>
      <c r="AF203" s="27">
        <f t="shared" si="66"/>
        <v>0.14249999999999999</v>
      </c>
      <c r="AG203" s="4">
        <f t="shared" si="54"/>
        <v>7.11</v>
      </c>
      <c r="AH203" s="27">
        <f t="shared" si="55"/>
        <v>0.66420000000000001</v>
      </c>
    </row>
    <row r="204" spans="1:34" x14ac:dyDescent="0.35">
      <c r="A204" s="8" t="s">
        <v>444</v>
      </c>
      <c r="B204" s="9" t="s">
        <v>445</v>
      </c>
      <c r="C204" s="8" t="s">
        <v>1135</v>
      </c>
      <c r="D204" s="8" t="s">
        <v>1139</v>
      </c>
      <c r="E204" s="8" t="s">
        <v>905</v>
      </c>
      <c r="F204" s="25" t="s">
        <v>993</v>
      </c>
      <c r="G204" s="8" t="s">
        <v>16</v>
      </c>
      <c r="H204" s="8">
        <v>60</v>
      </c>
      <c r="I204" s="8" t="s">
        <v>1164</v>
      </c>
      <c r="J204" s="10">
        <v>47.62</v>
      </c>
      <c r="K204" s="22">
        <v>0.3417</v>
      </c>
      <c r="L204" s="11">
        <v>35.5</v>
      </c>
      <c r="M204" s="13">
        <v>0.68310000000000004</v>
      </c>
      <c r="N204" s="17">
        <f t="shared" si="59"/>
        <v>11.249949999999998</v>
      </c>
      <c r="O204" s="13">
        <v>0.1075</v>
      </c>
      <c r="P204" s="14">
        <f t="shared" si="60"/>
        <v>10.040580374999998</v>
      </c>
      <c r="Q204" s="14">
        <f t="shared" si="61"/>
        <v>7.3925593737500002</v>
      </c>
      <c r="R204" s="28">
        <f t="shared" si="62"/>
        <v>0.70284062624999988</v>
      </c>
      <c r="S204" s="28">
        <f t="shared" si="63"/>
        <v>2.3434614189446243</v>
      </c>
      <c r="T204" s="28">
        <f t="shared" si="64"/>
        <v>3.6686753737499997</v>
      </c>
      <c r="U204" s="28">
        <f t="shared" si="56"/>
        <v>3.6686753737499997</v>
      </c>
      <c r="V204" s="28">
        <f t="shared" si="57"/>
        <v>3.7238840000000004</v>
      </c>
      <c r="W204" s="28">
        <f t="shared" si="58"/>
        <v>0.18619420000000003</v>
      </c>
      <c r="X204" s="28">
        <f t="shared" si="65"/>
        <v>3.8548695737499998</v>
      </c>
      <c r="Y204" s="14">
        <v>13.8942242225</v>
      </c>
      <c r="Z204" s="13">
        <v>0.14249999999999999</v>
      </c>
      <c r="AA204" s="14">
        <v>12.386926935860057</v>
      </c>
      <c r="AB204" s="13">
        <f t="shared" si="67"/>
        <v>0.65110000000000001</v>
      </c>
      <c r="AC204" s="14">
        <v>16.203176935860057</v>
      </c>
      <c r="AD204" s="26">
        <f t="shared" si="52"/>
        <v>0.14249999999999993</v>
      </c>
      <c r="AE204" s="4">
        <f t="shared" si="53"/>
        <v>16.2</v>
      </c>
      <c r="AF204" s="27">
        <f t="shared" si="66"/>
        <v>0.14249999999999999</v>
      </c>
      <c r="AG204" s="4">
        <f t="shared" si="54"/>
        <v>13.89</v>
      </c>
      <c r="AH204" s="27">
        <f t="shared" si="55"/>
        <v>0.65110000000000001</v>
      </c>
    </row>
    <row r="205" spans="1:34" x14ac:dyDescent="0.35">
      <c r="A205" s="8" t="s">
        <v>446</v>
      </c>
      <c r="B205" s="9" t="s">
        <v>447</v>
      </c>
      <c r="C205" s="8" t="s">
        <v>1134</v>
      </c>
      <c r="D205" s="8" t="s">
        <v>1139</v>
      </c>
      <c r="E205" s="8" t="s">
        <v>905</v>
      </c>
      <c r="F205" s="25" t="s">
        <v>994</v>
      </c>
      <c r="G205" s="8" t="s">
        <v>16</v>
      </c>
      <c r="H205" s="8">
        <v>30</v>
      </c>
      <c r="I205" s="8" t="s">
        <v>1163</v>
      </c>
      <c r="J205" s="10">
        <v>213.49</v>
      </c>
      <c r="K205" s="22">
        <v>0.39400000000000002</v>
      </c>
      <c r="L205" s="11">
        <v>154.88</v>
      </c>
      <c r="M205" s="13">
        <v>0.68100000000000005</v>
      </c>
      <c r="N205" s="17">
        <f t="shared" si="59"/>
        <v>49.406719999999993</v>
      </c>
      <c r="O205" s="13">
        <v>0.1075</v>
      </c>
      <c r="P205" s="14">
        <f t="shared" si="60"/>
        <v>44.095497599999995</v>
      </c>
      <c r="Q205" s="14">
        <f t="shared" si="61"/>
        <v>33.206615167999999</v>
      </c>
      <c r="R205" s="28">
        <f t="shared" si="62"/>
        <v>3.086684832</v>
      </c>
      <c r="S205" s="28">
        <f t="shared" si="63"/>
        <v>10.291845044342399</v>
      </c>
      <c r="T205" s="28">
        <f t="shared" si="64"/>
        <v>16.511697167999998</v>
      </c>
      <c r="U205" s="28">
        <f t="shared" si="56"/>
        <v>16.511697167999998</v>
      </c>
      <c r="V205" s="28">
        <f t="shared" si="57"/>
        <v>16.694918000000001</v>
      </c>
      <c r="W205" s="28">
        <f t="shared" si="58"/>
        <v>0.83474590000000015</v>
      </c>
      <c r="X205" s="28">
        <f t="shared" si="65"/>
        <v>17.346443067999999</v>
      </c>
      <c r="Y205" s="14">
        <v>61.436593048799999</v>
      </c>
      <c r="Z205" s="13">
        <v>0.14249999999999999</v>
      </c>
      <c r="AA205" s="14">
        <v>54.996572651661801</v>
      </c>
      <c r="AB205" s="13">
        <f t="shared" si="67"/>
        <v>0.64490000000000003</v>
      </c>
      <c r="AC205" s="14">
        <v>71.6461726516618</v>
      </c>
      <c r="AD205" s="26">
        <f t="shared" si="52"/>
        <v>0.14249999999999993</v>
      </c>
      <c r="AE205" s="4">
        <f t="shared" si="53"/>
        <v>71.650000000000006</v>
      </c>
      <c r="AF205" s="27">
        <f t="shared" si="66"/>
        <v>0.14249999999999999</v>
      </c>
      <c r="AG205" s="4">
        <f t="shared" si="54"/>
        <v>61.44</v>
      </c>
      <c r="AH205" s="27">
        <f t="shared" si="55"/>
        <v>0.64490000000000003</v>
      </c>
    </row>
    <row r="206" spans="1:34" x14ac:dyDescent="0.35">
      <c r="A206" s="8" t="s">
        <v>448</v>
      </c>
      <c r="B206" s="9" t="s">
        <v>449</v>
      </c>
      <c r="C206" s="8" t="s">
        <v>1134</v>
      </c>
      <c r="D206" s="8" t="s">
        <v>1139</v>
      </c>
      <c r="E206" s="8" t="s">
        <v>905</v>
      </c>
      <c r="F206" s="25" t="s">
        <v>994</v>
      </c>
      <c r="G206" s="8" t="s">
        <v>25</v>
      </c>
      <c r="H206" s="8">
        <v>30</v>
      </c>
      <c r="I206" s="8" t="s">
        <v>1163</v>
      </c>
      <c r="J206" s="10">
        <v>192.67</v>
      </c>
      <c r="K206" s="22">
        <v>0.39400000000000002</v>
      </c>
      <c r="L206" s="11">
        <v>139.78</v>
      </c>
      <c r="M206" s="13">
        <v>0.7429</v>
      </c>
      <c r="N206" s="17">
        <f t="shared" si="59"/>
        <v>35.937438</v>
      </c>
      <c r="O206" s="13">
        <v>0.1075</v>
      </c>
      <c r="P206" s="14">
        <f t="shared" si="60"/>
        <v>32.074163415000001</v>
      </c>
      <c r="Q206" s="14">
        <f t="shared" si="61"/>
        <v>30.508708560950001</v>
      </c>
      <c r="R206" s="28">
        <f t="shared" si="62"/>
        <v>2.2451914390500001</v>
      </c>
      <c r="S206" s="28">
        <f t="shared" si="63"/>
        <v>7.4860776668975859</v>
      </c>
      <c r="T206" s="28">
        <f t="shared" si="64"/>
        <v>15.441914560949996</v>
      </c>
      <c r="U206" s="28">
        <f t="shared" si="56"/>
        <v>15.441914560949996</v>
      </c>
      <c r="V206" s="28">
        <f t="shared" si="57"/>
        <v>15.066794000000005</v>
      </c>
      <c r="W206" s="28">
        <f t="shared" si="58"/>
        <v>0.75333970000000028</v>
      </c>
      <c r="X206" s="28">
        <f t="shared" si="65"/>
        <v>16.195254260949998</v>
      </c>
      <c r="Y206" s="14">
        <v>48.264591421999995</v>
      </c>
      <c r="Z206" s="13">
        <v>0.14249999999999999</v>
      </c>
      <c r="AA206" s="14">
        <v>41.25888780991253</v>
      </c>
      <c r="AB206" s="13">
        <f t="shared" si="67"/>
        <v>0.70479999999999998</v>
      </c>
      <c r="AC206" s="14">
        <v>56.28523780991253</v>
      </c>
      <c r="AD206" s="26">
        <f t="shared" si="52"/>
        <v>0.14249999999999999</v>
      </c>
      <c r="AE206" s="4">
        <f t="shared" si="53"/>
        <v>56.29</v>
      </c>
      <c r="AF206" s="27">
        <f t="shared" si="66"/>
        <v>0.14249999999999999</v>
      </c>
      <c r="AG206" s="4">
        <f t="shared" si="54"/>
        <v>48.26</v>
      </c>
      <c r="AH206" s="27">
        <f t="shared" si="55"/>
        <v>0.70479999999999998</v>
      </c>
    </row>
    <row r="207" spans="1:34" x14ac:dyDescent="0.35">
      <c r="A207" s="8" t="s">
        <v>450</v>
      </c>
      <c r="B207" s="9" t="s">
        <v>451</v>
      </c>
      <c r="C207" s="8" t="s">
        <v>1135</v>
      </c>
      <c r="D207" s="8" t="s">
        <v>1139</v>
      </c>
      <c r="E207" s="8" t="s">
        <v>905</v>
      </c>
      <c r="F207" s="25" t="s">
        <v>995</v>
      </c>
      <c r="G207" s="8" t="s">
        <v>16</v>
      </c>
      <c r="H207" s="8">
        <v>7</v>
      </c>
      <c r="I207" s="8" t="s">
        <v>1164</v>
      </c>
      <c r="J207" s="10">
        <v>31.31</v>
      </c>
      <c r="K207" s="22">
        <v>0.3417</v>
      </c>
      <c r="L207" s="11">
        <v>23.34</v>
      </c>
      <c r="M207" s="13">
        <v>0.25169999999999998</v>
      </c>
      <c r="N207" s="17">
        <f t="shared" si="59"/>
        <v>17.465322</v>
      </c>
      <c r="O207" s="13">
        <v>0.1075</v>
      </c>
      <c r="P207" s="14">
        <f t="shared" si="60"/>
        <v>15.587799884999999</v>
      </c>
      <c r="Q207" s="14">
        <f t="shared" si="61"/>
        <v>4.2315540080500007</v>
      </c>
      <c r="R207" s="28">
        <f t="shared" si="62"/>
        <v>1.0911459919499999</v>
      </c>
      <c r="S207" s="28">
        <f t="shared" si="63"/>
        <v>3.6381769053591149</v>
      </c>
      <c r="T207" s="28">
        <f t="shared" si="64"/>
        <v>1.7831120080499998</v>
      </c>
      <c r="U207" s="28">
        <f t="shared" si="56"/>
        <v>3.6381769053591149</v>
      </c>
      <c r="V207" s="28">
        <f t="shared" si="57"/>
        <v>0.59337710269088584</v>
      </c>
      <c r="W207" s="28">
        <f t="shared" si="58"/>
        <v>2.9668855134544293E-2</v>
      </c>
      <c r="X207" s="28">
        <f t="shared" si="65"/>
        <v>3.667845760493659</v>
      </c>
      <c r="Y207" s="14">
        <v>19.255197577706188</v>
      </c>
      <c r="Z207" s="13">
        <v>0.14249999999999999</v>
      </c>
      <c r="AA207" s="14">
        <v>19.945990906945994</v>
      </c>
      <c r="AB207" s="13">
        <f t="shared" si="67"/>
        <v>0.1454</v>
      </c>
      <c r="AC207" s="14">
        <v>22.455040906945992</v>
      </c>
      <c r="AD207" s="26">
        <f t="shared" si="52"/>
        <v>0.14250000000000004</v>
      </c>
      <c r="AE207" s="4">
        <f t="shared" si="53"/>
        <v>22.46</v>
      </c>
      <c r="AF207" s="27">
        <f t="shared" si="66"/>
        <v>0.14249999999999999</v>
      </c>
      <c r="AG207" s="4">
        <f t="shared" si="54"/>
        <v>19.260000000000002</v>
      </c>
      <c r="AH207" s="27">
        <f t="shared" si="55"/>
        <v>0.1454</v>
      </c>
    </row>
    <row r="208" spans="1:34" x14ac:dyDescent="0.35">
      <c r="A208" s="8" t="s">
        <v>452</v>
      </c>
      <c r="B208" s="9" t="s">
        <v>453</v>
      </c>
      <c r="C208" s="8" t="s">
        <v>1135</v>
      </c>
      <c r="D208" s="8" t="s">
        <v>1139</v>
      </c>
      <c r="E208" s="8" t="s">
        <v>905</v>
      </c>
      <c r="F208" s="25" t="s">
        <v>995</v>
      </c>
      <c r="G208" s="8" t="s">
        <v>16</v>
      </c>
      <c r="H208" s="8">
        <v>30</v>
      </c>
      <c r="I208" s="8" t="s">
        <v>1164</v>
      </c>
      <c r="J208" s="10">
        <v>144.72</v>
      </c>
      <c r="K208" s="22">
        <v>0.3417</v>
      </c>
      <c r="L208" s="11">
        <v>107.88</v>
      </c>
      <c r="M208" s="13">
        <v>0.2185</v>
      </c>
      <c r="N208" s="17">
        <f t="shared" si="59"/>
        <v>84.308219999999992</v>
      </c>
      <c r="O208" s="13">
        <v>0.1075</v>
      </c>
      <c r="P208" s="14">
        <f t="shared" si="60"/>
        <v>75.245086349999994</v>
      </c>
      <c r="Q208" s="14">
        <f t="shared" si="61"/>
        <v>19.335243955500005</v>
      </c>
      <c r="R208" s="28">
        <f t="shared" si="62"/>
        <v>5.2671560445000001</v>
      </c>
      <c r="S208" s="28">
        <f t="shared" si="63"/>
        <v>17.56212790900365</v>
      </c>
      <c r="T208" s="28">
        <f t="shared" si="64"/>
        <v>8.0181399554999988</v>
      </c>
      <c r="U208" s="28">
        <f t="shared" si="56"/>
        <v>17.56212790900365</v>
      </c>
      <c r="V208" s="28">
        <f t="shared" si="57"/>
        <v>1.7731160464963551</v>
      </c>
      <c r="W208" s="28">
        <f t="shared" si="58"/>
        <v>8.8655802324817762E-2</v>
      </c>
      <c r="X208" s="28">
        <f t="shared" si="65"/>
        <v>17.650783711328469</v>
      </c>
      <c r="Y208" s="14">
        <v>92.893799043637273</v>
      </c>
      <c r="Z208" s="13">
        <v>0.14249999999999999</v>
      </c>
      <c r="AA208" s="14">
        <v>96.733860983833551</v>
      </c>
      <c r="AB208" s="13">
        <f t="shared" si="67"/>
        <v>0.1033</v>
      </c>
      <c r="AC208" s="14">
        <v>108.33096098383355</v>
      </c>
      <c r="AD208" s="26">
        <f t="shared" si="52"/>
        <v>0.14249999999999996</v>
      </c>
      <c r="AE208" s="4">
        <f t="shared" si="53"/>
        <v>108.33</v>
      </c>
      <c r="AF208" s="27">
        <f t="shared" si="66"/>
        <v>0.14249999999999999</v>
      </c>
      <c r="AG208" s="4">
        <f t="shared" si="54"/>
        <v>92.89</v>
      </c>
      <c r="AH208" s="27">
        <f t="shared" si="55"/>
        <v>0.1033</v>
      </c>
    </row>
    <row r="209" spans="1:34" x14ac:dyDescent="0.35">
      <c r="A209" s="8" t="s">
        <v>454</v>
      </c>
      <c r="B209" s="9" t="s">
        <v>455</v>
      </c>
      <c r="C209" s="8" t="s">
        <v>1134</v>
      </c>
      <c r="D209" s="8" t="s">
        <v>1149</v>
      </c>
      <c r="E209" s="8" t="s">
        <v>905</v>
      </c>
      <c r="F209" s="25" t="s">
        <v>996</v>
      </c>
      <c r="G209" s="8" t="s">
        <v>23</v>
      </c>
      <c r="H209" s="8">
        <v>50</v>
      </c>
      <c r="I209" s="8" t="s">
        <v>1163</v>
      </c>
      <c r="J209" s="10">
        <v>84.11</v>
      </c>
      <c r="K209" s="22">
        <v>0.39400000000000002</v>
      </c>
      <c r="L209" s="11">
        <v>61.02</v>
      </c>
      <c r="M209" s="13">
        <v>0.48299999999999998</v>
      </c>
      <c r="N209" s="17">
        <f t="shared" si="59"/>
        <v>31.547340000000002</v>
      </c>
      <c r="O209" s="13">
        <v>0.1075</v>
      </c>
      <c r="P209" s="14">
        <f t="shared" si="60"/>
        <v>28.156000949999999</v>
      </c>
      <c r="Q209" s="14">
        <f t="shared" si="61"/>
        <v>12.3277799335</v>
      </c>
      <c r="R209" s="28">
        <f t="shared" si="62"/>
        <v>1.9709200665000002</v>
      </c>
      <c r="S209" s="28">
        <f t="shared" si="63"/>
        <v>6.5715824657290494</v>
      </c>
      <c r="T209" s="28">
        <f t="shared" si="64"/>
        <v>5.7503779334999994</v>
      </c>
      <c r="U209" s="28">
        <f t="shared" si="56"/>
        <v>6.5715824657290494</v>
      </c>
      <c r="V209" s="28">
        <f t="shared" si="57"/>
        <v>5.7561974677709511</v>
      </c>
      <c r="W209" s="28">
        <f t="shared" si="58"/>
        <v>0.28780987338854758</v>
      </c>
      <c r="X209" s="28">
        <f t="shared" si="65"/>
        <v>6.8593923391175968</v>
      </c>
      <c r="Y209" s="14">
        <v>35.018188060699998</v>
      </c>
      <c r="Z209" s="13">
        <v>0.14249999999999999</v>
      </c>
      <c r="AA209" s="14">
        <v>34.277887097026237</v>
      </c>
      <c r="AB209" s="13">
        <f t="shared" si="67"/>
        <v>0.43830000000000002</v>
      </c>
      <c r="AC209" s="14">
        <v>40.837537097026235</v>
      </c>
      <c r="AD209" s="26">
        <f t="shared" si="52"/>
        <v>0.14249999999999996</v>
      </c>
      <c r="AE209" s="4">
        <f t="shared" si="53"/>
        <v>40.840000000000003</v>
      </c>
      <c r="AF209" s="27">
        <f t="shared" si="66"/>
        <v>0.14249999999999999</v>
      </c>
      <c r="AG209" s="4">
        <f t="shared" si="54"/>
        <v>35.020000000000003</v>
      </c>
      <c r="AH209" s="27">
        <f t="shared" si="55"/>
        <v>0.43830000000000002</v>
      </c>
    </row>
    <row r="210" spans="1:34" x14ac:dyDescent="0.35">
      <c r="A210" s="8" t="s">
        <v>456</v>
      </c>
      <c r="B210" s="9" t="s">
        <v>457</v>
      </c>
      <c r="C210" s="8" t="s">
        <v>1134</v>
      </c>
      <c r="D210" s="8" t="s">
        <v>1149</v>
      </c>
      <c r="E210" s="8" t="s">
        <v>905</v>
      </c>
      <c r="F210" s="25" t="s">
        <v>997</v>
      </c>
      <c r="G210" s="8" t="s">
        <v>23</v>
      </c>
      <c r="H210" s="8">
        <v>50</v>
      </c>
      <c r="I210" s="8" t="s">
        <v>1163</v>
      </c>
      <c r="J210" s="10">
        <v>122.13</v>
      </c>
      <c r="K210" s="22">
        <v>0.39400000000000002</v>
      </c>
      <c r="L210" s="11">
        <v>88.6</v>
      </c>
      <c r="M210" s="13">
        <v>0.52649999999999997</v>
      </c>
      <c r="N210" s="17">
        <f t="shared" si="59"/>
        <v>41.952100000000002</v>
      </c>
      <c r="O210" s="13">
        <v>0.1075</v>
      </c>
      <c r="P210" s="14">
        <f t="shared" si="60"/>
        <v>37.442249249999996</v>
      </c>
      <c r="Q210" s="14">
        <f t="shared" si="61"/>
        <v>18.1411425525</v>
      </c>
      <c r="R210" s="28">
        <f t="shared" si="62"/>
        <v>2.6209574474999999</v>
      </c>
      <c r="S210" s="28">
        <f t="shared" si="63"/>
        <v>8.7389835327007486</v>
      </c>
      <c r="T210" s="28">
        <f t="shared" si="64"/>
        <v>8.5905765524999982</v>
      </c>
      <c r="U210" s="28">
        <f t="shared" si="56"/>
        <v>8.7389835327007486</v>
      </c>
      <c r="V210" s="28">
        <f t="shared" si="57"/>
        <v>9.4021590197992513</v>
      </c>
      <c r="W210" s="28">
        <f t="shared" si="58"/>
        <v>0.47010795098996261</v>
      </c>
      <c r="X210" s="28">
        <f t="shared" si="65"/>
        <v>9.2090914836907114</v>
      </c>
      <c r="Y210" s="14">
        <v>46.647021374499992</v>
      </c>
      <c r="Z210" s="13">
        <v>0.14249999999999999</v>
      </c>
      <c r="AA210" s="14">
        <v>44.874358745772589</v>
      </c>
      <c r="AB210" s="13">
        <f t="shared" si="67"/>
        <v>0.49349999999999999</v>
      </c>
      <c r="AC210" s="14">
        <v>54.398858745772586</v>
      </c>
      <c r="AD210" s="26">
        <f t="shared" si="52"/>
        <v>0.14249999999999999</v>
      </c>
      <c r="AE210" s="4">
        <f t="shared" si="53"/>
        <v>54.4</v>
      </c>
      <c r="AF210" s="27">
        <f t="shared" si="66"/>
        <v>0.14249999999999999</v>
      </c>
      <c r="AG210" s="4">
        <f t="shared" si="54"/>
        <v>46.65</v>
      </c>
      <c r="AH210" s="27">
        <f t="shared" si="55"/>
        <v>0.49349999999999999</v>
      </c>
    </row>
    <row r="211" spans="1:34" x14ac:dyDescent="0.35">
      <c r="A211" s="8" t="s">
        <v>458</v>
      </c>
      <c r="B211" s="9" t="s">
        <v>459</v>
      </c>
      <c r="C211" s="8" t="s">
        <v>1134</v>
      </c>
      <c r="D211" s="8" t="s">
        <v>1149</v>
      </c>
      <c r="E211" s="8" t="s">
        <v>905</v>
      </c>
      <c r="F211" s="25" t="s">
        <v>998</v>
      </c>
      <c r="G211" s="8" t="s">
        <v>1114</v>
      </c>
      <c r="H211" s="8">
        <v>30</v>
      </c>
      <c r="I211" s="8" t="s">
        <v>1163</v>
      </c>
      <c r="J211" s="10">
        <v>58.87</v>
      </c>
      <c r="K211" s="22">
        <v>0.39400000000000002</v>
      </c>
      <c r="L211" s="11">
        <v>42.71</v>
      </c>
      <c r="M211" s="13">
        <v>0.77029999999999998</v>
      </c>
      <c r="N211" s="17">
        <f t="shared" si="59"/>
        <v>9.8104870000000002</v>
      </c>
      <c r="O211" s="13">
        <v>0.1075</v>
      </c>
      <c r="P211" s="14">
        <f t="shared" si="60"/>
        <v>8.7558596474999995</v>
      </c>
      <c r="Q211" s="14">
        <f t="shared" si="61"/>
        <v>9.394989824675001</v>
      </c>
      <c r="R211" s="28">
        <f t="shared" si="62"/>
        <v>0.61291017532500003</v>
      </c>
      <c r="S211" s="28">
        <f t="shared" si="63"/>
        <v>2.0436088858668522</v>
      </c>
      <c r="T211" s="28">
        <f t="shared" si="64"/>
        <v>4.7913558246749988</v>
      </c>
      <c r="U211" s="28">
        <f t="shared" si="56"/>
        <v>4.7913558246749988</v>
      </c>
      <c r="V211" s="28">
        <f t="shared" si="57"/>
        <v>4.6036340000000022</v>
      </c>
      <c r="W211" s="28">
        <f t="shared" si="58"/>
        <v>0.23018170000000013</v>
      </c>
      <c r="X211" s="28">
        <f t="shared" si="65"/>
        <v>5.0215375246749989</v>
      </c>
      <c r="Y211" s="14">
        <v>13.775922502650003</v>
      </c>
      <c r="Z211" s="13">
        <v>0.14249999999999999</v>
      </c>
      <c r="AA211" s="14">
        <v>11.473890746530614</v>
      </c>
      <c r="AB211" s="13">
        <f t="shared" si="67"/>
        <v>0.73140000000000005</v>
      </c>
      <c r="AC211" s="14">
        <v>16.065215746530615</v>
      </c>
      <c r="AD211" s="26">
        <f t="shared" si="52"/>
        <v>0.14249999999999999</v>
      </c>
      <c r="AE211" s="4">
        <f t="shared" si="53"/>
        <v>16.07</v>
      </c>
      <c r="AF211" s="27">
        <f t="shared" si="66"/>
        <v>0.14249999999999999</v>
      </c>
      <c r="AG211" s="4">
        <f t="shared" si="54"/>
        <v>13.78</v>
      </c>
      <c r="AH211" s="27">
        <f t="shared" si="55"/>
        <v>0.73140000000000005</v>
      </c>
    </row>
    <row r="212" spans="1:34" x14ac:dyDescent="0.35">
      <c r="A212" s="8" t="s">
        <v>460</v>
      </c>
      <c r="B212" s="9" t="s">
        <v>461</v>
      </c>
      <c r="C212" s="8" t="s">
        <v>1136</v>
      </c>
      <c r="D212" s="8" t="s">
        <v>1171</v>
      </c>
      <c r="E212" s="8" t="s">
        <v>905</v>
      </c>
      <c r="F212" s="25" t="s">
        <v>999</v>
      </c>
      <c r="G212" s="8" t="s">
        <v>3</v>
      </c>
      <c r="H212" s="8">
        <v>24</v>
      </c>
      <c r="I212" s="8" t="s">
        <v>1163</v>
      </c>
      <c r="J212" s="10">
        <v>77.56</v>
      </c>
      <c r="K212" s="22">
        <v>0.39400000000000002</v>
      </c>
      <c r="L212" s="11">
        <v>56.27</v>
      </c>
      <c r="M212" s="13">
        <v>0.67869999999999997</v>
      </c>
      <c r="N212" s="17">
        <f t="shared" si="59"/>
        <v>18.079551000000002</v>
      </c>
      <c r="O212" s="13">
        <v>0.1075</v>
      </c>
      <c r="P212" s="14">
        <f t="shared" si="60"/>
        <v>16.135999267500001</v>
      </c>
      <c r="Q212" s="14">
        <f t="shared" si="61"/>
        <v>12.055680051275001</v>
      </c>
      <c r="R212" s="28">
        <f t="shared" si="62"/>
        <v>1.1295199487250001</v>
      </c>
      <c r="S212" s="28">
        <f t="shared" si="63"/>
        <v>3.7661260930352327</v>
      </c>
      <c r="T212" s="28">
        <f t="shared" si="64"/>
        <v>5.9904880512750003</v>
      </c>
      <c r="U212" s="28">
        <f t="shared" si="56"/>
        <v>5.9904880512750003</v>
      </c>
      <c r="V212" s="28">
        <f t="shared" si="57"/>
        <v>6.0651920000000006</v>
      </c>
      <c r="W212" s="28">
        <f t="shared" si="58"/>
        <v>0.30325960000000007</v>
      </c>
      <c r="X212" s="28">
        <f t="shared" si="65"/>
        <v>6.2937476512749999</v>
      </c>
      <c r="Y212" s="14">
        <v>22.427804056350006</v>
      </c>
      <c r="Z212" s="13">
        <v>0.14249999999999999</v>
      </c>
      <c r="AA212" s="14">
        <v>20.105848535102044</v>
      </c>
      <c r="AB212" s="13">
        <f t="shared" si="67"/>
        <v>0.64270000000000005</v>
      </c>
      <c r="AC212" s="14">
        <v>26.154873535102045</v>
      </c>
      <c r="AD212" s="26">
        <f t="shared" si="52"/>
        <v>0.1424999999999999</v>
      </c>
      <c r="AE212" s="4">
        <f t="shared" si="53"/>
        <v>26.15</v>
      </c>
      <c r="AF212" s="27">
        <f t="shared" si="66"/>
        <v>0.14249999999999999</v>
      </c>
      <c r="AG212" s="4">
        <f t="shared" si="54"/>
        <v>22.43</v>
      </c>
      <c r="AH212" s="27">
        <f t="shared" si="55"/>
        <v>0.64270000000000005</v>
      </c>
    </row>
    <row r="213" spans="1:34" x14ac:dyDescent="0.35">
      <c r="A213" s="8" t="s">
        <v>462</v>
      </c>
      <c r="B213" s="9" t="s">
        <v>463</v>
      </c>
      <c r="C213" s="8" t="s">
        <v>1136</v>
      </c>
      <c r="D213" s="8" t="s">
        <v>1171</v>
      </c>
      <c r="E213" s="8" t="s">
        <v>905</v>
      </c>
      <c r="F213" s="25" t="s">
        <v>999</v>
      </c>
      <c r="G213" s="8" t="s">
        <v>3</v>
      </c>
      <c r="H213" s="8">
        <v>28</v>
      </c>
      <c r="I213" s="8" t="s">
        <v>1163</v>
      </c>
      <c r="J213" s="10">
        <v>77.53</v>
      </c>
      <c r="K213" s="22">
        <v>0.39400000000000002</v>
      </c>
      <c r="L213" s="11">
        <v>56.25</v>
      </c>
      <c r="M213" s="13">
        <v>0.74409999999999998</v>
      </c>
      <c r="N213" s="17">
        <f t="shared" si="59"/>
        <v>14.394375</v>
      </c>
      <c r="O213" s="13">
        <v>0.1075</v>
      </c>
      <c r="P213" s="14">
        <f t="shared" si="60"/>
        <v>12.846979687499999</v>
      </c>
      <c r="Q213" s="14">
        <f t="shared" si="61"/>
        <v>12.280811421875001</v>
      </c>
      <c r="R213" s="28">
        <f t="shared" si="62"/>
        <v>0.89928857812500007</v>
      </c>
      <c r="S213" s="28">
        <f t="shared" si="63"/>
        <v>2.9984722120828122</v>
      </c>
      <c r="T213" s="28">
        <f t="shared" si="64"/>
        <v>6.2179654218750002</v>
      </c>
      <c r="U213" s="28">
        <f t="shared" si="56"/>
        <v>6.2179654218750002</v>
      </c>
      <c r="V213" s="28">
        <f t="shared" si="57"/>
        <v>6.0628460000000004</v>
      </c>
      <c r="W213" s="28">
        <f t="shared" si="58"/>
        <v>0.30314230000000003</v>
      </c>
      <c r="X213" s="28">
        <f t="shared" si="65"/>
        <v>6.5211077218750004</v>
      </c>
      <c r="Y213" s="14">
        <v>19.366145237500003</v>
      </c>
      <c r="Z213" s="13">
        <v>0.14249999999999999</v>
      </c>
      <c r="AA213" s="14">
        <v>16.537550932944608</v>
      </c>
      <c r="AB213" s="13">
        <f t="shared" si="67"/>
        <v>0.70599999999999996</v>
      </c>
      <c r="AC213" s="14">
        <v>22.584425932944608</v>
      </c>
      <c r="AD213" s="26">
        <f t="shared" si="52"/>
        <v>0.14249999999999993</v>
      </c>
      <c r="AE213" s="4">
        <f t="shared" si="53"/>
        <v>22.58</v>
      </c>
      <c r="AF213" s="27">
        <f t="shared" si="66"/>
        <v>0.14249999999999999</v>
      </c>
      <c r="AG213" s="4">
        <f t="shared" si="54"/>
        <v>19.37</v>
      </c>
      <c r="AH213" s="27">
        <f t="shared" si="55"/>
        <v>0.70599999999999996</v>
      </c>
    </row>
    <row r="214" spans="1:34" x14ac:dyDescent="0.35">
      <c r="A214" s="8" t="s">
        <v>464</v>
      </c>
      <c r="B214" s="9" t="s">
        <v>465</v>
      </c>
      <c r="C214" s="8" t="s">
        <v>1136</v>
      </c>
      <c r="D214" s="8" t="s">
        <v>1171</v>
      </c>
      <c r="E214" s="8" t="s">
        <v>905</v>
      </c>
      <c r="F214" s="25" t="s">
        <v>999</v>
      </c>
      <c r="G214" s="8" t="s">
        <v>3</v>
      </c>
      <c r="H214" s="8">
        <v>72</v>
      </c>
      <c r="I214" s="8" t="s">
        <v>1163</v>
      </c>
      <c r="J214" s="10">
        <v>195.1</v>
      </c>
      <c r="K214" s="22">
        <v>0.39400000000000002</v>
      </c>
      <c r="L214" s="11">
        <v>141.54</v>
      </c>
      <c r="M214" s="13">
        <v>0.70209999999999995</v>
      </c>
      <c r="N214" s="17">
        <f t="shared" si="59"/>
        <v>42.164766000000007</v>
      </c>
      <c r="O214" s="13">
        <v>0.1075</v>
      </c>
      <c r="P214" s="14">
        <f t="shared" si="60"/>
        <v>37.632053655000007</v>
      </c>
      <c r="Q214" s="14">
        <f t="shared" si="61"/>
        <v>30.532756244150001</v>
      </c>
      <c r="R214" s="28">
        <f t="shared" si="62"/>
        <v>2.6342437558500009</v>
      </c>
      <c r="S214" s="28">
        <f t="shared" si="63"/>
        <v>8.7832836910233461</v>
      </c>
      <c r="T214" s="28">
        <f t="shared" si="64"/>
        <v>15.275936244149996</v>
      </c>
      <c r="U214" s="28">
        <f t="shared" si="56"/>
        <v>15.275936244149996</v>
      </c>
      <c r="V214" s="28">
        <f t="shared" si="57"/>
        <v>15.256820000000005</v>
      </c>
      <c r="W214" s="28">
        <f t="shared" si="58"/>
        <v>0.76284100000000032</v>
      </c>
      <c r="X214" s="28">
        <f t="shared" si="65"/>
        <v>16.038777244149998</v>
      </c>
      <c r="Y214" s="14">
        <v>53.665943876799993</v>
      </c>
      <c r="Z214" s="13">
        <v>0.14249999999999999</v>
      </c>
      <c r="AA214" s="14">
        <v>47.368641109970838</v>
      </c>
      <c r="AB214" s="13">
        <f t="shared" si="67"/>
        <v>0.6653</v>
      </c>
      <c r="AC214" s="14">
        <v>62.584191109970838</v>
      </c>
      <c r="AD214" s="26">
        <f t="shared" si="52"/>
        <v>0.14250000000000002</v>
      </c>
      <c r="AE214" s="4">
        <f t="shared" si="53"/>
        <v>62.58</v>
      </c>
      <c r="AF214" s="27">
        <f t="shared" si="66"/>
        <v>0.14249999999999999</v>
      </c>
      <c r="AG214" s="4">
        <f t="shared" si="54"/>
        <v>53.67</v>
      </c>
      <c r="AH214" s="27">
        <f t="shared" si="55"/>
        <v>0.6653</v>
      </c>
    </row>
    <row r="215" spans="1:34" x14ac:dyDescent="0.35">
      <c r="A215" s="8" t="s">
        <v>466</v>
      </c>
      <c r="B215" s="9" t="s">
        <v>467</v>
      </c>
      <c r="C215" s="8" t="s">
        <v>1136</v>
      </c>
      <c r="D215" s="8" t="s">
        <v>1171</v>
      </c>
      <c r="E215" s="8" t="s">
        <v>905</v>
      </c>
      <c r="F215" s="25" t="s">
        <v>999</v>
      </c>
      <c r="G215" s="8" t="s">
        <v>24</v>
      </c>
      <c r="H215" s="8">
        <v>21</v>
      </c>
      <c r="I215" s="8" t="s">
        <v>1163</v>
      </c>
      <c r="J215" s="10">
        <v>71.13</v>
      </c>
      <c r="K215" s="22">
        <v>0.39400000000000002</v>
      </c>
      <c r="L215" s="11">
        <v>51.6</v>
      </c>
      <c r="M215" s="13">
        <v>0.69159999999999999</v>
      </c>
      <c r="N215" s="17">
        <f t="shared" si="59"/>
        <v>15.913440000000001</v>
      </c>
      <c r="O215" s="13">
        <v>0.1075</v>
      </c>
      <c r="P215" s="14">
        <f t="shared" si="60"/>
        <v>14.202745200000001</v>
      </c>
      <c r="Q215" s="14">
        <f t="shared" si="61"/>
        <v>11.097907836000001</v>
      </c>
      <c r="R215" s="28">
        <f t="shared" si="62"/>
        <v>0.9941921640000001</v>
      </c>
      <c r="S215" s="28">
        <f t="shared" si="63"/>
        <v>3.3149065269348004</v>
      </c>
      <c r="T215" s="28">
        <f t="shared" si="64"/>
        <v>5.5355418359999993</v>
      </c>
      <c r="U215" s="28">
        <f t="shared" si="56"/>
        <v>5.5355418359999993</v>
      </c>
      <c r="V215" s="28">
        <f t="shared" si="57"/>
        <v>5.5623660000000017</v>
      </c>
      <c r="W215" s="28">
        <f t="shared" si="58"/>
        <v>0.2781183000000001</v>
      </c>
      <c r="X215" s="28">
        <f t="shared" si="65"/>
        <v>5.8136601359999993</v>
      </c>
      <c r="Y215" s="14">
        <v>20.014623717000003</v>
      </c>
      <c r="Z215" s="13">
        <v>0.14249999999999999</v>
      </c>
      <c r="AA215" s="14">
        <v>17.79366905772595</v>
      </c>
      <c r="AB215" s="13">
        <f t="shared" si="67"/>
        <v>0.6552</v>
      </c>
      <c r="AC215" s="14">
        <v>23.34066905772595</v>
      </c>
      <c r="AD215" s="26">
        <f t="shared" si="52"/>
        <v>0.14249999999999999</v>
      </c>
      <c r="AE215" s="4">
        <f t="shared" si="53"/>
        <v>23.34</v>
      </c>
      <c r="AF215" s="27">
        <f t="shared" si="66"/>
        <v>0.14249999999999999</v>
      </c>
      <c r="AG215" s="4">
        <f t="shared" si="54"/>
        <v>20.010000000000002</v>
      </c>
      <c r="AH215" s="27">
        <f t="shared" si="55"/>
        <v>0.6552</v>
      </c>
    </row>
    <row r="216" spans="1:34" x14ac:dyDescent="0.35">
      <c r="A216" s="8" t="s">
        <v>468</v>
      </c>
      <c r="B216" s="9" t="s">
        <v>469</v>
      </c>
      <c r="C216" s="8" t="s">
        <v>1136</v>
      </c>
      <c r="D216" s="8" t="s">
        <v>1171</v>
      </c>
      <c r="E216" s="8" t="s">
        <v>905</v>
      </c>
      <c r="F216" s="25" t="s">
        <v>999</v>
      </c>
      <c r="G216" s="8" t="s">
        <v>24</v>
      </c>
      <c r="H216" s="8">
        <v>63</v>
      </c>
      <c r="I216" s="8" t="s">
        <v>1163</v>
      </c>
      <c r="J216" s="10">
        <v>168.47</v>
      </c>
      <c r="K216" s="22">
        <v>0.39400000000000002</v>
      </c>
      <c r="L216" s="11">
        <v>122.22</v>
      </c>
      <c r="M216" s="13">
        <v>0.62439999999999996</v>
      </c>
      <c r="N216" s="17">
        <f t="shared" si="59"/>
        <v>45.905832000000004</v>
      </c>
      <c r="O216" s="13">
        <v>0.1075</v>
      </c>
      <c r="P216" s="14">
        <f t="shared" si="60"/>
        <v>40.970955060000001</v>
      </c>
      <c r="Q216" s="14">
        <f t="shared" si="61"/>
        <v>25.771933145799998</v>
      </c>
      <c r="R216" s="28">
        <f t="shared" si="62"/>
        <v>2.8679668542000005</v>
      </c>
      <c r="S216" s="28">
        <f t="shared" si="63"/>
        <v>9.5625799400489395</v>
      </c>
      <c r="T216" s="28">
        <f t="shared" si="64"/>
        <v>12.597579145799997</v>
      </c>
      <c r="U216" s="28">
        <f t="shared" si="56"/>
        <v>12.597579145799997</v>
      </c>
      <c r="V216" s="28">
        <f t="shared" si="57"/>
        <v>13.174354000000001</v>
      </c>
      <c r="W216" s="28">
        <f t="shared" si="58"/>
        <v>0.65871770000000007</v>
      </c>
      <c r="X216" s="28">
        <f t="shared" si="65"/>
        <v>13.256296845799998</v>
      </c>
      <c r="Y216" s="14">
        <v>54.223031954749999</v>
      </c>
      <c r="Z216" s="13">
        <v>0.14249999999999999</v>
      </c>
      <c r="AA216" s="14">
        <v>50.09520650699708</v>
      </c>
      <c r="AB216" s="13">
        <f t="shared" si="67"/>
        <v>0.59009999999999996</v>
      </c>
      <c r="AC216" s="14">
        <v>63.233856506997078</v>
      </c>
      <c r="AD216" s="26">
        <f t="shared" si="52"/>
        <v>0.14249999999999993</v>
      </c>
      <c r="AE216" s="4">
        <f t="shared" si="53"/>
        <v>63.23</v>
      </c>
      <c r="AF216" s="27">
        <f t="shared" si="66"/>
        <v>0.14249999999999999</v>
      </c>
      <c r="AG216" s="4">
        <f t="shared" si="54"/>
        <v>54.22</v>
      </c>
      <c r="AH216" s="27">
        <f t="shared" si="55"/>
        <v>0.59009999999999996</v>
      </c>
    </row>
    <row r="217" spans="1:34" x14ac:dyDescent="0.35">
      <c r="A217" s="8" t="s">
        <v>470</v>
      </c>
      <c r="B217" s="9" t="s">
        <v>471</v>
      </c>
      <c r="C217" s="8" t="s">
        <v>1134</v>
      </c>
      <c r="D217" s="8" t="s">
        <v>1149</v>
      </c>
      <c r="E217" s="8" t="s">
        <v>905</v>
      </c>
      <c r="F217" s="25" t="s">
        <v>1000</v>
      </c>
      <c r="G217" s="8" t="s">
        <v>39</v>
      </c>
      <c r="H217" s="8">
        <v>30</v>
      </c>
      <c r="I217" s="8" t="s">
        <v>1163</v>
      </c>
      <c r="J217" s="10">
        <v>89.51</v>
      </c>
      <c r="K217" s="22">
        <v>0.39400000000000002</v>
      </c>
      <c r="L217" s="11">
        <v>64.94</v>
      </c>
      <c r="M217" s="13">
        <v>0.44009999999999999</v>
      </c>
      <c r="N217" s="17">
        <f t="shared" si="59"/>
        <v>36.359906000000002</v>
      </c>
      <c r="O217" s="13">
        <v>0.1075</v>
      </c>
      <c r="P217" s="14">
        <f t="shared" si="60"/>
        <v>32.451216105</v>
      </c>
      <c r="Q217" s="14">
        <f t="shared" si="61"/>
        <v>12.94511487265</v>
      </c>
      <c r="R217" s="28">
        <f t="shared" si="62"/>
        <v>2.2715851273500003</v>
      </c>
      <c r="S217" s="28">
        <f t="shared" si="63"/>
        <v>7.5740813876908941</v>
      </c>
      <c r="T217" s="28">
        <f t="shared" si="64"/>
        <v>5.9454328726499988</v>
      </c>
      <c r="U217" s="28">
        <f t="shared" si="56"/>
        <v>7.5740813876908941</v>
      </c>
      <c r="V217" s="28">
        <f t="shared" si="57"/>
        <v>5.3710334849591064</v>
      </c>
      <c r="W217" s="28">
        <f t="shared" si="58"/>
        <v>0.26855167424795534</v>
      </c>
      <c r="X217" s="28">
        <f t="shared" si="65"/>
        <v>7.8426330619388498</v>
      </c>
      <c r="Y217" s="14">
        <v>40.292602486471054</v>
      </c>
      <c r="Z217" s="13">
        <v>0.14249999999999999</v>
      </c>
      <c r="AA217" s="14">
        <v>40.007407710170327</v>
      </c>
      <c r="AB217" s="13">
        <f t="shared" si="67"/>
        <v>0.38390000000000002</v>
      </c>
      <c r="AC217" s="14">
        <v>46.988457710170323</v>
      </c>
      <c r="AD217" s="26">
        <f t="shared" si="52"/>
        <v>0.14249999999999996</v>
      </c>
      <c r="AE217" s="4">
        <f t="shared" si="53"/>
        <v>46.99</v>
      </c>
      <c r="AF217" s="27">
        <f t="shared" si="66"/>
        <v>0.14249999999999999</v>
      </c>
      <c r="AG217" s="4">
        <f t="shared" si="54"/>
        <v>40.29</v>
      </c>
      <c r="AH217" s="27">
        <f t="shared" si="55"/>
        <v>0.38390000000000002</v>
      </c>
    </row>
    <row r="218" spans="1:34" x14ac:dyDescent="0.35">
      <c r="A218" s="8" t="s">
        <v>472</v>
      </c>
      <c r="B218" s="9" t="s">
        <v>473</v>
      </c>
      <c r="C218" s="8" t="s">
        <v>1134</v>
      </c>
      <c r="D218" s="8" t="s">
        <v>1149</v>
      </c>
      <c r="E218" s="8" t="s">
        <v>905</v>
      </c>
      <c r="F218" s="25" t="s">
        <v>1000</v>
      </c>
      <c r="G218" s="8" t="s">
        <v>39</v>
      </c>
      <c r="H218" s="8">
        <v>60</v>
      </c>
      <c r="I218" s="8" t="s">
        <v>1163</v>
      </c>
      <c r="J218" s="10">
        <v>157.41</v>
      </c>
      <c r="K218" s="22">
        <v>0.39400000000000002</v>
      </c>
      <c r="L218" s="11">
        <v>114.2</v>
      </c>
      <c r="M218" s="13">
        <v>0.41909999999999997</v>
      </c>
      <c r="N218" s="17">
        <f t="shared" si="59"/>
        <v>66.33878</v>
      </c>
      <c r="O218" s="13">
        <v>0.1075</v>
      </c>
      <c r="P218" s="14">
        <f t="shared" si="60"/>
        <v>59.207361149999997</v>
      </c>
      <c r="Q218" s="14">
        <f t="shared" si="61"/>
        <v>22.6151847195</v>
      </c>
      <c r="R218" s="28">
        <f t="shared" si="62"/>
        <v>4.1445152805000003</v>
      </c>
      <c r="S218" s="28">
        <f t="shared" si="63"/>
        <v>13.818938885048849</v>
      </c>
      <c r="T218" s="28">
        <f t="shared" si="64"/>
        <v>10.305722719499999</v>
      </c>
      <c r="U218" s="28">
        <f t="shared" si="56"/>
        <v>13.818938885048849</v>
      </c>
      <c r="V218" s="28">
        <f t="shared" si="57"/>
        <v>8.7962458344511507</v>
      </c>
      <c r="W218" s="28">
        <f t="shared" si="58"/>
        <v>0.43981229172255754</v>
      </c>
      <c r="X218" s="28">
        <f t="shared" si="65"/>
        <v>14.258751176771407</v>
      </c>
      <c r="Y218" s="14">
        <v>73.463919981384578</v>
      </c>
      <c r="Z218" s="13">
        <v>0.14249999999999999</v>
      </c>
      <c r="AA218" s="14">
        <v>73.39570989082749</v>
      </c>
      <c r="AB218" s="13">
        <f t="shared" si="67"/>
        <v>0.35730000000000001</v>
      </c>
      <c r="AC218" s="14">
        <v>85.672209890827489</v>
      </c>
      <c r="AD218" s="26">
        <f t="shared" si="52"/>
        <v>0.14249999999999993</v>
      </c>
      <c r="AE218" s="4">
        <f t="shared" si="53"/>
        <v>85.67</v>
      </c>
      <c r="AF218" s="27">
        <f t="shared" si="66"/>
        <v>0.14249999999999999</v>
      </c>
      <c r="AG218" s="4">
        <f t="shared" si="54"/>
        <v>73.459999999999994</v>
      </c>
      <c r="AH218" s="27">
        <f t="shared" si="55"/>
        <v>0.35730000000000001</v>
      </c>
    </row>
    <row r="219" spans="1:34" x14ac:dyDescent="0.35">
      <c r="A219" s="8" t="s">
        <v>474</v>
      </c>
      <c r="B219" s="9" t="s">
        <v>475</v>
      </c>
      <c r="C219" s="8" t="s">
        <v>1134</v>
      </c>
      <c r="D219" s="8" t="s">
        <v>1149</v>
      </c>
      <c r="E219" s="8" t="s">
        <v>905</v>
      </c>
      <c r="F219" s="25" t="s">
        <v>1000</v>
      </c>
      <c r="G219" s="8" t="s">
        <v>1119</v>
      </c>
      <c r="H219" s="8">
        <v>30</v>
      </c>
      <c r="I219" s="8" t="s">
        <v>1163</v>
      </c>
      <c r="J219" s="10">
        <v>168.22</v>
      </c>
      <c r="K219" s="22">
        <v>0.39400000000000002</v>
      </c>
      <c r="L219" s="11">
        <v>122.04</v>
      </c>
      <c r="M219" s="13">
        <v>0.48049999999999998</v>
      </c>
      <c r="N219" s="17">
        <f t="shared" si="59"/>
        <v>63.399780000000014</v>
      </c>
      <c r="O219" s="13">
        <v>0.1075</v>
      </c>
      <c r="P219" s="14">
        <f t="shared" si="60"/>
        <v>56.58430365000001</v>
      </c>
      <c r="Q219" s="14">
        <f t="shared" si="61"/>
        <v>24.636498744499999</v>
      </c>
      <c r="R219" s="28">
        <f t="shared" si="62"/>
        <v>3.9609012555000009</v>
      </c>
      <c r="S219" s="28">
        <f t="shared" si="63"/>
        <v>13.206719887606354</v>
      </c>
      <c r="T219" s="28">
        <f t="shared" si="64"/>
        <v>11.481694744499999</v>
      </c>
      <c r="U219" s="28">
        <f t="shared" si="56"/>
        <v>13.206719887606354</v>
      </c>
      <c r="V219" s="28">
        <f t="shared" si="57"/>
        <v>11.429778856893645</v>
      </c>
      <c r="W219" s="28">
        <f t="shared" si="58"/>
        <v>0.57148894284468221</v>
      </c>
      <c r="X219" s="28">
        <f t="shared" si="65"/>
        <v>13.778208830451037</v>
      </c>
      <c r="Y219" s="14">
        <v>70.360524124599991</v>
      </c>
      <c r="Z219" s="13">
        <v>0.14249999999999999</v>
      </c>
      <c r="AA219" s="14">
        <v>68.933789358134106</v>
      </c>
      <c r="AB219" s="13">
        <f t="shared" si="67"/>
        <v>0.43519999999999998</v>
      </c>
      <c r="AC219" s="14">
        <v>82.053089358134102</v>
      </c>
      <c r="AD219" s="26">
        <f t="shared" si="52"/>
        <v>0.14250000000000002</v>
      </c>
      <c r="AE219" s="4">
        <f t="shared" si="53"/>
        <v>82.05</v>
      </c>
      <c r="AF219" s="27">
        <f t="shared" si="66"/>
        <v>0.14249999999999999</v>
      </c>
      <c r="AG219" s="4">
        <f t="shared" si="54"/>
        <v>70.36</v>
      </c>
      <c r="AH219" s="27">
        <f t="shared" si="55"/>
        <v>0.43519999999999998</v>
      </c>
    </row>
    <row r="220" spans="1:34" x14ac:dyDescent="0.35">
      <c r="A220" s="8" t="s">
        <v>476</v>
      </c>
      <c r="B220" s="9" t="s">
        <v>477</v>
      </c>
      <c r="C220" s="8" t="s">
        <v>1134</v>
      </c>
      <c r="D220" s="8" t="s">
        <v>1149</v>
      </c>
      <c r="E220" s="8" t="s">
        <v>905</v>
      </c>
      <c r="F220" s="25" t="s">
        <v>1000</v>
      </c>
      <c r="G220" s="8" t="s">
        <v>1119</v>
      </c>
      <c r="H220" s="8">
        <v>60</v>
      </c>
      <c r="I220" s="8" t="s">
        <v>1163</v>
      </c>
      <c r="J220" s="10">
        <v>282.17</v>
      </c>
      <c r="K220" s="22">
        <v>0.39400000000000002</v>
      </c>
      <c r="L220" s="11">
        <v>204.71</v>
      </c>
      <c r="M220" s="13">
        <v>0.38009999999999999</v>
      </c>
      <c r="N220" s="17">
        <f t="shared" si="59"/>
        <v>126.89972900000001</v>
      </c>
      <c r="O220" s="13">
        <v>0.1075</v>
      </c>
      <c r="P220" s="14">
        <f t="shared" si="60"/>
        <v>113.2580081325</v>
      </c>
      <c r="Q220" s="14">
        <f t="shared" si="61"/>
        <v>40.040839430725001</v>
      </c>
      <c r="R220" s="28">
        <f t="shared" si="62"/>
        <v>7.9280605692750008</v>
      </c>
      <c r="S220" s="28">
        <f t="shared" si="63"/>
        <v>26.434305840117364</v>
      </c>
      <c r="T220" s="28">
        <f t="shared" si="64"/>
        <v>17.975145430724996</v>
      </c>
      <c r="U220" s="28">
        <f t="shared" si="56"/>
        <v>26.434305840117364</v>
      </c>
      <c r="V220" s="28">
        <f t="shared" si="57"/>
        <v>13.606533590607636</v>
      </c>
      <c r="W220" s="28">
        <f t="shared" si="58"/>
        <v>0.68032667953038184</v>
      </c>
      <c r="X220" s="28">
        <f t="shared" si="65"/>
        <v>27.114632519647746</v>
      </c>
      <c r="Y220" s="14">
        <v>140.36871074825862</v>
      </c>
      <c r="Z220" s="13">
        <v>0.14249999999999999</v>
      </c>
      <c r="AA220" s="14">
        <v>141.6889645023424</v>
      </c>
      <c r="AB220" s="13">
        <f t="shared" si="67"/>
        <v>0.30790000000000001</v>
      </c>
      <c r="AC220" s="14">
        <v>163.6952895023424</v>
      </c>
      <c r="AD220" s="26">
        <f t="shared" si="52"/>
        <v>0.14249999999999993</v>
      </c>
      <c r="AE220" s="4">
        <f t="shared" si="53"/>
        <v>163.69999999999999</v>
      </c>
      <c r="AF220" s="27">
        <f t="shared" si="66"/>
        <v>0.14249999999999999</v>
      </c>
      <c r="AG220" s="4">
        <f t="shared" si="54"/>
        <v>140.37</v>
      </c>
      <c r="AH220" s="27">
        <f t="shared" si="55"/>
        <v>0.30790000000000001</v>
      </c>
    </row>
    <row r="221" spans="1:34" x14ac:dyDescent="0.35">
      <c r="A221" s="8" t="s">
        <v>478</v>
      </c>
      <c r="B221" s="9" t="s">
        <v>479</v>
      </c>
      <c r="C221" s="8" t="s">
        <v>1134</v>
      </c>
      <c r="D221" s="8" t="s">
        <v>1194</v>
      </c>
      <c r="E221" s="8" t="s">
        <v>905</v>
      </c>
      <c r="F221" s="25" t="s">
        <v>1001</v>
      </c>
      <c r="G221" s="8" t="s">
        <v>16</v>
      </c>
      <c r="H221" s="8">
        <v>30</v>
      </c>
      <c r="I221" s="8" t="s">
        <v>1163</v>
      </c>
      <c r="J221" s="10">
        <v>27.18</v>
      </c>
      <c r="K221" s="22">
        <v>0.39400000000000002</v>
      </c>
      <c r="L221" s="11">
        <v>19.72</v>
      </c>
      <c r="M221" s="13">
        <v>0.75829999999999997</v>
      </c>
      <c r="N221" s="17">
        <f t="shared" si="59"/>
        <v>4.766324</v>
      </c>
      <c r="O221" s="13">
        <v>0.1075</v>
      </c>
      <c r="P221" s="14">
        <f t="shared" si="60"/>
        <v>4.2539441699999996</v>
      </c>
      <c r="Q221" s="14">
        <f t="shared" si="61"/>
        <v>4.3228239081000002</v>
      </c>
      <c r="R221" s="28">
        <f t="shared" si="62"/>
        <v>0.29777609189999998</v>
      </c>
      <c r="S221" s="28">
        <f t="shared" si="63"/>
        <v>0.99286631533382985</v>
      </c>
      <c r="T221" s="28">
        <f t="shared" si="64"/>
        <v>2.1973479081000002</v>
      </c>
      <c r="U221" s="28">
        <f t="shared" si="56"/>
        <v>2.1973479081000002</v>
      </c>
      <c r="V221" s="28">
        <f t="shared" si="57"/>
        <v>2.1254759999999999</v>
      </c>
      <c r="W221" s="28">
        <f t="shared" si="58"/>
        <v>0.1062738</v>
      </c>
      <c r="X221" s="28">
        <f t="shared" si="65"/>
        <v>2.3036217081000001</v>
      </c>
      <c r="Y221" s="14">
        <v>6.5568849958000008</v>
      </c>
      <c r="Z221" s="13">
        <v>0.14249999999999999</v>
      </c>
      <c r="AA221" s="14">
        <v>5.5266131146355688</v>
      </c>
      <c r="AB221" s="13">
        <f t="shared" si="67"/>
        <v>0.71970000000000001</v>
      </c>
      <c r="AC221" s="14">
        <v>7.6465131146355692</v>
      </c>
      <c r="AD221" s="26">
        <f t="shared" si="52"/>
        <v>0.14249999999999996</v>
      </c>
      <c r="AE221" s="4">
        <f t="shared" si="53"/>
        <v>7.65</v>
      </c>
      <c r="AF221" s="27">
        <f t="shared" si="66"/>
        <v>0.14249999999999999</v>
      </c>
      <c r="AG221" s="4">
        <f t="shared" si="54"/>
        <v>6.56</v>
      </c>
      <c r="AH221" s="27">
        <f t="shared" si="55"/>
        <v>0.71970000000000001</v>
      </c>
    </row>
    <row r="222" spans="1:34" x14ac:dyDescent="0.35">
      <c r="A222" s="8" t="s">
        <v>480</v>
      </c>
      <c r="B222" s="9" t="s">
        <v>481</v>
      </c>
      <c r="C222" s="8" t="s">
        <v>1134</v>
      </c>
      <c r="D222" s="8" t="s">
        <v>1194</v>
      </c>
      <c r="E222" s="8" t="s">
        <v>905</v>
      </c>
      <c r="F222" s="25" t="s">
        <v>1001</v>
      </c>
      <c r="G222" s="8" t="s">
        <v>23</v>
      </c>
      <c r="H222" s="8">
        <v>30</v>
      </c>
      <c r="I222" s="8" t="s">
        <v>1163</v>
      </c>
      <c r="J222" s="10">
        <v>41.3</v>
      </c>
      <c r="K222" s="22">
        <v>0.39400000000000002</v>
      </c>
      <c r="L222" s="11">
        <v>29.96</v>
      </c>
      <c r="M222" s="13">
        <v>0.75129999999999997</v>
      </c>
      <c r="N222" s="17">
        <f t="shared" si="59"/>
        <v>7.4510520000000016</v>
      </c>
      <c r="O222" s="13">
        <v>0.1075</v>
      </c>
      <c r="P222" s="14">
        <f t="shared" si="60"/>
        <v>6.650063910000001</v>
      </c>
      <c r="Q222" s="14">
        <f t="shared" si="61"/>
        <v>6.5554955262999997</v>
      </c>
      <c r="R222" s="28">
        <f t="shared" si="62"/>
        <v>0.46550447370000009</v>
      </c>
      <c r="S222" s="28">
        <f t="shared" si="63"/>
        <v>1.5521182665300903</v>
      </c>
      <c r="T222" s="28">
        <f t="shared" si="64"/>
        <v>3.3258355262999992</v>
      </c>
      <c r="U222" s="28">
        <f t="shared" si="56"/>
        <v>3.3258355262999992</v>
      </c>
      <c r="V222" s="28">
        <f t="shared" si="57"/>
        <v>3.2296600000000004</v>
      </c>
      <c r="W222" s="28">
        <f t="shared" si="58"/>
        <v>0.16148300000000004</v>
      </c>
      <c r="X222" s="28">
        <f t="shared" si="65"/>
        <v>3.4873185262999993</v>
      </c>
      <c r="Y222" s="14">
        <v>10.136347992399999</v>
      </c>
      <c r="Z222" s="13">
        <v>0.14249999999999999</v>
      </c>
      <c r="AA222" s="14">
        <v>8.6001139853061197</v>
      </c>
      <c r="AB222" s="13">
        <f t="shared" si="67"/>
        <v>0.71289999999999998</v>
      </c>
      <c r="AC222" s="14">
        <v>11.82081398530612</v>
      </c>
      <c r="AD222" s="26">
        <f t="shared" si="52"/>
        <v>0.1424999999999999</v>
      </c>
      <c r="AE222" s="4">
        <f t="shared" si="53"/>
        <v>11.82</v>
      </c>
      <c r="AF222" s="27">
        <f t="shared" si="66"/>
        <v>0.14249999999999999</v>
      </c>
      <c r="AG222" s="4">
        <f t="shared" si="54"/>
        <v>10.14</v>
      </c>
      <c r="AH222" s="27">
        <f t="shared" si="55"/>
        <v>0.71289999999999998</v>
      </c>
    </row>
    <row r="223" spans="1:34" x14ac:dyDescent="0.35">
      <c r="A223" s="8" t="s">
        <v>482</v>
      </c>
      <c r="B223" s="9" t="s">
        <v>483</v>
      </c>
      <c r="C223" s="8" t="s">
        <v>1134</v>
      </c>
      <c r="D223" s="8" t="s">
        <v>1194</v>
      </c>
      <c r="E223" s="8" t="s">
        <v>905</v>
      </c>
      <c r="F223" s="25" t="s">
        <v>1001</v>
      </c>
      <c r="G223" s="8" t="s">
        <v>25</v>
      </c>
      <c r="H223" s="8">
        <v>30</v>
      </c>
      <c r="I223" s="8" t="s">
        <v>1163</v>
      </c>
      <c r="J223" s="10">
        <v>28.44</v>
      </c>
      <c r="K223" s="22">
        <v>0.39400000000000002</v>
      </c>
      <c r="L223" s="11">
        <v>20.63</v>
      </c>
      <c r="M223" s="13">
        <v>0.7349</v>
      </c>
      <c r="N223" s="17">
        <f t="shared" si="59"/>
        <v>5.4690129999999995</v>
      </c>
      <c r="O223" s="13">
        <v>0.1075</v>
      </c>
      <c r="P223" s="14">
        <f t="shared" si="60"/>
        <v>4.8810941024999996</v>
      </c>
      <c r="Q223" s="14">
        <f t="shared" si="61"/>
        <v>4.4931234128250006</v>
      </c>
      <c r="R223" s="28">
        <f t="shared" si="62"/>
        <v>0.34167658717499999</v>
      </c>
      <c r="S223" s="28">
        <f t="shared" si="63"/>
        <v>1.1392424824293974</v>
      </c>
      <c r="T223" s="28">
        <f t="shared" si="64"/>
        <v>2.2691154128250002</v>
      </c>
      <c r="U223" s="28">
        <f t="shared" si="56"/>
        <v>2.2691154128250002</v>
      </c>
      <c r="V223" s="28">
        <f t="shared" si="57"/>
        <v>2.2240080000000004</v>
      </c>
      <c r="W223" s="28">
        <f t="shared" si="58"/>
        <v>0.11120040000000003</v>
      </c>
      <c r="X223" s="28">
        <f t="shared" si="65"/>
        <v>2.3803158128250002</v>
      </c>
      <c r="Y223" s="14">
        <v>7.2606976130000005</v>
      </c>
      <c r="Z223" s="13">
        <v>0.14249999999999999</v>
      </c>
      <c r="AA223" s="14">
        <v>6.2495608460641403</v>
      </c>
      <c r="AB223" s="13">
        <f t="shared" si="67"/>
        <v>0.69710000000000005</v>
      </c>
      <c r="AC223" s="14">
        <v>8.46728584606414</v>
      </c>
      <c r="AD223" s="26">
        <f t="shared" si="52"/>
        <v>0.14249999999999996</v>
      </c>
      <c r="AE223" s="4">
        <f t="shared" si="53"/>
        <v>8.4700000000000006</v>
      </c>
      <c r="AF223" s="27">
        <f t="shared" si="66"/>
        <v>0.14249999999999999</v>
      </c>
      <c r="AG223" s="4">
        <f t="shared" si="54"/>
        <v>7.26</v>
      </c>
      <c r="AH223" s="27">
        <f t="shared" si="55"/>
        <v>0.69710000000000005</v>
      </c>
    </row>
    <row r="224" spans="1:34" x14ac:dyDescent="0.35">
      <c r="A224" s="8" t="s">
        <v>484</v>
      </c>
      <c r="B224" s="9" t="s">
        <v>485</v>
      </c>
      <c r="C224" s="8" t="s">
        <v>1134</v>
      </c>
      <c r="D224" s="8" t="s">
        <v>1194</v>
      </c>
      <c r="E224" s="8" t="s">
        <v>905</v>
      </c>
      <c r="F224" s="25" t="s">
        <v>1002</v>
      </c>
      <c r="G224" s="8" t="s">
        <v>3</v>
      </c>
      <c r="H224" s="8">
        <v>30</v>
      </c>
      <c r="I224" s="8" t="s">
        <v>1163</v>
      </c>
      <c r="J224" s="10">
        <v>101.82</v>
      </c>
      <c r="K224" s="22">
        <v>0.39400000000000002</v>
      </c>
      <c r="L224" s="11">
        <v>73.87</v>
      </c>
      <c r="M224" s="13">
        <v>0.75229999999999997</v>
      </c>
      <c r="N224" s="17">
        <f t="shared" si="59"/>
        <v>18.297599000000002</v>
      </c>
      <c r="O224" s="13">
        <v>0.1075</v>
      </c>
      <c r="P224" s="14">
        <f t="shared" si="60"/>
        <v>16.330607107500001</v>
      </c>
      <c r="Q224" s="14">
        <f t="shared" si="61"/>
        <v>16.166257502474998</v>
      </c>
      <c r="R224" s="28">
        <f t="shared" si="62"/>
        <v>1.1431424975250002</v>
      </c>
      <c r="S224" s="28">
        <f t="shared" si="63"/>
        <v>3.8115473682833931</v>
      </c>
      <c r="T224" s="28">
        <f t="shared" si="64"/>
        <v>8.2039335024749978</v>
      </c>
      <c r="U224" s="28">
        <f t="shared" si="56"/>
        <v>8.2039335024749978</v>
      </c>
      <c r="V224" s="28">
        <f t="shared" si="57"/>
        <v>7.9623240000000006</v>
      </c>
      <c r="W224" s="28">
        <f t="shared" si="58"/>
        <v>0.39811620000000003</v>
      </c>
      <c r="X224" s="28">
        <f t="shared" si="65"/>
        <v>8.6020497024749982</v>
      </c>
      <c r="Y224" s="14">
        <v>24.930106263549998</v>
      </c>
      <c r="Z224" s="13">
        <v>0.14249999999999999</v>
      </c>
      <c r="AA224" s="14">
        <v>21.131985219883379</v>
      </c>
      <c r="AB224" s="13">
        <f t="shared" si="67"/>
        <v>0.71389999999999998</v>
      </c>
      <c r="AC224" s="14">
        <v>29.073010219883379</v>
      </c>
      <c r="AD224" s="26">
        <f t="shared" si="52"/>
        <v>0.14249999999999999</v>
      </c>
      <c r="AE224" s="4">
        <f t="shared" si="53"/>
        <v>29.07</v>
      </c>
      <c r="AF224" s="27">
        <f t="shared" si="66"/>
        <v>0.14249999999999999</v>
      </c>
      <c r="AG224" s="4">
        <f t="shared" si="54"/>
        <v>24.93</v>
      </c>
      <c r="AH224" s="27">
        <f t="shared" si="55"/>
        <v>0.71389999999999998</v>
      </c>
    </row>
    <row r="225" spans="1:34" x14ac:dyDescent="0.35">
      <c r="A225" s="8" t="s">
        <v>486</v>
      </c>
      <c r="B225" s="9" t="s">
        <v>487</v>
      </c>
      <c r="C225" s="8" t="s">
        <v>1134</v>
      </c>
      <c r="D225" s="8" t="s">
        <v>1147</v>
      </c>
      <c r="E225" s="8" t="s">
        <v>905</v>
      </c>
      <c r="F225" s="25" t="s">
        <v>1003</v>
      </c>
      <c r="G225" s="8" t="s">
        <v>16</v>
      </c>
      <c r="H225" s="8">
        <v>30</v>
      </c>
      <c r="I225" s="8" t="s">
        <v>1163</v>
      </c>
      <c r="J225" s="10">
        <v>89.82</v>
      </c>
      <c r="K225" s="22">
        <v>0.39400000000000002</v>
      </c>
      <c r="L225" s="11">
        <v>65.16</v>
      </c>
      <c r="M225" s="13">
        <v>0.79179999999999995</v>
      </c>
      <c r="N225" s="17">
        <f t="shared" si="59"/>
        <v>13.566312000000003</v>
      </c>
      <c r="O225" s="13">
        <v>0.1075</v>
      </c>
      <c r="P225" s="14">
        <f t="shared" si="60"/>
        <v>12.107933460000002</v>
      </c>
      <c r="Q225" s="14">
        <f t="shared" si="61"/>
        <v>14.421844657799999</v>
      </c>
      <c r="R225" s="28">
        <f t="shared" si="62"/>
        <v>0.84755534220000017</v>
      </c>
      <c r="S225" s="28">
        <f t="shared" si="63"/>
        <v>2.8259795616305405</v>
      </c>
      <c r="T225" s="28">
        <f t="shared" si="64"/>
        <v>7.3979206578000003</v>
      </c>
      <c r="U225" s="28">
        <f t="shared" si="56"/>
        <v>7.3979206578000003</v>
      </c>
      <c r="V225" s="28">
        <f t="shared" si="57"/>
        <v>7.0239239999999992</v>
      </c>
      <c r="W225" s="28">
        <f t="shared" si="58"/>
        <v>0.35119619999999996</v>
      </c>
      <c r="X225" s="28">
        <f t="shared" si="65"/>
        <v>7.7491168578000007</v>
      </c>
      <c r="Y225" s="14">
        <v>19.854800505899998</v>
      </c>
      <c r="Z225" s="13">
        <v>0.14249999999999999</v>
      </c>
      <c r="AA225" s="14">
        <v>16.149586304256555</v>
      </c>
      <c r="AB225" s="13">
        <f t="shared" si="67"/>
        <v>0.75219999999999998</v>
      </c>
      <c r="AC225" s="14">
        <v>23.154286304256555</v>
      </c>
      <c r="AD225" s="26">
        <f t="shared" si="52"/>
        <v>0.1424999999999999</v>
      </c>
      <c r="AE225" s="4">
        <f t="shared" si="53"/>
        <v>23.15</v>
      </c>
      <c r="AF225" s="27">
        <f t="shared" si="66"/>
        <v>0.14249999999999999</v>
      </c>
      <c r="AG225" s="4">
        <f t="shared" si="54"/>
        <v>19.850000000000001</v>
      </c>
      <c r="AH225" s="27">
        <f t="shared" si="55"/>
        <v>0.75219999999999998</v>
      </c>
    </row>
    <row r="226" spans="1:34" x14ac:dyDescent="0.35">
      <c r="A226" s="8" t="s">
        <v>488</v>
      </c>
      <c r="B226" s="9" t="s">
        <v>489</v>
      </c>
      <c r="C226" s="8" t="s">
        <v>1134</v>
      </c>
      <c r="D226" s="8" t="s">
        <v>1147</v>
      </c>
      <c r="E226" s="8" t="s">
        <v>905</v>
      </c>
      <c r="F226" s="25" t="s">
        <v>1003</v>
      </c>
      <c r="G226" s="8" t="s">
        <v>16</v>
      </c>
      <c r="H226" s="8">
        <v>60</v>
      </c>
      <c r="I226" s="8" t="s">
        <v>1163</v>
      </c>
      <c r="J226" s="10">
        <v>161.69</v>
      </c>
      <c r="K226" s="22">
        <v>0.39400000000000002</v>
      </c>
      <c r="L226" s="11">
        <v>117.3</v>
      </c>
      <c r="M226" s="13">
        <v>0.79369999999999996</v>
      </c>
      <c r="N226" s="17">
        <f t="shared" si="59"/>
        <v>24.198990000000006</v>
      </c>
      <c r="O226" s="13">
        <v>0.1075</v>
      </c>
      <c r="P226" s="14">
        <f t="shared" si="60"/>
        <v>21.597598575000003</v>
      </c>
      <c r="Q226" s="14">
        <f t="shared" si="61"/>
        <v>25.97546809975</v>
      </c>
      <c r="R226" s="28">
        <f t="shared" si="62"/>
        <v>1.5118319002500002</v>
      </c>
      <c r="S226" s="28">
        <f t="shared" si="63"/>
        <v>5.0408579098064248</v>
      </c>
      <c r="T226" s="28">
        <f t="shared" si="64"/>
        <v>13.331310099749999</v>
      </c>
      <c r="U226" s="28">
        <f t="shared" si="56"/>
        <v>13.331310099749999</v>
      </c>
      <c r="V226" s="28">
        <f t="shared" si="57"/>
        <v>12.644158000000001</v>
      </c>
      <c r="W226" s="28">
        <f t="shared" si="58"/>
        <v>0.63220790000000004</v>
      </c>
      <c r="X226" s="28">
        <f t="shared" si="65"/>
        <v>13.96351799975</v>
      </c>
      <c r="Y226" s="14">
        <v>35.557066498999994</v>
      </c>
      <c r="Z226" s="13">
        <v>0.14249999999999999</v>
      </c>
      <c r="AA226" s="14">
        <v>28.856216762682209</v>
      </c>
      <c r="AB226" s="13">
        <f t="shared" si="67"/>
        <v>0.754</v>
      </c>
      <c r="AC226" s="14">
        <v>41.465966762682207</v>
      </c>
      <c r="AD226" s="26">
        <f t="shared" si="52"/>
        <v>0.14249999999999996</v>
      </c>
      <c r="AE226" s="4">
        <f t="shared" si="53"/>
        <v>41.47</v>
      </c>
      <c r="AF226" s="27">
        <f t="shared" si="66"/>
        <v>0.14249999999999999</v>
      </c>
      <c r="AG226" s="4">
        <f t="shared" si="54"/>
        <v>35.56</v>
      </c>
      <c r="AH226" s="27">
        <f t="shared" si="55"/>
        <v>0.754</v>
      </c>
    </row>
    <row r="227" spans="1:34" x14ac:dyDescent="0.35">
      <c r="A227" s="8" t="s">
        <v>490</v>
      </c>
      <c r="B227" s="9" t="s">
        <v>491</v>
      </c>
      <c r="C227" s="8" t="s">
        <v>1134</v>
      </c>
      <c r="D227" s="8" t="s">
        <v>1147</v>
      </c>
      <c r="E227" s="8" t="s">
        <v>905</v>
      </c>
      <c r="F227" s="25" t="s">
        <v>1003</v>
      </c>
      <c r="G227" s="8" t="s">
        <v>22</v>
      </c>
      <c r="H227" s="8">
        <v>30</v>
      </c>
      <c r="I227" s="8" t="s">
        <v>1163</v>
      </c>
      <c r="J227" s="10">
        <v>208.68</v>
      </c>
      <c r="K227" s="22">
        <v>0.39400000000000002</v>
      </c>
      <c r="L227" s="11">
        <v>151.38999999999999</v>
      </c>
      <c r="M227" s="13">
        <v>0.80489999999999995</v>
      </c>
      <c r="N227" s="17">
        <f t="shared" si="59"/>
        <v>29.536189000000004</v>
      </c>
      <c r="O227" s="13">
        <v>0.1075</v>
      </c>
      <c r="P227" s="14">
        <f t="shared" si="60"/>
        <v>26.361048682500002</v>
      </c>
      <c r="Q227" s="14">
        <f t="shared" si="61"/>
        <v>33.630326592225003</v>
      </c>
      <c r="R227" s="28">
        <f t="shared" si="62"/>
        <v>1.8452734077750004</v>
      </c>
      <c r="S227" s="28">
        <f t="shared" si="63"/>
        <v>6.1526424014468182</v>
      </c>
      <c r="T227" s="28">
        <f t="shared" si="64"/>
        <v>17.311550592225</v>
      </c>
      <c r="U227" s="28">
        <f t="shared" si="56"/>
        <v>17.311550592225</v>
      </c>
      <c r="V227" s="28">
        <f t="shared" si="57"/>
        <v>16.318776000000003</v>
      </c>
      <c r="W227" s="28">
        <f t="shared" si="58"/>
        <v>0.81593880000000019</v>
      </c>
      <c r="X227" s="28">
        <f t="shared" si="65"/>
        <v>18.127489392225002</v>
      </c>
      <c r="Y227" s="14">
        <v>44.483310956499999</v>
      </c>
      <c r="Z227" s="13">
        <v>0.14249999999999999</v>
      </c>
      <c r="AA227" s="14">
        <v>35.601156290379002</v>
      </c>
      <c r="AB227" s="13">
        <f t="shared" si="67"/>
        <v>0.76480000000000004</v>
      </c>
      <c r="AC227" s="14">
        <v>51.875581290379003</v>
      </c>
      <c r="AD227" s="26">
        <f t="shared" si="52"/>
        <v>0.14249999999999993</v>
      </c>
      <c r="AE227" s="4">
        <f t="shared" si="53"/>
        <v>51.88</v>
      </c>
      <c r="AF227" s="27">
        <f t="shared" si="66"/>
        <v>0.14249999999999999</v>
      </c>
      <c r="AG227" s="4">
        <f t="shared" si="54"/>
        <v>44.48</v>
      </c>
      <c r="AH227" s="27">
        <f t="shared" si="55"/>
        <v>0.76480000000000004</v>
      </c>
    </row>
    <row r="228" spans="1:34" x14ac:dyDescent="0.35">
      <c r="A228" s="8" t="s">
        <v>492</v>
      </c>
      <c r="B228" s="9" t="s">
        <v>493</v>
      </c>
      <c r="C228" s="8" t="s">
        <v>1134</v>
      </c>
      <c r="D228" s="8" t="s">
        <v>1147</v>
      </c>
      <c r="E228" s="8" t="s">
        <v>905</v>
      </c>
      <c r="F228" s="25" t="s">
        <v>1003</v>
      </c>
      <c r="G228" s="8" t="s">
        <v>23</v>
      </c>
      <c r="H228" s="8">
        <v>30</v>
      </c>
      <c r="I228" s="8" t="s">
        <v>1163</v>
      </c>
      <c r="J228" s="10">
        <v>182.9</v>
      </c>
      <c r="K228" s="22">
        <v>0.39400000000000002</v>
      </c>
      <c r="L228" s="11">
        <v>132.69</v>
      </c>
      <c r="M228" s="13">
        <v>0.7954</v>
      </c>
      <c r="N228" s="17">
        <f t="shared" si="59"/>
        <v>27.148374</v>
      </c>
      <c r="O228" s="13">
        <v>0.1075</v>
      </c>
      <c r="P228" s="14">
        <f t="shared" si="60"/>
        <v>24.229923794999998</v>
      </c>
      <c r="Q228" s="14">
        <f t="shared" si="61"/>
        <v>29.396905334350002</v>
      </c>
      <c r="R228" s="28">
        <f t="shared" si="62"/>
        <v>1.69609466565</v>
      </c>
      <c r="S228" s="28">
        <f t="shared" si="63"/>
        <v>5.6552399838292047</v>
      </c>
      <c r="T228" s="28">
        <f t="shared" si="64"/>
        <v>15.094125334349998</v>
      </c>
      <c r="U228" s="28">
        <f t="shared" si="56"/>
        <v>15.094125334349998</v>
      </c>
      <c r="V228" s="28">
        <f t="shared" si="57"/>
        <v>14.302780000000004</v>
      </c>
      <c r="W228" s="28">
        <f t="shared" si="58"/>
        <v>0.71513900000000019</v>
      </c>
      <c r="X228" s="28">
        <f t="shared" si="65"/>
        <v>15.809264334349999</v>
      </c>
      <c r="Y228" s="14">
        <v>40.034606675375009</v>
      </c>
      <c r="Z228" s="13">
        <v>0.14249999999999999</v>
      </c>
      <c r="AA228" s="14">
        <v>32.423412959620997</v>
      </c>
      <c r="AB228" s="13">
        <f t="shared" si="67"/>
        <v>0.75560000000000005</v>
      </c>
      <c r="AC228" s="14">
        <v>46.687587959620998</v>
      </c>
      <c r="AD228" s="26">
        <f t="shared" si="52"/>
        <v>0.14249999999999993</v>
      </c>
      <c r="AE228" s="4">
        <f t="shared" si="53"/>
        <v>46.69</v>
      </c>
      <c r="AF228" s="27">
        <f t="shared" si="66"/>
        <v>0.14249999999999999</v>
      </c>
      <c r="AG228" s="4">
        <f t="shared" si="54"/>
        <v>40.03</v>
      </c>
      <c r="AH228" s="27">
        <f t="shared" si="55"/>
        <v>0.75560000000000005</v>
      </c>
    </row>
    <row r="229" spans="1:34" x14ac:dyDescent="0.35">
      <c r="A229" s="8" t="s">
        <v>494</v>
      </c>
      <c r="B229" s="9" t="s">
        <v>495</v>
      </c>
      <c r="C229" s="8" t="s">
        <v>1134</v>
      </c>
      <c r="D229" s="8" t="s">
        <v>1147</v>
      </c>
      <c r="E229" s="8" t="s">
        <v>905</v>
      </c>
      <c r="F229" s="25" t="s">
        <v>1003</v>
      </c>
      <c r="G229" s="8" t="s">
        <v>23</v>
      </c>
      <c r="H229" s="8">
        <v>60</v>
      </c>
      <c r="I229" s="8" t="s">
        <v>1163</v>
      </c>
      <c r="J229" s="10">
        <v>208.92</v>
      </c>
      <c r="K229" s="22">
        <v>0.39400000000000002</v>
      </c>
      <c r="L229" s="11">
        <v>151.57</v>
      </c>
      <c r="M229" s="13">
        <v>0.74150000000000005</v>
      </c>
      <c r="N229" s="17">
        <f t="shared" si="59"/>
        <v>39.180844999999991</v>
      </c>
      <c r="O229" s="13">
        <v>0.1075</v>
      </c>
      <c r="P229" s="14">
        <f t="shared" si="60"/>
        <v>34.968904162499989</v>
      </c>
      <c r="Q229" s="14">
        <f t="shared" si="61"/>
        <v>33.068576708624995</v>
      </c>
      <c r="R229" s="28">
        <f t="shared" si="62"/>
        <v>2.4478232913749993</v>
      </c>
      <c r="S229" s="28">
        <f t="shared" si="63"/>
        <v>8.1617072626233345</v>
      </c>
      <c r="T229" s="28">
        <f t="shared" si="64"/>
        <v>16.731032708625001</v>
      </c>
      <c r="U229" s="28">
        <f t="shared" si="56"/>
        <v>16.731032708625001</v>
      </c>
      <c r="V229" s="28">
        <f t="shared" si="57"/>
        <v>16.337543999999994</v>
      </c>
      <c r="W229" s="28">
        <f t="shared" si="58"/>
        <v>0.81687719999999975</v>
      </c>
      <c r="X229" s="28">
        <f t="shared" si="65"/>
        <v>17.547909908625002</v>
      </c>
      <c r="Y229" s="14">
        <v>52.511580737949998</v>
      </c>
      <c r="Z229" s="13">
        <v>0.14249999999999999</v>
      </c>
      <c r="AA229" s="14">
        <v>44.944220029679293</v>
      </c>
      <c r="AB229" s="13">
        <f t="shared" si="67"/>
        <v>0.70350000000000001</v>
      </c>
      <c r="AC229" s="14">
        <v>61.237995029679297</v>
      </c>
      <c r="AD229" s="26">
        <f t="shared" si="52"/>
        <v>0.14249999999999999</v>
      </c>
      <c r="AE229" s="4">
        <f t="shared" si="53"/>
        <v>61.24</v>
      </c>
      <c r="AF229" s="27">
        <f t="shared" si="66"/>
        <v>0.14249999999999999</v>
      </c>
      <c r="AG229" s="4">
        <f t="shared" si="54"/>
        <v>52.51</v>
      </c>
      <c r="AH229" s="27">
        <f t="shared" si="55"/>
        <v>0.70350000000000001</v>
      </c>
    </row>
    <row r="230" spans="1:34" x14ac:dyDescent="0.35">
      <c r="A230" s="8" t="s">
        <v>496</v>
      </c>
      <c r="B230" s="9" t="s">
        <v>497</v>
      </c>
      <c r="C230" s="8" t="s">
        <v>1134</v>
      </c>
      <c r="D230" s="8" t="s">
        <v>1139</v>
      </c>
      <c r="E230" s="8" t="s">
        <v>905</v>
      </c>
      <c r="F230" s="25" t="s">
        <v>1004</v>
      </c>
      <c r="G230" s="8" t="s">
        <v>23</v>
      </c>
      <c r="H230" s="8">
        <v>14</v>
      </c>
      <c r="I230" s="8" t="s">
        <v>1163</v>
      </c>
      <c r="J230" s="10">
        <v>84.03</v>
      </c>
      <c r="K230" s="22">
        <v>0.39400000000000002</v>
      </c>
      <c r="L230" s="11">
        <v>60.96</v>
      </c>
      <c r="M230" s="13">
        <v>0.55730000000000002</v>
      </c>
      <c r="N230" s="17">
        <f t="shared" si="59"/>
        <v>26.986992000000001</v>
      </c>
      <c r="O230" s="13">
        <v>0.1075</v>
      </c>
      <c r="P230" s="14">
        <f t="shared" si="60"/>
        <v>24.08589036</v>
      </c>
      <c r="Q230" s="14">
        <f t="shared" si="61"/>
        <v>12.599087674800002</v>
      </c>
      <c r="R230" s="28">
        <f t="shared" si="62"/>
        <v>1.6860123252000001</v>
      </c>
      <c r="S230" s="28">
        <f t="shared" si="63"/>
        <v>5.6216227241336405</v>
      </c>
      <c r="T230" s="28">
        <f t="shared" si="64"/>
        <v>6.0279416747999992</v>
      </c>
      <c r="U230" s="28">
        <f t="shared" si="56"/>
        <v>6.0279416747999992</v>
      </c>
      <c r="V230" s="28">
        <f t="shared" si="57"/>
        <v>6.5711460000000024</v>
      </c>
      <c r="W230" s="28">
        <f t="shared" si="58"/>
        <v>0.32855730000000016</v>
      </c>
      <c r="X230" s="28">
        <f t="shared" si="65"/>
        <v>6.3564989747999991</v>
      </c>
      <c r="Y230" s="14">
        <v>30.4402845384</v>
      </c>
      <c r="Z230" s="13">
        <v>0.14249999999999999</v>
      </c>
      <c r="AA230" s="14">
        <v>28.94567409725947</v>
      </c>
      <c r="AB230" s="13">
        <f t="shared" si="67"/>
        <v>0.5252</v>
      </c>
      <c r="AC230" s="14">
        <v>35.498874097259474</v>
      </c>
      <c r="AD230" s="26">
        <f t="shared" si="52"/>
        <v>0.14249999999999996</v>
      </c>
      <c r="AE230" s="4">
        <f t="shared" si="53"/>
        <v>35.5</v>
      </c>
      <c r="AF230" s="27">
        <f t="shared" si="66"/>
        <v>0.14249999999999999</v>
      </c>
      <c r="AG230" s="4">
        <f t="shared" si="54"/>
        <v>30.44</v>
      </c>
      <c r="AH230" s="27">
        <f t="shared" si="55"/>
        <v>0.5252</v>
      </c>
    </row>
    <row r="231" spans="1:34" x14ac:dyDescent="0.35">
      <c r="A231" s="8" t="s">
        <v>498</v>
      </c>
      <c r="B231" s="9" t="s">
        <v>499</v>
      </c>
      <c r="C231" s="8" t="s">
        <v>1134</v>
      </c>
      <c r="D231" s="8" t="s">
        <v>1139</v>
      </c>
      <c r="E231" s="8" t="s">
        <v>905</v>
      </c>
      <c r="F231" s="25" t="s">
        <v>1004</v>
      </c>
      <c r="G231" s="8" t="s">
        <v>23</v>
      </c>
      <c r="H231" s="8">
        <v>28</v>
      </c>
      <c r="I231" s="8" t="s">
        <v>1163</v>
      </c>
      <c r="J231" s="10">
        <v>94.56</v>
      </c>
      <c r="K231" s="22">
        <v>0.39400000000000002</v>
      </c>
      <c r="L231" s="11">
        <v>68.599999999999994</v>
      </c>
      <c r="M231" s="13">
        <v>0.56479999999999997</v>
      </c>
      <c r="N231" s="17">
        <f t="shared" si="59"/>
        <v>29.85472</v>
      </c>
      <c r="O231" s="13">
        <v>0.1075</v>
      </c>
      <c r="P231" s="14">
        <f t="shared" si="60"/>
        <v>26.645337599999998</v>
      </c>
      <c r="Q231" s="14">
        <f t="shared" si="61"/>
        <v>14.210026368000003</v>
      </c>
      <c r="R231" s="28">
        <f t="shared" si="62"/>
        <v>1.8651736320000001</v>
      </c>
      <c r="S231" s="28">
        <f t="shared" si="63"/>
        <v>6.2189951505023986</v>
      </c>
      <c r="T231" s="28">
        <f t="shared" si="64"/>
        <v>6.8154343679999991</v>
      </c>
      <c r="U231" s="28">
        <f t="shared" si="56"/>
        <v>6.8154343679999991</v>
      </c>
      <c r="V231" s="28">
        <f t="shared" si="57"/>
        <v>7.3945920000000038</v>
      </c>
      <c r="W231" s="28">
        <f t="shared" si="58"/>
        <v>0.36972960000000021</v>
      </c>
      <c r="X231" s="28">
        <f t="shared" si="65"/>
        <v>7.1851639679999995</v>
      </c>
      <c r="Y231" s="14">
        <v>33.828132981499998</v>
      </c>
      <c r="Z231" s="13">
        <v>0.14249999999999999</v>
      </c>
      <c r="AA231" s="14">
        <v>32.075217762682215</v>
      </c>
      <c r="AB231" s="13">
        <f t="shared" si="67"/>
        <v>0.53239999999999998</v>
      </c>
      <c r="AC231" s="14">
        <v>39.449717762682212</v>
      </c>
      <c r="AD231" s="26">
        <f t="shared" si="52"/>
        <v>0.14249999999999999</v>
      </c>
      <c r="AE231" s="4">
        <f t="shared" si="53"/>
        <v>39.450000000000003</v>
      </c>
      <c r="AF231" s="27">
        <f t="shared" si="66"/>
        <v>0.14249999999999999</v>
      </c>
      <c r="AG231" s="4">
        <f t="shared" si="54"/>
        <v>33.83</v>
      </c>
      <c r="AH231" s="27">
        <f t="shared" si="55"/>
        <v>0.53239999999999998</v>
      </c>
    </row>
    <row r="232" spans="1:34" x14ac:dyDescent="0.35">
      <c r="A232" s="8" t="s">
        <v>500</v>
      </c>
      <c r="B232" s="9" t="s">
        <v>501</v>
      </c>
      <c r="C232" s="8" t="s">
        <v>1134</v>
      </c>
      <c r="D232" s="8" t="s">
        <v>1139</v>
      </c>
      <c r="E232" s="8" t="s">
        <v>905</v>
      </c>
      <c r="F232" s="25" t="s">
        <v>1004</v>
      </c>
      <c r="G232" s="8" t="s">
        <v>19</v>
      </c>
      <c r="H232" s="8">
        <v>14</v>
      </c>
      <c r="I232" s="8" t="s">
        <v>1163</v>
      </c>
      <c r="J232" s="10">
        <v>175.64</v>
      </c>
      <c r="K232" s="22">
        <v>0.39400000000000002</v>
      </c>
      <c r="L232" s="11">
        <v>127.42</v>
      </c>
      <c r="M232" s="13">
        <v>0.71319999999999995</v>
      </c>
      <c r="N232" s="17">
        <f t="shared" si="59"/>
        <v>36.544056000000005</v>
      </c>
      <c r="O232" s="13">
        <v>0.1075</v>
      </c>
      <c r="P232" s="14">
        <f t="shared" si="60"/>
        <v>32.615569980000004</v>
      </c>
      <c r="Q232" s="14">
        <f t="shared" si="61"/>
        <v>27.575710101399999</v>
      </c>
      <c r="R232" s="28">
        <f t="shared" si="62"/>
        <v>2.2830898986000006</v>
      </c>
      <c r="S232" s="28">
        <f t="shared" si="63"/>
        <v>7.612441417762021</v>
      </c>
      <c r="T232" s="28">
        <f t="shared" si="64"/>
        <v>13.840662101399996</v>
      </c>
      <c r="U232" s="28">
        <f t="shared" si="56"/>
        <v>13.840662101399996</v>
      </c>
      <c r="V232" s="28">
        <f t="shared" si="57"/>
        <v>13.735048000000003</v>
      </c>
      <c r="W232" s="28">
        <f t="shared" si="58"/>
        <v>0.68675240000000015</v>
      </c>
      <c r="X232" s="28">
        <f t="shared" si="65"/>
        <v>14.527414501399996</v>
      </c>
      <c r="Y232" s="14">
        <v>47.138584987349986</v>
      </c>
      <c r="Z232" s="13">
        <v>0.14249999999999999</v>
      </c>
      <c r="AA232" s="14">
        <v>41.274460772419815</v>
      </c>
      <c r="AB232" s="13">
        <f t="shared" si="67"/>
        <v>0.67610000000000003</v>
      </c>
      <c r="AC232" s="14">
        <v>54.972110772419811</v>
      </c>
      <c r="AD232" s="26">
        <f t="shared" si="52"/>
        <v>0.14250000000000002</v>
      </c>
      <c r="AE232" s="4">
        <f t="shared" si="53"/>
        <v>54.97</v>
      </c>
      <c r="AF232" s="27">
        <f t="shared" si="66"/>
        <v>0.14249999999999999</v>
      </c>
      <c r="AG232" s="4">
        <f t="shared" si="54"/>
        <v>47.14</v>
      </c>
      <c r="AH232" s="27">
        <f t="shared" si="55"/>
        <v>0.67610000000000003</v>
      </c>
    </row>
    <row r="233" spans="1:34" x14ac:dyDescent="0.35">
      <c r="A233" s="8" t="s">
        <v>502</v>
      </c>
      <c r="B233" s="9" t="s">
        <v>503</v>
      </c>
      <c r="C233" s="8" t="s">
        <v>1134</v>
      </c>
      <c r="D233" s="8" t="s">
        <v>1139</v>
      </c>
      <c r="E233" s="8" t="s">
        <v>905</v>
      </c>
      <c r="F233" s="25" t="s">
        <v>1004</v>
      </c>
      <c r="G233" s="8" t="s">
        <v>19</v>
      </c>
      <c r="H233" s="8">
        <v>28</v>
      </c>
      <c r="I233" s="8" t="s">
        <v>1163</v>
      </c>
      <c r="J233" s="10">
        <v>312.58999999999997</v>
      </c>
      <c r="K233" s="22">
        <v>0.39400000000000002</v>
      </c>
      <c r="L233" s="11">
        <v>226.78</v>
      </c>
      <c r="M233" s="13">
        <v>0.72</v>
      </c>
      <c r="N233" s="17">
        <f t="shared" si="59"/>
        <v>63.498400000000004</v>
      </c>
      <c r="O233" s="13">
        <v>0.1075</v>
      </c>
      <c r="P233" s="14">
        <f t="shared" si="60"/>
        <v>56.672322000000001</v>
      </c>
      <c r="Q233" s="14">
        <f t="shared" si="61"/>
        <v>49.173237459999996</v>
      </c>
      <c r="R233" s="28">
        <f t="shared" si="62"/>
        <v>3.9670625400000006</v>
      </c>
      <c r="S233" s="28">
        <f t="shared" si="63"/>
        <v>13.227263282477999</v>
      </c>
      <c r="T233" s="28">
        <f t="shared" si="64"/>
        <v>24.728699459999994</v>
      </c>
      <c r="U233" s="28">
        <f t="shared" si="56"/>
        <v>24.728699459999994</v>
      </c>
      <c r="V233" s="28">
        <f t="shared" si="57"/>
        <v>24.444538000000001</v>
      </c>
      <c r="W233" s="28">
        <f t="shared" si="58"/>
        <v>1.2222269000000001</v>
      </c>
      <c r="X233" s="28">
        <f t="shared" si="65"/>
        <v>25.950926359999993</v>
      </c>
      <c r="Y233" s="14">
        <v>82.615418213550001</v>
      </c>
      <c r="Z233" s="13">
        <v>0.14249999999999999</v>
      </c>
      <c r="AA233" s="14">
        <v>71.965661036209909</v>
      </c>
      <c r="AB233" s="13">
        <f t="shared" si="67"/>
        <v>0.68269999999999997</v>
      </c>
      <c r="AC233" s="14">
        <v>96.344511036209909</v>
      </c>
      <c r="AD233" s="26">
        <f t="shared" si="52"/>
        <v>0.14249999999999996</v>
      </c>
      <c r="AE233" s="4">
        <f t="shared" si="53"/>
        <v>96.34</v>
      </c>
      <c r="AF233" s="27">
        <f t="shared" si="66"/>
        <v>0.14249999999999999</v>
      </c>
      <c r="AG233" s="4">
        <f t="shared" si="54"/>
        <v>82.62</v>
      </c>
      <c r="AH233" s="27">
        <f t="shared" si="55"/>
        <v>0.68269999999999997</v>
      </c>
    </row>
    <row r="234" spans="1:34" x14ac:dyDescent="0.35">
      <c r="A234" s="8" t="s">
        <v>504</v>
      </c>
      <c r="B234" s="9" t="s">
        <v>505</v>
      </c>
      <c r="C234" s="8" t="s">
        <v>1134</v>
      </c>
      <c r="D234" s="8" t="s">
        <v>1195</v>
      </c>
      <c r="E234" s="8" t="s">
        <v>905</v>
      </c>
      <c r="F234" s="25" t="s">
        <v>1005</v>
      </c>
      <c r="G234" s="8" t="s">
        <v>13</v>
      </c>
      <c r="H234" s="8">
        <v>16</v>
      </c>
      <c r="I234" s="8" t="s">
        <v>1163</v>
      </c>
      <c r="J234" s="10">
        <v>28.52</v>
      </c>
      <c r="K234" s="22">
        <v>0.39400000000000002</v>
      </c>
      <c r="L234" s="11">
        <v>20.69</v>
      </c>
      <c r="M234" s="13">
        <v>0.25480000000000003</v>
      </c>
      <c r="N234" s="17">
        <f t="shared" si="59"/>
        <v>15.418188000000001</v>
      </c>
      <c r="O234" s="13">
        <v>0.1075</v>
      </c>
      <c r="P234" s="14">
        <f t="shared" si="60"/>
        <v>13.76073279</v>
      </c>
      <c r="Q234" s="14">
        <f t="shared" si="61"/>
        <v>3.8851487047000006</v>
      </c>
      <c r="R234" s="28">
        <f t="shared" si="62"/>
        <v>0.96325129530000009</v>
      </c>
      <c r="S234" s="28">
        <f t="shared" si="63"/>
        <v>3.2117412724532102</v>
      </c>
      <c r="T234" s="28">
        <f t="shared" si="64"/>
        <v>1.6548847046999997</v>
      </c>
      <c r="U234" s="28">
        <f t="shared" si="56"/>
        <v>3.2117412724532102</v>
      </c>
      <c r="V234" s="28">
        <f t="shared" si="57"/>
        <v>0.67340743224679045</v>
      </c>
      <c r="W234" s="28">
        <f t="shared" si="58"/>
        <v>3.3670371612339524E-2</v>
      </c>
      <c r="X234" s="28">
        <f t="shared" si="65"/>
        <v>3.2454116440655496</v>
      </c>
      <c r="Y234" s="14">
        <v>17.005747239441611</v>
      </c>
      <c r="Z234" s="13">
        <v>0.14249999999999999</v>
      </c>
      <c r="AA234" s="14">
        <v>17.607600206345904</v>
      </c>
      <c r="AB234" s="13">
        <f t="shared" si="67"/>
        <v>0.14899999999999999</v>
      </c>
      <c r="AC234" s="14">
        <v>19.831775206345903</v>
      </c>
      <c r="AD234" s="26">
        <f t="shared" si="52"/>
        <v>0.14250000000000002</v>
      </c>
      <c r="AE234" s="4">
        <f t="shared" si="53"/>
        <v>19.829999999999998</v>
      </c>
      <c r="AF234" s="27">
        <f t="shared" si="66"/>
        <v>0.14249999999999999</v>
      </c>
      <c r="AG234" s="4">
        <f t="shared" si="54"/>
        <v>17.010000000000002</v>
      </c>
      <c r="AH234" s="27">
        <f t="shared" si="55"/>
        <v>0.14899999999999999</v>
      </c>
    </row>
    <row r="235" spans="1:34" x14ac:dyDescent="0.35">
      <c r="A235" s="8" t="s">
        <v>506</v>
      </c>
      <c r="B235" s="9" t="s">
        <v>507</v>
      </c>
      <c r="C235" s="8" t="s">
        <v>1134</v>
      </c>
      <c r="D235" s="8" t="s">
        <v>1195</v>
      </c>
      <c r="E235" s="8" t="s">
        <v>905</v>
      </c>
      <c r="F235" s="25" t="s">
        <v>1005</v>
      </c>
      <c r="G235" s="8" t="s">
        <v>13</v>
      </c>
      <c r="H235" s="8">
        <v>30</v>
      </c>
      <c r="I235" s="8" t="s">
        <v>1163</v>
      </c>
      <c r="J235" s="10">
        <v>53.11</v>
      </c>
      <c r="K235" s="22">
        <v>0.39400000000000002</v>
      </c>
      <c r="L235" s="11">
        <v>38.53</v>
      </c>
      <c r="M235" s="13">
        <v>0.13730000000000001</v>
      </c>
      <c r="N235" s="17">
        <f t="shared" si="59"/>
        <v>33.239831000000002</v>
      </c>
      <c r="O235" s="13">
        <v>0.1075</v>
      </c>
      <c r="P235" s="14">
        <f t="shared" si="60"/>
        <v>29.666549167500001</v>
      </c>
      <c r="Q235" s="14">
        <f t="shared" si="61"/>
        <v>6.9520415582750008</v>
      </c>
      <c r="R235" s="28">
        <f t="shared" si="62"/>
        <v>2.0766584417250002</v>
      </c>
      <c r="S235" s="28">
        <f t="shared" si="63"/>
        <v>6.924142909145333</v>
      </c>
      <c r="T235" s="28">
        <f t="shared" si="64"/>
        <v>2.7988395582749992</v>
      </c>
      <c r="U235" s="28">
        <f t="shared" si="56"/>
        <v>6.924142909145333</v>
      </c>
      <c r="V235" s="28">
        <f t="shared" si="57"/>
        <v>2.7898649129667774E-2</v>
      </c>
      <c r="W235" s="28">
        <f t="shared" si="58"/>
        <v>1.3949324564833888E-3</v>
      </c>
      <c r="X235" s="28">
        <f t="shared" si="65"/>
        <v>6.9255378416018161</v>
      </c>
      <c r="Y235" s="14">
        <v>36.591161548410902</v>
      </c>
      <c r="Z235" s="13">
        <v>0.14249999999999999</v>
      </c>
      <c r="AA235" s="14">
        <v>38.52993351126635</v>
      </c>
      <c r="AB235" s="13">
        <f t="shared" si="67"/>
        <v>0</v>
      </c>
      <c r="AC235" s="14">
        <v>42.671908511266352</v>
      </c>
      <c r="AD235" s="26">
        <f t="shared" si="52"/>
        <v>0.14249999999999988</v>
      </c>
      <c r="AE235" s="4">
        <f t="shared" si="53"/>
        <v>42.67</v>
      </c>
      <c r="AF235" s="27">
        <f t="shared" si="66"/>
        <v>0.14249999999999999</v>
      </c>
      <c r="AG235" s="4">
        <f t="shared" si="54"/>
        <v>36.590000000000003</v>
      </c>
      <c r="AH235" s="27">
        <f t="shared" si="55"/>
        <v>0</v>
      </c>
    </row>
    <row r="236" spans="1:34" x14ac:dyDescent="0.35">
      <c r="A236" s="8" t="s">
        <v>508</v>
      </c>
      <c r="B236" s="9" t="s">
        <v>1227</v>
      </c>
      <c r="C236" s="8" t="s">
        <v>1134</v>
      </c>
      <c r="D236" s="8" t="s">
        <v>1195</v>
      </c>
      <c r="E236" s="8" t="s">
        <v>905</v>
      </c>
      <c r="F236" s="25" t="s">
        <v>1005</v>
      </c>
      <c r="G236" s="8" t="s">
        <v>1108</v>
      </c>
      <c r="H236" s="8">
        <v>30</v>
      </c>
      <c r="I236" s="8" t="s">
        <v>1163</v>
      </c>
      <c r="J236" s="10">
        <v>30.17</v>
      </c>
      <c r="K236" s="22">
        <v>0.39400000000000002</v>
      </c>
      <c r="L236" s="11">
        <v>21.89</v>
      </c>
      <c r="M236" s="13">
        <v>0.60580000000000001</v>
      </c>
      <c r="N236" s="17">
        <f t="shared" si="59"/>
        <v>8.6290379999999995</v>
      </c>
      <c r="O236" s="13">
        <v>0.1075</v>
      </c>
      <c r="P236" s="14">
        <f t="shared" si="60"/>
        <v>7.7014164149999988</v>
      </c>
      <c r="Q236" s="14">
        <f t="shared" si="61"/>
        <v>4.5898008509500006</v>
      </c>
      <c r="R236" s="28">
        <f t="shared" si="62"/>
        <v>0.53909914905</v>
      </c>
      <c r="S236" s="28">
        <f t="shared" si="63"/>
        <v>1.7975028898445844</v>
      </c>
      <c r="T236" s="28">
        <f t="shared" si="64"/>
        <v>2.2305068509499999</v>
      </c>
      <c r="U236" s="28">
        <f t="shared" si="56"/>
        <v>2.2305068509499999</v>
      </c>
      <c r="V236" s="28">
        <f t="shared" si="57"/>
        <v>2.3592940000000007</v>
      </c>
      <c r="W236" s="28">
        <f t="shared" si="58"/>
        <v>0.11796470000000003</v>
      </c>
      <c r="X236" s="28">
        <f t="shared" si="65"/>
        <v>2.3484715509499998</v>
      </c>
      <c r="Y236" s="14">
        <v>10.049132158975</v>
      </c>
      <c r="Z236" s="13">
        <v>0.14249999999999999</v>
      </c>
      <c r="AA236" s="14">
        <v>9.3659295585714286</v>
      </c>
      <c r="AB236" s="13">
        <f t="shared" si="67"/>
        <v>0.57210000000000005</v>
      </c>
      <c r="AC236" s="14">
        <v>11.719104558571429</v>
      </c>
      <c r="AD236" s="26">
        <f t="shared" si="52"/>
        <v>0.14249999999999999</v>
      </c>
      <c r="AE236" s="4">
        <f t="shared" si="53"/>
        <v>11.72</v>
      </c>
      <c r="AF236" s="27">
        <f t="shared" si="66"/>
        <v>0.14249999999999999</v>
      </c>
      <c r="AG236" s="4">
        <f t="shared" si="54"/>
        <v>10.050000000000001</v>
      </c>
      <c r="AH236" s="27">
        <f t="shared" si="55"/>
        <v>0.57210000000000005</v>
      </c>
    </row>
    <row r="237" spans="1:34" x14ac:dyDescent="0.35">
      <c r="A237" s="8" t="s">
        <v>509</v>
      </c>
      <c r="B237" s="9" t="s">
        <v>510</v>
      </c>
      <c r="C237" s="8" t="s">
        <v>1134</v>
      </c>
      <c r="D237" s="8" t="s">
        <v>1195</v>
      </c>
      <c r="E237" s="8" t="s">
        <v>905</v>
      </c>
      <c r="F237" s="25" t="s">
        <v>1005</v>
      </c>
      <c r="G237" s="8" t="s">
        <v>20</v>
      </c>
      <c r="H237" s="8">
        <v>30</v>
      </c>
      <c r="I237" s="8" t="s">
        <v>1163</v>
      </c>
      <c r="J237" s="10">
        <v>48.52</v>
      </c>
      <c r="K237" s="22">
        <v>0.39400000000000002</v>
      </c>
      <c r="L237" s="11">
        <v>35.200000000000003</v>
      </c>
      <c r="M237" s="13">
        <v>0.51070000000000004</v>
      </c>
      <c r="N237" s="17">
        <f t="shared" si="59"/>
        <v>17.22336</v>
      </c>
      <c r="O237" s="13">
        <v>0.1075</v>
      </c>
      <c r="P237" s="14">
        <f t="shared" si="60"/>
        <v>15.371848799999999</v>
      </c>
      <c r="Q237" s="14">
        <f t="shared" si="61"/>
        <v>7.172370584000002</v>
      </c>
      <c r="R237" s="28">
        <f t="shared" si="62"/>
        <v>1.0760294159999999</v>
      </c>
      <c r="S237" s="28">
        <f t="shared" si="63"/>
        <v>3.5877741380711994</v>
      </c>
      <c r="T237" s="28">
        <f t="shared" si="64"/>
        <v>3.3781065840000002</v>
      </c>
      <c r="U237" s="28">
        <f t="shared" si="56"/>
        <v>3.5877741380711994</v>
      </c>
      <c r="V237" s="28">
        <f t="shared" si="57"/>
        <v>3.5845964459288027</v>
      </c>
      <c r="W237" s="28">
        <f t="shared" si="58"/>
        <v>0.17922982229644013</v>
      </c>
      <c r="X237" s="28">
        <f t="shared" si="65"/>
        <v>3.7670039603676395</v>
      </c>
      <c r="Y237" s="14">
        <v>19.137127999999997</v>
      </c>
      <c r="Z237" s="13">
        <v>0.14249999999999999</v>
      </c>
      <c r="AA237" s="14">
        <v>18.533350437317782</v>
      </c>
      <c r="AB237" s="13">
        <f t="shared" si="67"/>
        <v>0.47349999999999998</v>
      </c>
      <c r="AC237" s="14">
        <v>22.317350437317781</v>
      </c>
      <c r="AD237" s="26">
        <f t="shared" si="52"/>
        <v>0.14250000000000002</v>
      </c>
      <c r="AE237" s="4">
        <f t="shared" si="53"/>
        <v>22.32</v>
      </c>
      <c r="AF237" s="27">
        <f t="shared" si="66"/>
        <v>0.14249999999999999</v>
      </c>
      <c r="AG237" s="4">
        <f t="shared" si="54"/>
        <v>19.14</v>
      </c>
      <c r="AH237" s="27">
        <f t="shared" si="55"/>
        <v>0.47349999999999998</v>
      </c>
    </row>
    <row r="238" spans="1:34" x14ac:dyDescent="0.35">
      <c r="A238" s="8" t="s">
        <v>511</v>
      </c>
      <c r="B238" s="9" t="s">
        <v>512</v>
      </c>
      <c r="C238" s="8" t="s">
        <v>1134</v>
      </c>
      <c r="D238" s="8" t="s">
        <v>1139</v>
      </c>
      <c r="E238" s="8" t="s">
        <v>905</v>
      </c>
      <c r="F238" s="25" t="s">
        <v>1006</v>
      </c>
      <c r="G238" s="8" t="s">
        <v>1119</v>
      </c>
      <c r="H238" s="8">
        <v>7</v>
      </c>
      <c r="I238" s="8" t="s">
        <v>1163</v>
      </c>
      <c r="J238" s="10">
        <v>46.88</v>
      </c>
      <c r="K238" s="22">
        <v>0.39400000000000002</v>
      </c>
      <c r="L238" s="11">
        <v>34.01</v>
      </c>
      <c r="M238" s="13">
        <v>0.38250000000000001</v>
      </c>
      <c r="N238" s="17">
        <f t="shared" si="59"/>
        <v>21.001174999999996</v>
      </c>
      <c r="O238" s="13">
        <v>0.1075</v>
      </c>
      <c r="P238" s="14">
        <f t="shared" si="60"/>
        <v>18.743548687499995</v>
      </c>
      <c r="Q238" s="14">
        <f t="shared" si="61"/>
        <v>6.6575515918750003</v>
      </c>
      <c r="R238" s="28">
        <f t="shared" si="62"/>
        <v>1.3120484081249999</v>
      </c>
      <c r="S238" s="28">
        <f t="shared" si="63"/>
        <v>4.3747255201138113</v>
      </c>
      <c r="T238" s="28">
        <f t="shared" si="64"/>
        <v>2.991535591875</v>
      </c>
      <c r="U238" s="28">
        <f t="shared" si="56"/>
        <v>4.3747255201138113</v>
      </c>
      <c r="V238" s="28">
        <f t="shared" si="57"/>
        <v>2.282826071761189</v>
      </c>
      <c r="W238" s="28">
        <f t="shared" si="58"/>
        <v>0.11414130358805946</v>
      </c>
      <c r="X238" s="28">
        <f t="shared" si="65"/>
        <v>4.488866823701871</v>
      </c>
      <c r="Y238" s="14">
        <v>23.231762606940869</v>
      </c>
      <c r="Z238" s="13">
        <v>0.14249999999999999</v>
      </c>
      <c r="AA238" s="14">
        <v>23.436359527044743</v>
      </c>
      <c r="AB238" s="13">
        <f t="shared" si="67"/>
        <v>0.31090000000000001</v>
      </c>
      <c r="AC238" s="14">
        <v>27.092434527044745</v>
      </c>
      <c r="AD238" s="26">
        <f t="shared" si="52"/>
        <v>0.14249999999999999</v>
      </c>
      <c r="AE238" s="4">
        <f t="shared" si="53"/>
        <v>27.09</v>
      </c>
      <c r="AF238" s="27">
        <f t="shared" si="66"/>
        <v>0.14249999999999999</v>
      </c>
      <c r="AG238" s="4">
        <f t="shared" si="54"/>
        <v>23.23</v>
      </c>
      <c r="AH238" s="27">
        <f t="shared" si="55"/>
        <v>0.31090000000000001</v>
      </c>
    </row>
    <row r="239" spans="1:34" x14ac:dyDescent="0.35">
      <c r="A239" s="8" t="s">
        <v>513</v>
      </c>
      <c r="B239" s="9" t="s">
        <v>514</v>
      </c>
      <c r="C239" s="8" t="s">
        <v>1134</v>
      </c>
      <c r="D239" s="8" t="s">
        <v>1139</v>
      </c>
      <c r="E239" s="8" t="s">
        <v>905</v>
      </c>
      <c r="F239" s="25" t="s">
        <v>1006</v>
      </c>
      <c r="G239" s="8" t="s">
        <v>1127</v>
      </c>
      <c r="H239" s="8">
        <v>14</v>
      </c>
      <c r="I239" s="8" t="s">
        <v>1163</v>
      </c>
      <c r="J239" s="10">
        <v>106.05</v>
      </c>
      <c r="K239" s="22">
        <v>0.39400000000000002</v>
      </c>
      <c r="L239" s="11">
        <v>76.94</v>
      </c>
      <c r="M239" s="13">
        <v>0.42220000000000002</v>
      </c>
      <c r="N239" s="17">
        <f t="shared" si="59"/>
        <v>44.455931999999997</v>
      </c>
      <c r="O239" s="13">
        <v>0.1075</v>
      </c>
      <c r="P239" s="14">
        <f t="shared" si="60"/>
        <v>39.676919309999995</v>
      </c>
      <c r="Q239" s="14">
        <f t="shared" si="61"/>
        <v>15.251115648300001</v>
      </c>
      <c r="R239" s="28">
        <f t="shared" si="62"/>
        <v>2.7773843516999999</v>
      </c>
      <c r="S239" s="28">
        <f t="shared" si="63"/>
        <v>9.2605532900346894</v>
      </c>
      <c r="T239" s="28">
        <f t="shared" si="64"/>
        <v>6.9580056482999986</v>
      </c>
      <c r="U239" s="28">
        <f t="shared" si="56"/>
        <v>9.2605532900346894</v>
      </c>
      <c r="V239" s="28">
        <f t="shared" si="57"/>
        <v>5.9905623582653114</v>
      </c>
      <c r="W239" s="28">
        <f t="shared" si="58"/>
        <v>0.29952811791326556</v>
      </c>
      <c r="X239" s="28">
        <f t="shared" si="65"/>
        <v>9.5600814079479548</v>
      </c>
      <c r="Y239" s="14">
        <v>49.235523668437764</v>
      </c>
      <c r="Z239" s="13">
        <v>0.14249999999999999</v>
      </c>
      <c r="AA239" s="14">
        <v>49.146470313046947</v>
      </c>
      <c r="AB239" s="13">
        <f t="shared" si="67"/>
        <v>0.36120000000000002</v>
      </c>
      <c r="AC239" s="14">
        <v>57.41752031304695</v>
      </c>
      <c r="AD239" s="26">
        <f t="shared" si="52"/>
        <v>0.1424999999999999</v>
      </c>
      <c r="AE239" s="4">
        <f t="shared" si="53"/>
        <v>57.42</v>
      </c>
      <c r="AF239" s="27">
        <f t="shared" si="66"/>
        <v>0.14249999999999999</v>
      </c>
      <c r="AG239" s="4">
        <f t="shared" si="54"/>
        <v>49.24</v>
      </c>
      <c r="AH239" s="27">
        <f t="shared" si="55"/>
        <v>0.36120000000000002</v>
      </c>
    </row>
    <row r="240" spans="1:34" x14ac:dyDescent="0.35">
      <c r="A240" s="8" t="s">
        <v>515</v>
      </c>
      <c r="B240" s="9" t="s">
        <v>516</v>
      </c>
      <c r="C240" s="8" t="s">
        <v>1134</v>
      </c>
      <c r="D240" s="8" t="s">
        <v>1139</v>
      </c>
      <c r="E240" s="8" t="s">
        <v>905</v>
      </c>
      <c r="F240" s="25" t="s">
        <v>1006</v>
      </c>
      <c r="G240" s="8" t="s">
        <v>1127</v>
      </c>
      <c r="H240" s="8">
        <v>7</v>
      </c>
      <c r="I240" s="8" t="s">
        <v>1163</v>
      </c>
      <c r="J240" s="10">
        <v>54.65</v>
      </c>
      <c r="K240" s="22">
        <v>0.39400000000000002</v>
      </c>
      <c r="L240" s="11">
        <v>39.65</v>
      </c>
      <c r="M240" s="13">
        <v>0.41620000000000001</v>
      </c>
      <c r="N240" s="17">
        <f t="shared" si="59"/>
        <v>23.147669999999998</v>
      </c>
      <c r="O240" s="13">
        <v>0.1075</v>
      </c>
      <c r="P240" s="14">
        <f t="shared" si="60"/>
        <v>20.659295474999997</v>
      </c>
      <c r="Q240" s="14">
        <f t="shared" si="61"/>
        <v>7.8443493167499998</v>
      </c>
      <c r="R240" s="28">
        <f t="shared" si="62"/>
        <v>1.44615068325</v>
      </c>
      <c r="S240" s="28">
        <f t="shared" si="63"/>
        <v>4.8218589045695248</v>
      </c>
      <c r="T240" s="28">
        <f t="shared" si="64"/>
        <v>3.57071931675</v>
      </c>
      <c r="U240" s="28">
        <f t="shared" si="56"/>
        <v>4.8218589045695248</v>
      </c>
      <c r="V240" s="28">
        <f t="shared" si="57"/>
        <v>3.022490412180475</v>
      </c>
      <c r="W240" s="28">
        <f t="shared" si="58"/>
        <v>0.15112452060902376</v>
      </c>
      <c r="X240" s="28">
        <f t="shared" si="65"/>
        <v>4.9729834251785485</v>
      </c>
      <c r="Y240" s="14">
        <v>25.631517722467617</v>
      </c>
      <c r="Z240" s="13">
        <v>0.14249999999999999</v>
      </c>
      <c r="AA240" s="14">
        <v>25.628607766726084</v>
      </c>
      <c r="AB240" s="13">
        <f t="shared" si="67"/>
        <v>0.35360000000000003</v>
      </c>
      <c r="AC240" s="14">
        <v>29.890982766726083</v>
      </c>
      <c r="AD240" s="26">
        <f t="shared" si="52"/>
        <v>0.14249999999999996</v>
      </c>
      <c r="AE240" s="4">
        <f t="shared" si="53"/>
        <v>29.89</v>
      </c>
      <c r="AF240" s="27">
        <f t="shared" si="66"/>
        <v>0.14249999999999999</v>
      </c>
      <c r="AG240" s="4">
        <f t="shared" si="54"/>
        <v>25.63</v>
      </c>
      <c r="AH240" s="27">
        <f t="shared" si="55"/>
        <v>0.35360000000000003</v>
      </c>
    </row>
    <row r="241" spans="1:34" x14ac:dyDescent="0.35">
      <c r="A241" s="8" t="s">
        <v>517</v>
      </c>
      <c r="B241" s="9" t="s">
        <v>518</v>
      </c>
      <c r="C241" s="8" t="s">
        <v>1134</v>
      </c>
      <c r="D241" s="8" t="s">
        <v>1139</v>
      </c>
      <c r="E241" s="8" t="s">
        <v>905</v>
      </c>
      <c r="F241" s="25" t="s">
        <v>1007</v>
      </c>
      <c r="G241" s="8" t="s">
        <v>16</v>
      </c>
      <c r="H241" s="8">
        <v>30</v>
      </c>
      <c r="I241" s="8" t="s">
        <v>1163</v>
      </c>
      <c r="J241" s="10">
        <v>107.6</v>
      </c>
      <c r="K241" s="22">
        <v>0.39400000000000002</v>
      </c>
      <c r="L241" s="11">
        <v>78.06</v>
      </c>
      <c r="M241" s="13">
        <v>0.69540000000000002</v>
      </c>
      <c r="N241" s="17">
        <f t="shared" si="59"/>
        <v>23.777076000000001</v>
      </c>
      <c r="O241" s="13">
        <v>0.1075</v>
      </c>
      <c r="P241" s="14">
        <f t="shared" si="60"/>
        <v>21.221040330000001</v>
      </c>
      <c r="Q241" s="14">
        <f t="shared" si="61"/>
        <v>16.806527176900001</v>
      </c>
      <c r="R241" s="28">
        <f t="shared" si="62"/>
        <v>1.4854728231000003</v>
      </c>
      <c r="S241" s="28">
        <f t="shared" si="63"/>
        <v>4.9529695919816703</v>
      </c>
      <c r="T241" s="28">
        <f t="shared" si="64"/>
        <v>8.3922071768999977</v>
      </c>
      <c r="U241" s="28">
        <f t="shared" si="56"/>
        <v>8.3922071768999977</v>
      </c>
      <c r="V241" s="28">
        <f t="shared" si="57"/>
        <v>8.4143200000000036</v>
      </c>
      <c r="W241" s="28">
        <f t="shared" si="58"/>
        <v>0.4207160000000002</v>
      </c>
      <c r="X241" s="28">
        <f t="shared" si="65"/>
        <v>8.8129231768999983</v>
      </c>
      <c r="Y241" s="14">
        <v>30.031268290250004</v>
      </c>
      <c r="Z241" s="13">
        <v>0.14249999999999999</v>
      </c>
      <c r="AA241" s="14">
        <v>26.630437218950437</v>
      </c>
      <c r="AB241" s="13">
        <f t="shared" si="67"/>
        <v>0.65880000000000005</v>
      </c>
      <c r="AC241" s="14">
        <v>35.02188721895044</v>
      </c>
      <c r="AD241" s="26">
        <f t="shared" si="52"/>
        <v>0.14249999999999993</v>
      </c>
      <c r="AE241" s="4">
        <f t="shared" si="53"/>
        <v>35.020000000000003</v>
      </c>
      <c r="AF241" s="27">
        <f t="shared" si="66"/>
        <v>0.14249999999999999</v>
      </c>
      <c r="AG241" s="4">
        <f t="shared" si="54"/>
        <v>30.03</v>
      </c>
      <c r="AH241" s="27">
        <f t="shared" si="55"/>
        <v>0.65880000000000005</v>
      </c>
    </row>
    <row r="242" spans="1:34" x14ac:dyDescent="0.35">
      <c r="A242" s="8" t="s">
        <v>519</v>
      </c>
      <c r="B242" s="9" t="s">
        <v>520</v>
      </c>
      <c r="C242" s="8" t="s">
        <v>1134</v>
      </c>
      <c r="D242" s="8" t="s">
        <v>1139</v>
      </c>
      <c r="E242" s="8" t="s">
        <v>905</v>
      </c>
      <c r="F242" s="25" t="s">
        <v>1007</v>
      </c>
      <c r="G242" s="8" t="s">
        <v>16</v>
      </c>
      <c r="H242" s="8">
        <v>60</v>
      </c>
      <c r="I242" s="8" t="s">
        <v>1163</v>
      </c>
      <c r="J242" s="10">
        <v>179.41</v>
      </c>
      <c r="K242" s="22">
        <v>0.39400000000000002</v>
      </c>
      <c r="L242" s="11">
        <v>130.16</v>
      </c>
      <c r="M242" s="13">
        <v>0.68</v>
      </c>
      <c r="N242" s="17">
        <f t="shared" si="59"/>
        <v>41.651199999999996</v>
      </c>
      <c r="O242" s="13">
        <v>0.1075</v>
      </c>
      <c r="P242" s="14">
        <f t="shared" si="60"/>
        <v>37.173695999999993</v>
      </c>
      <c r="Q242" s="14">
        <f t="shared" si="61"/>
        <v>27.897541280000002</v>
      </c>
      <c r="R242" s="28">
        <f t="shared" si="62"/>
        <v>2.6021587199999998</v>
      </c>
      <c r="S242" s="28">
        <f t="shared" si="63"/>
        <v>8.6763034727039976</v>
      </c>
      <c r="T242" s="28">
        <f t="shared" si="64"/>
        <v>13.867679279999999</v>
      </c>
      <c r="U242" s="28">
        <f t="shared" si="56"/>
        <v>13.867679279999999</v>
      </c>
      <c r="V242" s="28">
        <f t="shared" si="57"/>
        <v>14.029862000000003</v>
      </c>
      <c r="W242" s="28">
        <f t="shared" si="58"/>
        <v>0.7014931000000002</v>
      </c>
      <c r="X242" s="28">
        <f t="shared" si="65"/>
        <v>14.569172379999999</v>
      </c>
      <c r="Y242" s="14">
        <v>51.738374280599999</v>
      </c>
      <c r="Z242" s="13">
        <v>0.14249999999999999</v>
      </c>
      <c r="AA242" s="14">
        <v>46.344096537142853</v>
      </c>
      <c r="AB242" s="13">
        <f t="shared" si="67"/>
        <v>0.64390000000000003</v>
      </c>
      <c r="AC242" s="14">
        <v>60.33629653714285</v>
      </c>
      <c r="AD242" s="26">
        <f t="shared" si="52"/>
        <v>0.14249999999999993</v>
      </c>
      <c r="AE242" s="4">
        <f t="shared" si="53"/>
        <v>60.34</v>
      </c>
      <c r="AF242" s="27">
        <f t="shared" si="66"/>
        <v>0.14249999999999999</v>
      </c>
      <c r="AG242" s="4">
        <f t="shared" si="54"/>
        <v>51.74</v>
      </c>
      <c r="AH242" s="27">
        <f t="shared" si="55"/>
        <v>0.64390000000000003</v>
      </c>
    </row>
    <row r="243" spans="1:34" x14ac:dyDescent="0.35">
      <c r="A243" s="8" t="s">
        <v>521</v>
      </c>
      <c r="B243" s="9" t="s">
        <v>522</v>
      </c>
      <c r="C243" s="8" t="s">
        <v>1134</v>
      </c>
      <c r="D243" s="8" t="s">
        <v>1139</v>
      </c>
      <c r="E243" s="8" t="s">
        <v>905</v>
      </c>
      <c r="F243" s="25" t="s">
        <v>1008</v>
      </c>
      <c r="G243" s="8" t="s">
        <v>16</v>
      </c>
      <c r="H243" s="8">
        <v>30</v>
      </c>
      <c r="I243" s="8" t="s">
        <v>1163</v>
      </c>
      <c r="J243" s="10">
        <v>135.51</v>
      </c>
      <c r="K243" s="22">
        <v>0.39400000000000002</v>
      </c>
      <c r="L243" s="11">
        <v>98.31</v>
      </c>
      <c r="M243" s="13">
        <v>0.65569999999999995</v>
      </c>
      <c r="N243" s="17">
        <f t="shared" si="59"/>
        <v>33.848133000000004</v>
      </c>
      <c r="O243" s="13">
        <v>0.1075</v>
      </c>
      <c r="P243" s="14">
        <f t="shared" si="60"/>
        <v>30.209458702500001</v>
      </c>
      <c r="Q243" s="14">
        <f t="shared" si="61"/>
        <v>20.922037890824999</v>
      </c>
      <c r="R243" s="28">
        <f t="shared" si="62"/>
        <v>2.1146621091750002</v>
      </c>
      <c r="S243" s="28">
        <f t="shared" si="63"/>
        <v>7.0508574517047968</v>
      </c>
      <c r="T243" s="28">
        <f t="shared" si="64"/>
        <v>10.325155890824998</v>
      </c>
      <c r="U243" s="28">
        <f t="shared" si="56"/>
        <v>10.325155890824998</v>
      </c>
      <c r="V243" s="28">
        <f t="shared" si="57"/>
        <v>10.596882000000001</v>
      </c>
      <c r="W243" s="28">
        <f t="shared" si="58"/>
        <v>0.52984410000000004</v>
      </c>
      <c r="X243" s="28">
        <f t="shared" si="65"/>
        <v>10.854999990824998</v>
      </c>
      <c r="Y243" s="14">
        <v>41.061064294799998</v>
      </c>
      <c r="Z243" s="13">
        <v>0.14249999999999999</v>
      </c>
      <c r="AA243" s="14">
        <v>37.316298084314859</v>
      </c>
      <c r="AB243" s="13">
        <f t="shared" si="67"/>
        <v>0.62039999999999995</v>
      </c>
      <c r="AC243" s="14">
        <v>47.88462308431486</v>
      </c>
      <c r="AD243" s="26">
        <f t="shared" si="52"/>
        <v>0.1424999999999999</v>
      </c>
      <c r="AE243" s="4">
        <f t="shared" si="53"/>
        <v>47.88</v>
      </c>
      <c r="AF243" s="27">
        <f t="shared" si="66"/>
        <v>0.14249999999999999</v>
      </c>
      <c r="AG243" s="4">
        <f t="shared" si="54"/>
        <v>41.06</v>
      </c>
      <c r="AH243" s="27">
        <f t="shared" si="55"/>
        <v>0.62039999999999995</v>
      </c>
    </row>
    <row r="244" spans="1:34" x14ac:dyDescent="0.35">
      <c r="A244" s="8" t="s">
        <v>523</v>
      </c>
      <c r="B244" s="9" t="s">
        <v>524</v>
      </c>
      <c r="C244" s="8" t="s">
        <v>1134</v>
      </c>
      <c r="D244" s="8" t="s">
        <v>1139</v>
      </c>
      <c r="E244" s="8" t="s">
        <v>905</v>
      </c>
      <c r="F244" s="25" t="s">
        <v>1008</v>
      </c>
      <c r="G244" s="8" t="s">
        <v>16</v>
      </c>
      <c r="H244" s="8">
        <v>30</v>
      </c>
      <c r="I244" s="8" t="s">
        <v>1163</v>
      </c>
      <c r="J244" s="10">
        <v>122.62</v>
      </c>
      <c r="K244" s="22">
        <v>0.39400000000000002</v>
      </c>
      <c r="L244" s="11">
        <v>88.96</v>
      </c>
      <c r="M244" s="13">
        <v>0.55740000000000001</v>
      </c>
      <c r="N244" s="17">
        <f t="shared" si="59"/>
        <v>39.373695999999995</v>
      </c>
      <c r="O244" s="13">
        <v>0.1075</v>
      </c>
      <c r="P244" s="14">
        <f t="shared" si="60"/>
        <v>35.141023679999996</v>
      </c>
      <c r="Q244" s="14">
        <f t="shared" si="61"/>
        <v>18.385528342400001</v>
      </c>
      <c r="R244" s="28">
        <f t="shared" si="62"/>
        <v>2.4598716575999999</v>
      </c>
      <c r="S244" s="28">
        <f t="shared" si="63"/>
        <v>8.2018797858883197</v>
      </c>
      <c r="T244" s="28">
        <f t="shared" si="64"/>
        <v>8.7966443424000005</v>
      </c>
      <c r="U244" s="28">
        <f t="shared" si="56"/>
        <v>8.7966443424000005</v>
      </c>
      <c r="V244" s="28">
        <f t="shared" si="57"/>
        <v>9.5888840000000002</v>
      </c>
      <c r="W244" s="28">
        <f t="shared" si="58"/>
        <v>0.47944420000000004</v>
      </c>
      <c r="X244" s="28">
        <f t="shared" si="65"/>
        <v>9.2760885424000001</v>
      </c>
      <c r="Y244" s="14">
        <v>44.414040656000005</v>
      </c>
      <c r="Z244" s="13">
        <v>0.14249999999999999</v>
      </c>
      <c r="AA244" s="14">
        <v>42.231599598833817</v>
      </c>
      <c r="AB244" s="13">
        <f t="shared" si="67"/>
        <v>0.52529999999999999</v>
      </c>
      <c r="AC244" s="14">
        <v>51.794799598833819</v>
      </c>
      <c r="AD244" s="26">
        <f t="shared" si="52"/>
        <v>0.1424999999999999</v>
      </c>
      <c r="AE244" s="4">
        <f t="shared" si="53"/>
        <v>51.79</v>
      </c>
      <c r="AF244" s="27">
        <f t="shared" si="66"/>
        <v>0.14249999999999999</v>
      </c>
      <c r="AG244" s="4">
        <f t="shared" si="54"/>
        <v>44.41</v>
      </c>
      <c r="AH244" s="27">
        <f t="shared" si="55"/>
        <v>0.52529999999999999</v>
      </c>
    </row>
    <row r="245" spans="1:34" x14ac:dyDescent="0.35">
      <c r="A245" s="8" t="s">
        <v>525</v>
      </c>
      <c r="B245" s="9" t="s">
        <v>526</v>
      </c>
      <c r="C245" s="8" t="s">
        <v>1134</v>
      </c>
      <c r="D245" s="8" t="s">
        <v>1139</v>
      </c>
      <c r="E245" s="8" t="s">
        <v>905</v>
      </c>
      <c r="F245" s="25" t="s">
        <v>1008</v>
      </c>
      <c r="G245" s="8" t="s">
        <v>16</v>
      </c>
      <c r="H245" s="8">
        <v>30</v>
      </c>
      <c r="I245" s="8" t="s">
        <v>1163</v>
      </c>
      <c r="J245" s="10">
        <v>215.73</v>
      </c>
      <c r="K245" s="22">
        <v>0.39400000000000002</v>
      </c>
      <c r="L245" s="11">
        <v>156.51</v>
      </c>
      <c r="M245" s="13">
        <v>0.20349999999999999</v>
      </c>
      <c r="N245" s="17">
        <f t="shared" si="59"/>
        <v>124.66021499999999</v>
      </c>
      <c r="O245" s="13">
        <v>0.1075</v>
      </c>
      <c r="P245" s="14">
        <f t="shared" si="60"/>
        <v>111.2592418875</v>
      </c>
      <c r="Q245" s="14">
        <f t="shared" si="61"/>
        <v>28.885953067875</v>
      </c>
      <c r="R245" s="28">
        <f t="shared" si="62"/>
        <v>7.7881469321250005</v>
      </c>
      <c r="S245" s="28">
        <f t="shared" si="63"/>
        <v>25.96779579730061</v>
      </c>
      <c r="T245" s="28">
        <f t="shared" si="64"/>
        <v>12.015867067874998</v>
      </c>
      <c r="U245" s="28">
        <f t="shared" si="56"/>
        <v>25.96779579730061</v>
      </c>
      <c r="V245" s="28">
        <f t="shared" si="57"/>
        <v>2.9181572705743903</v>
      </c>
      <c r="W245" s="28">
        <f t="shared" si="58"/>
        <v>0.14590786352871951</v>
      </c>
      <c r="X245" s="28">
        <f t="shared" si="65"/>
        <v>26.11370366082933</v>
      </c>
      <c r="Y245" s="14">
        <v>137.36994096009383</v>
      </c>
      <c r="Z245" s="13">
        <v>0.14249999999999999</v>
      </c>
      <c r="AA245" s="14">
        <v>143.37335687766043</v>
      </c>
      <c r="AB245" s="13">
        <f t="shared" si="67"/>
        <v>8.3900000000000002E-2</v>
      </c>
      <c r="AC245" s="14">
        <v>160.19818187766043</v>
      </c>
      <c r="AD245" s="26">
        <f t="shared" si="52"/>
        <v>0.14249999999999996</v>
      </c>
      <c r="AE245" s="4">
        <f t="shared" si="53"/>
        <v>160.19999999999999</v>
      </c>
      <c r="AF245" s="27">
        <f t="shared" si="66"/>
        <v>0.14249999999999999</v>
      </c>
      <c r="AG245" s="4">
        <f t="shared" si="54"/>
        <v>137.37</v>
      </c>
      <c r="AH245" s="27">
        <f t="shared" si="55"/>
        <v>8.3900000000000002E-2</v>
      </c>
    </row>
    <row r="246" spans="1:34" x14ac:dyDescent="0.35">
      <c r="A246" s="8" t="s">
        <v>527</v>
      </c>
      <c r="B246" s="9" t="s">
        <v>528</v>
      </c>
      <c r="C246" s="8" t="s">
        <v>1134</v>
      </c>
      <c r="D246" s="8" t="s">
        <v>1181</v>
      </c>
      <c r="E246" s="8" t="s">
        <v>905</v>
      </c>
      <c r="F246" s="25" t="s">
        <v>1009</v>
      </c>
      <c r="G246" s="8" t="s">
        <v>1109</v>
      </c>
      <c r="H246" s="8">
        <v>30</v>
      </c>
      <c r="I246" s="8" t="s">
        <v>1163</v>
      </c>
      <c r="J246" s="10">
        <v>132.88</v>
      </c>
      <c r="K246" s="22">
        <v>0.39400000000000002</v>
      </c>
      <c r="L246" s="11">
        <v>96.4</v>
      </c>
      <c r="M246" s="13">
        <v>0.2286</v>
      </c>
      <c r="N246" s="17">
        <f t="shared" si="59"/>
        <v>74.362960000000001</v>
      </c>
      <c r="O246" s="13">
        <v>0.1075</v>
      </c>
      <c r="P246" s="14">
        <f t="shared" si="60"/>
        <v>66.368941800000002</v>
      </c>
      <c r="Q246" s="14">
        <f t="shared" si="61"/>
        <v>17.943774074</v>
      </c>
      <c r="R246" s="28">
        <f t="shared" si="62"/>
        <v>4.6458259260000005</v>
      </c>
      <c r="S246" s="28">
        <f t="shared" si="63"/>
        <v>15.490444647178201</v>
      </c>
      <c r="T246" s="28">
        <f t="shared" si="64"/>
        <v>7.5525580739999985</v>
      </c>
      <c r="U246" s="28">
        <f t="shared" si="56"/>
        <v>15.490444647178201</v>
      </c>
      <c r="V246" s="28">
        <f t="shared" si="57"/>
        <v>2.4533294268217993</v>
      </c>
      <c r="W246" s="28">
        <f t="shared" si="58"/>
        <v>0.12266647134108997</v>
      </c>
      <c r="X246" s="28">
        <f t="shared" si="65"/>
        <v>15.61311111851929</v>
      </c>
      <c r="Y246" s="14">
        <v>81.980202287212009</v>
      </c>
      <c r="Z246" s="13">
        <v>0.14249999999999999</v>
      </c>
      <c r="AA246" s="14">
        <v>85.240734445728293</v>
      </c>
      <c r="AB246" s="13">
        <f t="shared" si="67"/>
        <v>0.1158</v>
      </c>
      <c r="AC246" s="14">
        <v>95.603734445728293</v>
      </c>
      <c r="AD246" s="26">
        <f t="shared" si="52"/>
        <v>0.14250000000000002</v>
      </c>
      <c r="AE246" s="4">
        <f t="shared" si="53"/>
        <v>95.6</v>
      </c>
      <c r="AF246" s="27">
        <f t="shared" si="66"/>
        <v>0.14249999999999999</v>
      </c>
      <c r="AG246" s="4">
        <f t="shared" si="54"/>
        <v>81.98</v>
      </c>
      <c r="AH246" s="27">
        <f t="shared" si="55"/>
        <v>0.1158</v>
      </c>
    </row>
    <row r="247" spans="1:34" x14ac:dyDescent="0.35">
      <c r="A247" s="8" t="s">
        <v>529</v>
      </c>
      <c r="B247" s="9" t="s">
        <v>530</v>
      </c>
      <c r="C247" s="8" t="s">
        <v>1135</v>
      </c>
      <c r="D247" s="8" t="s">
        <v>1139</v>
      </c>
      <c r="E247" s="8" t="s">
        <v>905</v>
      </c>
      <c r="F247" s="25" t="s">
        <v>1010</v>
      </c>
      <c r="G247" s="8" t="s">
        <v>3</v>
      </c>
      <c r="H247" s="8">
        <v>40</v>
      </c>
      <c r="I247" s="8" t="s">
        <v>1164</v>
      </c>
      <c r="J247" s="10">
        <v>63.6</v>
      </c>
      <c r="K247" s="22">
        <v>0.3417</v>
      </c>
      <c r="L247" s="11">
        <v>47.41</v>
      </c>
      <c r="M247" s="13">
        <v>0.52490000000000003</v>
      </c>
      <c r="N247" s="17">
        <f t="shared" si="59"/>
        <v>22.524490999999998</v>
      </c>
      <c r="O247" s="13">
        <v>0.1075</v>
      </c>
      <c r="P247" s="14">
        <f t="shared" si="60"/>
        <v>20.103108217499997</v>
      </c>
      <c r="Q247" s="14">
        <f t="shared" si="61"/>
        <v>9.4047824247750018</v>
      </c>
      <c r="R247" s="28">
        <f t="shared" si="62"/>
        <v>1.407217575225</v>
      </c>
      <c r="S247" s="28">
        <f t="shared" si="63"/>
        <v>4.6920453548562815</v>
      </c>
      <c r="T247" s="28">
        <f t="shared" si="64"/>
        <v>4.4312624247749994</v>
      </c>
      <c r="U247" s="28">
        <f t="shared" si="56"/>
        <v>4.6920453548562815</v>
      </c>
      <c r="V247" s="28">
        <f t="shared" si="57"/>
        <v>4.7127370699187203</v>
      </c>
      <c r="W247" s="28">
        <f t="shared" si="58"/>
        <v>0.23563685349593602</v>
      </c>
      <c r="X247" s="28">
        <f t="shared" si="65"/>
        <v>4.9276822083522172</v>
      </c>
      <c r="Y247" s="14">
        <v>25.033259199099994</v>
      </c>
      <c r="Z247" s="13">
        <v>0.14249999999999999</v>
      </c>
      <c r="AA247" s="14">
        <v>24.096730188454803</v>
      </c>
      <c r="AB247" s="13">
        <f t="shared" si="67"/>
        <v>0.49170000000000003</v>
      </c>
      <c r="AC247" s="14">
        <v>29.193305188454801</v>
      </c>
      <c r="AD247" s="26">
        <f t="shared" si="52"/>
        <v>0.1424999999999999</v>
      </c>
      <c r="AE247" s="4">
        <f t="shared" si="53"/>
        <v>29.19</v>
      </c>
      <c r="AF247" s="27">
        <f t="shared" si="66"/>
        <v>0.14249999999999999</v>
      </c>
      <c r="AG247" s="4">
        <f t="shared" si="54"/>
        <v>25.03</v>
      </c>
      <c r="AH247" s="27">
        <f t="shared" si="55"/>
        <v>0.49170000000000003</v>
      </c>
    </row>
    <row r="248" spans="1:34" x14ac:dyDescent="0.35">
      <c r="A248" s="8" t="s">
        <v>531</v>
      </c>
      <c r="B248" s="9" t="s">
        <v>532</v>
      </c>
      <c r="C248" s="8" t="s">
        <v>1135</v>
      </c>
      <c r="D248" s="8" t="s">
        <v>1139</v>
      </c>
      <c r="E248" s="8" t="s">
        <v>905</v>
      </c>
      <c r="F248" s="25" t="s">
        <v>1011</v>
      </c>
      <c r="G248" s="8" t="s">
        <v>41</v>
      </c>
      <c r="H248" s="8">
        <v>10</v>
      </c>
      <c r="I248" s="8" t="s">
        <v>1164</v>
      </c>
      <c r="J248" s="10">
        <v>61.76</v>
      </c>
      <c r="K248" s="22">
        <v>0.3417</v>
      </c>
      <c r="L248" s="11">
        <v>46.04</v>
      </c>
      <c r="M248" s="13">
        <v>0.749</v>
      </c>
      <c r="N248" s="17">
        <f t="shared" si="59"/>
        <v>11.556039999999999</v>
      </c>
      <c r="O248" s="13">
        <v>0.1075</v>
      </c>
      <c r="P248" s="14">
        <f t="shared" si="60"/>
        <v>10.313765699999999</v>
      </c>
      <c r="Q248" s="14">
        <f t="shared" si="61"/>
        <v>9.7772364009999997</v>
      </c>
      <c r="R248" s="28">
        <f t="shared" si="62"/>
        <v>0.72196359900000007</v>
      </c>
      <c r="S248" s="28">
        <f t="shared" si="63"/>
        <v>2.4072226006143</v>
      </c>
      <c r="T248" s="28">
        <f t="shared" si="64"/>
        <v>4.9476044009999987</v>
      </c>
      <c r="U248" s="28">
        <f t="shared" si="56"/>
        <v>4.9476044009999987</v>
      </c>
      <c r="V248" s="28">
        <f t="shared" si="57"/>
        <v>4.829632000000001</v>
      </c>
      <c r="W248" s="28">
        <f t="shared" si="58"/>
        <v>0.24148160000000007</v>
      </c>
      <c r="X248" s="28">
        <f t="shared" si="65"/>
        <v>5.1890860009999988</v>
      </c>
      <c r="Y248" s="14">
        <v>15.5012620549</v>
      </c>
      <c r="Z248" s="13">
        <v>0.14249999999999999</v>
      </c>
      <c r="AA248" s="14">
        <v>13.127973533411076</v>
      </c>
      <c r="AB248" s="13">
        <f t="shared" si="67"/>
        <v>0.71489999999999998</v>
      </c>
      <c r="AC248" s="14">
        <v>18.077273533411077</v>
      </c>
      <c r="AD248" s="26">
        <f t="shared" si="52"/>
        <v>0.14249999999999993</v>
      </c>
      <c r="AE248" s="4">
        <f t="shared" si="53"/>
        <v>18.079999999999998</v>
      </c>
      <c r="AF248" s="27">
        <f t="shared" si="66"/>
        <v>0.14249999999999999</v>
      </c>
      <c r="AG248" s="4">
        <f t="shared" si="54"/>
        <v>15.5</v>
      </c>
      <c r="AH248" s="27">
        <f t="shared" si="55"/>
        <v>0.71489999999999998</v>
      </c>
    </row>
    <row r="249" spans="1:34" x14ac:dyDescent="0.35">
      <c r="A249" s="8" t="s">
        <v>533</v>
      </c>
      <c r="B249" s="9" t="s">
        <v>534</v>
      </c>
      <c r="C249" s="8" t="s">
        <v>1135</v>
      </c>
      <c r="D249" s="8" t="s">
        <v>1139</v>
      </c>
      <c r="E249" s="8" t="s">
        <v>905</v>
      </c>
      <c r="F249" s="25" t="s">
        <v>1011</v>
      </c>
      <c r="G249" s="8" t="s">
        <v>43</v>
      </c>
      <c r="H249" s="8">
        <v>10</v>
      </c>
      <c r="I249" s="8" t="s">
        <v>1164</v>
      </c>
      <c r="J249" s="10">
        <v>88.64</v>
      </c>
      <c r="K249" s="22">
        <v>0.3417</v>
      </c>
      <c r="L249" s="11">
        <v>66.08</v>
      </c>
      <c r="M249" s="13">
        <v>0.72699999999999998</v>
      </c>
      <c r="N249" s="17">
        <f t="shared" si="59"/>
        <v>18.039840000000002</v>
      </c>
      <c r="O249" s="13">
        <v>0.1075</v>
      </c>
      <c r="P249" s="14">
        <f t="shared" si="60"/>
        <v>16.100557200000001</v>
      </c>
      <c r="Q249" s="14">
        <f t="shared" si="61"/>
        <v>13.941760996000001</v>
      </c>
      <c r="R249" s="28">
        <f t="shared" si="62"/>
        <v>1.1270390040000002</v>
      </c>
      <c r="S249" s="28">
        <f t="shared" si="63"/>
        <v>3.7578539499227999</v>
      </c>
      <c r="T249" s="28">
        <f t="shared" si="64"/>
        <v>7.0101129959999984</v>
      </c>
      <c r="U249" s="28">
        <f t="shared" si="56"/>
        <v>7.0101129959999984</v>
      </c>
      <c r="V249" s="28">
        <f t="shared" si="57"/>
        <v>6.9316480000000027</v>
      </c>
      <c r="W249" s="28">
        <f t="shared" si="58"/>
        <v>0.34658240000000018</v>
      </c>
      <c r="X249" s="28">
        <f t="shared" si="65"/>
        <v>7.3566953959999983</v>
      </c>
      <c r="Y249" s="14">
        <v>23.454971018800006</v>
      </c>
      <c r="Z249" s="13">
        <v>0.14249999999999999</v>
      </c>
      <c r="AA249" s="14">
        <v>20.249135881982511</v>
      </c>
      <c r="AB249" s="13">
        <f t="shared" si="67"/>
        <v>0.69359999999999999</v>
      </c>
      <c r="AC249" s="14">
        <v>27.352735881982511</v>
      </c>
      <c r="AD249" s="26">
        <f t="shared" ref="AD249:AD307" si="68">(AC249-Y249)/AC249</f>
        <v>0.1424999999999999</v>
      </c>
      <c r="AE249" s="4">
        <f t="shared" ref="AE249:AE307" si="69">ROUND(AC249,2)</f>
        <v>27.35</v>
      </c>
      <c r="AF249" s="27">
        <f t="shared" si="66"/>
        <v>0.14249999999999999</v>
      </c>
      <c r="AG249" s="4">
        <f t="shared" si="54"/>
        <v>23.45</v>
      </c>
      <c r="AH249" s="27">
        <f t="shared" si="55"/>
        <v>0.69359999999999999</v>
      </c>
    </row>
    <row r="250" spans="1:34" x14ac:dyDescent="0.35">
      <c r="A250" s="8" t="s">
        <v>535</v>
      </c>
      <c r="B250" s="9" t="s">
        <v>536</v>
      </c>
      <c r="C250" s="8" t="s">
        <v>1135</v>
      </c>
      <c r="D250" s="8" t="s">
        <v>1139</v>
      </c>
      <c r="E250" s="8" t="s">
        <v>905</v>
      </c>
      <c r="F250" s="25" t="s">
        <v>1011</v>
      </c>
      <c r="G250" s="8" t="s">
        <v>40</v>
      </c>
      <c r="H250" s="8">
        <v>30</v>
      </c>
      <c r="I250" s="8" t="s">
        <v>1164</v>
      </c>
      <c r="J250" s="10">
        <v>62.97</v>
      </c>
      <c r="K250" s="22">
        <v>0.3417</v>
      </c>
      <c r="L250" s="11">
        <v>46.94</v>
      </c>
      <c r="M250" s="13">
        <v>0.34920000000000001</v>
      </c>
      <c r="N250" s="17">
        <f t="shared" si="59"/>
        <v>30.548552000000001</v>
      </c>
      <c r="O250" s="13">
        <v>0.1075</v>
      </c>
      <c r="P250" s="14">
        <f t="shared" si="60"/>
        <v>27.264582659999999</v>
      </c>
      <c r="Q250" s="14">
        <f t="shared" si="61"/>
        <v>8.7963792137999999</v>
      </c>
      <c r="R250" s="28">
        <f t="shared" si="62"/>
        <v>1.9085207862</v>
      </c>
      <c r="S250" s="28">
        <f t="shared" si="63"/>
        <v>6.3635263282613401</v>
      </c>
      <c r="T250" s="28">
        <f t="shared" si="64"/>
        <v>3.8721252137999991</v>
      </c>
      <c r="U250" s="28">
        <f t="shared" si="56"/>
        <v>6.3635263282613401</v>
      </c>
      <c r="V250" s="28">
        <f t="shared" si="57"/>
        <v>2.4328528855386597</v>
      </c>
      <c r="W250" s="28">
        <f t="shared" si="58"/>
        <v>0.121642644276933</v>
      </c>
      <c r="X250" s="28">
        <f t="shared" si="65"/>
        <v>6.4851689725382728</v>
      </c>
      <c r="Y250" s="14">
        <v>33.748850505634088</v>
      </c>
      <c r="Z250" s="13">
        <v>0.14249999999999999</v>
      </c>
      <c r="AA250" s="14">
        <v>34.311210064879397</v>
      </c>
      <c r="AB250" s="13">
        <f t="shared" si="67"/>
        <v>0.26900000000000002</v>
      </c>
      <c r="AC250" s="14">
        <v>39.357260064879398</v>
      </c>
      <c r="AD250" s="26">
        <f t="shared" si="68"/>
        <v>0.14249999999999988</v>
      </c>
      <c r="AE250" s="4">
        <f t="shared" si="69"/>
        <v>39.36</v>
      </c>
      <c r="AF250" s="27">
        <f t="shared" si="66"/>
        <v>0.14249999999999999</v>
      </c>
      <c r="AG250" s="4">
        <f t="shared" si="54"/>
        <v>33.75</v>
      </c>
      <c r="AH250" s="27">
        <f t="shared" si="55"/>
        <v>0.26900000000000002</v>
      </c>
    </row>
    <row r="251" spans="1:34" x14ac:dyDescent="0.35">
      <c r="A251" s="8" t="s">
        <v>537</v>
      </c>
      <c r="B251" s="9" t="s">
        <v>538</v>
      </c>
      <c r="C251" s="8" t="s">
        <v>1135</v>
      </c>
      <c r="D251" s="8" t="s">
        <v>1139</v>
      </c>
      <c r="E251" s="8" t="s">
        <v>905</v>
      </c>
      <c r="F251" s="25" t="s">
        <v>1011</v>
      </c>
      <c r="G251" s="8" t="s">
        <v>40</v>
      </c>
      <c r="H251" s="8">
        <v>12</v>
      </c>
      <c r="I251" s="8" t="s">
        <v>1164</v>
      </c>
      <c r="J251" s="10">
        <v>27.71</v>
      </c>
      <c r="K251" s="22">
        <v>0.3417</v>
      </c>
      <c r="L251" s="11">
        <v>20.66</v>
      </c>
      <c r="M251" s="13">
        <v>0.34920000000000001</v>
      </c>
      <c r="N251" s="17">
        <f t="shared" si="59"/>
        <v>13.445528000000001</v>
      </c>
      <c r="O251" s="13">
        <v>0.1075</v>
      </c>
      <c r="P251" s="14">
        <f t="shared" si="60"/>
        <v>12.000133740000001</v>
      </c>
      <c r="Q251" s="14">
        <f t="shared" si="61"/>
        <v>3.8706906382000001</v>
      </c>
      <c r="R251" s="28">
        <f t="shared" si="62"/>
        <v>0.84000936180000019</v>
      </c>
      <c r="S251" s="28">
        <f t="shared" si="63"/>
        <v>2.8008192147822601</v>
      </c>
      <c r="T251" s="28">
        <f t="shared" si="64"/>
        <v>1.7037686381999999</v>
      </c>
      <c r="U251" s="28">
        <f t="shared" si="56"/>
        <v>2.8008192147822601</v>
      </c>
      <c r="V251" s="28">
        <f t="shared" si="57"/>
        <v>1.06987142341774</v>
      </c>
      <c r="W251" s="28">
        <f t="shared" si="58"/>
        <v>5.3493571170887003E-2</v>
      </c>
      <c r="X251" s="28">
        <f t="shared" si="65"/>
        <v>2.8543127859531472</v>
      </c>
      <c r="Y251" s="14">
        <v>14.854049907251818</v>
      </c>
      <c r="Z251" s="13">
        <v>0.14249999999999999</v>
      </c>
      <c r="AA251" s="14">
        <v>15.101557180468589</v>
      </c>
      <c r="AB251" s="13">
        <f t="shared" si="67"/>
        <v>0.26900000000000002</v>
      </c>
      <c r="AC251" s="14">
        <v>17.322507180468591</v>
      </c>
      <c r="AD251" s="26">
        <f t="shared" si="68"/>
        <v>0.1424999999999999</v>
      </c>
      <c r="AE251" s="4">
        <f t="shared" si="69"/>
        <v>17.32</v>
      </c>
      <c r="AF251" s="27">
        <f t="shared" si="66"/>
        <v>0.14249999999999999</v>
      </c>
      <c r="AG251" s="4">
        <f t="shared" ref="AG251:AG310" si="70">ROUND(Y251,2)</f>
        <v>14.85</v>
      </c>
      <c r="AH251" s="27">
        <f t="shared" ref="AH251:AH310" si="71">ROUND(AB251,4)</f>
        <v>0.26900000000000002</v>
      </c>
    </row>
    <row r="252" spans="1:34" x14ac:dyDescent="0.35">
      <c r="A252" s="8" t="s">
        <v>539</v>
      </c>
      <c r="B252" s="9" t="s">
        <v>540</v>
      </c>
      <c r="C252" s="8" t="s">
        <v>1135</v>
      </c>
      <c r="D252" s="8" t="s">
        <v>1178</v>
      </c>
      <c r="E252" s="8" t="s">
        <v>905</v>
      </c>
      <c r="F252" s="25" t="s">
        <v>1012</v>
      </c>
      <c r="G252" s="8" t="s">
        <v>1112</v>
      </c>
      <c r="H252" s="8">
        <v>30</v>
      </c>
      <c r="I252" s="8" t="s">
        <v>1164</v>
      </c>
      <c r="J252" s="10">
        <v>82.49</v>
      </c>
      <c r="K252" s="22">
        <v>0.3417</v>
      </c>
      <c r="L252" s="11">
        <v>61.49</v>
      </c>
      <c r="M252" s="13">
        <v>0.69269999999999998</v>
      </c>
      <c r="N252" s="17">
        <f t="shared" si="59"/>
        <v>18.895877000000002</v>
      </c>
      <c r="O252" s="13">
        <v>0.1075</v>
      </c>
      <c r="P252" s="14">
        <f t="shared" si="60"/>
        <v>16.864570222500003</v>
      </c>
      <c r="Q252" s="14">
        <f t="shared" si="61"/>
        <v>12.842780084425</v>
      </c>
      <c r="R252" s="28">
        <f t="shared" si="62"/>
        <v>1.1805199155750004</v>
      </c>
      <c r="S252" s="28">
        <f t="shared" si="63"/>
        <v>3.9361738253612781</v>
      </c>
      <c r="T252" s="28">
        <f t="shared" si="64"/>
        <v>6.3920620844249987</v>
      </c>
      <c r="U252" s="28">
        <f t="shared" si="56"/>
        <v>6.3920620844249987</v>
      </c>
      <c r="V252" s="28">
        <f t="shared" si="57"/>
        <v>6.4507180000000011</v>
      </c>
      <c r="W252" s="28">
        <f t="shared" si="58"/>
        <v>0.3225359000000001</v>
      </c>
      <c r="X252" s="28">
        <f t="shared" si="65"/>
        <v>6.7145979844249988</v>
      </c>
      <c r="Y252" s="14">
        <v>23.577045110949999</v>
      </c>
      <c r="Z252" s="13">
        <v>0.14249999999999999</v>
      </c>
      <c r="AA252" s="14">
        <v>20.884921339300291</v>
      </c>
      <c r="AB252" s="13">
        <f t="shared" si="67"/>
        <v>0.66039999999999999</v>
      </c>
      <c r="AC252" s="14">
        <v>27.495096339300289</v>
      </c>
      <c r="AD252" s="26">
        <f t="shared" si="68"/>
        <v>0.14249999999999996</v>
      </c>
      <c r="AE252" s="4">
        <f t="shared" si="69"/>
        <v>27.5</v>
      </c>
      <c r="AF252" s="27">
        <f t="shared" si="66"/>
        <v>0.14249999999999999</v>
      </c>
      <c r="AG252" s="4">
        <f t="shared" si="70"/>
        <v>23.58</v>
      </c>
      <c r="AH252" s="27">
        <f t="shared" si="71"/>
        <v>0.66039999999999999</v>
      </c>
    </row>
    <row r="253" spans="1:34" x14ac:dyDescent="0.35">
      <c r="A253" s="8" t="s">
        <v>541</v>
      </c>
      <c r="B253" s="9" t="s">
        <v>542</v>
      </c>
      <c r="C253" s="8" t="s">
        <v>1135</v>
      </c>
      <c r="D253" s="8" t="s">
        <v>1178</v>
      </c>
      <c r="E253" s="8" t="s">
        <v>905</v>
      </c>
      <c r="F253" s="25" t="s">
        <v>1012</v>
      </c>
      <c r="G253" s="8" t="s">
        <v>1112</v>
      </c>
      <c r="H253" s="8">
        <v>60</v>
      </c>
      <c r="I253" s="8" t="s">
        <v>1164</v>
      </c>
      <c r="J253" s="10">
        <v>172.1</v>
      </c>
      <c r="K253" s="22">
        <v>0.3417</v>
      </c>
      <c r="L253" s="11">
        <v>128.29</v>
      </c>
      <c r="M253" s="13">
        <v>0.64180000000000004</v>
      </c>
      <c r="N253" s="17">
        <f t="shared" si="59"/>
        <v>45.95347799999999</v>
      </c>
      <c r="O253" s="13">
        <v>0.1075</v>
      </c>
      <c r="P253" s="14">
        <f t="shared" si="60"/>
        <v>41.013479114999988</v>
      </c>
      <c r="Q253" s="14">
        <f t="shared" si="61"/>
        <v>26.386056461950002</v>
      </c>
      <c r="R253" s="28">
        <f t="shared" si="62"/>
        <v>2.8709435380499992</v>
      </c>
      <c r="S253" s="28">
        <f t="shared" si="63"/>
        <v>9.5725050119618817</v>
      </c>
      <c r="T253" s="28">
        <f t="shared" si="64"/>
        <v>12.927836461949999</v>
      </c>
      <c r="U253" s="28">
        <f t="shared" si="56"/>
        <v>12.927836461949999</v>
      </c>
      <c r="V253" s="28">
        <f t="shared" si="57"/>
        <v>13.458220000000003</v>
      </c>
      <c r="W253" s="28">
        <f t="shared" si="58"/>
        <v>0.67291100000000015</v>
      </c>
      <c r="X253" s="28">
        <f t="shared" si="65"/>
        <v>13.60074746195</v>
      </c>
      <c r="Y253" s="14">
        <v>54.609797043974993</v>
      </c>
      <c r="Z253" s="13">
        <v>0.14249999999999999</v>
      </c>
      <c r="AA253" s="14">
        <v>49.893719511924189</v>
      </c>
      <c r="AB253" s="13">
        <f t="shared" si="67"/>
        <v>0.61109999999999998</v>
      </c>
      <c r="AC253" s="14">
        <v>63.684894511924185</v>
      </c>
      <c r="AD253" s="26">
        <f t="shared" si="68"/>
        <v>0.14249999999999993</v>
      </c>
      <c r="AE253" s="4">
        <f t="shared" si="69"/>
        <v>63.68</v>
      </c>
      <c r="AF253" s="27">
        <f t="shared" si="66"/>
        <v>0.14249999999999999</v>
      </c>
      <c r="AG253" s="4">
        <f t="shared" si="70"/>
        <v>54.61</v>
      </c>
      <c r="AH253" s="27">
        <f t="shared" si="71"/>
        <v>0.61109999999999998</v>
      </c>
    </row>
    <row r="254" spans="1:34" x14ac:dyDescent="0.35">
      <c r="A254" s="8" t="s">
        <v>543</v>
      </c>
      <c r="B254" s="9" t="s">
        <v>544</v>
      </c>
      <c r="C254" s="8" t="s">
        <v>1134</v>
      </c>
      <c r="D254" s="8" t="s">
        <v>1178</v>
      </c>
      <c r="E254" s="8" t="s">
        <v>905</v>
      </c>
      <c r="F254" s="25" t="s">
        <v>1012</v>
      </c>
      <c r="G254" s="8" t="s">
        <v>25</v>
      </c>
      <c r="H254" s="8">
        <v>30</v>
      </c>
      <c r="I254" s="8" t="s">
        <v>1163</v>
      </c>
      <c r="J254" s="10">
        <v>144.18</v>
      </c>
      <c r="K254" s="22">
        <v>0.39400000000000002</v>
      </c>
      <c r="L254" s="11">
        <v>104.6</v>
      </c>
      <c r="M254" s="13">
        <v>0.74319999999999997</v>
      </c>
      <c r="N254" s="17">
        <f t="shared" si="59"/>
        <v>26.861280000000001</v>
      </c>
      <c r="O254" s="13">
        <v>0.1075</v>
      </c>
      <c r="P254" s="14">
        <f t="shared" si="60"/>
        <v>23.973692400000001</v>
      </c>
      <c r="Q254" s="14">
        <f t="shared" si="61"/>
        <v>22.832441532000004</v>
      </c>
      <c r="R254" s="28">
        <f t="shared" si="62"/>
        <v>1.6781584680000001</v>
      </c>
      <c r="S254" s="28">
        <f t="shared" si="63"/>
        <v>5.5954358324676008</v>
      </c>
      <c r="T254" s="28">
        <f t="shared" si="64"/>
        <v>11.557565532</v>
      </c>
      <c r="U254" s="28">
        <f t="shared" si="56"/>
        <v>11.557565532</v>
      </c>
      <c r="V254" s="28">
        <f t="shared" si="57"/>
        <v>11.274876000000004</v>
      </c>
      <c r="W254" s="28">
        <f t="shared" si="58"/>
        <v>0.56374380000000024</v>
      </c>
      <c r="X254" s="28">
        <f t="shared" si="65"/>
        <v>12.121309332000001</v>
      </c>
      <c r="Y254" s="14">
        <v>36.091390155500008</v>
      </c>
      <c r="Z254" s="13">
        <v>0.14249999999999999</v>
      </c>
      <c r="AA254" s="14">
        <v>30.844584729446069</v>
      </c>
      <c r="AB254" s="13">
        <f t="shared" si="67"/>
        <v>0.70509999999999995</v>
      </c>
      <c r="AC254" s="14">
        <v>42.089084729446071</v>
      </c>
      <c r="AD254" s="26">
        <f t="shared" si="68"/>
        <v>0.14249999999999996</v>
      </c>
      <c r="AE254" s="4">
        <f t="shared" si="69"/>
        <v>42.09</v>
      </c>
      <c r="AF254" s="27">
        <f t="shared" si="66"/>
        <v>0.14249999999999999</v>
      </c>
      <c r="AG254" s="4">
        <f t="shared" si="70"/>
        <v>36.090000000000003</v>
      </c>
      <c r="AH254" s="27">
        <f t="shared" si="71"/>
        <v>0.70509999999999995</v>
      </c>
    </row>
    <row r="255" spans="1:34" x14ac:dyDescent="0.35">
      <c r="A255" s="8" t="s">
        <v>545</v>
      </c>
      <c r="B255" s="9" t="s">
        <v>546</v>
      </c>
      <c r="C255" s="8" t="s">
        <v>1134</v>
      </c>
      <c r="D255" s="8" t="s">
        <v>1139</v>
      </c>
      <c r="E255" s="8" t="s">
        <v>905</v>
      </c>
      <c r="F255" s="25" t="s">
        <v>1013</v>
      </c>
      <c r="G255" s="8" t="s">
        <v>1111</v>
      </c>
      <c r="H255" s="8">
        <v>1</v>
      </c>
      <c r="I255" s="8" t="s">
        <v>1163</v>
      </c>
      <c r="J255" s="10">
        <v>16.09</v>
      </c>
      <c r="K255" s="22">
        <v>0.39400000000000002</v>
      </c>
      <c r="L255" s="11">
        <v>11.67</v>
      </c>
      <c r="M255" s="13">
        <v>0.73480000000000001</v>
      </c>
      <c r="N255" s="17">
        <f t="shared" si="59"/>
        <v>3.094884</v>
      </c>
      <c r="O255" s="13">
        <v>0.1075</v>
      </c>
      <c r="P255" s="14">
        <f t="shared" si="60"/>
        <v>2.7621839699999997</v>
      </c>
      <c r="Q255" s="14">
        <f t="shared" si="61"/>
        <v>2.5419471220999998</v>
      </c>
      <c r="R255" s="28">
        <f t="shared" si="62"/>
        <v>0.1933528779</v>
      </c>
      <c r="S255" s="28">
        <f t="shared" si="63"/>
        <v>0.64469097641402995</v>
      </c>
      <c r="T255" s="28">
        <f t="shared" si="64"/>
        <v>1.2837091220999999</v>
      </c>
      <c r="U255" s="28">
        <f t="shared" si="56"/>
        <v>1.2837091220999999</v>
      </c>
      <c r="V255" s="28">
        <f t="shared" si="57"/>
        <v>1.258238</v>
      </c>
      <c r="W255" s="28">
        <f t="shared" si="58"/>
        <v>6.2911900000000007E-2</v>
      </c>
      <c r="X255" s="28">
        <f t="shared" si="65"/>
        <v>1.3466210220999999</v>
      </c>
      <c r="Y255" s="14">
        <v>4.1084020561749997</v>
      </c>
      <c r="Z255" s="13">
        <v>0.14249999999999999</v>
      </c>
      <c r="AA255" s="14">
        <v>3.5366144241107871</v>
      </c>
      <c r="AB255" s="13">
        <f t="shared" si="67"/>
        <v>0.69689999999999996</v>
      </c>
      <c r="AC255" s="14">
        <v>4.7911394241107867</v>
      </c>
      <c r="AD255" s="26">
        <f t="shared" si="68"/>
        <v>0.14249999999999999</v>
      </c>
      <c r="AE255" s="4">
        <f t="shared" si="69"/>
        <v>4.79</v>
      </c>
      <c r="AF255" s="27">
        <f t="shared" si="66"/>
        <v>0.14249999999999999</v>
      </c>
      <c r="AG255" s="4">
        <f t="shared" si="70"/>
        <v>4.1100000000000003</v>
      </c>
      <c r="AH255" s="27">
        <f t="shared" si="71"/>
        <v>0.69689999999999996</v>
      </c>
    </row>
    <row r="256" spans="1:34" x14ac:dyDescent="0.35">
      <c r="A256" s="8" t="s">
        <v>547</v>
      </c>
      <c r="B256" s="9" t="s">
        <v>548</v>
      </c>
      <c r="C256" s="8" t="s">
        <v>1134</v>
      </c>
      <c r="D256" s="8" t="s">
        <v>1139</v>
      </c>
      <c r="E256" s="8" t="s">
        <v>905</v>
      </c>
      <c r="F256" s="25" t="s">
        <v>1013</v>
      </c>
      <c r="G256" s="8" t="s">
        <v>1111</v>
      </c>
      <c r="H256" s="8">
        <v>2</v>
      </c>
      <c r="I256" s="8" t="s">
        <v>1163</v>
      </c>
      <c r="J256" s="10">
        <v>27.07</v>
      </c>
      <c r="K256" s="22">
        <v>0.39400000000000002</v>
      </c>
      <c r="L256" s="11">
        <v>19.64</v>
      </c>
      <c r="M256" s="13">
        <v>0.60319999999999996</v>
      </c>
      <c r="N256" s="17">
        <f t="shared" si="59"/>
        <v>7.793152000000001</v>
      </c>
      <c r="O256" s="13">
        <v>0.1075</v>
      </c>
      <c r="P256" s="14">
        <f t="shared" si="60"/>
        <v>6.9553881600000009</v>
      </c>
      <c r="Q256" s="14">
        <f t="shared" si="61"/>
        <v>4.1150228288000008</v>
      </c>
      <c r="R256" s="28">
        <f t="shared" si="62"/>
        <v>0.48687717120000013</v>
      </c>
      <c r="S256" s="28">
        <f t="shared" si="63"/>
        <v>1.62338064115584</v>
      </c>
      <c r="T256" s="28">
        <f t="shared" si="64"/>
        <v>1.9981488287999998</v>
      </c>
      <c r="U256" s="28">
        <f t="shared" ref="U256:U318" si="72">IFERROR(IF(J256="-",P256*7%,LARGE(S256:T256,1)),"-")</f>
        <v>1.9981488287999998</v>
      </c>
      <c r="V256" s="28">
        <f t="shared" ref="V256:V318" si="73">IFERROR(Q256-U256,"-")</f>
        <v>2.116874000000001</v>
      </c>
      <c r="W256" s="28">
        <f t="shared" ref="W256:W318" si="74">IFERROR(V256*5%,"-")</f>
        <v>0.10584370000000005</v>
      </c>
      <c r="X256" s="28">
        <f t="shared" si="65"/>
        <v>2.1039925287999997</v>
      </c>
      <c r="Y256" s="14">
        <v>9.0587025686999976</v>
      </c>
      <c r="Z256" s="13">
        <v>0.14249999999999999</v>
      </c>
      <c r="AA256" s="14">
        <v>8.4527846282215719</v>
      </c>
      <c r="AB256" s="13">
        <f t="shared" si="67"/>
        <v>0.5696</v>
      </c>
      <c r="AC256" s="14">
        <v>10.564084628221572</v>
      </c>
      <c r="AD256" s="26">
        <f t="shared" si="68"/>
        <v>0.14250000000000004</v>
      </c>
      <c r="AE256" s="4">
        <f t="shared" si="69"/>
        <v>10.56</v>
      </c>
      <c r="AF256" s="27">
        <f t="shared" si="66"/>
        <v>0.14249999999999999</v>
      </c>
      <c r="AG256" s="4">
        <f t="shared" si="70"/>
        <v>9.06</v>
      </c>
      <c r="AH256" s="27">
        <f t="shared" si="71"/>
        <v>0.5696</v>
      </c>
    </row>
    <row r="257" spans="1:34" x14ac:dyDescent="0.35">
      <c r="A257" s="8" t="s">
        <v>549</v>
      </c>
      <c r="B257" s="9" t="s">
        <v>550</v>
      </c>
      <c r="C257" s="8" t="s">
        <v>1135</v>
      </c>
      <c r="D257" s="8" t="s">
        <v>1196</v>
      </c>
      <c r="E257" s="8" t="s">
        <v>905</v>
      </c>
      <c r="F257" s="25" t="s">
        <v>1014</v>
      </c>
      <c r="G257" s="8" t="s">
        <v>3</v>
      </c>
      <c r="H257" s="8">
        <v>30</v>
      </c>
      <c r="I257" s="8" t="s">
        <v>1164</v>
      </c>
      <c r="J257" s="10">
        <v>212.69</v>
      </c>
      <c r="K257" s="22">
        <v>0.3417</v>
      </c>
      <c r="L257" s="11">
        <v>158.55000000000001</v>
      </c>
      <c r="M257" s="13">
        <v>0.2462</v>
      </c>
      <c r="N257" s="17">
        <f t="shared" ref="N257:N319" si="75">L257*(1-M257)</f>
        <v>119.51499000000001</v>
      </c>
      <c r="O257" s="13">
        <v>0.1075</v>
      </c>
      <c r="P257" s="14">
        <f t="shared" ref="P257:P319" si="76">N257*(1-O257)</f>
        <v>106.66712857500001</v>
      </c>
      <c r="Q257" s="14">
        <f t="shared" ref="Q257:Q319" si="77">IFERROR(IF(J257="-",P257*(1+K257)*17%,(J257*17%)-R257),"-")</f>
        <v>28.690600999749996</v>
      </c>
      <c r="R257" s="28">
        <f t="shared" ref="R257:R319" si="78">IFERROR(P257*7%,"-")</f>
        <v>7.4666990002500011</v>
      </c>
      <c r="S257" s="28">
        <f t="shared" ref="S257:S319" si="79">IFERROR((P257*1.983*0.153)-R257,0)</f>
        <v>24.896001142276425</v>
      </c>
      <c r="T257" s="28">
        <f t="shared" ref="T257:T319" si="80">IFERROR((J257*0.6*0.153)-R257,0)</f>
        <v>12.058242999749998</v>
      </c>
      <c r="U257" s="28">
        <f t="shared" si="72"/>
        <v>24.896001142276425</v>
      </c>
      <c r="V257" s="28">
        <f t="shared" si="73"/>
        <v>3.7945998574735711</v>
      </c>
      <c r="W257" s="28">
        <f t="shared" si="74"/>
        <v>0.18972999287367856</v>
      </c>
      <c r="X257" s="28">
        <f t="shared" ref="X257:X319" si="81">IF($J257="-",Q257-U257,Q257-V257+W257)</f>
        <v>25.085731135150105</v>
      </c>
      <c r="Y257" s="14">
        <v>131.74981595917743</v>
      </c>
      <c r="Z257" s="13">
        <v>0.14249999999999999</v>
      </c>
      <c r="AA257" s="14">
        <v>136.59997524393867</v>
      </c>
      <c r="AB257" s="13">
        <f t="shared" si="67"/>
        <v>0.1384</v>
      </c>
      <c r="AC257" s="14">
        <v>153.64410024393868</v>
      </c>
      <c r="AD257" s="26">
        <f t="shared" si="68"/>
        <v>0.14249999999999996</v>
      </c>
      <c r="AE257" s="4">
        <f t="shared" si="69"/>
        <v>153.63999999999999</v>
      </c>
      <c r="AF257" s="27">
        <f t="shared" ref="AF257:AF319" si="82">ROUND(AD257,4)</f>
        <v>0.14249999999999999</v>
      </c>
      <c r="AG257" s="4">
        <f t="shared" si="70"/>
        <v>131.75</v>
      </c>
      <c r="AH257" s="27">
        <f t="shared" si="71"/>
        <v>0.1384</v>
      </c>
    </row>
    <row r="258" spans="1:34" x14ac:dyDescent="0.35">
      <c r="A258" s="8" t="s">
        <v>551</v>
      </c>
      <c r="B258" s="9" t="s">
        <v>1212</v>
      </c>
      <c r="C258" s="8" t="s">
        <v>1134</v>
      </c>
      <c r="D258" s="8" t="s">
        <v>1168</v>
      </c>
      <c r="E258" s="8" t="s">
        <v>905</v>
      </c>
      <c r="F258" s="25" t="s">
        <v>1015</v>
      </c>
      <c r="G258" s="8" t="s">
        <v>23</v>
      </c>
      <c r="H258" s="8">
        <v>30</v>
      </c>
      <c r="I258" s="8" t="s">
        <v>1163</v>
      </c>
      <c r="J258" s="10">
        <v>75.44</v>
      </c>
      <c r="K258" s="22">
        <v>0.39400000000000002</v>
      </c>
      <c r="L258" s="11">
        <v>54.73</v>
      </c>
      <c r="M258" s="13">
        <v>0.80459999999999998</v>
      </c>
      <c r="N258" s="17">
        <f t="shared" si="75"/>
        <v>10.694242000000001</v>
      </c>
      <c r="O258" s="13">
        <v>0.1075</v>
      </c>
      <c r="P258" s="14">
        <f t="shared" si="76"/>
        <v>9.5446109850000003</v>
      </c>
      <c r="Q258" s="14">
        <f t="shared" si="77"/>
        <v>12.156677231049999</v>
      </c>
      <c r="R258" s="28">
        <f t="shared" si="78"/>
        <v>0.66812276895000011</v>
      </c>
      <c r="S258" s="28">
        <f t="shared" si="79"/>
        <v>2.2277026592880151</v>
      </c>
      <c r="T258" s="28">
        <f t="shared" si="80"/>
        <v>6.2572692310499995</v>
      </c>
      <c r="U258" s="28">
        <f t="shared" si="72"/>
        <v>6.2572692310499995</v>
      </c>
      <c r="V258" s="28">
        <f t="shared" si="73"/>
        <v>5.8994079999999993</v>
      </c>
      <c r="W258" s="28">
        <f t="shared" si="74"/>
        <v>0.29497039999999997</v>
      </c>
      <c r="X258" s="28">
        <f t="shared" si="81"/>
        <v>6.55223963105</v>
      </c>
      <c r="Y258" s="14">
        <v>16.094960925975002</v>
      </c>
      <c r="Z258" s="13">
        <v>0.14249999999999999</v>
      </c>
      <c r="AA258" s="14">
        <v>12.886158732915453</v>
      </c>
      <c r="AB258" s="13">
        <f t="shared" si="67"/>
        <v>0.76459999999999995</v>
      </c>
      <c r="AC258" s="14">
        <v>18.769633732915452</v>
      </c>
      <c r="AD258" s="26">
        <f t="shared" si="68"/>
        <v>0.14249999999999988</v>
      </c>
      <c r="AE258" s="4">
        <f t="shared" si="69"/>
        <v>18.77</v>
      </c>
      <c r="AF258" s="27">
        <f t="shared" si="82"/>
        <v>0.14249999999999999</v>
      </c>
      <c r="AG258" s="4">
        <f t="shared" si="70"/>
        <v>16.09</v>
      </c>
      <c r="AH258" s="27">
        <f t="shared" si="71"/>
        <v>0.76459999999999995</v>
      </c>
    </row>
    <row r="259" spans="1:34" x14ac:dyDescent="0.35">
      <c r="A259" s="8" t="s">
        <v>552</v>
      </c>
      <c r="B259" s="9" t="s">
        <v>553</v>
      </c>
      <c r="C259" s="8" t="s">
        <v>1134</v>
      </c>
      <c r="D259" s="8" t="s">
        <v>1168</v>
      </c>
      <c r="E259" s="8" t="s">
        <v>905</v>
      </c>
      <c r="F259" s="25" t="s">
        <v>1016</v>
      </c>
      <c r="G259" s="8" t="s">
        <v>1124</v>
      </c>
      <c r="H259" s="8">
        <v>30</v>
      </c>
      <c r="I259" s="8" t="s">
        <v>1163</v>
      </c>
      <c r="J259" s="10">
        <v>130.47</v>
      </c>
      <c r="K259" s="22">
        <v>0.39400000000000002</v>
      </c>
      <c r="L259" s="11">
        <v>94.65</v>
      </c>
      <c r="M259" s="13">
        <v>0.66900000000000004</v>
      </c>
      <c r="N259" s="17">
        <f t="shared" si="75"/>
        <v>31.329149999999998</v>
      </c>
      <c r="O259" s="13">
        <v>0.1075</v>
      </c>
      <c r="P259" s="14">
        <f t="shared" si="76"/>
        <v>27.961266374999997</v>
      </c>
      <c r="Q259" s="14">
        <f t="shared" si="77"/>
        <v>20.222611353750001</v>
      </c>
      <c r="R259" s="28">
        <f t="shared" si="78"/>
        <v>1.9572886462500001</v>
      </c>
      <c r="S259" s="28">
        <f t="shared" si="79"/>
        <v>6.5261316106586245</v>
      </c>
      <c r="T259" s="28">
        <f t="shared" si="80"/>
        <v>10.01985735375</v>
      </c>
      <c r="U259" s="28">
        <f t="shared" si="72"/>
        <v>10.01985735375</v>
      </c>
      <c r="V259" s="28">
        <f t="shared" si="73"/>
        <v>10.202754000000001</v>
      </c>
      <c r="W259" s="28">
        <f t="shared" si="74"/>
        <v>0.51013770000000003</v>
      </c>
      <c r="X259" s="28">
        <f t="shared" si="81"/>
        <v>10.52999505375</v>
      </c>
      <c r="Y259" s="14">
        <v>38.487993400874998</v>
      </c>
      <c r="Z259" s="13">
        <v>0.14249999999999999</v>
      </c>
      <c r="AA259" s="14">
        <v>34.709082318804661</v>
      </c>
      <c r="AB259" s="13">
        <f t="shared" ref="AB259:AB322" si="83">ROUND(1-(AA259/L259),4)</f>
        <v>0.63329999999999997</v>
      </c>
      <c r="AC259" s="14">
        <v>44.883957318804661</v>
      </c>
      <c r="AD259" s="26">
        <f t="shared" si="68"/>
        <v>0.14249999999999996</v>
      </c>
      <c r="AE259" s="4">
        <f t="shared" si="69"/>
        <v>44.88</v>
      </c>
      <c r="AF259" s="27">
        <f t="shared" si="82"/>
        <v>0.14249999999999999</v>
      </c>
      <c r="AG259" s="4">
        <f t="shared" si="70"/>
        <v>38.49</v>
      </c>
      <c r="AH259" s="27">
        <f t="shared" si="71"/>
        <v>0.63329999999999997</v>
      </c>
    </row>
    <row r="260" spans="1:34" x14ac:dyDescent="0.35">
      <c r="A260" s="8" t="s">
        <v>554</v>
      </c>
      <c r="B260" s="9" t="s">
        <v>555</v>
      </c>
      <c r="C260" s="8" t="s">
        <v>1134</v>
      </c>
      <c r="D260" s="8" t="s">
        <v>1168</v>
      </c>
      <c r="E260" s="8" t="s">
        <v>905</v>
      </c>
      <c r="F260" s="25" t="s">
        <v>1016</v>
      </c>
      <c r="G260" s="8" t="s">
        <v>42</v>
      </c>
      <c r="H260" s="8">
        <v>27</v>
      </c>
      <c r="I260" s="8" t="s">
        <v>1163</v>
      </c>
      <c r="J260" s="10">
        <v>242.54</v>
      </c>
      <c r="K260" s="22">
        <v>0.39400000000000002</v>
      </c>
      <c r="L260" s="11">
        <v>175.96</v>
      </c>
      <c r="M260" s="13">
        <v>0.2031</v>
      </c>
      <c r="N260" s="17">
        <f t="shared" si="75"/>
        <v>140.22252399999999</v>
      </c>
      <c r="O260" s="13">
        <v>0.1075</v>
      </c>
      <c r="P260" s="14">
        <f t="shared" si="76"/>
        <v>125.14860266999999</v>
      </c>
      <c r="Q260" s="14">
        <f t="shared" si="77"/>
        <v>32.471397813099998</v>
      </c>
      <c r="R260" s="28">
        <f t="shared" si="78"/>
        <v>8.7604021869000004</v>
      </c>
      <c r="S260" s="28">
        <f t="shared" si="79"/>
        <v>29.209558714575323</v>
      </c>
      <c r="T260" s="28">
        <f t="shared" si="80"/>
        <v>13.504769813099999</v>
      </c>
      <c r="U260" s="28">
        <f t="shared" si="72"/>
        <v>29.209558714575323</v>
      </c>
      <c r="V260" s="28">
        <f t="shared" si="73"/>
        <v>3.2618390985246748</v>
      </c>
      <c r="W260" s="28">
        <f t="shared" si="74"/>
        <v>0.16309195492623374</v>
      </c>
      <c r="X260" s="28">
        <f t="shared" si="81"/>
        <v>29.372650669501557</v>
      </c>
      <c r="Y260" s="14">
        <v>154.51787536144317</v>
      </c>
      <c r="Z260" s="13">
        <v>0.14249999999999999</v>
      </c>
      <c r="AA260" s="14">
        <v>161.28007301626025</v>
      </c>
      <c r="AB260" s="13">
        <f t="shared" si="83"/>
        <v>8.3400000000000002E-2</v>
      </c>
      <c r="AC260" s="14">
        <v>180.19577301626026</v>
      </c>
      <c r="AD260" s="26">
        <f t="shared" si="68"/>
        <v>0.14249999999999999</v>
      </c>
      <c r="AE260" s="4">
        <f t="shared" si="69"/>
        <v>180.2</v>
      </c>
      <c r="AF260" s="27">
        <f t="shared" si="82"/>
        <v>0.14249999999999999</v>
      </c>
      <c r="AG260" s="4">
        <f t="shared" si="70"/>
        <v>154.52000000000001</v>
      </c>
      <c r="AH260" s="27">
        <f t="shared" si="71"/>
        <v>8.3400000000000002E-2</v>
      </c>
    </row>
    <row r="261" spans="1:34" x14ac:dyDescent="0.35">
      <c r="A261" s="8" t="s">
        <v>556</v>
      </c>
      <c r="B261" s="9" t="s">
        <v>557</v>
      </c>
      <c r="C261" s="8" t="s">
        <v>1134</v>
      </c>
      <c r="D261" s="8" t="s">
        <v>1149</v>
      </c>
      <c r="E261" s="8" t="s">
        <v>905</v>
      </c>
      <c r="F261" s="25" t="s">
        <v>1017</v>
      </c>
      <c r="G261" s="8" t="s">
        <v>25</v>
      </c>
      <c r="H261" s="8">
        <v>30</v>
      </c>
      <c r="I261" s="8" t="s">
        <v>1163</v>
      </c>
      <c r="J261" s="10">
        <v>16.64</v>
      </c>
      <c r="K261" s="22">
        <v>0.39400000000000002</v>
      </c>
      <c r="L261" s="11">
        <v>12.07</v>
      </c>
      <c r="M261" s="13">
        <v>0.72789999999999999</v>
      </c>
      <c r="N261" s="17">
        <f t="shared" si="75"/>
        <v>3.2842470000000001</v>
      </c>
      <c r="O261" s="13">
        <v>0.1075</v>
      </c>
      <c r="P261" s="14">
        <f t="shared" si="76"/>
        <v>2.9311904475000001</v>
      </c>
      <c r="Q261" s="14">
        <f t="shared" si="77"/>
        <v>2.623616668675</v>
      </c>
      <c r="R261" s="28">
        <f t="shared" si="78"/>
        <v>0.20518333132500002</v>
      </c>
      <c r="S261" s="28">
        <f t="shared" si="79"/>
        <v>0.68413691925605258</v>
      </c>
      <c r="T261" s="28">
        <f t="shared" si="80"/>
        <v>1.322368668675</v>
      </c>
      <c r="U261" s="28">
        <f t="shared" si="72"/>
        <v>1.322368668675</v>
      </c>
      <c r="V261" s="28">
        <f t="shared" si="73"/>
        <v>1.301248</v>
      </c>
      <c r="W261" s="28">
        <f t="shared" si="74"/>
        <v>6.5062400000000006E-2</v>
      </c>
      <c r="X261" s="28">
        <f t="shared" si="81"/>
        <v>1.387431068675</v>
      </c>
      <c r="Y261" s="14">
        <v>4.3182047692500003</v>
      </c>
      <c r="Z261" s="13">
        <v>0.14249999999999999</v>
      </c>
      <c r="AA261" s="14">
        <v>3.7382823110787173</v>
      </c>
      <c r="AB261" s="13">
        <f t="shared" si="83"/>
        <v>0.69030000000000002</v>
      </c>
      <c r="AC261" s="14">
        <v>5.0358073110787176</v>
      </c>
      <c r="AD261" s="26">
        <f t="shared" si="68"/>
        <v>0.14250000000000002</v>
      </c>
      <c r="AE261" s="4">
        <f t="shared" si="69"/>
        <v>5.04</v>
      </c>
      <c r="AF261" s="27">
        <f t="shared" si="82"/>
        <v>0.14249999999999999</v>
      </c>
      <c r="AG261" s="4">
        <f t="shared" si="70"/>
        <v>4.32</v>
      </c>
      <c r="AH261" s="27">
        <f t="shared" si="71"/>
        <v>0.69030000000000002</v>
      </c>
    </row>
    <row r="262" spans="1:34" x14ac:dyDescent="0.35">
      <c r="A262" s="8" t="s">
        <v>558</v>
      </c>
      <c r="B262" s="9" t="s">
        <v>1228</v>
      </c>
      <c r="C262" s="8" t="s">
        <v>1134</v>
      </c>
      <c r="D262" s="8" t="s">
        <v>1149</v>
      </c>
      <c r="E262" s="8" t="s">
        <v>905</v>
      </c>
      <c r="F262" s="25" t="s">
        <v>1018</v>
      </c>
      <c r="G262" s="8" t="s">
        <v>39</v>
      </c>
      <c r="H262" s="8">
        <v>30</v>
      </c>
      <c r="I262" s="8" t="s">
        <v>1163</v>
      </c>
      <c r="J262" s="10">
        <v>32.81</v>
      </c>
      <c r="K262" s="22">
        <v>0.39400000000000002</v>
      </c>
      <c r="L262" s="11">
        <v>23.8</v>
      </c>
      <c r="M262" s="13">
        <v>0.55559999999999998</v>
      </c>
      <c r="N262" s="17">
        <f t="shared" si="75"/>
        <v>10.57672</v>
      </c>
      <c r="O262" s="13">
        <v>0.1075</v>
      </c>
      <c r="P262" s="14">
        <f t="shared" si="76"/>
        <v>9.4397225999999996</v>
      </c>
      <c r="Q262" s="14">
        <f t="shared" si="77"/>
        <v>4.9169194180000009</v>
      </c>
      <c r="R262" s="28">
        <f t="shared" si="78"/>
        <v>0.66078058200000001</v>
      </c>
      <c r="S262" s="28">
        <f t="shared" si="79"/>
        <v>2.2032218151173995</v>
      </c>
      <c r="T262" s="28">
        <f t="shared" si="80"/>
        <v>2.3511774179999998</v>
      </c>
      <c r="U262" s="28">
        <f t="shared" si="72"/>
        <v>2.3511774179999998</v>
      </c>
      <c r="V262" s="28">
        <f t="shared" si="73"/>
        <v>2.5657420000000011</v>
      </c>
      <c r="W262" s="28">
        <f t="shared" si="74"/>
        <v>0.12828710000000007</v>
      </c>
      <c r="X262" s="28">
        <f t="shared" si="81"/>
        <v>2.4794645179999999</v>
      </c>
      <c r="Y262" s="14">
        <v>11.918365363500001</v>
      </c>
      <c r="Z262" s="13">
        <v>0.14249999999999999</v>
      </c>
      <c r="AA262" s="14">
        <v>11.340468353935862</v>
      </c>
      <c r="AB262" s="13">
        <f t="shared" si="83"/>
        <v>0.52349999999999997</v>
      </c>
      <c r="AC262" s="14">
        <v>13.898968353935862</v>
      </c>
      <c r="AD262" s="26">
        <f t="shared" si="68"/>
        <v>0.14250000000000002</v>
      </c>
      <c r="AE262" s="4">
        <f t="shared" si="69"/>
        <v>13.9</v>
      </c>
      <c r="AF262" s="27">
        <f t="shared" si="82"/>
        <v>0.14249999999999999</v>
      </c>
      <c r="AG262" s="4">
        <f t="shared" si="70"/>
        <v>11.92</v>
      </c>
      <c r="AH262" s="27">
        <f t="shared" si="71"/>
        <v>0.52349999999999997</v>
      </c>
    </row>
    <row r="263" spans="1:34" x14ac:dyDescent="0.35">
      <c r="A263" s="8" t="s">
        <v>559</v>
      </c>
      <c r="B263" s="9" t="s">
        <v>560</v>
      </c>
      <c r="C263" s="8" t="s">
        <v>1134</v>
      </c>
      <c r="D263" s="8" t="s">
        <v>1149</v>
      </c>
      <c r="E263" s="8" t="s">
        <v>905</v>
      </c>
      <c r="F263" s="25" t="s">
        <v>1018</v>
      </c>
      <c r="G263" s="8" t="s">
        <v>39</v>
      </c>
      <c r="H263" s="8">
        <v>60</v>
      </c>
      <c r="I263" s="8" t="s">
        <v>1163</v>
      </c>
      <c r="J263" s="10">
        <v>47.62</v>
      </c>
      <c r="K263" s="22">
        <v>0.39400000000000002</v>
      </c>
      <c r="L263" s="11">
        <v>34.549999999999997</v>
      </c>
      <c r="M263" s="13">
        <v>0.52810000000000001</v>
      </c>
      <c r="N263" s="17">
        <f t="shared" si="75"/>
        <v>16.304144999999998</v>
      </c>
      <c r="O263" s="13">
        <v>0.1075</v>
      </c>
      <c r="P263" s="14">
        <f t="shared" si="76"/>
        <v>14.551449412499998</v>
      </c>
      <c r="Q263" s="14">
        <f t="shared" si="77"/>
        <v>7.0767985411249992</v>
      </c>
      <c r="R263" s="28">
        <f t="shared" si="78"/>
        <v>1.0186014588750001</v>
      </c>
      <c r="S263" s="28">
        <f t="shared" si="79"/>
        <v>3.3962937414280874</v>
      </c>
      <c r="T263" s="28">
        <f t="shared" si="80"/>
        <v>3.3529145411249996</v>
      </c>
      <c r="U263" s="28">
        <f t="shared" si="72"/>
        <v>3.3962937414280874</v>
      </c>
      <c r="V263" s="28">
        <f t="shared" si="73"/>
        <v>3.6805047996969118</v>
      </c>
      <c r="W263" s="28">
        <f t="shared" si="74"/>
        <v>0.1840252399848456</v>
      </c>
      <c r="X263" s="28">
        <f t="shared" si="81"/>
        <v>3.5803189814129328</v>
      </c>
      <c r="Y263" s="14">
        <v>18.132381274124999</v>
      </c>
      <c r="Z263" s="13">
        <v>0.14249999999999999</v>
      </c>
      <c r="AA263" s="14">
        <v>17.431509138921282</v>
      </c>
      <c r="AB263" s="13">
        <f t="shared" si="83"/>
        <v>0.4955</v>
      </c>
      <c r="AC263" s="14">
        <v>21.145634138921281</v>
      </c>
      <c r="AD263" s="26">
        <f t="shared" si="68"/>
        <v>0.14249999999999999</v>
      </c>
      <c r="AE263" s="4">
        <f t="shared" si="69"/>
        <v>21.15</v>
      </c>
      <c r="AF263" s="27">
        <f t="shared" si="82"/>
        <v>0.14249999999999999</v>
      </c>
      <c r="AG263" s="4">
        <f t="shared" si="70"/>
        <v>18.13</v>
      </c>
      <c r="AH263" s="27">
        <f t="shared" si="71"/>
        <v>0.4955</v>
      </c>
    </row>
    <row r="264" spans="1:34" x14ac:dyDescent="0.35">
      <c r="A264" s="8" t="s">
        <v>561</v>
      </c>
      <c r="B264" s="9" t="s">
        <v>1229</v>
      </c>
      <c r="C264" s="8" t="s">
        <v>1134</v>
      </c>
      <c r="D264" s="8" t="s">
        <v>1149</v>
      </c>
      <c r="E264" s="8" t="s">
        <v>905</v>
      </c>
      <c r="F264" s="25" t="s">
        <v>1018</v>
      </c>
      <c r="G264" s="8" t="s">
        <v>1119</v>
      </c>
      <c r="H264" s="8">
        <v>30</v>
      </c>
      <c r="I264" s="8" t="s">
        <v>1163</v>
      </c>
      <c r="J264" s="10">
        <v>70.28</v>
      </c>
      <c r="K264" s="22">
        <v>0.39400000000000002</v>
      </c>
      <c r="L264" s="11">
        <v>50.99</v>
      </c>
      <c r="M264" s="13">
        <v>0.47299999999999998</v>
      </c>
      <c r="N264" s="17">
        <f t="shared" si="75"/>
        <v>26.871730000000003</v>
      </c>
      <c r="O264" s="13">
        <v>0.1075</v>
      </c>
      <c r="P264" s="14">
        <f t="shared" si="76"/>
        <v>23.983019025000001</v>
      </c>
      <c r="Q264" s="14">
        <f t="shared" si="77"/>
        <v>10.268788668250002</v>
      </c>
      <c r="R264" s="28">
        <f t="shared" si="78"/>
        <v>1.6788113317500002</v>
      </c>
      <c r="S264" s="28">
        <f t="shared" si="79"/>
        <v>5.5976126574159748</v>
      </c>
      <c r="T264" s="28">
        <f t="shared" si="80"/>
        <v>4.772892668249999</v>
      </c>
      <c r="U264" s="28">
        <f t="shared" si="72"/>
        <v>5.5976126574159748</v>
      </c>
      <c r="V264" s="28">
        <f t="shared" si="73"/>
        <v>4.671176010834027</v>
      </c>
      <c r="W264" s="28">
        <f t="shared" si="74"/>
        <v>0.23355880054170136</v>
      </c>
      <c r="X264" s="28">
        <f t="shared" si="81"/>
        <v>5.8311714579576766</v>
      </c>
      <c r="Y264" s="14">
        <v>29.811920968899997</v>
      </c>
      <c r="Z264" s="13">
        <v>0.14249999999999999</v>
      </c>
      <c r="AA264" s="14">
        <v>29.284663593469386</v>
      </c>
      <c r="AB264" s="13">
        <f t="shared" si="83"/>
        <v>0.42570000000000002</v>
      </c>
      <c r="AC264" s="14">
        <v>34.766088593469384</v>
      </c>
      <c r="AD264" s="26">
        <f t="shared" si="68"/>
        <v>0.14249999999999999</v>
      </c>
      <c r="AE264" s="4">
        <f t="shared" si="69"/>
        <v>34.770000000000003</v>
      </c>
      <c r="AF264" s="27">
        <f t="shared" si="82"/>
        <v>0.14249999999999999</v>
      </c>
      <c r="AG264" s="4">
        <f t="shared" si="70"/>
        <v>29.81</v>
      </c>
      <c r="AH264" s="27">
        <f t="shared" si="71"/>
        <v>0.42570000000000002</v>
      </c>
    </row>
    <row r="265" spans="1:34" x14ac:dyDescent="0.35">
      <c r="A265" s="8" t="s">
        <v>562</v>
      </c>
      <c r="B265" s="9" t="s">
        <v>563</v>
      </c>
      <c r="C265" s="8" t="s">
        <v>1134</v>
      </c>
      <c r="D265" s="8" t="s">
        <v>1149</v>
      </c>
      <c r="E265" s="8" t="s">
        <v>905</v>
      </c>
      <c r="F265" s="25" t="s">
        <v>1018</v>
      </c>
      <c r="G265" s="8" t="s">
        <v>1119</v>
      </c>
      <c r="H265" s="8">
        <v>60</v>
      </c>
      <c r="I265" s="8" t="s">
        <v>1163</v>
      </c>
      <c r="J265" s="10">
        <v>128.01</v>
      </c>
      <c r="K265" s="22">
        <v>0.39400000000000002</v>
      </c>
      <c r="L265" s="11">
        <v>92.87</v>
      </c>
      <c r="M265" s="13">
        <v>0.48759999999999998</v>
      </c>
      <c r="N265" s="17">
        <f t="shared" si="75"/>
        <v>47.586587999999999</v>
      </c>
      <c r="O265" s="13">
        <v>0.1075</v>
      </c>
      <c r="P265" s="14">
        <f t="shared" si="76"/>
        <v>42.471029789999996</v>
      </c>
      <c r="Q265" s="14">
        <f t="shared" si="77"/>
        <v>18.788727914700001</v>
      </c>
      <c r="R265" s="28">
        <f t="shared" si="78"/>
        <v>2.9729720852999999</v>
      </c>
      <c r="S265" s="28">
        <f t="shared" si="79"/>
        <v>9.9126958819562105</v>
      </c>
      <c r="T265" s="28">
        <f t="shared" si="80"/>
        <v>8.7783459146999991</v>
      </c>
      <c r="U265" s="28">
        <f t="shared" si="72"/>
        <v>9.9126958819562105</v>
      </c>
      <c r="V265" s="28">
        <f t="shared" si="73"/>
        <v>8.8760320327437903</v>
      </c>
      <c r="W265" s="28">
        <f t="shared" si="74"/>
        <v>0.44380160163718951</v>
      </c>
      <c r="X265" s="28">
        <f t="shared" si="81"/>
        <v>10.356497483593401</v>
      </c>
      <c r="Y265" s="14">
        <v>52.825870140275001</v>
      </c>
      <c r="Z265" s="13">
        <v>0.14249999999999999</v>
      </c>
      <c r="AA265" s="14">
        <v>51.62098828311953</v>
      </c>
      <c r="AB265" s="13">
        <f t="shared" si="83"/>
        <v>0.44419999999999998</v>
      </c>
      <c r="AC265" s="14">
        <v>61.60451328311953</v>
      </c>
      <c r="AD265" s="26">
        <f t="shared" si="68"/>
        <v>0.14249999999999993</v>
      </c>
      <c r="AE265" s="4">
        <f t="shared" si="69"/>
        <v>61.6</v>
      </c>
      <c r="AF265" s="27">
        <f t="shared" si="82"/>
        <v>0.14249999999999999</v>
      </c>
      <c r="AG265" s="4">
        <f t="shared" si="70"/>
        <v>52.83</v>
      </c>
      <c r="AH265" s="27">
        <f t="shared" si="71"/>
        <v>0.44419999999999998</v>
      </c>
    </row>
    <row r="266" spans="1:34" x14ac:dyDescent="0.35">
      <c r="A266" s="8" t="s">
        <v>564</v>
      </c>
      <c r="B266" s="9" t="s">
        <v>565</v>
      </c>
      <c r="C266" s="8" t="s">
        <v>1134</v>
      </c>
      <c r="D266" s="8" t="s">
        <v>1149</v>
      </c>
      <c r="E266" s="8" t="s">
        <v>905</v>
      </c>
      <c r="F266" s="25" t="s">
        <v>1019</v>
      </c>
      <c r="G266" s="8" t="s">
        <v>1112</v>
      </c>
      <c r="H266" s="8">
        <v>30</v>
      </c>
      <c r="I266" s="8" t="s">
        <v>1163</v>
      </c>
      <c r="J266" s="10">
        <v>40.25</v>
      </c>
      <c r="K266" s="22">
        <v>0.39400000000000002</v>
      </c>
      <c r="L266" s="11">
        <v>29.2</v>
      </c>
      <c r="M266" s="13">
        <v>0.67030000000000001</v>
      </c>
      <c r="N266" s="17">
        <f t="shared" si="75"/>
        <v>9.6272399999999987</v>
      </c>
      <c r="O266" s="13">
        <v>0.1075</v>
      </c>
      <c r="P266" s="14">
        <f t="shared" si="76"/>
        <v>8.592311699999998</v>
      </c>
      <c r="Q266" s="14">
        <f t="shared" si="77"/>
        <v>6.2410381810000004</v>
      </c>
      <c r="R266" s="28">
        <f t="shared" si="78"/>
        <v>0.60146181899999995</v>
      </c>
      <c r="S266" s="28">
        <f t="shared" si="79"/>
        <v>2.0054369584682998</v>
      </c>
      <c r="T266" s="28">
        <f t="shared" si="80"/>
        <v>3.0934881809999997</v>
      </c>
      <c r="U266" s="28">
        <f t="shared" si="72"/>
        <v>3.0934881809999997</v>
      </c>
      <c r="V266" s="28">
        <f t="shared" si="73"/>
        <v>3.1475500000000007</v>
      </c>
      <c r="W266" s="28">
        <f t="shared" si="74"/>
        <v>0.15737750000000006</v>
      </c>
      <c r="X266" s="28">
        <f t="shared" si="81"/>
        <v>3.2508656809999996</v>
      </c>
      <c r="Y266" s="14">
        <v>11.842169177999997</v>
      </c>
      <c r="Z266" s="13">
        <v>0.14249999999999999</v>
      </c>
      <c r="AA266" s="14">
        <v>10.671109828571426</v>
      </c>
      <c r="AB266" s="13">
        <f t="shared" si="83"/>
        <v>0.63460000000000005</v>
      </c>
      <c r="AC266" s="14">
        <v>13.810109828571425</v>
      </c>
      <c r="AD266" s="26">
        <f t="shared" si="68"/>
        <v>0.14250000000000002</v>
      </c>
      <c r="AE266" s="4">
        <f t="shared" si="69"/>
        <v>13.81</v>
      </c>
      <c r="AF266" s="27">
        <f t="shared" si="82"/>
        <v>0.14249999999999999</v>
      </c>
      <c r="AG266" s="4">
        <f t="shared" si="70"/>
        <v>11.84</v>
      </c>
      <c r="AH266" s="27">
        <f t="shared" si="71"/>
        <v>0.63460000000000005</v>
      </c>
    </row>
    <row r="267" spans="1:34" x14ac:dyDescent="0.35">
      <c r="A267" s="8" t="s">
        <v>566</v>
      </c>
      <c r="B267" s="9" t="s">
        <v>567</v>
      </c>
      <c r="C267" s="8" t="s">
        <v>1134</v>
      </c>
      <c r="D267" s="8" t="s">
        <v>1149</v>
      </c>
      <c r="E267" s="8" t="s">
        <v>905</v>
      </c>
      <c r="F267" s="25" t="s">
        <v>1019</v>
      </c>
      <c r="G267" s="8" t="s">
        <v>1114</v>
      </c>
      <c r="H267" s="8">
        <v>30</v>
      </c>
      <c r="I267" s="8" t="s">
        <v>1163</v>
      </c>
      <c r="J267" s="10">
        <v>49.82</v>
      </c>
      <c r="K267" s="22">
        <v>0.39400000000000002</v>
      </c>
      <c r="L267" s="11">
        <v>36.14</v>
      </c>
      <c r="M267" s="13">
        <v>0.6784</v>
      </c>
      <c r="N267" s="17">
        <f t="shared" si="75"/>
        <v>11.622624</v>
      </c>
      <c r="O267" s="13">
        <v>0.1075</v>
      </c>
      <c r="P267" s="14">
        <f t="shared" si="76"/>
        <v>10.37319192</v>
      </c>
      <c r="Q267" s="14">
        <f t="shared" si="77"/>
        <v>7.7432765656000004</v>
      </c>
      <c r="R267" s="28">
        <f t="shared" si="78"/>
        <v>0.72612343440000005</v>
      </c>
      <c r="S267" s="28">
        <f t="shared" si="79"/>
        <v>2.4210926209360801</v>
      </c>
      <c r="T267" s="28">
        <f t="shared" si="80"/>
        <v>3.8473525655999996</v>
      </c>
      <c r="U267" s="28">
        <f t="shared" si="72"/>
        <v>3.8473525655999996</v>
      </c>
      <c r="V267" s="28">
        <f t="shared" si="73"/>
        <v>3.8959240000000008</v>
      </c>
      <c r="W267" s="28">
        <f t="shared" si="74"/>
        <v>0.19479620000000006</v>
      </c>
      <c r="X267" s="28">
        <f t="shared" si="81"/>
        <v>4.0421487655999995</v>
      </c>
      <c r="Y267" s="14">
        <v>14.414092861750001</v>
      </c>
      <c r="Z267" s="13">
        <v>0.14249999999999999</v>
      </c>
      <c r="AA267" s="14">
        <v>12.924387739650145</v>
      </c>
      <c r="AB267" s="13">
        <f t="shared" si="83"/>
        <v>0.64239999999999997</v>
      </c>
      <c r="AC267" s="14">
        <v>16.809437739650146</v>
      </c>
      <c r="AD267" s="26">
        <f t="shared" si="68"/>
        <v>0.14249999999999996</v>
      </c>
      <c r="AE267" s="4">
        <f t="shared" si="69"/>
        <v>16.809999999999999</v>
      </c>
      <c r="AF267" s="27">
        <f t="shared" si="82"/>
        <v>0.14249999999999999</v>
      </c>
      <c r="AG267" s="4">
        <f t="shared" si="70"/>
        <v>14.41</v>
      </c>
      <c r="AH267" s="27">
        <f t="shared" si="71"/>
        <v>0.64239999999999997</v>
      </c>
    </row>
    <row r="268" spans="1:34" x14ac:dyDescent="0.35">
      <c r="A268" s="8" t="s">
        <v>568</v>
      </c>
      <c r="B268" s="9" t="s">
        <v>569</v>
      </c>
      <c r="C268" s="8" t="s">
        <v>1134</v>
      </c>
      <c r="D268" s="8" t="s">
        <v>1149</v>
      </c>
      <c r="E268" s="8" t="s">
        <v>905</v>
      </c>
      <c r="F268" s="25" t="s">
        <v>1019</v>
      </c>
      <c r="G268" s="8" t="s">
        <v>18</v>
      </c>
      <c r="H268" s="8">
        <v>30</v>
      </c>
      <c r="I268" s="8" t="s">
        <v>1163</v>
      </c>
      <c r="J268" s="10">
        <v>72.81</v>
      </c>
      <c r="K268" s="22">
        <v>0.39400000000000002</v>
      </c>
      <c r="L268" s="11">
        <v>52.82</v>
      </c>
      <c r="M268" s="13">
        <v>0.73499999999999999</v>
      </c>
      <c r="N268" s="17">
        <f t="shared" si="75"/>
        <v>13.997300000000001</v>
      </c>
      <c r="O268" s="13">
        <v>0.1075</v>
      </c>
      <c r="P268" s="14">
        <f t="shared" si="76"/>
        <v>12.492590250000001</v>
      </c>
      <c r="Q268" s="14">
        <f t="shared" si="77"/>
        <v>11.5032186825</v>
      </c>
      <c r="R268" s="28">
        <f t="shared" si="78"/>
        <v>0.87448131750000013</v>
      </c>
      <c r="S268" s="28">
        <f t="shared" si="79"/>
        <v>2.9157580717597504</v>
      </c>
      <c r="T268" s="28">
        <f t="shared" si="80"/>
        <v>5.8094766824999997</v>
      </c>
      <c r="U268" s="28">
        <f t="shared" si="72"/>
        <v>5.8094766824999997</v>
      </c>
      <c r="V268" s="28">
        <f t="shared" si="73"/>
        <v>5.6937420000000003</v>
      </c>
      <c r="W268" s="28">
        <f t="shared" si="74"/>
        <v>0.28468710000000003</v>
      </c>
      <c r="X268" s="28">
        <f t="shared" si="81"/>
        <v>6.0941637824999999</v>
      </c>
      <c r="Y268" s="14">
        <v>18.584930289950002</v>
      </c>
      <c r="Z268" s="13">
        <v>0.14249999999999999</v>
      </c>
      <c r="AA268" s="14">
        <v>15.995238093236154</v>
      </c>
      <c r="AB268" s="13">
        <f t="shared" si="83"/>
        <v>0.69720000000000004</v>
      </c>
      <c r="AC268" s="14">
        <v>21.673388093236152</v>
      </c>
      <c r="AD268" s="26">
        <f t="shared" si="68"/>
        <v>0.14249999999999993</v>
      </c>
      <c r="AE268" s="4">
        <f t="shared" si="69"/>
        <v>21.67</v>
      </c>
      <c r="AF268" s="27">
        <f t="shared" si="82"/>
        <v>0.14249999999999999</v>
      </c>
      <c r="AG268" s="4">
        <f t="shared" si="70"/>
        <v>18.579999999999998</v>
      </c>
      <c r="AH268" s="27">
        <f t="shared" si="71"/>
        <v>0.69720000000000004</v>
      </c>
    </row>
    <row r="269" spans="1:34" x14ac:dyDescent="0.35">
      <c r="A269" s="8" t="s">
        <v>570</v>
      </c>
      <c r="B269" s="9" t="s">
        <v>571</v>
      </c>
      <c r="C269" s="8" t="s">
        <v>1135</v>
      </c>
      <c r="D269" s="8" t="s">
        <v>1177</v>
      </c>
      <c r="E269" s="8" t="s">
        <v>905</v>
      </c>
      <c r="F269" s="25" t="s">
        <v>1020</v>
      </c>
      <c r="G269" s="8" t="s">
        <v>3</v>
      </c>
      <c r="H269" s="8">
        <v>30</v>
      </c>
      <c r="I269" s="8" t="s">
        <v>1164</v>
      </c>
      <c r="J269" s="10">
        <v>44.05</v>
      </c>
      <c r="K269" s="22">
        <v>0.3417</v>
      </c>
      <c r="L269" s="11">
        <v>32.840000000000003</v>
      </c>
      <c r="M269" s="13">
        <v>0.63390000000000002</v>
      </c>
      <c r="N269" s="17">
        <f t="shared" si="75"/>
        <v>12.022724</v>
      </c>
      <c r="O269" s="13">
        <v>0.1075</v>
      </c>
      <c r="P269" s="14">
        <f t="shared" si="76"/>
        <v>10.73028117</v>
      </c>
      <c r="Q269" s="14">
        <f t="shared" si="77"/>
        <v>6.7373803181000005</v>
      </c>
      <c r="R269" s="28">
        <f t="shared" si="78"/>
        <v>0.7511196819</v>
      </c>
      <c r="S269" s="28">
        <f t="shared" si="79"/>
        <v>2.5044368947968296</v>
      </c>
      <c r="T269" s="28">
        <f t="shared" si="80"/>
        <v>3.2926703180999994</v>
      </c>
      <c r="U269" s="28">
        <f t="shared" si="72"/>
        <v>3.2926703180999994</v>
      </c>
      <c r="V269" s="28">
        <f t="shared" si="73"/>
        <v>3.444710000000001</v>
      </c>
      <c r="W269" s="28">
        <f t="shared" si="74"/>
        <v>0.17223550000000007</v>
      </c>
      <c r="X269" s="28">
        <f t="shared" si="81"/>
        <v>3.4649058180999996</v>
      </c>
      <c r="Y269" s="14">
        <v>14.194053105</v>
      </c>
      <c r="Z269" s="13">
        <v>0.14249999999999999</v>
      </c>
      <c r="AA269" s="14">
        <v>13.022531609329446</v>
      </c>
      <c r="AB269" s="13">
        <f t="shared" si="83"/>
        <v>0.60350000000000004</v>
      </c>
      <c r="AC269" s="14">
        <v>16.552831609329445</v>
      </c>
      <c r="AD269" s="26">
        <f t="shared" si="68"/>
        <v>0.14249999999999993</v>
      </c>
      <c r="AE269" s="4">
        <f t="shared" si="69"/>
        <v>16.55</v>
      </c>
      <c r="AF269" s="27">
        <f t="shared" si="82"/>
        <v>0.14249999999999999</v>
      </c>
      <c r="AG269" s="4">
        <f t="shared" si="70"/>
        <v>14.19</v>
      </c>
      <c r="AH269" s="27">
        <f t="shared" si="71"/>
        <v>0.60350000000000004</v>
      </c>
    </row>
    <row r="270" spans="1:34" x14ac:dyDescent="0.35">
      <c r="A270" s="8" t="s">
        <v>572</v>
      </c>
      <c r="B270" s="9" t="s">
        <v>573</v>
      </c>
      <c r="C270" s="8" t="s">
        <v>1135</v>
      </c>
      <c r="D270" s="8" t="s">
        <v>1177</v>
      </c>
      <c r="E270" s="8" t="s">
        <v>905</v>
      </c>
      <c r="F270" s="25" t="s">
        <v>1020</v>
      </c>
      <c r="G270" s="8" t="s">
        <v>3</v>
      </c>
      <c r="H270" s="8">
        <v>30</v>
      </c>
      <c r="I270" s="8" t="s">
        <v>1164</v>
      </c>
      <c r="J270" s="10">
        <v>44.05</v>
      </c>
      <c r="K270" s="22">
        <v>0.3417</v>
      </c>
      <c r="L270" s="11">
        <v>32.840000000000003</v>
      </c>
      <c r="M270" s="13">
        <v>0.4047</v>
      </c>
      <c r="N270" s="17">
        <f t="shared" si="75"/>
        <v>19.549652000000002</v>
      </c>
      <c r="O270" s="13">
        <v>0.1075</v>
      </c>
      <c r="P270" s="14">
        <f t="shared" si="76"/>
        <v>17.448064410000001</v>
      </c>
      <c r="Q270" s="14">
        <f t="shared" si="77"/>
        <v>6.2671354912999995</v>
      </c>
      <c r="R270" s="28">
        <f t="shared" si="78"/>
        <v>1.2213645087000002</v>
      </c>
      <c r="S270" s="28">
        <f t="shared" si="79"/>
        <v>4.0723607852295913</v>
      </c>
      <c r="T270" s="28">
        <f t="shared" si="80"/>
        <v>2.8224254912999993</v>
      </c>
      <c r="U270" s="28">
        <f t="shared" si="72"/>
        <v>4.0723607852295913</v>
      </c>
      <c r="V270" s="28">
        <f t="shared" si="73"/>
        <v>2.1947747060704081</v>
      </c>
      <c r="W270" s="28">
        <f t="shared" si="74"/>
        <v>0.10973873530352041</v>
      </c>
      <c r="X270" s="28">
        <f t="shared" si="81"/>
        <v>4.1820995205331117</v>
      </c>
      <c r="Y270" s="14">
        <v>21.629533487253745</v>
      </c>
      <c r="Z270" s="13">
        <v>0.14249999999999999</v>
      </c>
      <c r="AA270" s="14">
        <v>21.693645757730312</v>
      </c>
      <c r="AB270" s="13">
        <f t="shared" si="83"/>
        <v>0.33939999999999998</v>
      </c>
      <c r="AC270" s="14">
        <v>25.223945757730313</v>
      </c>
      <c r="AD270" s="26">
        <f t="shared" si="68"/>
        <v>0.14249999999999993</v>
      </c>
      <c r="AE270" s="4">
        <f t="shared" si="69"/>
        <v>25.22</v>
      </c>
      <c r="AF270" s="27">
        <f t="shared" si="82"/>
        <v>0.14249999999999999</v>
      </c>
      <c r="AG270" s="4">
        <f t="shared" si="70"/>
        <v>21.63</v>
      </c>
      <c r="AH270" s="27">
        <f t="shared" si="71"/>
        <v>0.33939999999999998</v>
      </c>
    </row>
    <row r="271" spans="1:34" x14ac:dyDescent="0.35">
      <c r="A271" s="8" t="s">
        <v>574</v>
      </c>
      <c r="B271" s="9" t="s">
        <v>575</v>
      </c>
      <c r="C271" s="8" t="s">
        <v>1134</v>
      </c>
      <c r="D271" s="8" t="s">
        <v>1149</v>
      </c>
      <c r="E271" s="8" t="s">
        <v>905</v>
      </c>
      <c r="F271" s="25" t="s">
        <v>1021</v>
      </c>
      <c r="G271" s="8" t="s">
        <v>1108</v>
      </c>
      <c r="H271" s="8">
        <v>30</v>
      </c>
      <c r="I271" s="8" t="s">
        <v>1163</v>
      </c>
      <c r="J271" s="10">
        <v>10.39</v>
      </c>
      <c r="K271" s="22">
        <v>0.39400000000000002</v>
      </c>
      <c r="L271" s="11">
        <v>7.54</v>
      </c>
      <c r="M271" s="13">
        <v>0.70440000000000003</v>
      </c>
      <c r="N271" s="17">
        <f t="shared" si="75"/>
        <v>2.2288239999999999</v>
      </c>
      <c r="O271" s="13">
        <v>0.1075</v>
      </c>
      <c r="P271" s="14">
        <f t="shared" si="76"/>
        <v>1.9892254199999999</v>
      </c>
      <c r="Q271" s="14">
        <f t="shared" si="77"/>
        <v>1.6270542206000003</v>
      </c>
      <c r="R271" s="28">
        <f t="shared" si="78"/>
        <v>0.13924577940000002</v>
      </c>
      <c r="S271" s="28">
        <f t="shared" si="79"/>
        <v>0.46428322380257991</v>
      </c>
      <c r="T271" s="28">
        <f t="shared" si="80"/>
        <v>0.81455622059999988</v>
      </c>
      <c r="U271" s="28">
        <f t="shared" si="72"/>
        <v>0.81455622059999988</v>
      </c>
      <c r="V271" s="28">
        <f t="shared" si="73"/>
        <v>0.81249800000000039</v>
      </c>
      <c r="W271" s="28">
        <f t="shared" si="74"/>
        <v>4.0624900000000019E-2</v>
      </c>
      <c r="X271" s="28">
        <f t="shared" si="81"/>
        <v>0.85518112059999996</v>
      </c>
      <c r="Y271" s="14">
        <v>2.8441462032500002</v>
      </c>
      <c r="Z271" s="13">
        <v>0.14249999999999999</v>
      </c>
      <c r="AA271" s="14">
        <v>2.5062385752186587</v>
      </c>
      <c r="AB271" s="13">
        <f t="shared" si="83"/>
        <v>0.66759999999999997</v>
      </c>
      <c r="AC271" s="14">
        <v>3.3167885752186588</v>
      </c>
      <c r="AD271" s="26">
        <f t="shared" si="68"/>
        <v>0.1424999999999999</v>
      </c>
      <c r="AE271" s="4">
        <f t="shared" si="69"/>
        <v>3.32</v>
      </c>
      <c r="AF271" s="27">
        <f t="shared" si="82"/>
        <v>0.14249999999999999</v>
      </c>
      <c r="AG271" s="4">
        <f t="shared" si="70"/>
        <v>2.84</v>
      </c>
      <c r="AH271" s="27">
        <f t="shared" si="71"/>
        <v>0.66759999999999997</v>
      </c>
    </row>
    <row r="272" spans="1:34" x14ac:dyDescent="0.35">
      <c r="A272" s="8" t="s">
        <v>576</v>
      </c>
      <c r="B272" s="9" t="s">
        <v>577</v>
      </c>
      <c r="C272" s="8" t="s">
        <v>1134</v>
      </c>
      <c r="D272" s="8" t="s">
        <v>1139</v>
      </c>
      <c r="E272" s="8" t="s">
        <v>905</v>
      </c>
      <c r="F272" s="25" t="s">
        <v>1022</v>
      </c>
      <c r="G272" s="8" t="s">
        <v>3</v>
      </c>
      <c r="H272" s="8">
        <v>30</v>
      </c>
      <c r="I272" s="8" t="s">
        <v>1163</v>
      </c>
      <c r="J272" s="10">
        <v>75.3</v>
      </c>
      <c r="K272" s="22">
        <v>0.39400000000000002</v>
      </c>
      <c r="L272" s="11">
        <v>54.63</v>
      </c>
      <c r="M272" s="13">
        <v>0.76359999999999995</v>
      </c>
      <c r="N272" s="17">
        <f t="shared" si="75"/>
        <v>12.914532000000003</v>
      </c>
      <c r="O272" s="13">
        <v>0.1075</v>
      </c>
      <c r="P272" s="14">
        <f t="shared" si="76"/>
        <v>11.526219810000002</v>
      </c>
      <c r="Q272" s="14">
        <f t="shared" si="77"/>
        <v>11.994164613300001</v>
      </c>
      <c r="R272" s="28">
        <f t="shared" si="78"/>
        <v>0.80683538670000021</v>
      </c>
      <c r="S272" s="28">
        <f t="shared" si="79"/>
        <v>2.6902081774341902</v>
      </c>
      <c r="T272" s="28">
        <f t="shared" si="80"/>
        <v>6.1057046132999995</v>
      </c>
      <c r="U272" s="28">
        <f t="shared" si="72"/>
        <v>6.1057046132999995</v>
      </c>
      <c r="V272" s="28">
        <f t="shared" si="73"/>
        <v>5.8884600000000011</v>
      </c>
      <c r="W272" s="28">
        <f t="shared" si="74"/>
        <v>0.29442300000000005</v>
      </c>
      <c r="X272" s="28">
        <f t="shared" si="81"/>
        <v>6.4001276132999996</v>
      </c>
      <c r="Y272" s="14">
        <v>17.924461185974998</v>
      </c>
      <c r="Z272" s="13">
        <v>0.14249999999999999</v>
      </c>
      <c r="AA272" s="14">
        <v>15.030436732915451</v>
      </c>
      <c r="AB272" s="13">
        <f t="shared" si="83"/>
        <v>0.72489999999999999</v>
      </c>
      <c r="AC272" s="14">
        <v>20.90316173291545</v>
      </c>
      <c r="AD272" s="26">
        <f t="shared" si="68"/>
        <v>0.14250000000000002</v>
      </c>
      <c r="AE272" s="4">
        <f t="shared" si="69"/>
        <v>20.9</v>
      </c>
      <c r="AF272" s="27">
        <f t="shared" si="82"/>
        <v>0.14249999999999999</v>
      </c>
      <c r="AG272" s="4">
        <f t="shared" si="70"/>
        <v>17.920000000000002</v>
      </c>
      <c r="AH272" s="27">
        <f t="shared" si="71"/>
        <v>0.72489999999999999</v>
      </c>
    </row>
    <row r="273" spans="1:34" x14ac:dyDescent="0.35">
      <c r="A273" s="8" t="s">
        <v>578</v>
      </c>
      <c r="B273" s="9" t="s">
        <v>579</v>
      </c>
      <c r="C273" s="8" t="s">
        <v>1134</v>
      </c>
      <c r="D273" s="8" t="s">
        <v>1139</v>
      </c>
      <c r="E273" s="8" t="s">
        <v>905</v>
      </c>
      <c r="F273" s="25" t="s">
        <v>1022</v>
      </c>
      <c r="G273" s="8" t="s">
        <v>13</v>
      </c>
      <c r="H273" s="8">
        <v>30</v>
      </c>
      <c r="I273" s="8" t="s">
        <v>1163</v>
      </c>
      <c r="J273" s="10">
        <v>120.66</v>
      </c>
      <c r="K273" s="22">
        <v>0.39400000000000002</v>
      </c>
      <c r="L273" s="11">
        <v>87.54</v>
      </c>
      <c r="M273" s="13">
        <v>0.73799999999999999</v>
      </c>
      <c r="N273" s="17">
        <f t="shared" si="75"/>
        <v>22.935480000000002</v>
      </c>
      <c r="O273" s="13">
        <v>0.1075</v>
      </c>
      <c r="P273" s="14">
        <f t="shared" si="76"/>
        <v>20.4699159</v>
      </c>
      <c r="Q273" s="14">
        <f t="shared" si="77"/>
        <v>19.079305887</v>
      </c>
      <c r="R273" s="28">
        <f t="shared" si="78"/>
        <v>1.4328941130000001</v>
      </c>
      <c r="S273" s="28">
        <f t="shared" si="79"/>
        <v>4.7776579011441012</v>
      </c>
      <c r="T273" s="28">
        <f t="shared" si="80"/>
        <v>9.6436938869999995</v>
      </c>
      <c r="U273" s="28">
        <f t="shared" si="72"/>
        <v>9.6436938869999995</v>
      </c>
      <c r="V273" s="28">
        <f t="shared" si="73"/>
        <v>9.4356120000000008</v>
      </c>
      <c r="W273" s="28">
        <f t="shared" si="74"/>
        <v>0.47178060000000005</v>
      </c>
      <c r="X273" s="28">
        <f t="shared" si="81"/>
        <v>10.115474487</v>
      </c>
      <c r="Y273" s="14">
        <v>30.582367849650009</v>
      </c>
      <c r="Z273" s="13">
        <v>0.14249999999999999</v>
      </c>
      <c r="AA273" s="14">
        <v>26.254018920874639</v>
      </c>
      <c r="AB273" s="13">
        <f t="shared" si="83"/>
        <v>0.70009999999999994</v>
      </c>
      <c r="AC273" s="14">
        <v>35.664568920874643</v>
      </c>
      <c r="AD273" s="26">
        <f t="shared" si="68"/>
        <v>0.14249999999999993</v>
      </c>
      <c r="AE273" s="4">
        <f t="shared" si="69"/>
        <v>35.659999999999997</v>
      </c>
      <c r="AF273" s="27">
        <f t="shared" si="82"/>
        <v>0.14249999999999999</v>
      </c>
      <c r="AG273" s="4">
        <f t="shared" si="70"/>
        <v>30.58</v>
      </c>
      <c r="AH273" s="27">
        <f t="shared" si="71"/>
        <v>0.70009999999999994</v>
      </c>
    </row>
    <row r="274" spans="1:34" x14ac:dyDescent="0.35">
      <c r="A274" s="8" t="s">
        <v>580</v>
      </c>
      <c r="B274" s="9" t="s">
        <v>581</v>
      </c>
      <c r="C274" s="8" t="s">
        <v>1134</v>
      </c>
      <c r="D274" s="8" t="s">
        <v>1149</v>
      </c>
      <c r="E274" s="8" t="s">
        <v>905</v>
      </c>
      <c r="F274" s="25" t="s">
        <v>1023</v>
      </c>
      <c r="G274" s="8" t="s">
        <v>3</v>
      </c>
      <c r="H274" s="8">
        <v>30</v>
      </c>
      <c r="I274" s="8" t="s">
        <v>1163</v>
      </c>
      <c r="J274" s="10">
        <v>66.489999999999995</v>
      </c>
      <c r="K274" s="22">
        <v>0.39400000000000002</v>
      </c>
      <c r="L274" s="11">
        <v>48.24</v>
      </c>
      <c r="M274" s="13">
        <v>0.52149999999999996</v>
      </c>
      <c r="N274" s="17">
        <f t="shared" si="75"/>
        <v>23.082840000000004</v>
      </c>
      <c r="O274" s="13">
        <v>0.1075</v>
      </c>
      <c r="P274" s="14">
        <f t="shared" si="76"/>
        <v>20.601434700000002</v>
      </c>
      <c r="Q274" s="14">
        <f t="shared" si="77"/>
        <v>9.8611995710000002</v>
      </c>
      <c r="R274" s="28">
        <f t="shared" si="78"/>
        <v>1.4421004290000004</v>
      </c>
      <c r="S274" s="28">
        <f t="shared" si="79"/>
        <v>4.8083542575453002</v>
      </c>
      <c r="T274" s="28">
        <f t="shared" si="80"/>
        <v>4.661681570999999</v>
      </c>
      <c r="U274" s="28">
        <f t="shared" si="72"/>
        <v>4.8083542575453002</v>
      </c>
      <c r="V274" s="28">
        <f t="shared" si="73"/>
        <v>5.0528453134547</v>
      </c>
      <c r="W274" s="28">
        <f t="shared" si="74"/>
        <v>0.25264226567273501</v>
      </c>
      <c r="X274" s="28">
        <f t="shared" si="81"/>
        <v>5.0609965232180354</v>
      </c>
      <c r="Y274" s="14">
        <v>25.661567985400001</v>
      </c>
      <c r="Z274" s="13">
        <v>0.14249999999999999</v>
      </c>
      <c r="AA274" s="14">
        <v>24.740226805131194</v>
      </c>
      <c r="AB274" s="13">
        <f t="shared" si="83"/>
        <v>0.48709999999999998</v>
      </c>
      <c r="AC274" s="14">
        <v>29.926026805131194</v>
      </c>
      <c r="AD274" s="26">
        <f t="shared" si="68"/>
        <v>0.1424999999999999</v>
      </c>
      <c r="AE274" s="4">
        <f t="shared" si="69"/>
        <v>29.93</v>
      </c>
      <c r="AF274" s="27">
        <f t="shared" si="82"/>
        <v>0.14249999999999999</v>
      </c>
      <c r="AG274" s="4">
        <f t="shared" si="70"/>
        <v>25.66</v>
      </c>
      <c r="AH274" s="27">
        <f t="shared" si="71"/>
        <v>0.48709999999999998</v>
      </c>
    </row>
    <row r="275" spans="1:34" x14ac:dyDescent="0.35">
      <c r="A275" s="8" t="s">
        <v>582</v>
      </c>
      <c r="B275" s="9" t="s">
        <v>583</v>
      </c>
      <c r="C275" s="8" t="s">
        <v>1134</v>
      </c>
      <c r="D275" s="8" t="s">
        <v>1149</v>
      </c>
      <c r="E275" s="8" t="s">
        <v>905</v>
      </c>
      <c r="F275" s="25" t="s">
        <v>1023</v>
      </c>
      <c r="G275" s="8" t="s">
        <v>3</v>
      </c>
      <c r="H275" s="8">
        <v>30</v>
      </c>
      <c r="I275" s="8" t="s">
        <v>1163</v>
      </c>
      <c r="J275" s="10">
        <v>75.739999999999995</v>
      </c>
      <c r="K275" s="22">
        <v>0.39400000000000002</v>
      </c>
      <c r="L275" s="11">
        <v>54.95</v>
      </c>
      <c r="M275" s="13">
        <v>0.50490000000000002</v>
      </c>
      <c r="N275" s="17">
        <f t="shared" si="75"/>
        <v>27.205745</v>
      </c>
      <c r="O275" s="13">
        <v>0.1075</v>
      </c>
      <c r="P275" s="14">
        <f t="shared" si="76"/>
        <v>24.281127412499998</v>
      </c>
      <c r="Q275" s="14">
        <f t="shared" si="77"/>
        <v>11.176121081125</v>
      </c>
      <c r="R275" s="28">
        <f t="shared" si="78"/>
        <v>1.6996789188750001</v>
      </c>
      <c r="S275" s="28">
        <f t="shared" si="79"/>
        <v>5.6671908569500875</v>
      </c>
      <c r="T275" s="28">
        <f t="shared" si="80"/>
        <v>5.2532530811249991</v>
      </c>
      <c r="U275" s="28">
        <f t="shared" si="72"/>
        <v>5.6671908569500875</v>
      </c>
      <c r="V275" s="28">
        <f t="shared" si="73"/>
        <v>5.5089302241749127</v>
      </c>
      <c r="W275" s="28">
        <f t="shared" si="74"/>
        <v>0.27544651120874564</v>
      </c>
      <c r="X275" s="28">
        <f t="shared" si="81"/>
        <v>5.9426373681588327</v>
      </c>
      <c r="Y275" s="14">
        <v>30.220871521749999</v>
      </c>
      <c r="Z275" s="13">
        <v>0.14249999999999999</v>
      </c>
      <c r="AA275" s="14">
        <v>29.335873859183668</v>
      </c>
      <c r="AB275" s="13">
        <f t="shared" si="83"/>
        <v>0.46610000000000001</v>
      </c>
      <c r="AC275" s="14">
        <v>35.242998859183672</v>
      </c>
      <c r="AD275" s="26">
        <f t="shared" si="68"/>
        <v>0.14249999999999999</v>
      </c>
      <c r="AE275" s="4">
        <f t="shared" si="69"/>
        <v>35.24</v>
      </c>
      <c r="AF275" s="27">
        <f t="shared" si="82"/>
        <v>0.14249999999999999</v>
      </c>
      <c r="AG275" s="4">
        <f t="shared" si="70"/>
        <v>30.22</v>
      </c>
      <c r="AH275" s="27">
        <f t="shared" si="71"/>
        <v>0.46610000000000001</v>
      </c>
    </row>
    <row r="276" spans="1:34" x14ac:dyDescent="0.35">
      <c r="A276" s="8" t="s">
        <v>584</v>
      </c>
      <c r="B276" s="9" t="s">
        <v>585</v>
      </c>
      <c r="C276" s="8" t="s">
        <v>1134</v>
      </c>
      <c r="D276" s="8" t="s">
        <v>1149</v>
      </c>
      <c r="E276" s="8" t="s">
        <v>905</v>
      </c>
      <c r="F276" s="25" t="s">
        <v>1023</v>
      </c>
      <c r="G276" s="8" t="s">
        <v>19</v>
      </c>
      <c r="H276" s="8">
        <v>30</v>
      </c>
      <c r="I276" s="8" t="s">
        <v>1163</v>
      </c>
      <c r="J276" s="10">
        <v>75.73</v>
      </c>
      <c r="K276" s="22">
        <v>0.39400000000000002</v>
      </c>
      <c r="L276" s="11">
        <v>54.94</v>
      </c>
      <c r="M276" s="13">
        <v>0.46850000000000003</v>
      </c>
      <c r="N276" s="17">
        <f t="shared" si="75"/>
        <v>29.200609999999998</v>
      </c>
      <c r="O276" s="13">
        <v>0.1075</v>
      </c>
      <c r="P276" s="14">
        <f t="shared" si="76"/>
        <v>26.061544424999997</v>
      </c>
      <c r="Q276" s="14">
        <f t="shared" si="77"/>
        <v>11.049791890250003</v>
      </c>
      <c r="R276" s="28">
        <f t="shared" si="78"/>
        <v>1.82430810975</v>
      </c>
      <c r="S276" s="28">
        <f t="shared" si="79"/>
        <v>6.0827384072505737</v>
      </c>
      <c r="T276" s="28">
        <f t="shared" si="80"/>
        <v>5.1277058902500006</v>
      </c>
      <c r="U276" s="28">
        <f t="shared" si="72"/>
        <v>6.0827384072505737</v>
      </c>
      <c r="V276" s="28">
        <f t="shared" si="73"/>
        <v>4.9670534829994288</v>
      </c>
      <c r="W276" s="28">
        <f t="shared" si="74"/>
        <v>0.24835267414997145</v>
      </c>
      <c r="X276" s="28">
        <f t="shared" si="81"/>
        <v>6.3310910814005448</v>
      </c>
      <c r="Y276" s="14">
        <v>32.395489144400003</v>
      </c>
      <c r="Z276" s="13">
        <v>0.14249999999999999</v>
      </c>
      <c r="AA276" s="14">
        <v>31.872946086763847</v>
      </c>
      <c r="AB276" s="13">
        <f t="shared" si="83"/>
        <v>0.4199</v>
      </c>
      <c r="AC276" s="14">
        <v>37.778996086763847</v>
      </c>
      <c r="AD276" s="26">
        <f t="shared" si="68"/>
        <v>0.1424999999999999</v>
      </c>
      <c r="AE276" s="4">
        <f t="shared" si="69"/>
        <v>37.78</v>
      </c>
      <c r="AF276" s="27">
        <f t="shared" si="82"/>
        <v>0.14249999999999999</v>
      </c>
      <c r="AG276" s="4">
        <f t="shared" si="70"/>
        <v>32.4</v>
      </c>
      <c r="AH276" s="27">
        <f t="shared" si="71"/>
        <v>0.4199</v>
      </c>
    </row>
    <row r="277" spans="1:34" x14ac:dyDescent="0.35">
      <c r="A277" s="8" t="s">
        <v>586</v>
      </c>
      <c r="B277" s="9" t="s">
        <v>587</v>
      </c>
      <c r="C277" s="8" t="s">
        <v>1135</v>
      </c>
      <c r="D277" s="8" t="s">
        <v>1178</v>
      </c>
      <c r="E277" s="8" t="s">
        <v>905</v>
      </c>
      <c r="F277" s="25" t="s">
        <v>1024</v>
      </c>
      <c r="G277" s="8" t="s">
        <v>16</v>
      </c>
      <c r="H277" s="8">
        <v>30</v>
      </c>
      <c r="I277" s="8" t="s">
        <v>1164</v>
      </c>
      <c r="J277" s="10">
        <v>35.450000000000003</v>
      </c>
      <c r="K277" s="22">
        <v>0.3417</v>
      </c>
      <c r="L277" s="11">
        <v>26.43</v>
      </c>
      <c r="M277" s="13">
        <v>0.31130000000000002</v>
      </c>
      <c r="N277" s="17">
        <f t="shared" si="75"/>
        <v>18.202341000000001</v>
      </c>
      <c r="O277" s="13">
        <v>0.1075</v>
      </c>
      <c r="P277" s="14">
        <f t="shared" si="76"/>
        <v>16.245589342500001</v>
      </c>
      <c r="Q277" s="14">
        <f t="shared" si="77"/>
        <v>4.8893087460250015</v>
      </c>
      <c r="R277" s="28">
        <f t="shared" si="78"/>
        <v>1.1371912539750002</v>
      </c>
      <c r="S277" s="28">
        <f t="shared" si="79"/>
        <v>3.7917043069501575</v>
      </c>
      <c r="T277" s="28">
        <f t="shared" si="80"/>
        <v>2.1171187460249996</v>
      </c>
      <c r="U277" s="28">
        <f t="shared" si="72"/>
        <v>3.7917043069501575</v>
      </c>
      <c r="V277" s="28">
        <f t="shared" si="73"/>
        <v>1.0976044390748441</v>
      </c>
      <c r="W277" s="28">
        <f t="shared" si="74"/>
        <v>5.4880221953742203E-2</v>
      </c>
      <c r="X277" s="28">
        <f t="shared" si="81"/>
        <v>3.8465845289038998</v>
      </c>
      <c r="Y277" s="14">
        <v>20.091666483588011</v>
      </c>
      <c r="Z277" s="13">
        <v>0.14249999999999999</v>
      </c>
      <c r="AA277" s="14">
        <v>20.589289849665317</v>
      </c>
      <c r="AB277" s="13">
        <f t="shared" si="83"/>
        <v>0.221</v>
      </c>
      <c r="AC277" s="14">
        <v>23.430514849665318</v>
      </c>
      <c r="AD277" s="26">
        <f t="shared" si="68"/>
        <v>0.14249999999999999</v>
      </c>
      <c r="AE277" s="4">
        <f t="shared" si="69"/>
        <v>23.43</v>
      </c>
      <c r="AF277" s="27">
        <f t="shared" si="82"/>
        <v>0.14249999999999999</v>
      </c>
      <c r="AG277" s="4">
        <f t="shared" si="70"/>
        <v>20.09</v>
      </c>
      <c r="AH277" s="27">
        <f t="shared" si="71"/>
        <v>0.221</v>
      </c>
    </row>
    <row r="278" spans="1:34" x14ac:dyDescent="0.35">
      <c r="A278" s="8" t="s">
        <v>588</v>
      </c>
      <c r="B278" s="9" t="s">
        <v>589</v>
      </c>
      <c r="C278" s="8" t="s">
        <v>1135</v>
      </c>
      <c r="D278" s="8" t="s">
        <v>1154</v>
      </c>
      <c r="E278" s="8" t="s">
        <v>905</v>
      </c>
      <c r="F278" s="25" t="s">
        <v>1025</v>
      </c>
      <c r="G278" s="8" t="s">
        <v>19</v>
      </c>
      <c r="H278" s="8">
        <v>30</v>
      </c>
      <c r="I278" s="8" t="s">
        <v>1164</v>
      </c>
      <c r="J278" s="10">
        <v>62</v>
      </c>
      <c r="K278" s="22">
        <v>0.3417</v>
      </c>
      <c r="L278" s="11">
        <v>46.22</v>
      </c>
      <c r="M278" s="13">
        <v>0.18820000000000001</v>
      </c>
      <c r="N278" s="17">
        <f t="shared" si="75"/>
        <v>37.521395999999996</v>
      </c>
      <c r="O278" s="13">
        <v>0.1075</v>
      </c>
      <c r="P278" s="14">
        <f t="shared" si="76"/>
        <v>33.487845929999992</v>
      </c>
      <c r="Q278" s="14">
        <f t="shared" si="77"/>
        <v>8.1958507849000011</v>
      </c>
      <c r="R278" s="28">
        <f t="shared" si="78"/>
        <v>2.3441492150999999</v>
      </c>
      <c r="S278" s="28">
        <f t="shared" si="79"/>
        <v>7.8160297522160675</v>
      </c>
      <c r="T278" s="28">
        <f t="shared" si="80"/>
        <v>3.3474507848999995</v>
      </c>
      <c r="U278" s="28">
        <f t="shared" si="72"/>
        <v>7.8160297522160675</v>
      </c>
      <c r="V278" s="28">
        <f t="shared" si="73"/>
        <v>0.37982103268393352</v>
      </c>
      <c r="W278" s="28">
        <f t="shared" si="74"/>
        <v>1.8991051634196676E-2</v>
      </c>
      <c r="X278" s="28">
        <f t="shared" si="81"/>
        <v>7.8350208038502647</v>
      </c>
      <c r="Y278" s="14">
        <v>41.321979429088614</v>
      </c>
      <c r="Z278" s="13">
        <v>0.14249999999999999</v>
      </c>
      <c r="AA278" s="14">
        <v>43.220247293397804</v>
      </c>
      <c r="AB278" s="13">
        <f t="shared" si="83"/>
        <v>6.4899999999999999E-2</v>
      </c>
      <c r="AC278" s="14">
        <v>48.188897293397801</v>
      </c>
      <c r="AD278" s="26">
        <f t="shared" si="68"/>
        <v>0.14250000000000002</v>
      </c>
      <c r="AE278" s="4">
        <f t="shared" si="69"/>
        <v>48.19</v>
      </c>
      <c r="AF278" s="27">
        <f t="shared" si="82"/>
        <v>0.14249999999999999</v>
      </c>
      <c r="AG278" s="4">
        <f t="shared" si="70"/>
        <v>41.32</v>
      </c>
      <c r="AH278" s="27">
        <f t="shared" si="71"/>
        <v>6.4899999999999999E-2</v>
      </c>
    </row>
    <row r="279" spans="1:34" x14ac:dyDescent="0.35">
      <c r="A279" s="8" t="s">
        <v>590</v>
      </c>
      <c r="B279" s="9" t="s">
        <v>591</v>
      </c>
      <c r="C279" s="8" t="s">
        <v>1134</v>
      </c>
      <c r="D279" s="8" t="s">
        <v>1139</v>
      </c>
      <c r="E279" s="8" t="s">
        <v>905</v>
      </c>
      <c r="F279" s="25" t="s">
        <v>1026</v>
      </c>
      <c r="G279" s="8" t="s">
        <v>14</v>
      </c>
      <c r="H279" s="8">
        <v>30</v>
      </c>
      <c r="I279" s="8" t="s">
        <v>1163</v>
      </c>
      <c r="J279" s="10">
        <v>102.98</v>
      </c>
      <c r="K279" s="22">
        <v>0.39400000000000002</v>
      </c>
      <c r="L279" s="11">
        <v>74.709999999999994</v>
      </c>
      <c r="M279" s="13">
        <v>0.1711</v>
      </c>
      <c r="N279" s="17">
        <f t="shared" si="75"/>
        <v>61.92711899999999</v>
      </c>
      <c r="O279" s="13">
        <v>0.1075</v>
      </c>
      <c r="P279" s="14">
        <f t="shared" si="76"/>
        <v>55.269953707499987</v>
      </c>
      <c r="Q279" s="14">
        <f t="shared" si="77"/>
        <v>13.637703240475004</v>
      </c>
      <c r="R279" s="28">
        <f t="shared" si="78"/>
        <v>3.8688967595249992</v>
      </c>
      <c r="S279" s="28">
        <f t="shared" si="79"/>
        <v>12.899951925376792</v>
      </c>
      <c r="T279" s="28">
        <f t="shared" si="80"/>
        <v>5.5846672404750013</v>
      </c>
      <c r="U279" s="28">
        <f t="shared" si="72"/>
        <v>12.899951925376792</v>
      </c>
      <c r="V279" s="28">
        <f t="shared" si="73"/>
        <v>0.73775131509821179</v>
      </c>
      <c r="W279" s="28">
        <f t="shared" si="74"/>
        <v>3.688756575491059E-2</v>
      </c>
      <c r="X279" s="28">
        <f t="shared" si="81"/>
        <v>12.936839491131703</v>
      </c>
      <c r="Y279" s="14">
        <v>68.205358959368539</v>
      </c>
      <c r="Z279" s="13">
        <v>0.14249999999999999</v>
      </c>
      <c r="AA279" s="14">
        <v>71.508452212091598</v>
      </c>
      <c r="AB279" s="13">
        <f t="shared" si="83"/>
        <v>4.2900000000000001E-2</v>
      </c>
      <c r="AC279" s="14">
        <v>79.539777212091593</v>
      </c>
      <c r="AD279" s="26">
        <f t="shared" si="68"/>
        <v>0.14250000000000004</v>
      </c>
      <c r="AE279" s="4">
        <f t="shared" si="69"/>
        <v>79.540000000000006</v>
      </c>
      <c r="AF279" s="27">
        <f t="shared" si="82"/>
        <v>0.14249999999999999</v>
      </c>
      <c r="AG279" s="4">
        <f t="shared" si="70"/>
        <v>68.209999999999994</v>
      </c>
      <c r="AH279" s="27">
        <f t="shared" si="71"/>
        <v>4.2900000000000001E-2</v>
      </c>
    </row>
    <row r="280" spans="1:34" x14ac:dyDescent="0.35">
      <c r="A280" s="8" t="s">
        <v>592</v>
      </c>
      <c r="B280" s="9" t="s">
        <v>593</v>
      </c>
      <c r="C280" s="8" t="s">
        <v>1135</v>
      </c>
      <c r="D280" s="8" t="s">
        <v>1139</v>
      </c>
      <c r="E280" s="8" t="s">
        <v>905</v>
      </c>
      <c r="F280" s="25" t="s">
        <v>1027</v>
      </c>
      <c r="G280" s="8" t="s">
        <v>1108</v>
      </c>
      <c r="H280" s="8">
        <v>30</v>
      </c>
      <c r="I280" s="8" t="s">
        <v>1164</v>
      </c>
      <c r="J280" s="10">
        <v>43.48</v>
      </c>
      <c r="K280" s="22">
        <v>0.3417</v>
      </c>
      <c r="L280" s="11">
        <v>32.409999999999997</v>
      </c>
      <c r="M280" s="13">
        <v>0.13700000000000001</v>
      </c>
      <c r="N280" s="17">
        <f t="shared" si="75"/>
        <v>27.969829999999998</v>
      </c>
      <c r="O280" s="13">
        <v>0.1075</v>
      </c>
      <c r="P280" s="14">
        <f t="shared" si="76"/>
        <v>24.963073274999996</v>
      </c>
      <c r="Q280" s="14">
        <f t="shared" si="77"/>
        <v>5.6441848707500002</v>
      </c>
      <c r="R280" s="28">
        <f t="shared" si="78"/>
        <v>1.74741512925</v>
      </c>
      <c r="S280" s="28">
        <f t="shared" si="79"/>
        <v>5.8263563393117241</v>
      </c>
      <c r="T280" s="28">
        <f t="shared" si="80"/>
        <v>2.2440488707499995</v>
      </c>
      <c r="U280" s="28">
        <f t="shared" si="72"/>
        <v>5.8263563393117241</v>
      </c>
      <c r="V280" s="28">
        <f t="shared" si="73"/>
        <v>-0.18217146856172395</v>
      </c>
      <c r="W280" s="28">
        <f t="shared" si="74"/>
        <v>-9.1085734280861985E-3</v>
      </c>
      <c r="X280" s="28">
        <f t="shared" si="81"/>
        <v>5.8172477658836383</v>
      </c>
      <c r="Y280" s="14">
        <v>30.779542577842037</v>
      </c>
      <c r="Z280" s="13">
        <v>0.14249999999999999</v>
      </c>
      <c r="AA280" s="14">
        <v>32.410435294859518</v>
      </c>
      <c r="AB280" s="13">
        <f t="shared" si="83"/>
        <v>0</v>
      </c>
      <c r="AC280" s="14">
        <v>35.894510294859515</v>
      </c>
      <c r="AD280" s="26">
        <f t="shared" si="68"/>
        <v>0.14249999999999993</v>
      </c>
      <c r="AE280" s="4">
        <f t="shared" si="69"/>
        <v>35.89</v>
      </c>
      <c r="AF280" s="27">
        <f t="shared" si="82"/>
        <v>0.14249999999999999</v>
      </c>
      <c r="AG280" s="4">
        <f t="shared" si="70"/>
        <v>30.78</v>
      </c>
      <c r="AH280" s="27">
        <f t="shared" si="71"/>
        <v>0</v>
      </c>
    </row>
    <row r="281" spans="1:34" x14ac:dyDescent="0.35">
      <c r="A281" s="8" t="s">
        <v>594</v>
      </c>
      <c r="B281" s="9" t="s">
        <v>595</v>
      </c>
      <c r="C281" s="8" t="s">
        <v>1134</v>
      </c>
      <c r="D281" s="8" t="s">
        <v>1149</v>
      </c>
      <c r="E281" s="8" t="s">
        <v>905</v>
      </c>
      <c r="F281" s="25" t="s">
        <v>1028</v>
      </c>
      <c r="G281" s="8" t="s">
        <v>3</v>
      </c>
      <c r="H281" s="8">
        <v>30</v>
      </c>
      <c r="I281" s="8" t="s">
        <v>1163</v>
      </c>
      <c r="J281" s="10">
        <v>43.35</v>
      </c>
      <c r="K281" s="22">
        <v>0.39400000000000002</v>
      </c>
      <c r="L281" s="11">
        <v>31.45</v>
      </c>
      <c r="M281" s="13">
        <v>0.67710000000000004</v>
      </c>
      <c r="N281" s="17">
        <f t="shared" si="75"/>
        <v>10.155204999999999</v>
      </c>
      <c r="O281" s="13">
        <v>0.1075</v>
      </c>
      <c r="P281" s="14">
        <f t="shared" si="76"/>
        <v>9.0635204624999979</v>
      </c>
      <c r="Q281" s="14">
        <f t="shared" si="77"/>
        <v>6.7350535676250001</v>
      </c>
      <c r="R281" s="28">
        <f t="shared" si="78"/>
        <v>0.63444643237499987</v>
      </c>
      <c r="S281" s="28">
        <f t="shared" si="79"/>
        <v>2.1154166124270373</v>
      </c>
      <c r="T281" s="28">
        <f t="shared" si="80"/>
        <v>3.3450835676250001</v>
      </c>
      <c r="U281" s="28">
        <f t="shared" si="72"/>
        <v>3.3450835676250001</v>
      </c>
      <c r="V281" s="28">
        <f t="shared" si="73"/>
        <v>3.3899699999999999</v>
      </c>
      <c r="W281" s="28">
        <f t="shared" si="74"/>
        <v>0.1694985</v>
      </c>
      <c r="X281" s="28">
        <f t="shared" si="81"/>
        <v>3.5145820676250001</v>
      </c>
      <c r="Y281" s="14">
        <v>12.577016640249999</v>
      </c>
      <c r="Z281" s="13">
        <v>0.14249999999999999</v>
      </c>
      <c r="AA281" s="14">
        <v>11.286199799125363</v>
      </c>
      <c r="AB281" s="13">
        <f t="shared" si="83"/>
        <v>0.6411</v>
      </c>
      <c r="AC281" s="14">
        <v>14.667074799125363</v>
      </c>
      <c r="AD281" s="26">
        <f t="shared" si="68"/>
        <v>0.14249999999999996</v>
      </c>
      <c r="AE281" s="4">
        <f t="shared" si="69"/>
        <v>14.67</v>
      </c>
      <c r="AF281" s="27">
        <f t="shared" si="82"/>
        <v>0.14249999999999999</v>
      </c>
      <c r="AG281" s="4">
        <f t="shared" si="70"/>
        <v>12.58</v>
      </c>
      <c r="AH281" s="27">
        <f t="shared" si="71"/>
        <v>0.6411</v>
      </c>
    </row>
    <row r="282" spans="1:34" x14ac:dyDescent="0.35">
      <c r="A282" s="8" t="s">
        <v>596</v>
      </c>
      <c r="B282" s="9" t="s">
        <v>597</v>
      </c>
      <c r="C282" s="8" t="s">
        <v>1134</v>
      </c>
      <c r="D282" s="8" t="s">
        <v>1139</v>
      </c>
      <c r="E282" s="8" t="s">
        <v>905</v>
      </c>
      <c r="F282" s="25" t="s">
        <v>1028</v>
      </c>
      <c r="G282" s="8" t="s">
        <v>3</v>
      </c>
      <c r="H282" s="8">
        <v>60</v>
      </c>
      <c r="I282" s="8" t="s">
        <v>1163</v>
      </c>
      <c r="J282" s="10">
        <v>74.12</v>
      </c>
      <c r="K282" s="22">
        <v>0.39400000000000002</v>
      </c>
      <c r="L282" s="11">
        <v>53.77</v>
      </c>
      <c r="M282" s="13">
        <v>0.64659999999999995</v>
      </c>
      <c r="N282" s="17">
        <f t="shared" si="75"/>
        <v>19.002318000000002</v>
      </c>
      <c r="O282" s="13">
        <v>0.1075</v>
      </c>
      <c r="P282" s="14">
        <f t="shared" si="76"/>
        <v>16.959568815000001</v>
      </c>
      <c r="Q282" s="14">
        <f t="shared" si="77"/>
        <v>11.413230182950002</v>
      </c>
      <c r="R282" s="28">
        <f t="shared" si="78"/>
        <v>1.1871698170500002</v>
      </c>
      <c r="S282" s="28">
        <f t="shared" si="79"/>
        <v>3.9583464018521859</v>
      </c>
      <c r="T282" s="28">
        <f t="shared" si="80"/>
        <v>5.6170461829500002</v>
      </c>
      <c r="U282" s="28">
        <f t="shared" si="72"/>
        <v>5.6170461829500002</v>
      </c>
      <c r="V282" s="28">
        <f t="shared" si="73"/>
        <v>5.796184000000002</v>
      </c>
      <c r="W282" s="28">
        <f t="shared" si="74"/>
        <v>0.2898092000000001</v>
      </c>
      <c r="X282" s="28">
        <f t="shared" si="81"/>
        <v>5.9068553829500008</v>
      </c>
      <c r="Y282" s="14">
        <v>22.864567654275</v>
      </c>
      <c r="Z282" s="13">
        <v>0.14249999999999999</v>
      </c>
      <c r="AA282" s="14">
        <v>20.883943838804662</v>
      </c>
      <c r="AB282" s="13">
        <f t="shared" si="83"/>
        <v>0.61160000000000003</v>
      </c>
      <c r="AC282" s="14">
        <v>26.664218838804661</v>
      </c>
      <c r="AD282" s="26">
        <f t="shared" si="68"/>
        <v>0.1424999999999999</v>
      </c>
      <c r="AE282" s="4">
        <f t="shared" si="69"/>
        <v>26.66</v>
      </c>
      <c r="AF282" s="27">
        <f t="shared" si="82"/>
        <v>0.14249999999999999</v>
      </c>
      <c r="AG282" s="4">
        <f t="shared" si="70"/>
        <v>22.86</v>
      </c>
      <c r="AH282" s="27">
        <f t="shared" si="71"/>
        <v>0.61160000000000003</v>
      </c>
    </row>
    <row r="283" spans="1:34" x14ac:dyDescent="0.35">
      <c r="A283" s="8" t="s">
        <v>598</v>
      </c>
      <c r="B283" s="9" t="s">
        <v>599</v>
      </c>
      <c r="C283" s="8" t="s">
        <v>1134</v>
      </c>
      <c r="D283" s="8" t="s">
        <v>1197</v>
      </c>
      <c r="E283" s="8" t="s">
        <v>905</v>
      </c>
      <c r="F283" s="25" t="s">
        <v>1029</v>
      </c>
      <c r="G283" s="8" t="s">
        <v>23</v>
      </c>
      <c r="H283" s="8">
        <v>30</v>
      </c>
      <c r="I283" s="8" t="s">
        <v>1163</v>
      </c>
      <c r="J283" s="10">
        <v>236.68</v>
      </c>
      <c r="K283" s="22">
        <v>0.39400000000000002</v>
      </c>
      <c r="L283" s="11">
        <v>171.71</v>
      </c>
      <c r="M283" s="13">
        <v>0.71509999999999996</v>
      </c>
      <c r="N283" s="17">
        <f t="shared" si="75"/>
        <v>48.920179000000012</v>
      </c>
      <c r="O283" s="13">
        <v>0.1075</v>
      </c>
      <c r="P283" s="14">
        <f t="shared" si="76"/>
        <v>43.661259757500005</v>
      </c>
      <c r="Q283" s="14">
        <f t="shared" si="77"/>
        <v>37.179311816975002</v>
      </c>
      <c r="R283" s="28">
        <f t="shared" si="78"/>
        <v>3.0562881830250008</v>
      </c>
      <c r="S283" s="28">
        <f t="shared" si="79"/>
        <v>10.190494366140744</v>
      </c>
      <c r="T283" s="28">
        <f t="shared" si="80"/>
        <v>18.670935816975</v>
      </c>
      <c r="U283" s="28">
        <f t="shared" si="72"/>
        <v>18.670935816975</v>
      </c>
      <c r="V283" s="28">
        <f t="shared" si="73"/>
        <v>18.508376000000002</v>
      </c>
      <c r="W283" s="28">
        <f t="shared" si="74"/>
        <v>0.9254188000000001</v>
      </c>
      <c r="X283" s="28">
        <f t="shared" si="81"/>
        <v>19.596354616974999</v>
      </c>
      <c r="Y283" s="14">
        <v>63.25168565744999</v>
      </c>
      <c r="Z283" s="13">
        <v>0.14249999999999999</v>
      </c>
      <c r="AA283" s="14">
        <v>55.304073725889204</v>
      </c>
      <c r="AB283" s="13">
        <f t="shared" si="83"/>
        <v>0.67789999999999995</v>
      </c>
      <c r="AC283" s="14">
        <v>73.762898725889201</v>
      </c>
      <c r="AD283" s="26">
        <f t="shared" si="68"/>
        <v>0.14250000000000002</v>
      </c>
      <c r="AE283" s="4">
        <f t="shared" si="69"/>
        <v>73.760000000000005</v>
      </c>
      <c r="AF283" s="27">
        <f t="shared" si="82"/>
        <v>0.14249999999999999</v>
      </c>
      <c r="AG283" s="4">
        <f t="shared" si="70"/>
        <v>63.25</v>
      </c>
      <c r="AH283" s="27">
        <f t="shared" si="71"/>
        <v>0.67789999999999995</v>
      </c>
    </row>
    <row r="284" spans="1:34" x14ac:dyDescent="0.35">
      <c r="A284" s="8" t="s">
        <v>600</v>
      </c>
      <c r="B284" s="9" t="s">
        <v>601</v>
      </c>
      <c r="C284" s="8" t="s">
        <v>1134</v>
      </c>
      <c r="D284" s="8" t="s">
        <v>1149</v>
      </c>
      <c r="E284" s="8" t="s">
        <v>905</v>
      </c>
      <c r="F284" s="25" t="s">
        <v>1030</v>
      </c>
      <c r="G284" s="8" t="s">
        <v>13</v>
      </c>
      <c r="H284" s="8">
        <v>15</v>
      </c>
      <c r="I284" s="8" t="s">
        <v>1163</v>
      </c>
      <c r="J284" s="10">
        <v>197.52</v>
      </c>
      <c r="K284" s="22">
        <v>0.39400000000000002</v>
      </c>
      <c r="L284" s="11">
        <v>143.30000000000001</v>
      </c>
      <c r="M284" s="13">
        <v>0.76490000000000002</v>
      </c>
      <c r="N284" s="17">
        <f t="shared" si="75"/>
        <v>33.689830000000001</v>
      </c>
      <c r="O284" s="13">
        <v>0.1075</v>
      </c>
      <c r="P284" s="14">
        <f t="shared" si="76"/>
        <v>30.068173274999999</v>
      </c>
      <c r="Q284" s="14">
        <f t="shared" si="77"/>
        <v>31.473627870750001</v>
      </c>
      <c r="R284" s="28">
        <f t="shared" si="78"/>
        <v>2.1047721292500001</v>
      </c>
      <c r="S284" s="28">
        <f t="shared" si="79"/>
        <v>7.0178815742117244</v>
      </c>
      <c r="T284" s="28">
        <f t="shared" si="80"/>
        <v>16.027563870749997</v>
      </c>
      <c r="U284" s="28">
        <f t="shared" si="72"/>
        <v>16.027563870749997</v>
      </c>
      <c r="V284" s="28">
        <f t="shared" si="73"/>
        <v>15.446064000000003</v>
      </c>
      <c r="W284" s="28">
        <f t="shared" si="74"/>
        <v>0.77230320000000019</v>
      </c>
      <c r="X284" s="28">
        <f t="shared" si="81"/>
        <v>16.799867070749997</v>
      </c>
      <c r="Y284" s="14">
        <v>46.863092555000001</v>
      </c>
      <c r="Z284" s="13">
        <v>0.14249999999999999</v>
      </c>
      <c r="AA284" s="14">
        <v>39.246086798833815</v>
      </c>
      <c r="AB284" s="13">
        <f t="shared" si="83"/>
        <v>0.72609999999999997</v>
      </c>
      <c r="AC284" s="14">
        <v>54.650836798833815</v>
      </c>
      <c r="AD284" s="26">
        <f t="shared" si="68"/>
        <v>0.1424999999999999</v>
      </c>
      <c r="AE284" s="4">
        <f t="shared" si="69"/>
        <v>54.65</v>
      </c>
      <c r="AF284" s="27">
        <f t="shared" si="82"/>
        <v>0.14249999999999999</v>
      </c>
      <c r="AG284" s="4">
        <f t="shared" si="70"/>
        <v>46.86</v>
      </c>
      <c r="AH284" s="27">
        <f t="shared" si="71"/>
        <v>0.72609999999999997</v>
      </c>
    </row>
    <row r="285" spans="1:34" x14ac:dyDescent="0.35">
      <c r="A285" s="8" t="s">
        <v>602</v>
      </c>
      <c r="B285" s="9" t="s">
        <v>603</v>
      </c>
      <c r="C285" s="8" t="s">
        <v>1134</v>
      </c>
      <c r="D285" s="8" t="s">
        <v>1149</v>
      </c>
      <c r="E285" s="8" t="s">
        <v>905</v>
      </c>
      <c r="F285" s="25" t="s">
        <v>1030</v>
      </c>
      <c r="G285" s="8" t="s">
        <v>13</v>
      </c>
      <c r="H285" s="8">
        <v>4</v>
      </c>
      <c r="I285" s="8" t="s">
        <v>1163</v>
      </c>
      <c r="J285" s="10">
        <v>61.12</v>
      </c>
      <c r="K285" s="22">
        <v>0.39400000000000002</v>
      </c>
      <c r="L285" s="11">
        <v>44.34</v>
      </c>
      <c r="M285" s="13">
        <v>0.77480000000000004</v>
      </c>
      <c r="N285" s="17">
        <f t="shared" si="75"/>
        <v>9.9853679999999994</v>
      </c>
      <c r="O285" s="13">
        <v>0.1075</v>
      </c>
      <c r="P285" s="14">
        <f t="shared" si="76"/>
        <v>8.9119409399999991</v>
      </c>
      <c r="Q285" s="14">
        <f t="shared" si="77"/>
        <v>9.7665641341999994</v>
      </c>
      <c r="R285" s="28">
        <f t="shared" si="78"/>
        <v>0.62383586579999994</v>
      </c>
      <c r="S285" s="28">
        <f t="shared" si="79"/>
        <v>2.0800381034550601</v>
      </c>
      <c r="T285" s="28">
        <f t="shared" si="80"/>
        <v>4.9869801341999995</v>
      </c>
      <c r="U285" s="28">
        <f t="shared" si="72"/>
        <v>4.9869801341999995</v>
      </c>
      <c r="V285" s="28">
        <f t="shared" si="73"/>
        <v>4.7795839999999998</v>
      </c>
      <c r="W285" s="28">
        <f t="shared" si="74"/>
        <v>0.2389792</v>
      </c>
      <c r="X285" s="28">
        <f t="shared" si="81"/>
        <v>5.2259593341999997</v>
      </c>
      <c r="Y285" s="14">
        <v>14.136369324849998</v>
      </c>
      <c r="Z285" s="13">
        <v>0.14249999999999999</v>
      </c>
      <c r="AA285" s="14">
        <v>11.719011894868803</v>
      </c>
      <c r="AB285" s="13">
        <f t="shared" si="83"/>
        <v>0.73570000000000002</v>
      </c>
      <c r="AC285" s="14">
        <v>16.485561894868802</v>
      </c>
      <c r="AD285" s="26">
        <f t="shared" si="68"/>
        <v>0.14249999999999999</v>
      </c>
      <c r="AE285" s="4">
        <f t="shared" si="69"/>
        <v>16.489999999999998</v>
      </c>
      <c r="AF285" s="27">
        <f t="shared" si="82"/>
        <v>0.14249999999999999</v>
      </c>
      <c r="AG285" s="4">
        <f t="shared" si="70"/>
        <v>14.14</v>
      </c>
      <c r="AH285" s="27">
        <f t="shared" si="71"/>
        <v>0.73570000000000002</v>
      </c>
    </row>
    <row r="286" spans="1:34" x14ac:dyDescent="0.35">
      <c r="A286" s="8" t="s">
        <v>604</v>
      </c>
      <c r="B286" s="9" t="s">
        <v>605</v>
      </c>
      <c r="C286" s="8" t="s">
        <v>1134</v>
      </c>
      <c r="D286" s="8" t="s">
        <v>1139</v>
      </c>
      <c r="E286" s="8" t="s">
        <v>905</v>
      </c>
      <c r="F286" s="25" t="s">
        <v>1031</v>
      </c>
      <c r="G286" s="8" t="s">
        <v>39</v>
      </c>
      <c r="H286" s="8">
        <v>28</v>
      </c>
      <c r="I286" s="8" t="s">
        <v>1163</v>
      </c>
      <c r="J286" s="10">
        <v>148.27000000000001</v>
      </c>
      <c r="K286" s="22">
        <v>0.39400000000000002</v>
      </c>
      <c r="L286" s="11">
        <v>107.57</v>
      </c>
      <c r="M286" s="13">
        <v>0.58079999999999998</v>
      </c>
      <c r="N286" s="17">
        <f t="shared" si="75"/>
        <v>45.093344000000002</v>
      </c>
      <c r="O286" s="13">
        <v>0.1075</v>
      </c>
      <c r="P286" s="14">
        <f t="shared" si="76"/>
        <v>40.245809520000002</v>
      </c>
      <c r="Q286" s="14">
        <f t="shared" si="77"/>
        <v>22.388693333600003</v>
      </c>
      <c r="R286" s="28">
        <f t="shared" si="78"/>
        <v>2.8172066664000002</v>
      </c>
      <c r="S286" s="28">
        <f t="shared" si="79"/>
        <v>9.3933316961584801</v>
      </c>
      <c r="T286" s="28">
        <f t="shared" si="80"/>
        <v>10.793979333599999</v>
      </c>
      <c r="U286" s="28">
        <f t="shared" si="72"/>
        <v>10.793979333599999</v>
      </c>
      <c r="V286" s="28">
        <f t="shared" si="73"/>
        <v>11.594714000000003</v>
      </c>
      <c r="W286" s="28">
        <f t="shared" si="74"/>
        <v>0.57973570000000019</v>
      </c>
      <c r="X286" s="28">
        <f t="shared" si="81"/>
        <v>11.3737150336</v>
      </c>
      <c r="Y286" s="14">
        <v>51.615810430425</v>
      </c>
      <c r="Z286" s="13">
        <v>0.14249999999999999</v>
      </c>
      <c r="AA286" s="14">
        <v>48.629589933440229</v>
      </c>
      <c r="AB286" s="13">
        <f t="shared" si="83"/>
        <v>0.54790000000000005</v>
      </c>
      <c r="AC286" s="14">
        <v>60.193364933440229</v>
      </c>
      <c r="AD286" s="26">
        <f t="shared" si="68"/>
        <v>0.14249999999999993</v>
      </c>
      <c r="AE286" s="4">
        <f t="shared" si="69"/>
        <v>60.19</v>
      </c>
      <c r="AF286" s="27">
        <f t="shared" si="82"/>
        <v>0.14249999999999999</v>
      </c>
      <c r="AG286" s="4">
        <f t="shared" si="70"/>
        <v>51.62</v>
      </c>
      <c r="AH286" s="27">
        <f t="shared" si="71"/>
        <v>0.54790000000000005</v>
      </c>
    </row>
    <row r="287" spans="1:34" x14ac:dyDescent="0.35">
      <c r="A287" s="8" t="s">
        <v>606</v>
      </c>
      <c r="B287" s="9" t="s">
        <v>607</v>
      </c>
      <c r="C287" s="8" t="s">
        <v>1134</v>
      </c>
      <c r="D287" s="8" t="s">
        <v>1198</v>
      </c>
      <c r="E287" s="8" t="s">
        <v>905</v>
      </c>
      <c r="F287" s="25" t="s">
        <v>1032</v>
      </c>
      <c r="G287" s="8" t="s">
        <v>3</v>
      </c>
      <c r="H287" s="8">
        <v>25</v>
      </c>
      <c r="I287" s="8" t="s">
        <v>1163</v>
      </c>
      <c r="J287" s="10">
        <v>168.03</v>
      </c>
      <c r="K287" s="22">
        <v>0.39400000000000002</v>
      </c>
      <c r="L287" s="11">
        <v>121.9</v>
      </c>
      <c r="M287" s="13">
        <v>0.49480000000000002</v>
      </c>
      <c r="N287" s="17">
        <f t="shared" si="75"/>
        <v>61.583880000000001</v>
      </c>
      <c r="O287" s="13">
        <v>0.1075</v>
      </c>
      <c r="P287" s="14">
        <f t="shared" si="76"/>
        <v>54.963612900000001</v>
      </c>
      <c r="Q287" s="14">
        <f t="shared" si="77"/>
        <v>24.717647097</v>
      </c>
      <c r="R287" s="28">
        <f t="shared" si="78"/>
        <v>3.8474529030000006</v>
      </c>
      <c r="S287" s="28">
        <f t="shared" si="79"/>
        <v>12.828452287247099</v>
      </c>
      <c r="T287" s="28">
        <f t="shared" si="80"/>
        <v>11.577701096999998</v>
      </c>
      <c r="U287" s="28">
        <f t="shared" si="72"/>
        <v>12.828452287247099</v>
      </c>
      <c r="V287" s="28">
        <f t="shared" si="73"/>
        <v>11.889194809752901</v>
      </c>
      <c r="W287" s="28">
        <f t="shared" si="74"/>
        <v>0.59445974048764505</v>
      </c>
      <c r="X287" s="28">
        <f t="shared" si="81"/>
        <v>13.422912027734744</v>
      </c>
      <c r="Y287" s="14">
        <v>68.388026955249998</v>
      </c>
      <c r="Z287" s="13">
        <v>0.14249999999999999</v>
      </c>
      <c r="AA287" s="14">
        <v>66.648551113994174</v>
      </c>
      <c r="AB287" s="13">
        <f t="shared" si="83"/>
        <v>0.45329999999999998</v>
      </c>
      <c r="AC287" s="14">
        <v>79.752801113994167</v>
      </c>
      <c r="AD287" s="26">
        <f t="shared" si="68"/>
        <v>0.14249999999999999</v>
      </c>
      <c r="AE287" s="4">
        <f t="shared" si="69"/>
        <v>79.75</v>
      </c>
      <c r="AF287" s="27">
        <f t="shared" si="82"/>
        <v>0.14249999999999999</v>
      </c>
      <c r="AG287" s="4">
        <f t="shared" si="70"/>
        <v>68.39</v>
      </c>
      <c r="AH287" s="27">
        <f t="shared" si="71"/>
        <v>0.45329999999999998</v>
      </c>
    </row>
    <row r="288" spans="1:34" x14ac:dyDescent="0.35">
      <c r="A288" s="8" t="s">
        <v>608</v>
      </c>
      <c r="B288" s="9" t="s">
        <v>609</v>
      </c>
      <c r="C288" s="8" t="s">
        <v>1134</v>
      </c>
      <c r="D288" s="8" t="s">
        <v>1139</v>
      </c>
      <c r="E288" s="8" t="s">
        <v>905</v>
      </c>
      <c r="F288" s="25" t="s">
        <v>1033</v>
      </c>
      <c r="G288" s="8" t="s">
        <v>16</v>
      </c>
      <c r="H288" s="8">
        <v>30</v>
      </c>
      <c r="I288" s="8" t="s">
        <v>1163</v>
      </c>
      <c r="J288" s="10">
        <v>127.78</v>
      </c>
      <c r="K288" s="22">
        <v>0.39400000000000002</v>
      </c>
      <c r="L288" s="11">
        <v>92.7</v>
      </c>
      <c r="M288" s="13">
        <v>0.18090000000000001</v>
      </c>
      <c r="N288" s="17">
        <f t="shared" si="75"/>
        <v>75.930570000000003</v>
      </c>
      <c r="O288" s="13">
        <v>0.1075</v>
      </c>
      <c r="P288" s="14">
        <f t="shared" si="76"/>
        <v>67.768033724999995</v>
      </c>
      <c r="Q288" s="14">
        <f t="shared" si="77"/>
        <v>16.978837639250003</v>
      </c>
      <c r="R288" s="28">
        <f t="shared" si="78"/>
        <v>4.7437623607499999</v>
      </c>
      <c r="S288" s="28">
        <f t="shared" si="79"/>
        <v>15.816991303381275</v>
      </c>
      <c r="T288" s="28">
        <f t="shared" si="80"/>
        <v>6.9864416392499988</v>
      </c>
      <c r="U288" s="28">
        <f t="shared" si="72"/>
        <v>15.816991303381275</v>
      </c>
      <c r="V288" s="28">
        <f t="shared" si="73"/>
        <v>1.1618463358687272</v>
      </c>
      <c r="W288" s="28">
        <f t="shared" si="74"/>
        <v>5.8092316793436363E-2</v>
      </c>
      <c r="X288" s="28">
        <f t="shared" si="81"/>
        <v>15.875083620174712</v>
      </c>
      <c r="Y288" s="14">
        <v>83.641337744322158</v>
      </c>
      <c r="Z288" s="13">
        <v>0.14249999999999999</v>
      </c>
      <c r="AA288" s="14">
        <v>87.575668652270735</v>
      </c>
      <c r="AB288" s="13">
        <f t="shared" si="83"/>
        <v>5.5300000000000002E-2</v>
      </c>
      <c r="AC288" s="14">
        <v>97.540918652270733</v>
      </c>
      <c r="AD288" s="26">
        <f t="shared" si="68"/>
        <v>0.14249999999999996</v>
      </c>
      <c r="AE288" s="4">
        <f t="shared" si="69"/>
        <v>97.54</v>
      </c>
      <c r="AF288" s="27">
        <f t="shared" si="82"/>
        <v>0.14249999999999999</v>
      </c>
      <c r="AG288" s="4">
        <f t="shared" si="70"/>
        <v>83.64</v>
      </c>
      <c r="AH288" s="27">
        <f t="shared" si="71"/>
        <v>5.5300000000000002E-2</v>
      </c>
    </row>
    <row r="289" spans="1:34" x14ac:dyDescent="0.35">
      <c r="A289" s="8" t="s">
        <v>610</v>
      </c>
      <c r="B289" s="9" t="s">
        <v>1199</v>
      </c>
      <c r="C289" s="8" t="s">
        <v>1135</v>
      </c>
      <c r="D289" s="8" t="s">
        <v>1139</v>
      </c>
      <c r="E289" s="8" t="s">
        <v>905</v>
      </c>
      <c r="F289" s="25" t="s">
        <v>1034</v>
      </c>
      <c r="G289" s="8" t="s">
        <v>13</v>
      </c>
      <c r="H289" s="8">
        <v>30</v>
      </c>
      <c r="I289" s="8" t="s">
        <v>1164</v>
      </c>
      <c r="J289" s="10">
        <v>112.35</v>
      </c>
      <c r="K289" s="22">
        <v>0.3417</v>
      </c>
      <c r="L289" s="11">
        <v>83.75</v>
      </c>
      <c r="M289" s="13">
        <v>0.64500000000000002</v>
      </c>
      <c r="N289" s="17">
        <f t="shared" si="75"/>
        <v>29.731249999999999</v>
      </c>
      <c r="O289" s="13">
        <v>0.1075</v>
      </c>
      <c r="P289" s="14">
        <f t="shared" si="76"/>
        <v>26.535140624999997</v>
      </c>
      <c r="Q289" s="14">
        <f t="shared" si="77"/>
        <v>17.242040156249999</v>
      </c>
      <c r="R289" s="28">
        <f t="shared" si="78"/>
        <v>1.8574598437500001</v>
      </c>
      <c r="S289" s="28">
        <f t="shared" si="79"/>
        <v>6.1932752867343748</v>
      </c>
      <c r="T289" s="28">
        <f t="shared" si="80"/>
        <v>8.4562701562499996</v>
      </c>
      <c r="U289" s="28">
        <f t="shared" si="72"/>
        <v>8.4562701562499996</v>
      </c>
      <c r="V289" s="28">
        <f t="shared" si="73"/>
        <v>8.7857699999999994</v>
      </c>
      <c r="W289" s="28">
        <f t="shared" si="74"/>
        <v>0.43928849999999997</v>
      </c>
      <c r="X289" s="28">
        <f t="shared" si="81"/>
        <v>8.8955586562499995</v>
      </c>
      <c r="Y289" s="14">
        <v>35.427807603125004</v>
      </c>
      <c r="Z289" s="13">
        <v>0.14249999999999999</v>
      </c>
      <c r="AA289" s="14">
        <v>32.312102525510205</v>
      </c>
      <c r="AB289" s="13">
        <f t="shared" si="83"/>
        <v>0.61419999999999997</v>
      </c>
      <c r="AC289" s="14">
        <v>41.31522752551021</v>
      </c>
      <c r="AD289" s="26">
        <f t="shared" si="68"/>
        <v>0.14250000000000002</v>
      </c>
      <c r="AE289" s="4">
        <f t="shared" si="69"/>
        <v>41.32</v>
      </c>
      <c r="AF289" s="27">
        <f t="shared" si="82"/>
        <v>0.14249999999999999</v>
      </c>
      <c r="AG289" s="4">
        <f t="shared" si="70"/>
        <v>35.43</v>
      </c>
      <c r="AH289" s="27">
        <f t="shared" si="71"/>
        <v>0.61419999999999997</v>
      </c>
    </row>
    <row r="290" spans="1:34" x14ac:dyDescent="0.35">
      <c r="A290" s="8" t="s">
        <v>611</v>
      </c>
      <c r="B290" s="9" t="s">
        <v>612</v>
      </c>
      <c r="C290" s="8" t="s">
        <v>1135</v>
      </c>
      <c r="D290" s="8" t="s">
        <v>1139</v>
      </c>
      <c r="E290" s="8" t="s">
        <v>905</v>
      </c>
      <c r="F290" s="25" t="s">
        <v>1034</v>
      </c>
      <c r="G290" s="8" t="s">
        <v>1117</v>
      </c>
      <c r="H290" s="8">
        <v>30</v>
      </c>
      <c r="I290" s="8" t="s">
        <v>1164</v>
      </c>
      <c r="J290" s="10">
        <v>56.06</v>
      </c>
      <c r="K290" s="22">
        <v>0.3417</v>
      </c>
      <c r="L290" s="11">
        <v>41.79</v>
      </c>
      <c r="M290" s="13">
        <v>0.3947</v>
      </c>
      <c r="N290" s="17">
        <f t="shared" si="75"/>
        <v>25.295486999999998</v>
      </c>
      <c r="O290" s="13">
        <v>0.1075</v>
      </c>
      <c r="P290" s="14">
        <f t="shared" si="76"/>
        <v>22.576222147499998</v>
      </c>
      <c r="Q290" s="14">
        <f t="shared" si="77"/>
        <v>7.9498644496750011</v>
      </c>
      <c r="R290" s="28">
        <f t="shared" si="78"/>
        <v>1.5803355503250001</v>
      </c>
      <c r="S290" s="28">
        <f t="shared" si="79"/>
        <v>5.2692676730043519</v>
      </c>
      <c r="T290" s="28">
        <f t="shared" si="80"/>
        <v>3.5659724496750003</v>
      </c>
      <c r="U290" s="28">
        <f t="shared" si="72"/>
        <v>5.2692676730043519</v>
      </c>
      <c r="V290" s="28">
        <f t="shared" si="73"/>
        <v>2.6805967766706491</v>
      </c>
      <c r="W290" s="28">
        <f t="shared" si="74"/>
        <v>0.13402983883353245</v>
      </c>
      <c r="X290" s="28">
        <f t="shared" si="81"/>
        <v>5.4032975118378843</v>
      </c>
      <c r="Y290" s="14">
        <v>27.978717399147722</v>
      </c>
      <c r="Z290" s="13">
        <v>0.14249999999999999</v>
      </c>
      <c r="AA290" s="14">
        <v>28.1358168648953</v>
      </c>
      <c r="AB290" s="13">
        <f t="shared" si="83"/>
        <v>0.32669999999999999</v>
      </c>
      <c r="AC290" s="14">
        <v>32.628241864895301</v>
      </c>
      <c r="AD290" s="26">
        <f t="shared" si="68"/>
        <v>0.14249999999999996</v>
      </c>
      <c r="AE290" s="4">
        <f t="shared" si="69"/>
        <v>32.630000000000003</v>
      </c>
      <c r="AF290" s="27">
        <f t="shared" si="82"/>
        <v>0.14249999999999999</v>
      </c>
      <c r="AG290" s="4">
        <f t="shared" si="70"/>
        <v>27.98</v>
      </c>
      <c r="AH290" s="27">
        <f t="shared" si="71"/>
        <v>0.32669999999999999</v>
      </c>
    </row>
    <row r="291" spans="1:34" x14ac:dyDescent="0.35">
      <c r="A291" s="8" t="s">
        <v>613</v>
      </c>
      <c r="B291" s="9" t="s">
        <v>614</v>
      </c>
      <c r="C291" s="8" t="s">
        <v>1135</v>
      </c>
      <c r="D291" s="8" t="s">
        <v>1139</v>
      </c>
      <c r="E291" s="8" t="s">
        <v>905</v>
      </c>
      <c r="F291" s="25" t="s">
        <v>1034</v>
      </c>
      <c r="G291" s="8" t="s">
        <v>21</v>
      </c>
      <c r="H291" s="8">
        <v>30</v>
      </c>
      <c r="I291" s="8" t="s">
        <v>1164</v>
      </c>
      <c r="J291" s="10">
        <v>120.03</v>
      </c>
      <c r="K291" s="22">
        <v>0.3417</v>
      </c>
      <c r="L291" s="11">
        <v>89.48</v>
      </c>
      <c r="M291" s="13">
        <v>0.48859999999999998</v>
      </c>
      <c r="N291" s="17">
        <f t="shared" si="75"/>
        <v>45.760072000000008</v>
      </c>
      <c r="O291" s="13">
        <v>0.1075</v>
      </c>
      <c r="P291" s="14">
        <f t="shared" si="76"/>
        <v>40.840864260000004</v>
      </c>
      <c r="Q291" s="14">
        <f t="shared" si="77"/>
        <v>17.546239501800002</v>
      </c>
      <c r="R291" s="28">
        <f t="shared" si="78"/>
        <v>2.8588604982000003</v>
      </c>
      <c r="S291" s="28">
        <f t="shared" si="79"/>
        <v>9.5322168774197404</v>
      </c>
      <c r="T291" s="28">
        <f t="shared" si="80"/>
        <v>8.1598935017999992</v>
      </c>
      <c r="U291" s="28">
        <f t="shared" si="72"/>
        <v>9.5322168774197404</v>
      </c>
      <c r="V291" s="28">
        <f t="shared" si="73"/>
        <v>8.0140226243802619</v>
      </c>
      <c r="W291" s="28">
        <f t="shared" si="74"/>
        <v>0.40070113121901313</v>
      </c>
      <c r="X291" s="28">
        <f t="shared" si="81"/>
        <v>9.9329180086387527</v>
      </c>
      <c r="Y291" s="14">
        <v>50.7741487523</v>
      </c>
      <c r="Z291" s="13">
        <v>0.14249999999999999</v>
      </c>
      <c r="AA291" s="14">
        <v>49.592735279650149</v>
      </c>
      <c r="AB291" s="13">
        <f t="shared" si="83"/>
        <v>0.44579999999999997</v>
      </c>
      <c r="AC291" s="14">
        <v>59.211835279650145</v>
      </c>
      <c r="AD291" s="26">
        <f t="shared" si="68"/>
        <v>0.14249999999999999</v>
      </c>
      <c r="AE291" s="4">
        <f t="shared" si="69"/>
        <v>59.21</v>
      </c>
      <c r="AF291" s="27">
        <f t="shared" si="82"/>
        <v>0.14249999999999999</v>
      </c>
      <c r="AG291" s="4">
        <f t="shared" si="70"/>
        <v>50.77</v>
      </c>
      <c r="AH291" s="27">
        <f t="shared" si="71"/>
        <v>0.44579999999999997</v>
      </c>
    </row>
    <row r="292" spans="1:34" x14ac:dyDescent="0.35">
      <c r="A292" s="8" t="s">
        <v>615</v>
      </c>
      <c r="B292" s="9" t="s">
        <v>616</v>
      </c>
      <c r="C292" s="8" t="s">
        <v>1135</v>
      </c>
      <c r="D292" s="8" t="s">
        <v>1139</v>
      </c>
      <c r="E292" s="8" t="s">
        <v>905</v>
      </c>
      <c r="F292" s="25" t="s">
        <v>1034</v>
      </c>
      <c r="G292" s="8" t="s">
        <v>1128</v>
      </c>
      <c r="H292" s="8">
        <v>30</v>
      </c>
      <c r="I292" s="8" t="s">
        <v>1164</v>
      </c>
      <c r="J292" s="10">
        <v>276.49</v>
      </c>
      <c r="K292" s="22">
        <v>0.3417</v>
      </c>
      <c r="L292" s="11">
        <v>206.11</v>
      </c>
      <c r="M292" s="13">
        <v>0.44700000000000001</v>
      </c>
      <c r="N292" s="17">
        <f t="shared" si="75"/>
        <v>113.97882999999999</v>
      </c>
      <c r="O292" s="13">
        <v>0.1075</v>
      </c>
      <c r="P292" s="14">
        <f t="shared" si="76"/>
        <v>101.72610577499998</v>
      </c>
      <c r="Q292" s="14">
        <f t="shared" si="77"/>
        <v>39.882472595750002</v>
      </c>
      <c r="R292" s="28">
        <f t="shared" si="78"/>
        <v>7.120827404249999</v>
      </c>
      <c r="S292" s="28">
        <f t="shared" si="79"/>
        <v>23.742771361779219</v>
      </c>
      <c r="T292" s="28">
        <f t="shared" si="80"/>
        <v>18.26095459575</v>
      </c>
      <c r="U292" s="28">
        <f t="shared" si="72"/>
        <v>23.742771361779219</v>
      </c>
      <c r="V292" s="28">
        <f t="shared" si="73"/>
        <v>16.139701233970783</v>
      </c>
      <c r="W292" s="28">
        <f t="shared" si="74"/>
        <v>0.80698506169853923</v>
      </c>
      <c r="X292" s="28">
        <f t="shared" si="81"/>
        <v>24.54975642347776</v>
      </c>
      <c r="Y292" s="14">
        <v>126.27190541820033</v>
      </c>
      <c r="Z292" s="13">
        <v>0.14249999999999999</v>
      </c>
      <c r="AA292" s="14">
        <v>125.09904137691001</v>
      </c>
      <c r="AB292" s="13">
        <f t="shared" si="83"/>
        <v>0.39300000000000002</v>
      </c>
      <c r="AC292" s="14">
        <v>147.25586637691001</v>
      </c>
      <c r="AD292" s="26">
        <f t="shared" si="68"/>
        <v>0.14249999999999999</v>
      </c>
      <c r="AE292" s="4">
        <f t="shared" si="69"/>
        <v>147.26</v>
      </c>
      <c r="AF292" s="27">
        <f t="shared" si="82"/>
        <v>0.14249999999999999</v>
      </c>
      <c r="AG292" s="4">
        <f t="shared" si="70"/>
        <v>126.27</v>
      </c>
      <c r="AH292" s="27">
        <f t="shared" si="71"/>
        <v>0.39300000000000002</v>
      </c>
    </row>
    <row r="293" spans="1:34" x14ac:dyDescent="0.35">
      <c r="A293" s="8" t="s">
        <v>617</v>
      </c>
      <c r="B293" s="9" t="s">
        <v>618</v>
      </c>
      <c r="C293" s="8" t="s">
        <v>1135</v>
      </c>
      <c r="D293" s="8" t="s">
        <v>1139</v>
      </c>
      <c r="E293" s="8" t="s">
        <v>905</v>
      </c>
      <c r="F293" s="25" t="s">
        <v>1035</v>
      </c>
      <c r="G293" s="8" t="s">
        <v>25</v>
      </c>
      <c r="H293" s="8">
        <v>10</v>
      </c>
      <c r="I293" s="8" t="s">
        <v>1164</v>
      </c>
      <c r="J293" s="10">
        <v>54.29</v>
      </c>
      <c r="K293" s="22">
        <v>0.3417</v>
      </c>
      <c r="L293" s="11">
        <v>40.47</v>
      </c>
      <c r="M293" s="13">
        <v>0.53239999999999998</v>
      </c>
      <c r="N293" s="17">
        <f t="shared" si="75"/>
        <v>18.923772</v>
      </c>
      <c r="O293" s="13">
        <v>0.1075</v>
      </c>
      <c r="P293" s="14">
        <f t="shared" si="76"/>
        <v>16.889466509999998</v>
      </c>
      <c r="Q293" s="14">
        <f t="shared" si="77"/>
        <v>8.0470373442999996</v>
      </c>
      <c r="R293" s="28">
        <f t="shared" si="78"/>
        <v>1.1822626557</v>
      </c>
      <c r="S293" s="28">
        <f t="shared" si="79"/>
        <v>3.94198459396749</v>
      </c>
      <c r="T293" s="28">
        <f t="shared" si="80"/>
        <v>3.8015593443000002</v>
      </c>
      <c r="U293" s="28">
        <f t="shared" si="72"/>
        <v>3.94198459396749</v>
      </c>
      <c r="V293" s="28">
        <f t="shared" si="73"/>
        <v>4.1050527503325096</v>
      </c>
      <c r="W293" s="28">
        <f t="shared" si="74"/>
        <v>0.20525263751662548</v>
      </c>
      <c r="X293" s="28">
        <f t="shared" si="81"/>
        <v>4.1472372314841159</v>
      </c>
      <c r="Y293" s="14">
        <v>21.036266873375002</v>
      </c>
      <c r="Z293" s="13">
        <v>0.14249999999999999</v>
      </c>
      <c r="AA293" s="14">
        <v>20.181564648250728</v>
      </c>
      <c r="AB293" s="13">
        <f t="shared" si="83"/>
        <v>0.50129999999999997</v>
      </c>
      <c r="AC293" s="14">
        <v>24.532089648250729</v>
      </c>
      <c r="AD293" s="26">
        <f t="shared" si="68"/>
        <v>0.1424999999999999</v>
      </c>
      <c r="AE293" s="4">
        <f t="shared" si="69"/>
        <v>24.53</v>
      </c>
      <c r="AF293" s="27">
        <f t="shared" si="82"/>
        <v>0.14249999999999999</v>
      </c>
      <c r="AG293" s="4">
        <f t="shared" si="70"/>
        <v>21.04</v>
      </c>
      <c r="AH293" s="27">
        <f t="shared" si="71"/>
        <v>0.50129999999999997</v>
      </c>
    </row>
    <row r="294" spans="1:34" x14ac:dyDescent="0.35">
      <c r="A294" s="8" t="s">
        <v>619</v>
      </c>
      <c r="B294" s="9" t="s">
        <v>620</v>
      </c>
      <c r="C294" s="8" t="s">
        <v>1134</v>
      </c>
      <c r="D294" s="8" t="s">
        <v>1149</v>
      </c>
      <c r="E294" s="8" t="s">
        <v>905</v>
      </c>
      <c r="F294" s="25" t="s">
        <v>1036</v>
      </c>
      <c r="G294" s="8" t="s">
        <v>21</v>
      </c>
      <c r="H294" s="8">
        <v>10</v>
      </c>
      <c r="I294" s="8" t="s">
        <v>1163</v>
      </c>
      <c r="J294" s="10">
        <v>127.18</v>
      </c>
      <c r="K294" s="22">
        <v>0.39400000000000002</v>
      </c>
      <c r="L294" s="11">
        <v>92.27</v>
      </c>
      <c r="M294" s="13">
        <v>0.75849999999999995</v>
      </c>
      <c r="N294" s="17">
        <f t="shared" si="75"/>
        <v>22.283205000000002</v>
      </c>
      <c r="O294" s="13">
        <v>0.1075</v>
      </c>
      <c r="P294" s="14">
        <f t="shared" si="76"/>
        <v>19.887760462500001</v>
      </c>
      <c r="Q294" s="14">
        <f t="shared" si="77"/>
        <v>20.228456767625001</v>
      </c>
      <c r="R294" s="28">
        <f t="shared" si="78"/>
        <v>1.3921432323750003</v>
      </c>
      <c r="S294" s="28">
        <f t="shared" si="79"/>
        <v>4.6417834041870378</v>
      </c>
      <c r="T294" s="28">
        <f t="shared" si="80"/>
        <v>10.282980767625</v>
      </c>
      <c r="U294" s="28">
        <f t="shared" si="72"/>
        <v>10.282980767625</v>
      </c>
      <c r="V294" s="28">
        <f t="shared" si="73"/>
        <v>9.9454760000000011</v>
      </c>
      <c r="W294" s="28">
        <f t="shared" si="74"/>
        <v>0.4972738000000001</v>
      </c>
      <c r="X294" s="28">
        <f t="shared" si="81"/>
        <v>10.780254567625001</v>
      </c>
      <c r="Y294" s="14">
        <v>30.664829177699996</v>
      </c>
      <c r="Z294" s="13">
        <v>0.14249999999999999</v>
      </c>
      <c r="AA294" s="14">
        <v>25.84170873492711</v>
      </c>
      <c r="AB294" s="13">
        <f t="shared" si="83"/>
        <v>0.71989999999999998</v>
      </c>
      <c r="AC294" s="14">
        <v>35.760733734927108</v>
      </c>
      <c r="AD294" s="26">
        <f t="shared" si="68"/>
        <v>0.14249999999999996</v>
      </c>
      <c r="AE294" s="4">
        <f t="shared" si="69"/>
        <v>35.76</v>
      </c>
      <c r="AF294" s="27">
        <f t="shared" si="82"/>
        <v>0.14249999999999999</v>
      </c>
      <c r="AG294" s="4">
        <f t="shared" si="70"/>
        <v>30.66</v>
      </c>
      <c r="AH294" s="27">
        <f t="shared" si="71"/>
        <v>0.71989999999999998</v>
      </c>
    </row>
    <row r="295" spans="1:34" x14ac:dyDescent="0.35">
      <c r="A295" s="8" t="s">
        <v>621</v>
      </c>
      <c r="B295" s="9" t="s">
        <v>622</v>
      </c>
      <c r="C295" s="8" t="s">
        <v>1134</v>
      </c>
      <c r="D295" s="8" t="s">
        <v>1149</v>
      </c>
      <c r="E295" s="8" t="s">
        <v>905</v>
      </c>
      <c r="F295" s="25" t="s">
        <v>1036</v>
      </c>
      <c r="G295" s="8" t="s">
        <v>21</v>
      </c>
      <c r="H295" s="8">
        <v>7</v>
      </c>
      <c r="I295" s="8" t="s">
        <v>1163</v>
      </c>
      <c r="J295" s="10">
        <v>132.01</v>
      </c>
      <c r="K295" s="22">
        <v>0.39400000000000002</v>
      </c>
      <c r="L295" s="11">
        <v>95.77</v>
      </c>
      <c r="M295" s="13">
        <v>0.74329999999999996</v>
      </c>
      <c r="N295" s="17">
        <f t="shared" si="75"/>
        <v>24.584159000000003</v>
      </c>
      <c r="O295" s="13">
        <v>0.1075</v>
      </c>
      <c r="P295" s="14">
        <f t="shared" si="76"/>
        <v>21.941361907500003</v>
      </c>
      <c r="Q295" s="14">
        <f t="shared" si="77"/>
        <v>20.905804666474999</v>
      </c>
      <c r="R295" s="28">
        <f t="shared" si="78"/>
        <v>1.5358953335250003</v>
      </c>
      <c r="S295" s="28">
        <f t="shared" si="79"/>
        <v>5.1210919278485925</v>
      </c>
      <c r="T295" s="28">
        <f t="shared" si="80"/>
        <v>10.582622666474998</v>
      </c>
      <c r="U295" s="28">
        <f t="shared" si="72"/>
        <v>10.582622666474998</v>
      </c>
      <c r="V295" s="28">
        <f t="shared" si="73"/>
        <v>10.323182000000001</v>
      </c>
      <c r="W295" s="28">
        <f t="shared" si="74"/>
        <v>0.51615910000000009</v>
      </c>
      <c r="X295" s="28">
        <f t="shared" si="81"/>
        <v>11.098781766474998</v>
      </c>
      <c r="Y295" s="14">
        <v>33.036836975299998</v>
      </c>
      <c r="Z295" s="13">
        <v>0.14249999999999999</v>
      </c>
      <c r="AA295" s="14">
        <v>28.231648586355675</v>
      </c>
      <c r="AB295" s="13">
        <f t="shared" si="83"/>
        <v>0.70520000000000005</v>
      </c>
      <c r="AC295" s="14">
        <v>38.526923586355679</v>
      </c>
      <c r="AD295" s="26">
        <f t="shared" si="68"/>
        <v>0.1424999999999999</v>
      </c>
      <c r="AE295" s="4">
        <f t="shared" si="69"/>
        <v>38.53</v>
      </c>
      <c r="AF295" s="27">
        <f t="shared" si="82"/>
        <v>0.14249999999999999</v>
      </c>
      <c r="AG295" s="4">
        <f t="shared" si="70"/>
        <v>33.04</v>
      </c>
      <c r="AH295" s="27">
        <f t="shared" si="71"/>
        <v>0.70520000000000005</v>
      </c>
    </row>
    <row r="296" spans="1:34" x14ac:dyDescent="0.35">
      <c r="A296" s="8" t="s">
        <v>623</v>
      </c>
      <c r="B296" s="9" t="s">
        <v>624</v>
      </c>
      <c r="C296" s="8" t="s">
        <v>1134</v>
      </c>
      <c r="D296" s="8" t="s">
        <v>1200</v>
      </c>
      <c r="E296" s="8" t="s">
        <v>905</v>
      </c>
      <c r="F296" s="25" t="s">
        <v>1037</v>
      </c>
      <c r="G296" s="8" t="s">
        <v>20</v>
      </c>
      <c r="H296" s="8">
        <v>25</v>
      </c>
      <c r="I296" s="8" t="s">
        <v>1163</v>
      </c>
      <c r="J296" s="10">
        <v>19.23</v>
      </c>
      <c r="K296" s="22">
        <v>0.39400000000000002</v>
      </c>
      <c r="L296" s="11">
        <v>13.95</v>
      </c>
      <c r="M296" s="13">
        <v>0.36620000000000003</v>
      </c>
      <c r="N296" s="17">
        <f t="shared" si="75"/>
        <v>8.8415099999999978</v>
      </c>
      <c r="O296" s="13">
        <v>0.1075</v>
      </c>
      <c r="P296" s="14">
        <f t="shared" si="76"/>
        <v>7.8910476749999976</v>
      </c>
      <c r="Q296" s="14">
        <f t="shared" si="77"/>
        <v>2.7167266627500002</v>
      </c>
      <c r="R296" s="28">
        <f t="shared" si="78"/>
        <v>0.55237333724999993</v>
      </c>
      <c r="S296" s="28">
        <f t="shared" si="79"/>
        <v>1.8417626362973245</v>
      </c>
      <c r="T296" s="28">
        <f t="shared" si="80"/>
        <v>1.2129406627500001</v>
      </c>
      <c r="U296" s="28">
        <f t="shared" si="72"/>
        <v>1.8417626362973245</v>
      </c>
      <c r="V296" s="28">
        <f t="shared" si="73"/>
        <v>0.87496402645267568</v>
      </c>
      <c r="W296" s="28">
        <f t="shared" si="74"/>
        <v>4.3748201322633788E-2</v>
      </c>
      <c r="X296" s="28">
        <f t="shared" si="81"/>
        <v>1.8855108376199583</v>
      </c>
      <c r="Y296" s="14">
        <v>9.776290708608169</v>
      </c>
      <c r="Z296" s="13">
        <v>0.14249999999999999</v>
      </c>
      <c r="AA296" s="14">
        <v>9.9012971091640445</v>
      </c>
      <c r="AB296" s="13">
        <f t="shared" si="83"/>
        <v>0.29020000000000001</v>
      </c>
      <c r="AC296" s="14">
        <v>11.400922109164044</v>
      </c>
      <c r="AD296" s="26">
        <f t="shared" si="68"/>
        <v>0.14249999999999993</v>
      </c>
      <c r="AE296" s="4">
        <f t="shared" si="69"/>
        <v>11.4</v>
      </c>
      <c r="AF296" s="27">
        <f t="shared" si="82"/>
        <v>0.14249999999999999</v>
      </c>
      <c r="AG296" s="4">
        <f t="shared" si="70"/>
        <v>9.7799999999999994</v>
      </c>
      <c r="AH296" s="27">
        <f t="shared" si="71"/>
        <v>0.29020000000000001</v>
      </c>
    </row>
    <row r="297" spans="1:34" x14ac:dyDescent="0.35">
      <c r="A297" s="8" t="s">
        <v>625</v>
      </c>
      <c r="B297" s="9" t="s">
        <v>626</v>
      </c>
      <c r="C297" s="8" t="s">
        <v>1134</v>
      </c>
      <c r="D297" s="8" t="s">
        <v>1200</v>
      </c>
      <c r="E297" s="8" t="s">
        <v>905</v>
      </c>
      <c r="F297" s="25" t="s">
        <v>1037</v>
      </c>
      <c r="G297" s="8" t="s">
        <v>20</v>
      </c>
      <c r="H297" s="8">
        <v>25</v>
      </c>
      <c r="I297" s="8" t="s">
        <v>1163</v>
      </c>
      <c r="J297" s="10">
        <v>20.12</v>
      </c>
      <c r="K297" s="22">
        <v>0.39400000000000002</v>
      </c>
      <c r="L297" s="11">
        <v>14.6</v>
      </c>
      <c r="M297" s="13">
        <v>0.39050000000000001</v>
      </c>
      <c r="N297" s="17">
        <f t="shared" si="75"/>
        <v>8.8986999999999981</v>
      </c>
      <c r="O297" s="13">
        <v>0.1075</v>
      </c>
      <c r="P297" s="14">
        <f t="shared" si="76"/>
        <v>7.9420897499999983</v>
      </c>
      <c r="Q297" s="14">
        <f t="shared" si="77"/>
        <v>2.8644537175000004</v>
      </c>
      <c r="R297" s="28">
        <f t="shared" si="78"/>
        <v>0.55594628249999989</v>
      </c>
      <c r="S297" s="28">
        <f t="shared" si="79"/>
        <v>1.8536758055602496</v>
      </c>
      <c r="T297" s="28">
        <f t="shared" si="80"/>
        <v>1.2910697175000003</v>
      </c>
      <c r="U297" s="28">
        <f t="shared" si="72"/>
        <v>1.8536758055602496</v>
      </c>
      <c r="V297" s="28">
        <f t="shared" si="73"/>
        <v>1.0107779119397509</v>
      </c>
      <c r="W297" s="28">
        <f t="shared" si="74"/>
        <v>5.0538895596987543E-2</v>
      </c>
      <c r="X297" s="28">
        <f t="shared" si="81"/>
        <v>1.9042147011572372</v>
      </c>
      <c r="Y297" s="14">
        <v>9.846024168822316</v>
      </c>
      <c r="Z297" s="13">
        <v>0.14249999999999999</v>
      </c>
      <c r="AA297" s="14">
        <v>9.9127439286557628</v>
      </c>
      <c r="AB297" s="13">
        <f t="shared" si="83"/>
        <v>0.32100000000000001</v>
      </c>
      <c r="AC297" s="14">
        <v>11.482243928655762</v>
      </c>
      <c r="AD297" s="26">
        <f t="shared" si="68"/>
        <v>0.14250000000000002</v>
      </c>
      <c r="AE297" s="4">
        <f t="shared" si="69"/>
        <v>11.48</v>
      </c>
      <c r="AF297" s="27">
        <f t="shared" si="82"/>
        <v>0.14249999999999999</v>
      </c>
      <c r="AG297" s="4">
        <f t="shared" si="70"/>
        <v>9.85</v>
      </c>
      <c r="AH297" s="27">
        <f t="shared" si="71"/>
        <v>0.32100000000000001</v>
      </c>
    </row>
    <row r="298" spans="1:34" x14ac:dyDescent="0.35">
      <c r="A298" s="8" t="s">
        <v>627</v>
      </c>
      <c r="B298" s="9" t="s">
        <v>628</v>
      </c>
      <c r="C298" s="8" t="s">
        <v>1135</v>
      </c>
      <c r="D298" s="8" t="s">
        <v>1182</v>
      </c>
      <c r="E298" s="8" t="s">
        <v>905</v>
      </c>
      <c r="F298" s="25" t="s">
        <v>1038</v>
      </c>
      <c r="G298" s="8" t="s">
        <v>39</v>
      </c>
      <c r="H298" s="8">
        <v>30</v>
      </c>
      <c r="I298" s="8" t="s">
        <v>1164</v>
      </c>
      <c r="J298" s="10">
        <v>317.81</v>
      </c>
      <c r="K298" s="22">
        <v>0.3417</v>
      </c>
      <c r="L298" s="11">
        <v>236.91</v>
      </c>
      <c r="M298" s="13">
        <v>0.47420000000000001</v>
      </c>
      <c r="N298" s="17">
        <f t="shared" si="75"/>
        <v>124.56727800000002</v>
      </c>
      <c r="O298" s="13">
        <v>0.1075</v>
      </c>
      <c r="P298" s="14">
        <f t="shared" si="76"/>
        <v>111.17629561500002</v>
      </c>
      <c r="Q298" s="14">
        <f t="shared" si="77"/>
        <v>46.24535930695</v>
      </c>
      <c r="R298" s="28">
        <f t="shared" si="78"/>
        <v>7.7823406930500019</v>
      </c>
      <c r="S298" s="28">
        <f t="shared" si="79"/>
        <v>25.948436220245391</v>
      </c>
      <c r="T298" s="28">
        <f t="shared" si="80"/>
        <v>21.392617306949997</v>
      </c>
      <c r="U298" s="28">
        <f t="shared" si="72"/>
        <v>25.948436220245391</v>
      </c>
      <c r="V298" s="28">
        <f t="shared" si="73"/>
        <v>20.296923086704609</v>
      </c>
      <c r="W298" s="28">
        <f t="shared" si="74"/>
        <v>1.0148461543352305</v>
      </c>
      <c r="X298" s="28">
        <f t="shared" si="81"/>
        <v>26.963282374580622</v>
      </c>
      <c r="Y298" s="14">
        <v>138.12947701242499</v>
      </c>
      <c r="Z298" s="13">
        <v>0.14249999999999999</v>
      </c>
      <c r="AA298" s="14">
        <v>135.6161132069096</v>
      </c>
      <c r="AB298" s="13">
        <f t="shared" si="83"/>
        <v>0.42759999999999998</v>
      </c>
      <c r="AC298" s="14">
        <v>161.08393820690961</v>
      </c>
      <c r="AD298" s="26">
        <f t="shared" si="68"/>
        <v>0.14250000000000002</v>
      </c>
      <c r="AE298" s="4">
        <f t="shared" si="69"/>
        <v>161.08000000000001</v>
      </c>
      <c r="AF298" s="27">
        <f t="shared" si="82"/>
        <v>0.14249999999999999</v>
      </c>
      <c r="AG298" s="4">
        <f t="shared" si="70"/>
        <v>138.13</v>
      </c>
      <c r="AH298" s="27">
        <f t="shared" si="71"/>
        <v>0.42759999999999998</v>
      </c>
    </row>
    <row r="299" spans="1:34" x14ac:dyDescent="0.35">
      <c r="A299" s="8" t="s">
        <v>629</v>
      </c>
      <c r="B299" s="9" t="s">
        <v>630</v>
      </c>
      <c r="C299" s="8" t="s">
        <v>1135</v>
      </c>
      <c r="D299" s="8" t="s">
        <v>1182</v>
      </c>
      <c r="E299" s="8" t="s">
        <v>905</v>
      </c>
      <c r="F299" s="25" t="s">
        <v>1038</v>
      </c>
      <c r="G299" s="8" t="s">
        <v>20</v>
      </c>
      <c r="H299" s="8">
        <v>30</v>
      </c>
      <c r="I299" s="8" t="s">
        <v>1164</v>
      </c>
      <c r="J299" s="10">
        <v>385.42</v>
      </c>
      <c r="K299" s="22">
        <v>0.3417</v>
      </c>
      <c r="L299" s="11">
        <v>287.31</v>
      </c>
      <c r="M299" s="13">
        <v>0.47149999999999997</v>
      </c>
      <c r="N299" s="17">
        <f t="shared" si="75"/>
        <v>151.843335</v>
      </c>
      <c r="O299" s="13">
        <v>0.1075</v>
      </c>
      <c r="P299" s="14">
        <f t="shared" si="76"/>
        <v>135.52017648749998</v>
      </c>
      <c r="Q299" s="14">
        <f t="shared" si="77"/>
        <v>56.034987645875013</v>
      </c>
      <c r="R299" s="28">
        <f t="shared" si="78"/>
        <v>9.4864123541249992</v>
      </c>
      <c r="S299" s="28">
        <f t="shared" si="79"/>
        <v>31.630273672006005</v>
      </c>
      <c r="T299" s="28">
        <f t="shared" si="80"/>
        <v>25.895143645875002</v>
      </c>
      <c r="U299" s="28">
        <f t="shared" si="72"/>
        <v>31.630273672006005</v>
      </c>
      <c r="V299" s="28">
        <f t="shared" si="73"/>
        <v>24.404713973869008</v>
      </c>
      <c r="W299" s="28">
        <f t="shared" si="74"/>
        <v>1.2202356986934504</v>
      </c>
      <c r="X299" s="28">
        <f t="shared" si="81"/>
        <v>32.850509370699456</v>
      </c>
      <c r="Y299" s="14">
        <v>168.37345789232504</v>
      </c>
      <c r="Z299" s="13">
        <v>0.14249999999999999</v>
      </c>
      <c r="AA299" s="14">
        <v>165.46806175489797</v>
      </c>
      <c r="AB299" s="13">
        <f t="shared" si="83"/>
        <v>0.42409999999999998</v>
      </c>
      <c r="AC299" s="14">
        <v>196.35388675489799</v>
      </c>
      <c r="AD299" s="26">
        <f t="shared" si="68"/>
        <v>0.14249999999999993</v>
      </c>
      <c r="AE299" s="4">
        <f t="shared" si="69"/>
        <v>196.35</v>
      </c>
      <c r="AF299" s="27">
        <f t="shared" si="82"/>
        <v>0.14249999999999999</v>
      </c>
      <c r="AG299" s="4">
        <f t="shared" si="70"/>
        <v>168.37</v>
      </c>
      <c r="AH299" s="27">
        <f t="shared" si="71"/>
        <v>0.42409999999999998</v>
      </c>
    </row>
    <row r="300" spans="1:34" x14ac:dyDescent="0.35">
      <c r="A300" s="8" t="s">
        <v>631</v>
      </c>
      <c r="B300" s="9" t="s">
        <v>632</v>
      </c>
      <c r="C300" s="8" t="s">
        <v>1135</v>
      </c>
      <c r="D300" s="8" t="s">
        <v>1182</v>
      </c>
      <c r="E300" s="8" t="s">
        <v>905</v>
      </c>
      <c r="F300" s="25" t="s">
        <v>1038</v>
      </c>
      <c r="G300" s="8" t="s">
        <v>1113</v>
      </c>
      <c r="H300" s="8">
        <v>30</v>
      </c>
      <c r="I300" s="8" t="s">
        <v>1164</v>
      </c>
      <c r="J300" s="10">
        <v>385.42</v>
      </c>
      <c r="K300" s="22">
        <v>0.3417</v>
      </c>
      <c r="L300" s="11">
        <v>287.31</v>
      </c>
      <c r="M300" s="13">
        <v>0.47149999999999997</v>
      </c>
      <c r="N300" s="17">
        <f t="shared" si="75"/>
        <v>151.843335</v>
      </c>
      <c r="O300" s="13">
        <v>0.1075</v>
      </c>
      <c r="P300" s="14">
        <f t="shared" si="76"/>
        <v>135.52017648749998</v>
      </c>
      <c r="Q300" s="14">
        <f t="shared" si="77"/>
        <v>56.034987645875013</v>
      </c>
      <c r="R300" s="28">
        <f t="shared" si="78"/>
        <v>9.4864123541249992</v>
      </c>
      <c r="S300" s="28">
        <f t="shared" si="79"/>
        <v>31.630273672006005</v>
      </c>
      <c r="T300" s="28">
        <f t="shared" si="80"/>
        <v>25.895143645875002</v>
      </c>
      <c r="U300" s="28">
        <f t="shared" si="72"/>
        <v>31.630273672006005</v>
      </c>
      <c r="V300" s="28">
        <f t="shared" si="73"/>
        <v>24.404713973869008</v>
      </c>
      <c r="W300" s="28">
        <f t="shared" si="74"/>
        <v>1.2202356986934504</v>
      </c>
      <c r="X300" s="28">
        <f t="shared" si="81"/>
        <v>32.850509370699456</v>
      </c>
      <c r="Y300" s="14">
        <v>168.37345789232504</v>
      </c>
      <c r="Z300" s="13">
        <v>0.14249999999999999</v>
      </c>
      <c r="AA300" s="14">
        <v>165.46806175489797</v>
      </c>
      <c r="AB300" s="13">
        <f t="shared" si="83"/>
        <v>0.42409999999999998</v>
      </c>
      <c r="AC300" s="14">
        <v>196.35388675489799</v>
      </c>
      <c r="AD300" s="26">
        <f t="shared" si="68"/>
        <v>0.14249999999999993</v>
      </c>
      <c r="AE300" s="4">
        <f t="shared" si="69"/>
        <v>196.35</v>
      </c>
      <c r="AF300" s="27">
        <f t="shared" si="82"/>
        <v>0.14249999999999999</v>
      </c>
      <c r="AG300" s="4">
        <f t="shared" si="70"/>
        <v>168.37</v>
      </c>
      <c r="AH300" s="27">
        <f t="shared" si="71"/>
        <v>0.42409999999999998</v>
      </c>
    </row>
    <row r="301" spans="1:34" x14ac:dyDescent="0.35">
      <c r="A301" s="8" t="s">
        <v>633</v>
      </c>
      <c r="B301" s="9" t="s">
        <v>634</v>
      </c>
      <c r="C301" s="8" t="s">
        <v>1134</v>
      </c>
      <c r="D301" s="8" t="s">
        <v>1139</v>
      </c>
      <c r="E301" s="8" t="s">
        <v>905</v>
      </c>
      <c r="F301" s="25" t="s">
        <v>1039</v>
      </c>
      <c r="G301" s="8" t="s">
        <v>16</v>
      </c>
      <c r="H301" s="8">
        <v>30</v>
      </c>
      <c r="I301" s="8" t="s">
        <v>1163</v>
      </c>
      <c r="J301" s="10">
        <v>83.78</v>
      </c>
      <c r="K301" s="22">
        <v>0.39400000000000002</v>
      </c>
      <c r="L301" s="11">
        <v>60.6</v>
      </c>
      <c r="M301" s="13">
        <v>0.65810000000000002</v>
      </c>
      <c r="N301" s="17">
        <f t="shared" si="75"/>
        <v>20.719139999999999</v>
      </c>
      <c r="O301" s="13">
        <v>0.1075</v>
      </c>
      <c r="P301" s="14">
        <f t="shared" si="76"/>
        <v>18.49183245</v>
      </c>
      <c r="Q301" s="14">
        <f t="shared" si="77"/>
        <v>12.9481717285</v>
      </c>
      <c r="R301" s="28">
        <f t="shared" si="78"/>
        <v>1.2944282715000002</v>
      </c>
      <c r="S301" s="28">
        <f t="shared" si="79"/>
        <v>4.3159752019975501</v>
      </c>
      <c r="T301" s="28">
        <f t="shared" si="80"/>
        <v>6.3965757285000002</v>
      </c>
      <c r="U301" s="28">
        <f t="shared" si="72"/>
        <v>6.3965757285000002</v>
      </c>
      <c r="V301" s="28">
        <f t="shared" si="73"/>
        <v>6.551596</v>
      </c>
      <c r="W301" s="28">
        <f t="shared" si="74"/>
        <v>0.32757980000000003</v>
      </c>
      <c r="X301" s="28">
        <f t="shared" si="81"/>
        <v>6.7241555284999999</v>
      </c>
      <c r="Y301" s="14">
        <v>25.213895611999998</v>
      </c>
      <c r="Z301" s="13">
        <v>0.14249999999999999</v>
      </c>
      <c r="AA301" s="14">
        <v>22.889459897376089</v>
      </c>
      <c r="AB301" s="13">
        <f t="shared" si="83"/>
        <v>0.62229999999999996</v>
      </c>
      <c r="AC301" s="14">
        <v>29.40395989737609</v>
      </c>
      <c r="AD301" s="26">
        <f t="shared" si="68"/>
        <v>0.14249999999999999</v>
      </c>
      <c r="AE301" s="4">
        <f t="shared" si="69"/>
        <v>29.4</v>
      </c>
      <c r="AF301" s="27">
        <f t="shared" si="82"/>
        <v>0.14249999999999999</v>
      </c>
      <c r="AG301" s="4">
        <f t="shared" si="70"/>
        <v>25.21</v>
      </c>
      <c r="AH301" s="27">
        <f t="shared" si="71"/>
        <v>0.62229999999999996</v>
      </c>
    </row>
    <row r="302" spans="1:34" x14ac:dyDescent="0.35">
      <c r="A302" s="8" t="s">
        <v>635</v>
      </c>
      <c r="B302" s="9" t="s">
        <v>636</v>
      </c>
      <c r="C302" s="8" t="s">
        <v>1135</v>
      </c>
      <c r="D302" s="8" t="s">
        <v>1139</v>
      </c>
      <c r="E302" s="8" t="s">
        <v>905</v>
      </c>
      <c r="F302" s="25" t="s">
        <v>1040</v>
      </c>
      <c r="G302" s="8" t="s">
        <v>1112</v>
      </c>
      <c r="H302" s="8">
        <v>20</v>
      </c>
      <c r="I302" s="8" t="s">
        <v>1164</v>
      </c>
      <c r="J302" s="10">
        <v>48.16</v>
      </c>
      <c r="K302" s="22">
        <v>0.3417</v>
      </c>
      <c r="L302" s="11">
        <v>35.9</v>
      </c>
      <c r="M302" s="13">
        <v>0.58989999999999998</v>
      </c>
      <c r="N302" s="17">
        <f t="shared" si="75"/>
        <v>14.72259</v>
      </c>
      <c r="O302" s="13">
        <v>0.1075</v>
      </c>
      <c r="P302" s="14">
        <f t="shared" si="76"/>
        <v>13.139911574999999</v>
      </c>
      <c r="Q302" s="14">
        <f t="shared" si="77"/>
        <v>7.2674061897500009</v>
      </c>
      <c r="R302" s="28">
        <f t="shared" si="78"/>
        <v>0.91979381025000007</v>
      </c>
      <c r="S302" s="28">
        <f t="shared" si="79"/>
        <v>3.0668422216934248</v>
      </c>
      <c r="T302" s="28">
        <f t="shared" si="80"/>
        <v>3.5012941897499994</v>
      </c>
      <c r="U302" s="28">
        <f t="shared" si="72"/>
        <v>3.5012941897499994</v>
      </c>
      <c r="V302" s="28">
        <f t="shared" si="73"/>
        <v>3.7661120000000015</v>
      </c>
      <c r="W302" s="28">
        <f t="shared" si="74"/>
        <v>0.18830560000000007</v>
      </c>
      <c r="X302" s="28">
        <f t="shared" si="81"/>
        <v>3.6895997897499995</v>
      </c>
      <c r="Y302" s="14">
        <v>16.8282718275</v>
      </c>
      <c r="Z302" s="13">
        <v>0.14249999999999999</v>
      </c>
      <c r="AA302" s="14">
        <v>15.765556795918366</v>
      </c>
      <c r="AB302" s="13">
        <f t="shared" si="83"/>
        <v>0.56079999999999997</v>
      </c>
      <c r="AC302" s="14">
        <v>19.624806795918367</v>
      </c>
      <c r="AD302" s="26">
        <f t="shared" si="68"/>
        <v>0.14249999999999999</v>
      </c>
      <c r="AE302" s="4">
        <f t="shared" si="69"/>
        <v>19.62</v>
      </c>
      <c r="AF302" s="27">
        <f t="shared" si="82"/>
        <v>0.14249999999999999</v>
      </c>
      <c r="AG302" s="4">
        <f t="shared" si="70"/>
        <v>16.829999999999998</v>
      </c>
      <c r="AH302" s="27">
        <f t="shared" si="71"/>
        <v>0.56079999999999997</v>
      </c>
    </row>
    <row r="303" spans="1:34" x14ac:dyDescent="0.35">
      <c r="A303" s="8" t="s">
        <v>637</v>
      </c>
      <c r="B303" s="9" t="s">
        <v>638</v>
      </c>
      <c r="C303" s="8" t="s">
        <v>1135</v>
      </c>
      <c r="D303" s="8" t="s">
        <v>1139</v>
      </c>
      <c r="E303" s="8" t="s">
        <v>905</v>
      </c>
      <c r="F303" s="25" t="s">
        <v>1041</v>
      </c>
      <c r="G303" s="8" t="s">
        <v>1112</v>
      </c>
      <c r="H303" s="8">
        <v>12</v>
      </c>
      <c r="I303" s="8" t="s">
        <v>1164</v>
      </c>
      <c r="J303" s="10">
        <v>39.53</v>
      </c>
      <c r="K303" s="22">
        <v>0.3417</v>
      </c>
      <c r="L303" s="11">
        <v>29.47</v>
      </c>
      <c r="M303" s="13">
        <v>0.64539999999999997</v>
      </c>
      <c r="N303" s="17">
        <f t="shared" si="75"/>
        <v>10.450062000000001</v>
      </c>
      <c r="O303" s="13">
        <v>0.1075</v>
      </c>
      <c r="P303" s="14">
        <f t="shared" si="76"/>
        <v>9.3266803350000007</v>
      </c>
      <c r="Q303" s="14">
        <f t="shared" si="77"/>
        <v>6.0672323765500007</v>
      </c>
      <c r="R303" s="28">
        <f t="shared" si="78"/>
        <v>0.65286762345000016</v>
      </c>
      <c r="S303" s="28">
        <f t="shared" si="79"/>
        <v>2.1768378635086654</v>
      </c>
      <c r="T303" s="28">
        <f t="shared" si="80"/>
        <v>2.9759863765499999</v>
      </c>
      <c r="U303" s="28">
        <f t="shared" si="72"/>
        <v>2.9759863765499999</v>
      </c>
      <c r="V303" s="28">
        <f t="shared" si="73"/>
        <v>3.0912460000000008</v>
      </c>
      <c r="W303" s="28">
        <f t="shared" si="74"/>
        <v>0.15456230000000004</v>
      </c>
      <c r="X303" s="28">
        <f t="shared" si="81"/>
        <v>3.1305486765500001</v>
      </c>
      <c r="Y303" s="14">
        <v>12.456211486125001</v>
      </c>
      <c r="Z303" s="13">
        <v>0.14249999999999999</v>
      </c>
      <c r="AA303" s="14">
        <v>11.358169152915453</v>
      </c>
      <c r="AB303" s="13">
        <f t="shared" si="83"/>
        <v>0.61460000000000004</v>
      </c>
      <c r="AC303" s="14">
        <v>14.526194152915453</v>
      </c>
      <c r="AD303" s="26">
        <f t="shared" si="68"/>
        <v>0.14249999999999999</v>
      </c>
      <c r="AE303" s="4">
        <f t="shared" si="69"/>
        <v>14.53</v>
      </c>
      <c r="AF303" s="27">
        <f t="shared" si="82"/>
        <v>0.14249999999999999</v>
      </c>
      <c r="AG303" s="4">
        <f t="shared" si="70"/>
        <v>12.46</v>
      </c>
      <c r="AH303" s="27">
        <f t="shared" si="71"/>
        <v>0.61460000000000004</v>
      </c>
    </row>
    <row r="304" spans="1:34" x14ac:dyDescent="0.35">
      <c r="A304" s="8" t="s">
        <v>639</v>
      </c>
      <c r="B304" s="9" t="s">
        <v>640</v>
      </c>
      <c r="C304" s="8" t="s">
        <v>1134</v>
      </c>
      <c r="D304" s="8" t="s">
        <v>1139</v>
      </c>
      <c r="E304" s="8" t="s">
        <v>905</v>
      </c>
      <c r="F304" s="25" t="s">
        <v>1042</v>
      </c>
      <c r="G304" s="8" t="s">
        <v>1114</v>
      </c>
      <c r="H304" s="8">
        <v>20</v>
      </c>
      <c r="I304" s="8" t="s">
        <v>1163</v>
      </c>
      <c r="J304" s="10">
        <v>23.36</v>
      </c>
      <c r="K304" s="22">
        <v>0.39400000000000002</v>
      </c>
      <c r="L304" s="11">
        <v>16.95</v>
      </c>
      <c r="M304" s="13">
        <v>0.71830000000000005</v>
      </c>
      <c r="N304" s="17">
        <f t="shared" si="75"/>
        <v>4.7748149999999994</v>
      </c>
      <c r="O304" s="13">
        <v>0.1075</v>
      </c>
      <c r="P304" s="14">
        <f t="shared" si="76"/>
        <v>4.2615223874999995</v>
      </c>
      <c r="Q304" s="14">
        <f t="shared" si="77"/>
        <v>3.672893432875</v>
      </c>
      <c r="R304" s="28">
        <f t="shared" si="78"/>
        <v>0.29830656712499998</v>
      </c>
      <c r="S304" s="28">
        <f t="shared" si="79"/>
        <v>0.99463506372011223</v>
      </c>
      <c r="T304" s="28">
        <f t="shared" si="80"/>
        <v>1.8461414328750001</v>
      </c>
      <c r="U304" s="28">
        <f t="shared" si="72"/>
        <v>1.8461414328750001</v>
      </c>
      <c r="V304" s="28">
        <f t="shared" si="73"/>
        <v>1.8267519999999999</v>
      </c>
      <c r="W304" s="28">
        <f t="shared" si="74"/>
        <v>9.1337600000000005E-2</v>
      </c>
      <c r="X304" s="28">
        <f t="shared" si="81"/>
        <v>1.937479032875</v>
      </c>
      <c r="Y304" s="14">
        <v>6.1984161792499997</v>
      </c>
      <c r="Z304" s="13">
        <v>0.14249999999999999</v>
      </c>
      <c r="AA304" s="14">
        <v>5.4063486784256556</v>
      </c>
      <c r="AB304" s="13">
        <f t="shared" si="83"/>
        <v>0.68100000000000005</v>
      </c>
      <c r="AC304" s="14">
        <v>7.2284736784256554</v>
      </c>
      <c r="AD304" s="26">
        <f t="shared" si="68"/>
        <v>0.14249999999999996</v>
      </c>
      <c r="AE304" s="4">
        <f t="shared" si="69"/>
        <v>7.23</v>
      </c>
      <c r="AF304" s="27">
        <f t="shared" si="82"/>
        <v>0.14249999999999999</v>
      </c>
      <c r="AG304" s="4">
        <f t="shared" si="70"/>
        <v>6.2</v>
      </c>
      <c r="AH304" s="27">
        <f t="shared" si="71"/>
        <v>0.68100000000000005</v>
      </c>
    </row>
    <row r="305" spans="1:34" x14ac:dyDescent="0.35">
      <c r="A305" s="8" t="s">
        <v>641</v>
      </c>
      <c r="B305" s="9" t="s">
        <v>642</v>
      </c>
      <c r="C305" s="8" t="s">
        <v>1134</v>
      </c>
      <c r="D305" s="8" t="s">
        <v>1139</v>
      </c>
      <c r="E305" s="8" t="s">
        <v>905</v>
      </c>
      <c r="F305" s="25" t="s">
        <v>1043</v>
      </c>
      <c r="G305" s="8" t="s">
        <v>13</v>
      </c>
      <c r="H305" s="8">
        <v>30</v>
      </c>
      <c r="I305" s="8" t="s">
        <v>1163</v>
      </c>
      <c r="J305" s="10">
        <v>57.41</v>
      </c>
      <c r="K305" s="22">
        <v>0.39400000000000002</v>
      </c>
      <c r="L305" s="11">
        <v>41.65</v>
      </c>
      <c r="M305" s="13">
        <v>0.49809999999999999</v>
      </c>
      <c r="N305" s="17">
        <f t="shared" si="75"/>
        <v>20.904135</v>
      </c>
      <c r="O305" s="13">
        <v>0.1075</v>
      </c>
      <c r="P305" s="14">
        <f t="shared" si="76"/>
        <v>18.656940487499998</v>
      </c>
      <c r="Q305" s="14">
        <f t="shared" si="77"/>
        <v>8.4537141658750006</v>
      </c>
      <c r="R305" s="28">
        <f t="shared" si="78"/>
        <v>1.3059858341249999</v>
      </c>
      <c r="S305" s="28">
        <f t="shared" si="79"/>
        <v>4.3545112528420118</v>
      </c>
      <c r="T305" s="28">
        <f t="shared" si="80"/>
        <v>3.9642521658750001</v>
      </c>
      <c r="U305" s="28">
        <f t="shared" si="72"/>
        <v>4.3545112528420118</v>
      </c>
      <c r="V305" s="28">
        <f t="shared" si="73"/>
        <v>4.0992029130329888</v>
      </c>
      <c r="W305" s="28">
        <f t="shared" si="74"/>
        <v>0.20496014565164944</v>
      </c>
      <c r="X305" s="28">
        <f t="shared" si="81"/>
        <v>4.5594713984936615</v>
      </c>
      <c r="Y305" s="14">
        <v>23.217589528499996</v>
      </c>
      <c r="Z305" s="13">
        <v>0.14249999999999999</v>
      </c>
      <c r="AA305" s="14">
        <v>22.598531155685126</v>
      </c>
      <c r="AB305" s="13">
        <f t="shared" si="83"/>
        <v>0.45739999999999997</v>
      </c>
      <c r="AC305" s="14">
        <v>27.075906155685125</v>
      </c>
      <c r="AD305" s="26">
        <f t="shared" si="68"/>
        <v>0.14249999999999996</v>
      </c>
      <c r="AE305" s="4">
        <f t="shared" si="69"/>
        <v>27.08</v>
      </c>
      <c r="AF305" s="27">
        <f t="shared" si="82"/>
        <v>0.14249999999999999</v>
      </c>
      <c r="AG305" s="4">
        <f t="shared" si="70"/>
        <v>23.22</v>
      </c>
      <c r="AH305" s="27">
        <f t="shared" si="71"/>
        <v>0.45739999999999997</v>
      </c>
    </row>
    <row r="306" spans="1:34" x14ac:dyDescent="0.35">
      <c r="A306" s="8" t="s">
        <v>643</v>
      </c>
      <c r="B306" s="9" t="s">
        <v>644</v>
      </c>
      <c r="C306" s="8" t="s">
        <v>1134</v>
      </c>
      <c r="D306" s="8" t="s">
        <v>1139</v>
      </c>
      <c r="E306" s="8" t="s">
        <v>905</v>
      </c>
      <c r="F306" s="25" t="s">
        <v>1043</v>
      </c>
      <c r="G306" s="8" t="s">
        <v>20</v>
      </c>
      <c r="H306" s="8">
        <v>30</v>
      </c>
      <c r="I306" s="8" t="s">
        <v>1163</v>
      </c>
      <c r="J306" s="10">
        <v>23.57</v>
      </c>
      <c r="K306" s="22">
        <v>0.39400000000000002</v>
      </c>
      <c r="L306" s="11">
        <v>17.100000000000001</v>
      </c>
      <c r="M306" s="13">
        <v>0.7823</v>
      </c>
      <c r="N306" s="17">
        <f t="shared" si="75"/>
        <v>3.7226700000000004</v>
      </c>
      <c r="O306" s="13">
        <v>0.1075</v>
      </c>
      <c r="P306" s="14">
        <f t="shared" si="76"/>
        <v>3.3224829750000002</v>
      </c>
      <c r="Q306" s="14">
        <f t="shared" si="77"/>
        <v>3.7743261917499997</v>
      </c>
      <c r="R306" s="28">
        <f t="shared" si="78"/>
        <v>0.23257380825000004</v>
      </c>
      <c r="S306" s="28">
        <f t="shared" si="79"/>
        <v>0.77546420388202508</v>
      </c>
      <c r="T306" s="28">
        <f t="shared" si="80"/>
        <v>1.9311521917500001</v>
      </c>
      <c r="U306" s="28">
        <f t="shared" si="72"/>
        <v>1.9311521917500001</v>
      </c>
      <c r="V306" s="28">
        <f t="shared" si="73"/>
        <v>1.8431739999999996</v>
      </c>
      <c r="W306" s="28">
        <f t="shared" si="74"/>
        <v>9.2158699999999982E-2</v>
      </c>
      <c r="X306" s="28">
        <f t="shared" si="81"/>
        <v>2.02331089175</v>
      </c>
      <c r="Y306" s="14">
        <v>5.3452034465000011</v>
      </c>
      <c r="Z306" s="13">
        <v>0.14249999999999999</v>
      </c>
      <c r="AA306" s="14">
        <v>4.3952234069970855</v>
      </c>
      <c r="AB306" s="13">
        <f t="shared" si="83"/>
        <v>0.74299999999999999</v>
      </c>
      <c r="AC306" s="14">
        <v>6.2334734069970859</v>
      </c>
      <c r="AD306" s="26">
        <f t="shared" si="68"/>
        <v>0.14249999999999999</v>
      </c>
      <c r="AE306" s="4">
        <f t="shared" si="69"/>
        <v>6.23</v>
      </c>
      <c r="AF306" s="27">
        <f t="shared" si="82"/>
        <v>0.14249999999999999</v>
      </c>
      <c r="AG306" s="4">
        <f t="shared" si="70"/>
        <v>5.35</v>
      </c>
      <c r="AH306" s="27">
        <f t="shared" si="71"/>
        <v>0.74299999999999999</v>
      </c>
    </row>
    <row r="307" spans="1:34" x14ac:dyDescent="0.35">
      <c r="A307" s="8" t="s">
        <v>645</v>
      </c>
      <c r="B307" s="9" t="s">
        <v>646</v>
      </c>
      <c r="C307" s="8" t="s">
        <v>1134</v>
      </c>
      <c r="D307" s="8" t="s">
        <v>1168</v>
      </c>
      <c r="E307" s="8" t="s">
        <v>905</v>
      </c>
      <c r="F307" s="25" t="s">
        <v>1044</v>
      </c>
      <c r="G307" s="8" t="s">
        <v>21</v>
      </c>
      <c r="H307" s="8">
        <v>24</v>
      </c>
      <c r="I307" s="8" t="s">
        <v>1163</v>
      </c>
      <c r="J307" s="10">
        <v>31.79</v>
      </c>
      <c r="K307" s="22">
        <v>0.39400000000000002</v>
      </c>
      <c r="L307" s="11">
        <v>23.06</v>
      </c>
      <c r="M307" s="13">
        <v>0.46110000000000001</v>
      </c>
      <c r="N307" s="17">
        <f t="shared" si="75"/>
        <v>12.427033999999997</v>
      </c>
      <c r="O307" s="13">
        <v>0.1075</v>
      </c>
      <c r="P307" s="14">
        <f t="shared" si="76"/>
        <v>11.091127844999997</v>
      </c>
      <c r="Q307" s="14">
        <f t="shared" si="77"/>
        <v>4.6279210508500004</v>
      </c>
      <c r="R307" s="28">
        <f t="shared" si="78"/>
        <v>0.77637894914999983</v>
      </c>
      <c r="S307" s="28">
        <f t="shared" si="79"/>
        <v>2.5886581478951545</v>
      </c>
      <c r="T307" s="28">
        <f t="shared" si="80"/>
        <v>2.1419430508500001</v>
      </c>
      <c r="U307" s="28">
        <f t="shared" si="72"/>
        <v>2.5886581478951545</v>
      </c>
      <c r="V307" s="28">
        <f t="shared" si="73"/>
        <v>2.0392629029548459</v>
      </c>
      <c r="W307" s="28">
        <f t="shared" si="74"/>
        <v>0.1019631451477423</v>
      </c>
      <c r="X307" s="28">
        <f t="shared" si="81"/>
        <v>2.6906212930428968</v>
      </c>
      <c r="Y307" s="14">
        <v>13.781489949999999</v>
      </c>
      <c r="Z307" s="13">
        <v>0.14249999999999999</v>
      </c>
      <c r="AA307" s="14">
        <v>13.592758396501456</v>
      </c>
      <c r="AB307" s="13">
        <f t="shared" si="83"/>
        <v>0.41049999999999998</v>
      </c>
      <c r="AC307" s="14">
        <v>16.071708396501457</v>
      </c>
      <c r="AD307" s="26">
        <f t="shared" si="68"/>
        <v>0.14249999999999999</v>
      </c>
      <c r="AE307" s="4">
        <f t="shared" si="69"/>
        <v>16.07</v>
      </c>
      <c r="AF307" s="27">
        <f t="shared" si="82"/>
        <v>0.14249999999999999</v>
      </c>
      <c r="AG307" s="4">
        <f t="shared" si="70"/>
        <v>13.78</v>
      </c>
      <c r="AH307" s="27">
        <f t="shared" si="71"/>
        <v>0.41049999999999998</v>
      </c>
    </row>
    <row r="308" spans="1:34" x14ac:dyDescent="0.35">
      <c r="A308" s="8" t="s">
        <v>647</v>
      </c>
      <c r="B308" s="9" t="s">
        <v>648</v>
      </c>
      <c r="C308" s="8" t="s">
        <v>1134</v>
      </c>
      <c r="D308" s="8" t="s">
        <v>1149</v>
      </c>
      <c r="E308" s="8" t="s">
        <v>905</v>
      </c>
      <c r="F308" s="25" t="s">
        <v>1045</v>
      </c>
      <c r="G308" s="8" t="s">
        <v>22</v>
      </c>
      <c r="H308" s="8">
        <v>10</v>
      </c>
      <c r="I308" s="8" t="s">
        <v>1163</v>
      </c>
      <c r="J308" s="10">
        <v>44.83</v>
      </c>
      <c r="K308" s="22">
        <v>0.39400000000000002</v>
      </c>
      <c r="L308" s="11">
        <v>32.520000000000003</v>
      </c>
      <c r="M308" s="13">
        <v>0.79669999999999996</v>
      </c>
      <c r="N308" s="17">
        <f t="shared" si="75"/>
        <v>6.6113160000000022</v>
      </c>
      <c r="O308" s="13">
        <v>0.1075</v>
      </c>
      <c r="P308" s="14">
        <f t="shared" si="76"/>
        <v>5.9005995300000018</v>
      </c>
      <c r="Q308" s="14">
        <f t="shared" si="77"/>
        <v>7.2080580329000004</v>
      </c>
      <c r="R308" s="28">
        <f t="shared" si="78"/>
        <v>0.41304196710000018</v>
      </c>
      <c r="S308" s="28">
        <f t="shared" si="79"/>
        <v>1.3771940297024705</v>
      </c>
      <c r="T308" s="28">
        <f t="shared" si="80"/>
        <v>3.7023520328999999</v>
      </c>
      <c r="U308" s="28">
        <f t="shared" si="72"/>
        <v>3.7023520328999999</v>
      </c>
      <c r="V308" s="28">
        <f t="shared" si="73"/>
        <v>3.5057060000000004</v>
      </c>
      <c r="W308" s="28">
        <f t="shared" si="74"/>
        <v>0.17528530000000003</v>
      </c>
      <c r="X308" s="28">
        <f t="shared" si="81"/>
        <v>3.8776373329</v>
      </c>
      <c r="Y308" s="14">
        <v>9.7771140285999998</v>
      </c>
      <c r="Z308" s="13">
        <v>0.14249999999999999</v>
      </c>
      <c r="AA308" s="14">
        <v>7.9059822490962084</v>
      </c>
      <c r="AB308" s="13">
        <f t="shared" si="83"/>
        <v>0.75690000000000002</v>
      </c>
      <c r="AC308" s="14">
        <v>11.401882249096209</v>
      </c>
      <c r="AD308" s="26">
        <f t="shared" ref="AD308:AD359" si="84">(AC308-Y308)/AC308</f>
        <v>0.14249999999999996</v>
      </c>
      <c r="AE308" s="4">
        <f t="shared" ref="AE308:AE359" si="85">ROUND(AC308,2)</f>
        <v>11.4</v>
      </c>
      <c r="AF308" s="27">
        <f t="shared" si="82"/>
        <v>0.14249999999999999</v>
      </c>
      <c r="AG308" s="4">
        <f t="shared" si="70"/>
        <v>9.7799999999999994</v>
      </c>
      <c r="AH308" s="27">
        <f t="shared" si="71"/>
        <v>0.75690000000000002</v>
      </c>
    </row>
    <row r="309" spans="1:34" x14ac:dyDescent="0.35">
      <c r="A309" s="8" t="s">
        <v>649</v>
      </c>
      <c r="B309" s="9" t="s">
        <v>650</v>
      </c>
      <c r="C309" s="8" t="s">
        <v>1134</v>
      </c>
      <c r="D309" s="8" t="s">
        <v>1168</v>
      </c>
      <c r="E309" s="8" t="s">
        <v>905</v>
      </c>
      <c r="F309" s="25" t="s">
        <v>1046</v>
      </c>
      <c r="G309" s="8" t="s">
        <v>1129</v>
      </c>
      <c r="H309" s="8">
        <v>30</v>
      </c>
      <c r="I309" s="8" t="s">
        <v>1163</v>
      </c>
      <c r="J309" s="10">
        <v>133.63999999999999</v>
      </c>
      <c r="K309" s="22">
        <v>0.39400000000000002</v>
      </c>
      <c r="L309" s="11">
        <v>96.95</v>
      </c>
      <c r="M309" s="13">
        <v>0.31869999999999998</v>
      </c>
      <c r="N309" s="17">
        <f t="shared" si="75"/>
        <v>66.052035000000004</v>
      </c>
      <c r="O309" s="13">
        <v>0.1075</v>
      </c>
      <c r="P309" s="14">
        <f t="shared" si="76"/>
        <v>58.951441237499999</v>
      </c>
      <c r="Q309" s="14">
        <f t="shared" si="77"/>
        <v>18.592199113374999</v>
      </c>
      <c r="R309" s="28">
        <f t="shared" si="78"/>
        <v>4.1266008866249999</v>
      </c>
      <c r="S309" s="28">
        <f t="shared" si="79"/>
        <v>13.759207433391264</v>
      </c>
      <c r="T309" s="28">
        <f t="shared" si="80"/>
        <v>8.141551113374998</v>
      </c>
      <c r="U309" s="28">
        <f t="shared" si="72"/>
        <v>13.759207433391264</v>
      </c>
      <c r="V309" s="28">
        <f t="shared" si="73"/>
        <v>4.8329916799837349</v>
      </c>
      <c r="W309" s="28">
        <f t="shared" si="74"/>
        <v>0.24164958399918676</v>
      </c>
      <c r="X309" s="28">
        <f t="shared" si="81"/>
        <v>14.000857017390452</v>
      </c>
      <c r="Y309" s="14">
        <v>72.950437065002063</v>
      </c>
      <c r="Z309" s="13">
        <v>0.14249999999999999</v>
      </c>
      <c r="AA309" s="14">
        <v>74.651270994171497</v>
      </c>
      <c r="AB309" s="13">
        <f t="shared" si="83"/>
        <v>0.23</v>
      </c>
      <c r="AC309" s="14">
        <v>85.073395994171491</v>
      </c>
      <c r="AD309" s="26">
        <f t="shared" si="84"/>
        <v>0.14249999999999988</v>
      </c>
      <c r="AE309" s="4">
        <f t="shared" si="85"/>
        <v>85.07</v>
      </c>
      <c r="AF309" s="27">
        <f t="shared" si="82"/>
        <v>0.14249999999999999</v>
      </c>
      <c r="AG309" s="4">
        <f t="shared" si="70"/>
        <v>72.95</v>
      </c>
      <c r="AH309" s="27">
        <f t="shared" si="71"/>
        <v>0.23</v>
      </c>
    </row>
    <row r="310" spans="1:34" x14ac:dyDescent="0.35">
      <c r="A310" s="8" t="s">
        <v>651</v>
      </c>
      <c r="B310" s="9" t="s">
        <v>652</v>
      </c>
      <c r="C310" s="8" t="s">
        <v>1134</v>
      </c>
      <c r="D310" s="8" t="s">
        <v>1201</v>
      </c>
      <c r="E310" s="8" t="s">
        <v>905</v>
      </c>
      <c r="F310" s="25" t="s">
        <v>1047</v>
      </c>
      <c r="G310" s="8" t="s">
        <v>1117</v>
      </c>
      <c r="H310" s="8">
        <v>30</v>
      </c>
      <c r="I310" s="8" t="s">
        <v>1163</v>
      </c>
      <c r="J310" s="10">
        <v>32.159999999999997</v>
      </c>
      <c r="K310" s="22">
        <v>0.39400000000000002</v>
      </c>
      <c r="L310" s="11">
        <v>23.33</v>
      </c>
      <c r="M310" s="13">
        <v>0.13730000000000001</v>
      </c>
      <c r="N310" s="17">
        <f t="shared" si="75"/>
        <v>20.126791000000001</v>
      </c>
      <c r="O310" s="13">
        <v>0.1075</v>
      </c>
      <c r="P310" s="14">
        <f t="shared" si="76"/>
        <v>17.963160967499999</v>
      </c>
      <c r="Q310" s="14">
        <f t="shared" si="77"/>
        <v>4.2097787322749998</v>
      </c>
      <c r="R310" s="28">
        <f t="shared" si="78"/>
        <v>1.2574212677250001</v>
      </c>
      <c r="S310" s="28">
        <f t="shared" si="79"/>
        <v>4.1925838066535315</v>
      </c>
      <c r="T310" s="28">
        <f t="shared" si="80"/>
        <v>1.6948667322749993</v>
      </c>
      <c r="U310" s="28">
        <f t="shared" si="72"/>
        <v>4.1925838066535315</v>
      </c>
      <c r="V310" s="28">
        <f t="shared" si="73"/>
        <v>1.7194925621468293E-2</v>
      </c>
      <c r="W310" s="28">
        <f t="shared" si="74"/>
        <v>8.5974628107341475E-4</v>
      </c>
      <c r="X310" s="28">
        <f t="shared" si="81"/>
        <v>4.193443552934605</v>
      </c>
      <c r="Y310" s="14">
        <v>22.156044151944617</v>
      </c>
      <c r="Z310" s="13">
        <v>0.14249999999999999</v>
      </c>
      <c r="AA310" s="14">
        <v>23.329977363783811</v>
      </c>
      <c r="AB310" s="13">
        <f t="shared" si="83"/>
        <v>0</v>
      </c>
      <c r="AC310" s="14">
        <v>25.83795236378381</v>
      </c>
      <c r="AD310" s="26">
        <f t="shared" si="84"/>
        <v>0.14250000000000002</v>
      </c>
      <c r="AE310" s="4">
        <f t="shared" si="85"/>
        <v>25.84</v>
      </c>
      <c r="AF310" s="27">
        <f t="shared" si="82"/>
        <v>0.14249999999999999</v>
      </c>
      <c r="AG310" s="4">
        <f t="shared" si="70"/>
        <v>22.16</v>
      </c>
      <c r="AH310" s="27">
        <f t="shared" si="71"/>
        <v>0</v>
      </c>
    </row>
    <row r="311" spans="1:34" x14ac:dyDescent="0.35">
      <c r="A311" s="8" t="s">
        <v>653</v>
      </c>
      <c r="B311" s="9" t="s">
        <v>654</v>
      </c>
      <c r="C311" s="8" t="s">
        <v>1134</v>
      </c>
      <c r="D311" s="8" t="s">
        <v>1201</v>
      </c>
      <c r="E311" s="8" t="s">
        <v>905</v>
      </c>
      <c r="F311" s="25" t="s">
        <v>1047</v>
      </c>
      <c r="G311" s="8" t="s">
        <v>21</v>
      </c>
      <c r="H311" s="8">
        <v>30</v>
      </c>
      <c r="I311" s="8" t="s">
        <v>1163</v>
      </c>
      <c r="J311" s="10">
        <v>59.86</v>
      </c>
      <c r="K311" s="22">
        <v>0.39400000000000002</v>
      </c>
      <c r="L311" s="11">
        <v>43.43</v>
      </c>
      <c r="M311" s="13">
        <v>0.13730000000000001</v>
      </c>
      <c r="N311" s="17">
        <f t="shared" si="75"/>
        <v>37.467061000000001</v>
      </c>
      <c r="O311" s="13">
        <v>0.1075</v>
      </c>
      <c r="P311" s="14">
        <f t="shared" si="76"/>
        <v>33.439351942499997</v>
      </c>
      <c r="Q311" s="14">
        <f t="shared" si="77"/>
        <v>7.8354453640250021</v>
      </c>
      <c r="R311" s="28">
        <f t="shared" si="78"/>
        <v>2.3407546359749998</v>
      </c>
      <c r="S311" s="28">
        <f t="shared" si="79"/>
        <v>7.804711304027558</v>
      </c>
      <c r="T311" s="28">
        <f t="shared" si="80"/>
        <v>3.1543933640249997</v>
      </c>
      <c r="U311" s="28">
        <f t="shared" si="72"/>
        <v>7.804711304027558</v>
      </c>
      <c r="V311" s="28">
        <f t="shared" si="73"/>
        <v>3.0734059997444163E-2</v>
      </c>
      <c r="W311" s="28">
        <f t="shared" si="74"/>
        <v>1.5367029998722083E-3</v>
      </c>
      <c r="X311" s="28">
        <f t="shared" si="81"/>
        <v>7.8062480070274303</v>
      </c>
      <c r="Y311" s="14">
        <v>41.244556794640154</v>
      </c>
      <c r="Z311" s="13">
        <v>0.14249999999999999</v>
      </c>
      <c r="AA311" s="14">
        <v>43.429883506868983</v>
      </c>
      <c r="AB311" s="13">
        <f t="shared" si="83"/>
        <v>0</v>
      </c>
      <c r="AC311" s="14">
        <v>48.098608506868985</v>
      </c>
      <c r="AD311" s="26">
        <f t="shared" si="84"/>
        <v>0.14250000000000002</v>
      </c>
      <c r="AE311" s="4">
        <f t="shared" si="85"/>
        <v>48.1</v>
      </c>
      <c r="AF311" s="27">
        <f t="shared" si="82"/>
        <v>0.14249999999999999</v>
      </c>
      <c r="AG311" s="4">
        <f t="shared" ref="AG311:AG364" si="86">ROUND(Y311,2)</f>
        <v>41.24</v>
      </c>
      <c r="AH311" s="27">
        <f t="shared" ref="AH311:AH364" si="87">ROUND(AB311,4)</f>
        <v>0</v>
      </c>
    </row>
    <row r="312" spans="1:34" x14ac:dyDescent="0.35">
      <c r="A312" s="8" t="s">
        <v>655</v>
      </c>
      <c r="B312" s="9" t="s">
        <v>656</v>
      </c>
      <c r="C312" s="8" t="s">
        <v>1135</v>
      </c>
      <c r="D312" s="8" t="s">
        <v>1139</v>
      </c>
      <c r="E312" s="8" t="s">
        <v>905</v>
      </c>
      <c r="F312" s="25" t="s">
        <v>1048</v>
      </c>
      <c r="G312" s="8" t="s">
        <v>16</v>
      </c>
      <c r="H312" s="8">
        <v>30</v>
      </c>
      <c r="I312" s="8" t="s">
        <v>1164</v>
      </c>
      <c r="J312" s="10">
        <v>35.07</v>
      </c>
      <c r="K312" s="22">
        <v>0.3417</v>
      </c>
      <c r="L312" s="11">
        <v>26.14</v>
      </c>
      <c r="M312" s="13">
        <v>0.29330000000000001</v>
      </c>
      <c r="N312" s="17">
        <f t="shared" si="75"/>
        <v>18.473137999999999</v>
      </c>
      <c r="O312" s="13">
        <v>0.1075</v>
      </c>
      <c r="P312" s="14">
        <f t="shared" si="76"/>
        <v>16.487275664999999</v>
      </c>
      <c r="Q312" s="14">
        <f t="shared" si="77"/>
        <v>4.8077907034500011</v>
      </c>
      <c r="R312" s="28">
        <f t="shared" si="78"/>
        <v>1.1541092965499999</v>
      </c>
      <c r="S312" s="28">
        <f t="shared" si="79"/>
        <v>3.8481136529353348</v>
      </c>
      <c r="T312" s="28">
        <f t="shared" si="80"/>
        <v>2.0653167034499997</v>
      </c>
      <c r="U312" s="28">
        <f t="shared" si="72"/>
        <v>3.8481136529353348</v>
      </c>
      <c r="V312" s="28">
        <f t="shared" si="73"/>
        <v>0.95967705051466634</v>
      </c>
      <c r="W312" s="28">
        <f t="shared" si="74"/>
        <v>4.7983852525733318E-2</v>
      </c>
      <c r="X312" s="28">
        <f t="shared" si="81"/>
        <v>3.8960975054610683</v>
      </c>
      <c r="Y312" s="14">
        <v>20.382871349897041</v>
      </c>
      <c r="Z312" s="13">
        <v>0.14249999999999999</v>
      </c>
      <c r="AA312" s="14">
        <v>20.960062361395963</v>
      </c>
      <c r="AB312" s="13">
        <f t="shared" si="83"/>
        <v>0.19819999999999999</v>
      </c>
      <c r="AC312" s="14">
        <v>23.770112361395963</v>
      </c>
      <c r="AD312" s="26">
        <f t="shared" si="84"/>
        <v>0.1424999999999999</v>
      </c>
      <c r="AE312" s="4">
        <f t="shared" si="85"/>
        <v>23.77</v>
      </c>
      <c r="AF312" s="27">
        <f t="shared" si="82"/>
        <v>0.14249999999999999</v>
      </c>
      <c r="AG312" s="4">
        <f t="shared" si="86"/>
        <v>20.38</v>
      </c>
      <c r="AH312" s="27">
        <f t="shared" si="87"/>
        <v>0.19819999999999999</v>
      </c>
    </row>
    <row r="313" spans="1:34" x14ac:dyDescent="0.35">
      <c r="A313" s="8" t="s">
        <v>657</v>
      </c>
      <c r="B313" s="9" t="s">
        <v>658</v>
      </c>
      <c r="C313" s="8" t="s">
        <v>1135</v>
      </c>
      <c r="D313" s="8" t="s">
        <v>1139</v>
      </c>
      <c r="E313" s="8" t="s">
        <v>905</v>
      </c>
      <c r="F313" s="25" t="s">
        <v>1048</v>
      </c>
      <c r="G313" s="8" t="s">
        <v>16</v>
      </c>
      <c r="H313" s="8">
        <v>60</v>
      </c>
      <c r="I313" s="8" t="s">
        <v>1164</v>
      </c>
      <c r="J313" s="10">
        <v>68.48</v>
      </c>
      <c r="K313" s="22">
        <v>0.3417</v>
      </c>
      <c r="L313" s="11">
        <v>51.05</v>
      </c>
      <c r="M313" s="13">
        <v>0.34189999999999998</v>
      </c>
      <c r="N313" s="17">
        <f t="shared" si="75"/>
        <v>33.596004999999998</v>
      </c>
      <c r="O313" s="13">
        <v>0.1075</v>
      </c>
      <c r="P313" s="14">
        <f t="shared" si="76"/>
        <v>29.984434462499998</v>
      </c>
      <c r="Q313" s="14">
        <f t="shared" si="77"/>
        <v>9.5426895876250022</v>
      </c>
      <c r="R313" s="28">
        <f t="shared" si="78"/>
        <v>2.098910412375</v>
      </c>
      <c r="S313" s="28">
        <f t="shared" si="79"/>
        <v>6.9983370191130376</v>
      </c>
      <c r="T313" s="28">
        <f t="shared" si="80"/>
        <v>4.1875535876249996</v>
      </c>
      <c r="U313" s="28">
        <f t="shared" si="72"/>
        <v>6.9983370191130376</v>
      </c>
      <c r="V313" s="28">
        <f t="shared" si="73"/>
        <v>2.5443525685119646</v>
      </c>
      <c r="W313" s="28">
        <f t="shared" si="74"/>
        <v>0.12721762842559822</v>
      </c>
      <c r="X313" s="28">
        <f t="shared" si="81"/>
        <v>7.1255546475386362</v>
      </c>
      <c r="Y313" s="14">
        <v>37.109009081737419</v>
      </c>
      <c r="Z313" s="13">
        <v>0.14249999999999999</v>
      </c>
      <c r="AA313" s="14">
        <v>37.787937340218562</v>
      </c>
      <c r="AB313" s="13">
        <f t="shared" si="83"/>
        <v>0.25979999999999998</v>
      </c>
      <c r="AC313" s="14">
        <v>43.275812340218565</v>
      </c>
      <c r="AD313" s="26">
        <f t="shared" si="84"/>
        <v>0.14250000000000002</v>
      </c>
      <c r="AE313" s="4">
        <f t="shared" si="85"/>
        <v>43.28</v>
      </c>
      <c r="AF313" s="27">
        <f t="shared" si="82"/>
        <v>0.14249999999999999</v>
      </c>
      <c r="AG313" s="4">
        <f t="shared" si="86"/>
        <v>37.11</v>
      </c>
      <c r="AH313" s="27">
        <f t="shared" si="87"/>
        <v>0.25979999999999998</v>
      </c>
    </row>
    <row r="314" spans="1:34" x14ac:dyDescent="0.35">
      <c r="A314" s="8" t="s">
        <v>659</v>
      </c>
      <c r="B314" s="9" t="s">
        <v>660</v>
      </c>
      <c r="C314" s="8" t="s">
        <v>1134</v>
      </c>
      <c r="D314" s="8" t="s">
        <v>1202</v>
      </c>
      <c r="E314" s="8" t="s">
        <v>905</v>
      </c>
      <c r="F314" s="25" t="s">
        <v>1049</v>
      </c>
      <c r="G314" s="8" t="s">
        <v>18</v>
      </c>
      <c r="H314" s="8">
        <v>24</v>
      </c>
      <c r="I314" s="8" t="s">
        <v>1163</v>
      </c>
      <c r="J314" s="10">
        <v>18.59</v>
      </c>
      <c r="K314" s="22">
        <v>0.39400000000000002</v>
      </c>
      <c r="L314" s="11">
        <v>13.49</v>
      </c>
      <c r="M314" s="13">
        <v>0.2051</v>
      </c>
      <c r="N314" s="17">
        <f t="shared" si="75"/>
        <v>10.723201</v>
      </c>
      <c r="O314" s="13">
        <v>0.1075</v>
      </c>
      <c r="P314" s="14">
        <f t="shared" si="76"/>
        <v>9.5704568924999993</v>
      </c>
      <c r="Q314" s="14">
        <f t="shared" si="77"/>
        <v>2.4903680175250003</v>
      </c>
      <c r="R314" s="28">
        <f t="shared" si="78"/>
        <v>0.66993198247499997</v>
      </c>
      <c r="S314" s="28">
        <f t="shared" si="79"/>
        <v>2.2337350682526074</v>
      </c>
      <c r="T314" s="28">
        <f t="shared" si="80"/>
        <v>1.0366300175249998</v>
      </c>
      <c r="U314" s="28">
        <f t="shared" si="72"/>
        <v>2.2337350682526074</v>
      </c>
      <c r="V314" s="28">
        <f t="shared" si="73"/>
        <v>0.25663294927239289</v>
      </c>
      <c r="W314" s="28">
        <f t="shared" si="74"/>
        <v>1.2831647463619644E-2</v>
      </c>
      <c r="X314" s="28">
        <f t="shared" si="81"/>
        <v>2.2465667157162272</v>
      </c>
      <c r="Y314" s="14">
        <v>11.816764635017726</v>
      </c>
      <c r="Z314" s="13">
        <v>0.14249999999999999</v>
      </c>
      <c r="AA314" s="14">
        <v>12.330308539379272</v>
      </c>
      <c r="AB314" s="13">
        <f t="shared" si="83"/>
        <v>8.5999999999999993E-2</v>
      </c>
      <c r="AC314" s="14">
        <v>13.780483539379272</v>
      </c>
      <c r="AD314" s="26">
        <f t="shared" si="84"/>
        <v>0.14249999999999996</v>
      </c>
      <c r="AE314" s="4">
        <f t="shared" si="85"/>
        <v>13.78</v>
      </c>
      <c r="AF314" s="27">
        <f t="shared" si="82"/>
        <v>0.14249999999999999</v>
      </c>
      <c r="AG314" s="4">
        <f t="shared" si="86"/>
        <v>11.82</v>
      </c>
      <c r="AH314" s="27">
        <f t="shared" si="87"/>
        <v>8.5999999999999993E-2</v>
      </c>
    </row>
    <row r="315" spans="1:34" x14ac:dyDescent="0.35">
      <c r="A315" s="8" t="s">
        <v>661</v>
      </c>
      <c r="B315" s="9" t="s">
        <v>662</v>
      </c>
      <c r="C315" s="8" t="s">
        <v>1134</v>
      </c>
      <c r="D315" s="8" t="s">
        <v>1139</v>
      </c>
      <c r="E315" s="8" t="s">
        <v>905</v>
      </c>
      <c r="F315" s="25" t="s">
        <v>1050</v>
      </c>
      <c r="G315" s="8" t="s">
        <v>22</v>
      </c>
      <c r="H315" s="8">
        <v>30</v>
      </c>
      <c r="I315" s="8" t="s">
        <v>1163</v>
      </c>
      <c r="J315" s="10">
        <v>88.88</v>
      </c>
      <c r="K315" s="22">
        <v>0.39400000000000002</v>
      </c>
      <c r="L315" s="11">
        <v>64.48</v>
      </c>
      <c r="M315" s="13">
        <v>0.50939999999999996</v>
      </c>
      <c r="N315" s="17">
        <f t="shared" si="75"/>
        <v>31.633888000000006</v>
      </c>
      <c r="O315" s="13">
        <v>0.1075</v>
      </c>
      <c r="P315" s="14">
        <f t="shared" si="76"/>
        <v>28.233245040000003</v>
      </c>
      <c r="Q315" s="14">
        <f t="shared" si="77"/>
        <v>13.133272847200001</v>
      </c>
      <c r="R315" s="28">
        <f t="shared" si="78"/>
        <v>1.9763271528000004</v>
      </c>
      <c r="S315" s="28">
        <f t="shared" si="79"/>
        <v>6.5896111590909596</v>
      </c>
      <c r="T315" s="28">
        <f t="shared" si="80"/>
        <v>6.1828568471999992</v>
      </c>
      <c r="U315" s="28">
        <f t="shared" si="72"/>
        <v>6.5896111590909596</v>
      </c>
      <c r="V315" s="28">
        <f t="shared" si="73"/>
        <v>6.543661688109041</v>
      </c>
      <c r="W315" s="28">
        <f t="shared" si="74"/>
        <v>0.32718308440545207</v>
      </c>
      <c r="X315" s="28">
        <f t="shared" si="81"/>
        <v>6.9167942434964118</v>
      </c>
      <c r="Y315" s="14">
        <v>35.146740440400009</v>
      </c>
      <c r="Z315" s="13">
        <v>0.14249999999999999</v>
      </c>
      <c r="AA315" s="14">
        <v>34.05585240862974</v>
      </c>
      <c r="AB315" s="13">
        <f t="shared" si="83"/>
        <v>0.4718</v>
      </c>
      <c r="AC315" s="14">
        <v>40.987452408629743</v>
      </c>
      <c r="AD315" s="26">
        <f t="shared" si="84"/>
        <v>0.14249999999999988</v>
      </c>
      <c r="AE315" s="4">
        <f t="shared" si="85"/>
        <v>40.99</v>
      </c>
      <c r="AF315" s="27">
        <f t="shared" si="82"/>
        <v>0.14249999999999999</v>
      </c>
      <c r="AG315" s="4">
        <f t="shared" si="86"/>
        <v>35.15</v>
      </c>
      <c r="AH315" s="27">
        <f t="shared" si="87"/>
        <v>0.4718</v>
      </c>
    </row>
    <row r="316" spans="1:34" x14ac:dyDescent="0.35">
      <c r="A316" s="8" t="s">
        <v>663</v>
      </c>
      <c r="B316" s="9" t="s">
        <v>664</v>
      </c>
      <c r="C316" s="8" t="s">
        <v>1134</v>
      </c>
      <c r="D316" s="8" t="s">
        <v>1139</v>
      </c>
      <c r="E316" s="8" t="s">
        <v>905</v>
      </c>
      <c r="F316" s="25" t="s">
        <v>1050</v>
      </c>
      <c r="G316" s="8" t="s">
        <v>39</v>
      </c>
      <c r="H316" s="8">
        <v>30</v>
      </c>
      <c r="I316" s="8" t="s">
        <v>1163</v>
      </c>
      <c r="J316" s="10">
        <v>237.47</v>
      </c>
      <c r="K316" s="22">
        <v>0.39400000000000002</v>
      </c>
      <c r="L316" s="11">
        <v>172.28</v>
      </c>
      <c r="M316" s="13">
        <v>0.60640000000000005</v>
      </c>
      <c r="N316" s="17">
        <f t="shared" si="75"/>
        <v>67.809407999999991</v>
      </c>
      <c r="O316" s="13">
        <v>0.1075</v>
      </c>
      <c r="P316" s="14">
        <f t="shared" si="76"/>
        <v>60.519896639999992</v>
      </c>
      <c r="Q316" s="14">
        <f t="shared" si="77"/>
        <v>36.1335072352</v>
      </c>
      <c r="R316" s="28">
        <f t="shared" si="78"/>
        <v>4.2363927647999997</v>
      </c>
      <c r="S316" s="28">
        <f t="shared" si="79"/>
        <v>14.125283355879356</v>
      </c>
      <c r="T316" s="28">
        <f t="shared" si="80"/>
        <v>17.563353235199997</v>
      </c>
      <c r="U316" s="28">
        <f t="shared" si="72"/>
        <v>17.563353235199997</v>
      </c>
      <c r="V316" s="28">
        <f t="shared" si="73"/>
        <v>18.570154000000002</v>
      </c>
      <c r="W316" s="28">
        <f t="shared" si="74"/>
        <v>0.92850770000000016</v>
      </c>
      <c r="X316" s="28">
        <f t="shared" si="81"/>
        <v>18.491860935199998</v>
      </c>
      <c r="Y316" s="14">
        <v>79.005809177499998</v>
      </c>
      <c r="Z316" s="13">
        <v>0.14249999999999999</v>
      </c>
      <c r="AA316" s="14">
        <v>73.614954434402321</v>
      </c>
      <c r="AB316" s="13">
        <f t="shared" si="83"/>
        <v>0.57269999999999999</v>
      </c>
      <c r="AC316" s="14">
        <v>92.135054434402321</v>
      </c>
      <c r="AD316" s="26">
        <f t="shared" si="84"/>
        <v>0.1424999999999999</v>
      </c>
      <c r="AE316" s="4">
        <f t="shared" si="85"/>
        <v>92.14</v>
      </c>
      <c r="AF316" s="27">
        <f t="shared" si="82"/>
        <v>0.14249999999999999</v>
      </c>
      <c r="AG316" s="4">
        <f t="shared" si="86"/>
        <v>79.010000000000005</v>
      </c>
      <c r="AH316" s="27">
        <f t="shared" si="87"/>
        <v>0.57269999999999999</v>
      </c>
    </row>
    <row r="317" spans="1:34" x14ac:dyDescent="0.35">
      <c r="A317" s="8" t="s">
        <v>665</v>
      </c>
      <c r="B317" s="9" t="s">
        <v>666</v>
      </c>
      <c r="C317" s="8" t="s">
        <v>1134</v>
      </c>
      <c r="D317" s="8" t="s">
        <v>1177</v>
      </c>
      <c r="E317" s="8" t="s">
        <v>905</v>
      </c>
      <c r="F317" s="25" t="s">
        <v>1051</v>
      </c>
      <c r="G317" s="8" t="s">
        <v>1112</v>
      </c>
      <c r="H317" s="8">
        <v>200</v>
      </c>
      <c r="I317" s="8" t="s">
        <v>1163</v>
      </c>
      <c r="J317" s="10">
        <v>46.07</v>
      </c>
      <c r="K317" s="22">
        <v>0.39400000000000002</v>
      </c>
      <c r="L317" s="11">
        <v>33.42</v>
      </c>
      <c r="M317" s="13">
        <v>0.58679999999999999</v>
      </c>
      <c r="N317" s="17">
        <f t="shared" si="75"/>
        <v>13.809144000000002</v>
      </c>
      <c r="O317" s="13">
        <v>0.1075</v>
      </c>
      <c r="P317" s="14">
        <f t="shared" si="76"/>
        <v>12.324661020000001</v>
      </c>
      <c r="Q317" s="14">
        <f t="shared" si="77"/>
        <v>6.9691737286000013</v>
      </c>
      <c r="R317" s="28">
        <f t="shared" si="78"/>
        <v>0.86272627140000013</v>
      </c>
      <c r="S317" s="28">
        <f t="shared" si="79"/>
        <v>2.8765635574069801</v>
      </c>
      <c r="T317" s="28">
        <f t="shared" si="80"/>
        <v>3.3664997285999996</v>
      </c>
      <c r="U317" s="28">
        <f t="shared" si="72"/>
        <v>3.3664997285999996</v>
      </c>
      <c r="V317" s="28">
        <f t="shared" si="73"/>
        <v>3.6026740000000017</v>
      </c>
      <c r="W317" s="28">
        <f t="shared" si="74"/>
        <v>0.18013370000000009</v>
      </c>
      <c r="X317" s="28">
        <f t="shared" si="81"/>
        <v>3.5466334285999999</v>
      </c>
      <c r="Y317" s="14">
        <v>15.870140539550002</v>
      </c>
      <c r="Z317" s="13">
        <v>0.14249999999999999</v>
      </c>
      <c r="AA317" s="14">
        <v>14.91480252425656</v>
      </c>
      <c r="AB317" s="13">
        <f t="shared" si="83"/>
        <v>0.55369999999999997</v>
      </c>
      <c r="AC317" s="14">
        <v>18.507452524256561</v>
      </c>
      <c r="AD317" s="26">
        <f t="shared" si="84"/>
        <v>0.14249999999999993</v>
      </c>
      <c r="AE317" s="4">
        <f t="shared" si="85"/>
        <v>18.510000000000002</v>
      </c>
      <c r="AF317" s="27">
        <f t="shared" si="82"/>
        <v>0.14249999999999999</v>
      </c>
      <c r="AG317" s="4">
        <f t="shared" si="86"/>
        <v>15.87</v>
      </c>
      <c r="AH317" s="27">
        <f t="shared" si="87"/>
        <v>0.55369999999999997</v>
      </c>
    </row>
    <row r="318" spans="1:34" x14ac:dyDescent="0.35">
      <c r="A318" s="8" t="s">
        <v>667</v>
      </c>
      <c r="B318" s="9" t="s">
        <v>668</v>
      </c>
      <c r="C318" s="8" t="s">
        <v>1134</v>
      </c>
      <c r="D318" s="8" t="s">
        <v>1139</v>
      </c>
      <c r="E318" s="8" t="s">
        <v>905</v>
      </c>
      <c r="F318" s="25" t="s">
        <v>1052</v>
      </c>
      <c r="G318" s="8" t="s">
        <v>14</v>
      </c>
      <c r="H318" s="8">
        <v>5</v>
      </c>
      <c r="I318" s="8" t="s">
        <v>1163</v>
      </c>
      <c r="J318" s="10">
        <v>190.07</v>
      </c>
      <c r="K318" s="22">
        <v>0.39400000000000002</v>
      </c>
      <c r="L318" s="11">
        <v>137.88999999999999</v>
      </c>
      <c r="M318" s="13">
        <v>0.63360000000000005</v>
      </c>
      <c r="N318" s="17">
        <f t="shared" si="75"/>
        <v>50.522895999999989</v>
      </c>
      <c r="O318" s="13">
        <v>0.1075</v>
      </c>
      <c r="P318" s="14">
        <f t="shared" si="76"/>
        <v>45.091684679999986</v>
      </c>
      <c r="Q318" s="14">
        <f t="shared" si="77"/>
        <v>29.155482072400002</v>
      </c>
      <c r="R318" s="28">
        <f t="shared" si="78"/>
        <v>3.1564179275999993</v>
      </c>
      <c r="S318" s="28">
        <f t="shared" si="79"/>
        <v>10.524354112627318</v>
      </c>
      <c r="T318" s="28">
        <f t="shared" si="80"/>
        <v>14.292008072399998</v>
      </c>
      <c r="U318" s="28">
        <f t="shared" si="72"/>
        <v>14.292008072399998</v>
      </c>
      <c r="V318" s="28">
        <f t="shared" si="73"/>
        <v>14.863474000000004</v>
      </c>
      <c r="W318" s="28">
        <f t="shared" si="74"/>
        <v>0.74317370000000027</v>
      </c>
      <c r="X318" s="28">
        <f t="shared" si="81"/>
        <v>15.035181772399998</v>
      </c>
      <c r="Y318" s="14">
        <v>60.122105455424993</v>
      </c>
      <c r="Z318" s="13">
        <v>0.14249999999999999</v>
      </c>
      <c r="AA318" s="14">
        <v>55.290067513615149</v>
      </c>
      <c r="AB318" s="13">
        <f t="shared" si="83"/>
        <v>0.59899999999999998</v>
      </c>
      <c r="AC318" s="14">
        <v>70.113242513615148</v>
      </c>
      <c r="AD318" s="26">
        <f t="shared" si="84"/>
        <v>0.14249999999999996</v>
      </c>
      <c r="AE318" s="4">
        <f t="shared" si="85"/>
        <v>70.11</v>
      </c>
      <c r="AF318" s="27">
        <f t="shared" si="82"/>
        <v>0.14249999999999999</v>
      </c>
      <c r="AG318" s="4">
        <f t="shared" si="86"/>
        <v>60.12</v>
      </c>
      <c r="AH318" s="27">
        <f t="shared" si="87"/>
        <v>0.59899999999999998</v>
      </c>
    </row>
    <row r="319" spans="1:34" x14ac:dyDescent="0.35">
      <c r="A319" s="8" t="s">
        <v>669</v>
      </c>
      <c r="B319" s="9" t="s">
        <v>1230</v>
      </c>
      <c r="C319" s="8" t="s">
        <v>1134</v>
      </c>
      <c r="D319" s="8" t="s">
        <v>1139</v>
      </c>
      <c r="E319" s="8" t="s">
        <v>905</v>
      </c>
      <c r="F319" s="25" t="s">
        <v>1052</v>
      </c>
      <c r="G319" s="8" t="s">
        <v>14</v>
      </c>
      <c r="H319" s="8">
        <v>7</v>
      </c>
      <c r="I319" s="8" t="s">
        <v>1163</v>
      </c>
      <c r="J319" s="10">
        <v>240.47</v>
      </c>
      <c r="K319" s="22">
        <v>0.39400000000000002</v>
      </c>
      <c r="L319" s="11">
        <v>174.46</v>
      </c>
      <c r="M319" s="13">
        <v>0.63049999999999995</v>
      </c>
      <c r="N319" s="17">
        <f t="shared" si="75"/>
        <v>64.462970000000013</v>
      </c>
      <c r="O319" s="13">
        <v>0.1075</v>
      </c>
      <c r="P319" s="14">
        <f t="shared" si="76"/>
        <v>57.533200725000007</v>
      </c>
      <c r="Q319" s="14">
        <f t="shared" si="77"/>
        <v>36.852575949249996</v>
      </c>
      <c r="R319" s="28">
        <f t="shared" si="78"/>
        <v>4.0273240507500008</v>
      </c>
      <c r="S319" s="28">
        <f t="shared" si="79"/>
        <v>13.428191516014277</v>
      </c>
      <c r="T319" s="28">
        <f t="shared" si="80"/>
        <v>18.047821949249997</v>
      </c>
      <c r="U319" s="28">
        <f t="shared" ref="U319:U379" si="88">IFERROR(IF(J319="-",P319*7%,LARGE(S319:T319,1)),"-")</f>
        <v>18.047821949249997</v>
      </c>
      <c r="V319" s="28">
        <f t="shared" ref="V319:V379" si="89">IFERROR(Q319-U319,"-")</f>
        <v>18.804753999999999</v>
      </c>
      <c r="W319" s="28">
        <f t="shared" ref="W319:W379" si="90">IFERROR(V319*5%,"-")</f>
        <v>0.94023769999999995</v>
      </c>
      <c r="X319" s="28">
        <f t="shared" si="81"/>
        <v>18.988059649249998</v>
      </c>
      <c r="Y319" s="14">
        <v>76.515236706599993</v>
      </c>
      <c r="Z319" s="13">
        <v>0.14249999999999999</v>
      </c>
      <c r="AA319" s="14">
        <v>70.476146742390654</v>
      </c>
      <c r="AB319" s="13">
        <f t="shared" si="83"/>
        <v>0.59599999999999997</v>
      </c>
      <c r="AC319" s="14">
        <v>89.230596742390659</v>
      </c>
      <c r="AD319" s="26">
        <f t="shared" si="84"/>
        <v>0.14249999999999999</v>
      </c>
      <c r="AE319" s="4">
        <f t="shared" si="85"/>
        <v>89.23</v>
      </c>
      <c r="AF319" s="27">
        <f t="shared" si="82"/>
        <v>0.14249999999999999</v>
      </c>
      <c r="AG319" s="4">
        <f t="shared" si="86"/>
        <v>76.52</v>
      </c>
      <c r="AH319" s="27">
        <f t="shared" si="87"/>
        <v>0.59599999999999997</v>
      </c>
    </row>
    <row r="320" spans="1:34" x14ac:dyDescent="0.35">
      <c r="A320" s="8" t="s">
        <v>670</v>
      </c>
      <c r="B320" s="9" t="s">
        <v>671</v>
      </c>
      <c r="C320" s="8" t="s">
        <v>1134</v>
      </c>
      <c r="D320" s="8" t="s">
        <v>1149</v>
      </c>
      <c r="E320" s="8" t="s">
        <v>905</v>
      </c>
      <c r="F320" s="25" t="s">
        <v>1053</v>
      </c>
      <c r="G320" s="8" t="s">
        <v>3</v>
      </c>
      <c r="H320" s="8">
        <v>10</v>
      </c>
      <c r="I320" s="8" t="s">
        <v>1163</v>
      </c>
      <c r="J320" s="10">
        <v>44.43</v>
      </c>
      <c r="K320" s="22">
        <v>0.39400000000000002</v>
      </c>
      <c r="L320" s="11">
        <v>32.229999999999997</v>
      </c>
      <c r="M320" s="13">
        <v>0.36309999999999998</v>
      </c>
      <c r="N320" s="17">
        <f t="shared" ref="N320:N380" si="91">L320*(1-M320)</f>
        <v>20.527286999999998</v>
      </c>
      <c r="O320" s="13">
        <v>0.1075</v>
      </c>
      <c r="P320" s="14">
        <f t="shared" ref="P320:P380" si="92">N320*(1-O320)</f>
        <v>18.320603647499997</v>
      </c>
      <c r="Q320" s="14">
        <f t="shared" ref="Q320:Q380" si="93">IFERROR(IF(J320="-",P320*(1+K320)*17%,(J320*17%)-R320),"-")</f>
        <v>6.2706577446750007</v>
      </c>
      <c r="R320" s="28">
        <f t="shared" ref="R320:R380" si="94">IFERROR(P320*7%,"-")</f>
        <v>1.2824422553249999</v>
      </c>
      <c r="S320" s="28">
        <f t="shared" ref="S320:S380" si="95">IFERROR((P320*1.983*0.153)-R320,0)</f>
        <v>4.2760105707228524</v>
      </c>
      <c r="T320" s="28">
        <f t="shared" ref="T320:T380" si="96">IFERROR((J320*0.6*0.153)-R320,0)</f>
        <v>2.7962317446749996</v>
      </c>
      <c r="U320" s="28">
        <f t="shared" si="88"/>
        <v>4.2760105707228524</v>
      </c>
      <c r="V320" s="28">
        <f t="shared" si="89"/>
        <v>1.9946471739521483</v>
      </c>
      <c r="W320" s="28">
        <f t="shared" si="90"/>
        <v>9.9732358697607423E-2</v>
      </c>
      <c r="X320" s="28">
        <f t="shared" ref="X320:X380" si="97">IF($J320="-",Q320-U320,Q320-V320+W320)</f>
        <v>4.3757429294204595</v>
      </c>
      <c r="Y320" s="14">
        <v>22.695727844067413</v>
      </c>
      <c r="Z320" s="13">
        <v>0.14249999999999999</v>
      </c>
      <c r="AA320" s="14">
        <v>23.002596100953252</v>
      </c>
      <c r="AB320" s="13">
        <f t="shared" si="83"/>
        <v>0.2863</v>
      </c>
      <c r="AC320" s="14">
        <v>26.467321100953249</v>
      </c>
      <c r="AD320" s="26">
        <f t="shared" si="84"/>
        <v>0.14249999999999993</v>
      </c>
      <c r="AE320" s="4">
        <f t="shared" si="85"/>
        <v>26.47</v>
      </c>
      <c r="AF320" s="27">
        <f t="shared" ref="AF320:AF380" si="98">ROUND(AD320,4)</f>
        <v>0.14249999999999999</v>
      </c>
      <c r="AG320" s="4">
        <f t="shared" si="86"/>
        <v>22.7</v>
      </c>
      <c r="AH320" s="27">
        <f t="shared" si="87"/>
        <v>0.2863</v>
      </c>
    </row>
    <row r="321" spans="1:34" x14ac:dyDescent="0.35">
      <c r="A321" s="8" t="s">
        <v>672</v>
      </c>
      <c r="B321" s="9" t="s">
        <v>673</v>
      </c>
      <c r="C321" s="8" t="s">
        <v>1134</v>
      </c>
      <c r="D321" s="8" t="s">
        <v>1149</v>
      </c>
      <c r="E321" s="8" t="s">
        <v>905</v>
      </c>
      <c r="F321" s="25" t="s">
        <v>1053</v>
      </c>
      <c r="G321" s="8" t="s">
        <v>3</v>
      </c>
      <c r="H321" s="8">
        <v>4</v>
      </c>
      <c r="I321" s="8" t="s">
        <v>1163</v>
      </c>
      <c r="J321" s="10">
        <v>18.46</v>
      </c>
      <c r="K321" s="22">
        <v>0.39400000000000002</v>
      </c>
      <c r="L321" s="11">
        <v>13.39</v>
      </c>
      <c r="M321" s="13">
        <v>0.3705</v>
      </c>
      <c r="N321" s="17">
        <f t="shared" si="91"/>
        <v>8.4290050000000001</v>
      </c>
      <c r="O321" s="13">
        <v>0.1075</v>
      </c>
      <c r="P321" s="14">
        <f t="shared" si="92"/>
        <v>7.5228869624999994</v>
      </c>
      <c r="Q321" s="14">
        <f t="shared" si="93"/>
        <v>2.6115979126250002</v>
      </c>
      <c r="R321" s="28">
        <f t="shared" si="94"/>
        <v>0.52660208737500003</v>
      </c>
      <c r="S321" s="28">
        <f t="shared" si="95"/>
        <v>1.7558342941605374</v>
      </c>
      <c r="T321" s="28">
        <f t="shared" si="96"/>
        <v>1.1680259126250001</v>
      </c>
      <c r="U321" s="28">
        <f t="shared" si="88"/>
        <v>1.7558342941605374</v>
      </c>
      <c r="V321" s="28">
        <f t="shared" si="89"/>
        <v>0.85576361846446281</v>
      </c>
      <c r="W321" s="28">
        <f t="shared" si="90"/>
        <v>4.2788180923223146E-2</v>
      </c>
      <c r="X321" s="28">
        <f t="shared" si="97"/>
        <v>1.7986224750837605</v>
      </c>
      <c r="Y321" s="14">
        <v>9.3212523841272841</v>
      </c>
      <c r="Z321" s="13">
        <v>0.14249999999999999</v>
      </c>
      <c r="AA321" s="14">
        <v>9.4308401709939158</v>
      </c>
      <c r="AB321" s="13">
        <f t="shared" si="83"/>
        <v>0.29570000000000002</v>
      </c>
      <c r="AC321" s="14">
        <v>10.870265170993916</v>
      </c>
      <c r="AD321" s="26">
        <f t="shared" si="84"/>
        <v>0.14249999999999988</v>
      </c>
      <c r="AE321" s="4">
        <f t="shared" si="85"/>
        <v>10.87</v>
      </c>
      <c r="AF321" s="27">
        <f t="shared" si="98"/>
        <v>0.14249999999999999</v>
      </c>
      <c r="AG321" s="4">
        <f t="shared" si="86"/>
        <v>9.32</v>
      </c>
      <c r="AH321" s="27">
        <f t="shared" si="87"/>
        <v>0.29570000000000002</v>
      </c>
    </row>
    <row r="322" spans="1:34" x14ac:dyDescent="0.35">
      <c r="A322" s="8" t="s">
        <v>674</v>
      </c>
      <c r="B322" s="9" t="s">
        <v>675</v>
      </c>
      <c r="C322" s="8" t="s">
        <v>1135</v>
      </c>
      <c r="D322" s="8" t="s">
        <v>1147</v>
      </c>
      <c r="E322" s="8" t="s">
        <v>905</v>
      </c>
      <c r="F322" s="25" t="s">
        <v>1054</v>
      </c>
      <c r="G322" s="8" t="s">
        <v>25</v>
      </c>
      <c r="H322" s="8">
        <v>30</v>
      </c>
      <c r="I322" s="8" t="s">
        <v>1164</v>
      </c>
      <c r="J322" s="10">
        <v>66.63</v>
      </c>
      <c r="K322" s="22">
        <v>0.3417</v>
      </c>
      <c r="L322" s="11">
        <v>49.67</v>
      </c>
      <c r="M322" s="13">
        <v>0.53390000000000004</v>
      </c>
      <c r="N322" s="17">
        <f t="shared" si="91"/>
        <v>23.151187</v>
      </c>
      <c r="O322" s="13">
        <v>0.1075</v>
      </c>
      <c r="P322" s="14">
        <f t="shared" si="92"/>
        <v>20.6624343975</v>
      </c>
      <c r="Q322" s="14">
        <f t="shared" si="93"/>
        <v>9.8807295921749994</v>
      </c>
      <c r="R322" s="28">
        <f t="shared" si="94"/>
        <v>1.4463704078250001</v>
      </c>
      <c r="S322" s="28">
        <f t="shared" si="95"/>
        <v>4.8225915259421024</v>
      </c>
      <c r="T322" s="28">
        <f t="shared" si="96"/>
        <v>4.6702635921749991</v>
      </c>
      <c r="U322" s="28">
        <f t="shared" si="88"/>
        <v>4.8225915259421024</v>
      </c>
      <c r="V322" s="28">
        <f t="shared" si="89"/>
        <v>5.058138066232897</v>
      </c>
      <c r="W322" s="28">
        <f t="shared" si="90"/>
        <v>0.25290690331164484</v>
      </c>
      <c r="X322" s="28">
        <f t="shared" si="97"/>
        <v>5.0754984292537468</v>
      </c>
      <c r="Y322" s="14">
        <v>25.735802004875001</v>
      </c>
      <c r="Z322" s="13">
        <v>0.14249999999999999</v>
      </c>
      <c r="AA322" s="14">
        <v>24.673072090233234</v>
      </c>
      <c r="AB322" s="13">
        <f t="shared" si="83"/>
        <v>0.50329999999999997</v>
      </c>
      <c r="AC322" s="14">
        <v>30.012597090233236</v>
      </c>
      <c r="AD322" s="26">
        <f t="shared" si="84"/>
        <v>0.14249999999999993</v>
      </c>
      <c r="AE322" s="4">
        <f t="shared" si="85"/>
        <v>30.01</v>
      </c>
      <c r="AF322" s="27">
        <f t="shared" si="98"/>
        <v>0.14249999999999999</v>
      </c>
      <c r="AG322" s="4">
        <f t="shared" si="86"/>
        <v>25.74</v>
      </c>
      <c r="AH322" s="27">
        <f t="shared" si="87"/>
        <v>0.50329999999999997</v>
      </c>
    </row>
    <row r="323" spans="1:34" x14ac:dyDescent="0.35">
      <c r="A323" s="8" t="s">
        <v>676</v>
      </c>
      <c r="B323" s="9" t="s">
        <v>677</v>
      </c>
      <c r="C323" s="8" t="s">
        <v>1135</v>
      </c>
      <c r="D323" s="8" t="s">
        <v>1147</v>
      </c>
      <c r="E323" s="8" t="s">
        <v>905</v>
      </c>
      <c r="F323" s="25" t="s">
        <v>1054</v>
      </c>
      <c r="G323" s="8" t="s">
        <v>25</v>
      </c>
      <c r="H323" s="8">
        <v>60</v>
      </c>
      <c r="I323" s="8" t="s">
        <v>1164</v>
      </c>
      <c r="J323" s="10">
        <v>131.65</v>
      </c>
      <c r="K323" s="22">
        <v>0.3417</v>
      </c>
      <c r="L323" s="11">
        <v>98.14</v>
      </c>
      <c r="M323" s="13">
        <v>0.57320000000000004</v>
      </c>
      <c r="N323" s="17">
        <f t="shared" si="91"/>
        <v>41.886151999999996</v>
      </c>
      <c r="O323" s="13">
        <v>0.1075</v>
      </c>
      <c r="P323" s="14">
        <f t="shared" si="92"/>
        <v>37.383390659999996</v>
      </c>
      <c r="Q323" s="14">
        <f t="shared" si="93"/>
        <v>19.763662653800001</v>
      </c>
      <c r="R323" s="28">
        <f t="shared" si="94"/>
        <v>2.6168373462000001</v>
      </c>
      <c r="S323" s="28">
        <f t="shared" si="95"/>
        <v>8.7252459966533387</v>
      </c>
      <c r="T323" s="28">
        <f t="shared" si="96"/>
        <v>9.4686326537999985</v>
      </c>
      <c r="U323" s="28">
        <f t="shared" si="88"/>
        <v>9.4686326537999985</v>
      </c>
      <c r="V323" s="28">
        <f t="shared" si="89"/>
        <v>10.295030000000002</v>
      </c>
      <c r="W323" s="28">
        <f t="shared" si="90"/>
        <v>0.51475150000000014</v>
      </c>
      <c r="X323" s="28">
        <f t="shared" si="97"/>
        <v>9.9833841537999994</v>
      </c>
      <c r="Y323" s="14">
        <v>47.363386284950003</v>
      </c>
      <c r="Z323" s="13">
        <v>0.14249999999999999</v>
      </c>
      <c r="AA323" s="14">
        <v>44.684219720058309</v>
      </c>
      <c r="AB323" s="13">
        <f t="shared" ref="AB323:AB386" si="99">ROUND(1-(AA323/L323),4)</f>
        <v>0.54469999999999996</v>
      </c>
      <c r="AC323" s="14">
        <v>55.234269720058307</v>
      </c>
      <c r="AD323" s="26">
        <f t="shared" si="84"/>
        <v>0.1424999999999999</v>
      </c>
      <c r="AE323" s="4">
        <f t="shared" si="85"/>
        <v>55.23</v>
      </c>
      <c r="AF323" s="27">
        <f t="shared" si="98"/>
        <v>0.14249999999999999</v>
      </c>
      <c r="AG323" s="4">
        <f t="shared" si="86"/>
        <v>47.36</v>
      </c>
      <c r="AH323" s="27">
        <f t="shared" si="87"/>
        <v>0.54469999999999996</v>
      </c>
    </row>
    <row r="324" spans="1:34" x14ac:dyDescent="0.35">
      <c r="A324" s="8" t="s">
        <v>678</v>
      </c>
      <c r="B324" s="9" t="s">
        <v>679</v>
      </c>
      <c r="C324" s="8" t="s">
        <v>1134</v>
      </c>
      <c r="D324" s="8" t="s">
        <v>1149</v>
      </c>
      <c r="E324" s="8" t="s">
        <v>905</v>
      </c>
      <c r="F324" s="25" t="s">
        <v>1055</v>
      </c>
      <c r="G324" s="8" t="s">
        <v>13</v>
      </c>
      <c r="H324" s="8">
        <v>12</v>
      </c>
      <c r="I324" s="8" t="s">
        <v>1163</v>
      </c>
      <c r="J324" s="10">
        <v>24.54</v>
      </c>
      <c r="K324" s="22">
        <v>0.39400000000000002</v>
      </c>
      <c r="L324" s="11">
        <v>17.8</v>
      </c>
      <c r="M324" s="13">
        <v>0.78820000000000001</v>
      </c>
      <c r="N324" s="17">
        <f t="shared" si="91"/>
        <v>3.7700399999999998</v>
      </c>
      <c r="O324" s="13">
        <v>0.1075</v>
      </c>
      <c r="P324" s="14">
        <f t="shared" si="92"/>
        <v>3.3647606999999997</v>
      </c>
      <c r="Q324" s="14">
        <f t="shared" si="93"/>
        <v>3.9362667510000002</v>
      </c>
      <c r="R324" s="28">
        <f t="shared" si="94"/>
        <v>0.235533249</v>
      </c>
      <c r="S324" s="28">
        <f t="shared" si="95"/>
        <v>0.78533178261930003</v>
      </c>
      <c r="T324" s="28">
        <f t="shared" si="96"/>
        <v>2.0172387509999998</v>
      </c>
      <c r="U324" s="28">
        <f t="shared" si="88"/>
        <v>2.0172387509999998</v>
      </c>
      <c r="V324" s="28">
        <f t="shared" si="89"/>
        <v>1.9190280000000004</v>
      </c>
      <c r="W324" s="28">
        <f t="shared" si="90"/>
        <v>9.595140000000002E-2</v>
      </c>
      <c r="X324" s="28">
        <f t="shared" si="97"/>
        <v>2.113190151</v>
      </c>
      <c r="Y324" s="14">
        <v>5.4773362615000005</v>
      </c>
      <c r="Z324" s="13">
        <v>0.14249999999999999</v>
      </c>
      <c r="AA324" s="14">
        <v>4.4740641533527699</v>
      </c>
      <c r="AB324" s="13">
        <f t="shared" si="99"/>
        <v>0.74860000000000004</v>
      </c>
      <c r="AC324" s="14">
        <v>6.3875641533527698</v>
      </c>
      <c r="AD324" s="26">
        <f t="shared" si="84"/>
        <v>0.14249999999999993</v>
      </c>
      <c r="AE324" s="4">
        <f t="shared" si="85"/>
        <v>6.39</v>
      </c>
      <c r="AF324" s="27">
        <f t="shared" si="98"/>
        <v>0.14249999999999999</v>
      </c>
      <c r="AG324" s="4">
        <f t="shared" si="86"/>
        <v>5.48</v>
      </c>
      <c r="AH324" s="27">
        <f t="shared" si="87"/>
        <v>0.74860000000000004</v>
      </c>
    </row>
    <row r="325" spans="1:34" x14ac:dyDescent="0.35">
      <c r="A325" s="8" t="s">
        <v>680</v>
      </c>
      <c r="B325" s="9" t="s">
        <v>681</v>
      </c>
      <c r="C325" s="8" t="s">
        <v>1134</v>
      </c>
      <c r="D325" s="8" t="s">
        <v>1149</v>
      </c>
      <c r="E325" s="8" t="s">
        <v>905</v>
      </c>
      <c r="F325" s="25" t="s">
        <v>1055</v>
      </c>
      <c r="G325" s="8" t="s">
        <v>20</v>
      </c>
      <c r="H325" s="8">
        <v>15</v>
      </c>
      <c r="I325" s="8" t="s">
        <v>1163</v>
      </c>
      <c r="J325" s="10">
        <v>36.43</v>
      </c>
      <c r="K325" s="22">
        <v>0.39400000000000002</v>
      </c>
      <c r="L325" s="11">
        <v>26.43</v>
      </c>
      <c r="M325" s="13">
        <v>0.67479999999999996</v>
      </c>
      <c r="N325" s="17">
        <f t="shared" si="91"/>
        <v>8.5950360000000003</v>
      </c>
      <c r="O325" s="13">
        <v>0.1075</v>
      </c>
      <c r="P325" s="14">
        <f t="shared" si="92"/>
        <v>7.6710696299999999</v>
      </c>
      <c r="Q325" s="14">
        <f t="shared" si="93"/>
        <v>5.6561251259000001</v>
      </c>
      <c r="R325" s="28">
        <f t="shared" si="94"/>
        <v>0.5369748741</v>
      </c>
      <c r="S325" s="28">
        <f t="shared" si="95"/>
        <v>1.7904199805723702</v>
      </c>
      <c r="T325" s="28">
        <f t="shared" si="96"/>
        <v>2.8072991259000002</v>
      </c>
      <c r="U325" s="28">
        <f t="shared" si="88"/>
        <v>2.8072991259000002</v>
      </c>
      <c r="V325" s="28">
        <f t="shared" si="89"/>
        <v>2.8488259999999999</v>
      </c>
      <c r="W325" s="28">
        <f t="shared" si="90"/>
        <v>0.14244129999999999</v>
      </c>
      <c r="X325" s="28">
        <f t="shared" si="97"/>
        <v>2.9497404259</v>
      </c>
      <c r="Y325" s="14">
        <v>10.619897494074998</v>
      </c>
      <c r="Z325" s="13">
        <v>0.14249999999999999</v>
      </c>
      <c r="AA325" s="14">
        <v>9.5434951097084522</v>
      </c>
      <c r="AB325" s="13">
        <f t="shared" si="99"/>
        <v>0.63890000000000002</v>
      </c>
      <c r="AC325" s="14">
        <v>12.384720109708452</v>
      </c>
      <c r="AD325" s="26">
        <f t="shared" si="84"/>
        <v>0.14249999999999999</v>
      </c>
      <c r="AE325" s="4">
        <f t="shared" si="85"/>
        <v>12.38</v>
      </c>
      <c r="AF325" s="27">
        <f t="shared" si="98"/>
        <v>0.14249999999999999</v>
      </c>
      <c r="AG325" s="4">
        <f t="shared" si="86"/>
        <v>10.62</v>
      </c>
      <c r="AH325" s="27">
        <f t="shared" si="87"/>
        <v>0.63890000000000002</v>
      </c>
    </row>
    <row r="326" spans="1:34" x14ac:dyDescent="0.35">
      <c r="A326" s="8" t="s">
        <v>682</v>
      </c>
      <c r="B326" s="9" t="s">
        <v>683</v>
      </c>
      <c r="C326" s="8" t="s">
        <v>1134</v>
      </c>
      <c r="D326" s="8" t="s">
        <v>1203</v>
      </c>
      <c r="E326" s="8" t="s">
        <v>905</v>
      </c>
      <c r="F326" s="25" t="s">
        <v>1056</v>
      </c>
      <c r="G326" s="8" t="s">
        <v>1130</v>
      </c>
      <c r="H326" s="8">
        <v>10</v>
      </c>
      <c r="I326" s="8" t="s">
        <v>1163</v>
      </c>
      <c r="J326" s="10">
        <v>41.08</v>
      </c>
      <c r="K326" s="22">
        <v>0.39400000000000002</v>
      </c>
      <c r="L326" s="11">
        <v>29.8</v>
      </c>
      <c r="M326" s="13">
        <v>0.60570000000000002</v>
      </c>
      <c r="N326" s="17">
        <f t="shared" si="91"/>
        <v>11.75014</v>
      </c>
      <c r="O326" s="13">
        <v>0.1075</v>
      </c>
      <c r="P326" s="14">
        <f t="shared" si="92"/>
        <v>10.48699995</v>
      </c>
      <c r="Q326" s="14">
        <f t="shared" si="93"/>
        <v>6.2495100035000002</v>
      </c>
      <c r="R326" s="28">
        <f t="shared" si="94"/>
        <v>0.73408999650000006</v>
      </c>
      <c r="S326" s="28">
        <f t="shared" si="95"/>
        <v>2.4476553013300499</v>
      </c>
      <c r="T326" s="28">
        <f t="shared" si="96"/>
        <v>3.0370540034999998</v>
      </c>
      <c r="U326" s="28">
        <f t="shared" si="88"/>
        <v>3.0370540034999998</v>
      </c>
      <c r="V326" s="28">
        <f t="shared" si="89"/>
        <v>3.2124560000000004</v>
      </c>
      <c r="W326" s="28">
        <f t="shared" si="90"/>
        <v>0.16062280000000004</v>
      </c>
      <c r="X326" s="28">
        <f t="shared" si="97"/>
        <v>3.1976768034999998</v>
      </c>
      <c r="Y326" s="14">
        <v>13.683647834</v>
      </c>
      <c r="Z326" s="13">
        <v>0.14249999999999999</v>
      </c>
      <c r="AA326" s="14">
        <v>12.754106803498543</v>
      </c>
      <c r="AB326" s="13">
        <f t="shared" si="99"/>
        <v>0.57199999999999995</v>
      </c>
      <c r="AC326" s="14">
        <v>15.957606803498543</v>
      </c>
      <c r="AD326" s="26">
        <f t="shared" si="84"/>
        <v>0.14249999999999999</v>
      </c>
      <c r="AE326" s="4">
        <f t="shared" si="85"/>
        <v>15.96</v>
      </c>
      <c r="AF326" s="27">
        <f t="shared" si="98"/>
        <v>0.14249999999999999</v>
      </c>
      <c r="AG326" s="4">
        <f t="shared" si="86"/>
        <v>13.68</v>
      </c>
      <c r="AH326" s="27">
        <f t="shared" si="87"/>
        <v>0.57199999999999995</v>
      </c>
    </row>
    <row r="327" spans="1:34" x14ac:dyDescent="0.35">
      <c r="A327" s="8" t="s">
        <v>684</v>
      </c>
      <c r="B327" s="9" t="s">
        <v>685</v>
      </c>
      <c r="C327" s="8" t="s">
        <v>1135</v>
      </c>
      <c r="D327" s="8" t="s">
        <v>1203</v>
      </c>
      <c r="E327" s="8" t="s">
        <v>905</v>
      </c>
      <c r="F327" s="25" t="s">
        <v>1057</v>
      </c>
      <c r="G327" s="8" t="s">
        <v>1130</v>
      </c>
      <c r="H327" s="8">
        <v>60</v>
      </c>
      <c r="I327" s="8" t="s">
        <v>1164</v>
      </c>
      <c r="J327" s="10">
        <v>38.229999999999997</v>
      </c>
      <c r="K327" s="22">
        <v>0.3417</v>
      </c>
      <c r="L327" s="11">
        <v>28.5</v>
      </c>
      <c r="M327" s="13">
        <v>0.53300000000000003</v>
      </c>
      <c r="N327" s="17">
        <f t="shared" si="91"/>
        <v>13.3095</v>
      </c>
      <c r="O327" s="13">
        <v>0.1075</v>
      </c>
      <c r="P327" s="14">
        <f t="shared" si="92"/>
        <v>11.878728749999999</v>
      </c>
      <c r="Q327" s="14">
        <f t="shared" si="93"/>
        <v>5.6675889875000003</v>
      </c>
      <c r="R327" s="28">
        <f t="shared" si="94"/>
        <v>0.83151101250000004</v>
      </c>
      <c r="S327" s="28">
        <f t="shared" si="95"/>
        <v>2.7724834115212498</v>
      </c>
      <c r="T327" s="28">
        <f t="shared" si="96"/>
        <v>2.6780029874999998</v>
      </c>
      <c r="U327" s="28">
        <f t="shared" si="88"/>
        <v>2.7724834115212498</v>
      </c>
      <c r="V327" s="28">
        <f t="shared" si="89"/>
        <v>2.8951055759787505</v>
      </c>
      <c r="W327" s="28">
        <f t="shared" si="90"/>
        <v>0.14475527879893754</v>
      </c>
      <c r="X327" s="28">
        <f t="shared" si="97"/>
        <v>2.9172386903201875</v>
      </c>
      <c r="Y327" s="14">
        <v>14.797484282500003</v>
      </c>
      <c r="Z327" s="13">
        <v>0.14249999999999999</v>
      </c>
      <c r="AA327" s="14">
        <v>14.192791437317785</v>
      </c>
      <c r="AB327" s="13">
        <f t="shared" si="99"/>
        <v>0.502</v>
      </c>
      <c r="AC327" s="14">
        <v>17.256541437317786</v>
      </c>
      <c r="AD327" s="26">
        <f t="shared" si="84"/>
        <v>0.14249999999999993</v>
      </c>
      <c r="AE327" s="4">
        <f t="shared" si="85"/>
        <v>17.260000000000002</v>
      </c>
      <c r="AF327" s="27">
        <f t="shared" si="98"/>
        <v>0.14249999999999999</v>
      </c>
      <c r="AG327" s="4">
        <f t="shared" si="86"/>
        <v>14.8</v>
      </c>
      <c r="AH327" s="27">
        <f t="shared" si="87"/>
        <v>0.502</v>
      </c>
    </row>
    <row r="328" spans="1:34" x14ac:dyDescent="0.35">
      <c r="A328" s="8" t="s">
        <v>686</v>
      </c>
      <c r="B328" s="9" t="s">
        <v>687</v>
      </c>
      <c r="C328" s="8" t="s">
        <v>1135</v>
      </c>
      <c r="D328" s="8" t="s">
        <v>1149</v>
      </c>
      <c r="E328" s="8" t="s">
        <v>905</v>
      </c>
      <c r="F328" s="25" t="s">
        <v>1058</v>
      </c>
      <c r="G328" s="8" t="s">
        <v>23</v>
      </c>
      <c r="H328" s="8">
        <v>20</v>
      </c>
      <c r="I328" s="8" t="s">
        <v>1164</v>
      </c>
      <c r="J328" s="10">
        <v>54.48</v>
      </c>
      <c r="K328" s="22">
        <v>0.3417</v>
      </c>
      <c r="L328" s="11">
        <v>40.61</v>
      </c>
      <c r="M328" s="13">
        <v>0.4612</v>
      </c>
      <c r="N328" s="17">
        <f t="shared" si="91"/>
        <v>21.880667999999996</v>
      </c>
      <c r="O328" s="13">
        <v>0.1075</v>
      </c>
      <c r="P328" s="14">
        <f t="shared" si="92"/>
        <v>19.528496189999995</v>
      </c>
      <c r="Q328" s="14">
        <f t="shared" si="93"/>
        <v>7.8946052666999993</v>
      </c>
      <c r="R328" s="28">
        <f t="shared" si="94"/>
        <v>1.3669947332999999</v>
      </c>
      <c r="S328" s="28">
        <f t="shared" si="95"/>
        <v>4.557931482249808</v>
      </c>
      <c r="T328" s="28">
        <f t="shared" si="96"/>
        <v>3.6342692666999992</v>
      </c>
      <c r="U328" s="28">
        <f t="shared" si="88"/>
        <v>4.557931482249808</v>
      </c>
      <c r="V328" s="28">
        <f t="shared" si="89"/>
        <v>3.3366737844501912</v>
      </c>
      <c r="W328" s="28">
        <f t="shared" si="90"/>
        <v>0.16683368922250957</v>
      </c>
      <c r="X328" s="28">
        <f t="shared" si="97"/>
        <v>4.7247651714723178</v>
      </c>
      <c r="Y328" s="14">
        <v>24.254141022949998</v>
      </c>
      <c r="Z328" s="13">
        <v>0.14249999999999999</v>
      </c>
      <c r="AA328" s="14">
        <v>23.919137563206995</v>
      </c>
      <c r="AB328" s="13">
        <f t="shared" si="99"/>
        <v>0.41099999999999998</v>
      </c>
      <c r="AC328" s="14">
        <v>28.284712563206995</v>
      </c>
      <c r="AD328" s="26">
        <f t="shared" si="84"/>
        <v>0.14249999999999999</v>
      </c>
      <c r="AE328" s="4">
        <f t="shared" si="85"/>
        <v>28.28</v>
      </c>
      <c r="AF328" s="27">
        <f t="shared" si="98"/>
        <v>0.14249999999999999</v>
      </c>
      <c r="AG328" s="4">
        <f t="shared" si="86"/>
        <v>24.25</v>
      </c>
      <c r="AH328" s="27">
        <f t="shared" si="87"/>
        <v>0.41099999999999998</v>
      </c>
    </row>
    <row r="329" spans="1:34" x14ac:dyDescent="0.35">
      <c r="A329" s="8" t="s">
        <v>688</v>
      </c>
      <c r="B329" s="9" t="s">
        <v>689</v>
      </c>
      <c r="C329" s="8" t="s">
        <v>1135</v>
      </c>
      <c r="D329" s="8" t="s">
        <v>1149</v>
      </c>
      <c r="E329" s="8" t="s">
        <v>905</v>
      </c>
      <c r="F329" s="25" t="s">
        <v>1058</v>
      </c>
      <c r="G329" s="8" t="s">
        <v>23</v>
      </c>
      <c r="H329" s="8">
        <v>9</v>
      </c>
      <c r="I329" s="8" t="s">
        <v>1164</v>
      </c>
      <c r="J329" s="10">
        <v>24.2</v>
      </c>
      <c r="K329" s="22">
        <v>0.3417</v>
      </c>
      <c r="L329" s="11">
        <v>18.04</v>
      </c>
      <c r="M329" s="13">
        <v>0.44280000000000003</v>
      </c>
      <c r="N329" s="17">
        <f t="shared" si="91"/>
        <v>10.051887999999998</v>
      </c>
      <c r="O329" s="13">
        <v>0.1075</v>
      </c>
      <c r="P329" s="14">
        <f t="shared" si="92"/>
        <v>8.9713100399999988</v>
      </c>
      <c r="Q329" s="14">
        <f t="shared" si="93"/>
        <v>3.4860082971999997</v>
      </c>
      <c r="R329" s="28">
        <f t="shared" si="94"/>
        <v>0.62799170279999994</v>
      </c>
      <c r="S329" s="28">
        <f t="shared" si="95"/>
        <v>2.0938947920259601</v>
      </c>
      <c r="T329" s="28">
        <f t="shared" si="96"/>
        <v>1.5935682971999998</v>
      </c>
      <c r="U329" s="28">
        <f t="shared" si="88"/>
        <v>2.0938947920259601</v>
      </c>
      <c r="V329" s="28">
        <f t="shared" si="89"/>
        <v>1.3921135051740396</v>
      </c>
      <c r="W329" s="28">
        <f t="shared" si="90"/>
        <v>6.9605675258701982E-2</v>
      </c>
      <c r="X329" s="28">
        <f t="shared" si="97"/>
        <v>2.1635004672846621</v>
      </c>
      <c r="Y329" s="14">
        <v>11.134464185824253</v>
      </c>
      <c r="Z329" s="13">
        <v>0.14249999999999999</v>
      </c>
      <c r="AA329" s="14">
        <v>11.045497884343153</v>
      </c>
      <c r="AB329" s="13">
        <f t="shared" si="99"/>
        <v>0.38769999999999999</v>
      </c>
      <c r="AC329" s="14">
        <v>12.984797884343152</v>
      </c>
      <c r="AD329" s="26">
        <f t="shared" si="84"/>
        <v>0.14249999999999996</v>
      </c>
      <c r="AE329" s="4">
        <f t="shared" si="85"/>
        <v>12.98</v>
      </c>
      <c r="AF329" s="27">
        <f t="shared" si="98"/>
        <v>0.14249999999999999</v>
      </c>
      <c r="AG329" s="4">
        <f t="shared" si="86"/>
        <v>11.13</v>
      </c>
      <c r="AH329" s="27">
        <f t="shared" si="87"/>
        <v>0.38769999999999999</v>
      </c>
    </row>
    <row r="330" spans="1:34" x14ac:dyDescent="0.35">
      <c r="A330" s="8" t="s">
        <v>690</v>
      </c>
      <c r="B330" s="9" t="s">
        <v>691</v>
      </c>
      <c r="C330" s="8" t="s">
        <v>1134</v>
      </c>
      <c r="D330" s="8" t="s">
        <v>1149</v>
      </c>
      <c r="E330" s="8" t="s">
        <v>905</v>
      </c>
      <c r="F330" s="25" t="s">
        <v>1059</v>
      </c>
      <c r="G330" s="8" t="s">
        <v>16</v>
      </c>
      <c r="H330" s="8">
        <v>30</v>
      </c>
      <c r="I330" s="8" t="s">
        <v>1163</v>
      </c>
      <c r="J330" s="10">
        <v>327.81</v>
      </c>
      <c r="K330" s="22">
        <v>0.39400000000000002</v>
      </c>
      <c r="L330" s="11">
        <v>237.82</v>
      </c>
      <c r="M330" s="13">
        <v>0.75319999999999998</v>
      </c>
      <c r="N330" s="17">
        <f t="shared" si="91"/>
        <v>58.693976000000006</v>
      </c>
      <c r="O330" s="13">
        <v>0.1075</v>
      </c>
      <c r="P330" s="14">
        <f t="shared" si="92"/>
        <v>52.384373580000002</v>
      </c>
      <c r="Q330" s="14">
        <f t="shared" si="93"/>
        <v>52.060793849400007</v>
      </c>
      <c r="R330" s="28">
        <f t="shared" si="94"/>
        <v>3.6669061506000005</v>
      </c>
      <c r="S330" s="28">
        <f t="shared" si="95"/>
        <v>12.22646040919842</v>
      </c>
      <c r="T330" s="28">
        <f t="shared" si="96"/>
        <v>26.4260518494</v>
      </c>
      <c r="U330" s="28">
        <f t="shared" si="88"/>
        <v>26.4260518494</v>
      </c>
      <c r="V330" s="28">
        <f t="shared" si="89"/>
        <v>25.634742000000006</v>
      </c>
      <c r="W330" s="28">
        <f t="shared" si="90"/>
        <v>1.2817371000000004</v>
      </c>
      <c r="X330" s="28">
        <f t="shared" si="97"/>
        <v>27.707788949400001</v>
      </c>
      <c r="Y330" s="14">
        <v>80.083951199349997</v>
      </c>
      <c r="Z330" s="13">
        <v>0.14249999999999999</v>
      </c>
      <c r="AA330" s="14">
        <v>67.826712914693886</v>
      </c>
      <c r="AB330" s="13">
        <f t="shared" si="99"/>
        <v>0.71479999999999999</v>
      </c>
      <c r="AC330" s="14">
        <v>93.392362914693877</v>
      </c>
      <c r="AD330" s="26">
        <f t="shared" si="84"/>
        <v>0.14250000000000002</v>
      </c>
      <c r="AE330" s="4">
        <f t="shared" si="85"/>
        <v>93.39</v>
      </c>
      <c r="AF330" s="27">
        <f t="shared" si="98"/>
        <v>0.14249999999999999</v>
      </c>
      <c r="AG330" s="4">
        <f t="shared" si="86"/>
        <v>80.08</v>
      </c>
      <c r="AH330" s="27">
        <f t="shared" si="87"/>
        <v>0.71479999999999999</v>
      </c>
    </row>
    <row r="331" spans="1:34" x14ac:dyDescent="0.35">
      <c r="A331" s="8" t="s">
        <v>692</v>
      </c>
      <c r="B331" s="9" t="s">
        <v>693</v>
      </c>
      <c r="C331" s="8" t="s">
        <v>1134</v>
      </c>
      <c r="D331" s="8" t="s">
        <v>1149</v>
      </c>
      <c r="E331" s="8" t="s">
        <v>905</v>
      </c>
      <c r="F331" s="25" t="s">
        <v>1059</v>
      </c>
      <c r="G331" s="8" t="s">
        <v>3</v>
      </c>
      <c r="H331" s="8">
        <v>30</v>
      </c>
      <c r="I331" s="8" t="s">
        <v>1163</v>
      </c>
      <c r="J331" s="10">
        <v>99.49</v>
      </c>
      <c r="K331" s="22">
        <v>0.39400000000000002</v>
      </c>
      <c r="L331" s="11">
        <v>72.180000000000007</v>
      </c>
      <c r="M331" s="13">
        <v>0.72209999999999996</v>
      </c>
      <c r="N331" s="17">
        <f t="shared" si="91"/>
        <v>20.058822000000003</v>
      </c>
      <c r="O331" s="13">
        <v>0.1075</v>
      </c>
      <c r="P331" s="14">
        <f t="shared" si="92"/>
        <v>17.902498635000001</v>
      </c>
      <c r="Q331" s="14">
        <f t="shared" si="93"/>
        <v>15.660125095549999</v>
      </c>
      <c r="R331" s="28">
        <f t="shared" si="94"/>
        <v>1.2531749044500002</v>
      </c>
      <c r="S331" s="28">
        <f t="shared" si="95"/>
        <v>4.178425278910364</v>
      </c>
      <c r="T331" s="28">
        <f t="shared" si="96"/>
        <v>7.880007095549999</v>
      </c>
      <c r="U331" s="28">
        <f t="shared" si="88"/>
        <v>7.880007095549999</v>
      </c>
      <c r="V331" s="28">
        <f t="shared" si="89"/>
        <v>7.7801179999999999</v>
      </c>
      <c r="W331" s="28">
        <f t="shared" si="90"/>
        <v>0.38900590000000002</v>
      </c>
      <c r="X331" s="28">
        <f t="shared" si="97"/>
        <v>8.2690129955499998</v>
      </c>
      <c r="Y331" s="14">
        <v>26.169019435599996</v>
      </c>
      <c r="Z331" s="13">
        <v>0.14249999999999999</v>
      </c>
      <c r="AA331" s="14">
        <v>22.7584569219825</v>
      </c>
      <c r="AB331" s="13">
        <f t="shared" si="99"/>
        <v>0.68469999999999998</v>
      </c>
      <c r="AC331" s="14">
        <v>30.517806921982501</v>
      </c>
      <c r="AD331" s="26">
        <f t="shared" si="84"/>
        <v>0.14249999999999996</v>
      </c>
      <c r="AE331" s="4">
        <f t="shared" si="85"/>
        <v>30.52</v>
      </c>
      <c r="AF331" s="27">
        <f t="shared" si="98"/>
        <v>0.14249999999999999</v>
      </c>
      <c r="AG331" s="4">
        <f t="shared" si="86"/>
        <v>26.17</v>
      </c>
      <c r="AH331" s="27">
        <f t="shared" si="87"/>
        <v>0.68469999999999998</v>
      </c>
    </row>
    <row r="332" spans="1:34" x14ac:dyDescent="0.35">
      <c r="A332" s="8" t="s">
        <v>694</v>
      </c>
      <c r="B332" s="9" t="s">
        <v>695</v>
      </c>
      <c r="C332" s="8" t="s">
        <v>1134</v>
      </c>
      <c r="D332" s="8" t="s">
        <v>1149</v>
      </c>
      <c r="E332" s="8" t="s">
        <v>905</v>
      </c>
      <c r="F332" s="25" t="s">
        <v>1059</v>
      </c>
      <c r="G332" s="8" t="s">
        <v>25</v>
      </c>
      <c r="H332" s="8">
        <v>30</v>
      </c>
      <c r="I332" s="8" t="s">
        <v>1163</v>
      </c>
      <c r="J332" s="10">
        <v>167.2</v>
      </c>
      <c r="K332" s="22">
        <v>0.39400000000000002</v>
      </c>
      <c r="L332" s="11">
        <v>121.3</v>
      </c>
      <c r="M332" s="13">
        <v>0.72489999999999999</v>
      </c>
      <c r="N332" s="17">
        <f t="shared" si="91"/>
        <v>33.369630000000001</v>
      </c>
      <c r="O332" s="13">
        <v>0.1075</v>
      </c>
      <c r="P332" s="14">
        <f t="shared" si="92"/>
        <v>29.782394775</v>
      </c>
      <c r="Q332" s="14">
        <f t="shared" si="93"/>
        <v>26.33923236575</v>
      </c>
      <c r="R332" s="28">
        <f t="shared" si="94"/>
        <v>2.0847676342500003</v>
      </c>
      <c r="S332" s="28">
        <f t="shared" si="95"/>
        <v>6.9511811580902263</v>
      </c>
      <c r="T332" s="28">
        <f t="shared" si="96"/>
        <v>13.264192365749999</v>
      </c>
      <c r="U332" s="28">
        <f t="shared" si="88"/>
        <v>13.264192365749999</v>
      </c>
      <c r="V332" s="28">
        <f t="shared" si="89"/>
        <v>13.075040000000001</v>
      </c>
      <c r="W332" s="28">
        <f t="shared" si="90"/>
        <v>0.65375200000000011</v>
      </c>
      <c r="X332" s="28">
        <f t="shared" si="97"/>
        <v>13.917944365749999</v>
      </c>
      <c r="Y332" s="14">
        <v>43.696150954999993</v>
      </c>
      <c r="Z332" s="13">
        <v>0.14249999999999999</v>
      </c>
      <c r="AA332" s="14">
        <v>37.917860443148683</v>
      </c>
      <c r="AB332" s="13">
        <f t="shared" si="99"/>
        <v>0.68740000000000001</v>
      </c>
      <c r="AC332" s="14">
        <v>50.957610443148681</v>
      </c>
      <c r="AD332" s="26">
        <f t="shared" si="84"/>
        <v>0.14250000000000002</v>
      </c>
      <c r="AE332" s="4">
        <f t="shared" si="85"/>
        <v>50.96</v>
      </c>
      <c r="AF332" s="27">
        <f t="shared" si="98"/>
        <v>0.14249999999999999</v>
      </c>
      <c r="AG332" s="4">
        <f t="shared" si="86"/>
        <v>43.7</v>
      </c>
      <c r="AH332" s="27">
        <f t="shared" si="87"/>
        <v>0.68740000000000001</v>
      </c>
    </row>
    <row r="333" spans="1:34" x14ac:dyDescent="0.35">
      <c r="A333" s="8" t="s">
        <v>696</v>
      </c>
      <c r="B333" s="9" t="s">
        <v>697</v>
      </c>
      <c r="C333" s="8" t="s">
        <v>1134</v>
      </c>
      <c r="D333" s="8" t="s">
        <v>1149</v>
      </c>
      <c r="E333" s="8" t="s">
        <v>905</v>
      </c>
      <c r="F333" s="25" t="s">
        <v>1060</v>
      </c>
      <c r="G333" s="8" t="s">
        <v>23</v>
      </c>
      <c r="H333" s="8">
        <v>30</v>
      </c>
      <c r="I333" s="8" t="s">
        <v>1163</v>
      </c>
      <c r="J333" s="10">
        <v>56.73</v>
      </c>
      <c r="K333" s="22">
        <v>0.39400000000000002</v>
      </c>
      <c r="L333" s="11">
        <v>41.16</v>
      </c>
      <c r="M333" s="13">
        <v>0.56769999999999998</v>
      </c>
      <c r="N333" s="17">
        <f t="shared" si="91"/>
        <v>17.793468000000001</v>
      </c>
      <c r="O333" s="13">
        <v>0.1075</v>
      </c>
      <c r="P333" s="14">
        <f t="shared" si="92"/>
        <v>15.88067019</v>
      </c>
      <c r="Q333" s="14">
        <f t="shared" si="93"/>
        <v>8.5324530867000004</v>
      </c>
      <c r="R333" s="28">
        <f t="shared" si="94"/>
        <v>1.1116469133000002</v>
      </c>
      <c r="S333" s="28">
        <f t="shared" si="95"/>
        <v>3.7065325416758101</v>
      </c>
      <c r="T333" s="28">
        <f t="shared" si="96"/>
        <v>4.0961670866999986</v>
      </c>
      <c r="U333" s="28">
        <f t="shared" si="88"/>
        <v>4.0961670866999986</v>
      </c>
      <c r="V333" s="28">
        <f t="shared" si="89"/>
        <v>4.4362860000000017</v>
      </c>
      <c r="W333" s="28">
        <f t="shared" si="90"/>
        <v>0.2218143000000001</v>
      </c>
      <c r="X333" s="28">
        <f t="shared" si="97"/>
        <v>4.3179813866999988</v>
      </c>
      <c r="Y333" s="14">
        <v>20.197230424799994</v>
      </c>
      <c r="Z333" s="13">
        <v>0.14249999999999999</v>
      </c>
      <c r="AA333" s="14">
        <v>19.128921486647226</v>
      </c>
      <c r="AB333" s="13">
        <f t="shared" si="99"/>
        <v>0.5353</v>
      </c>
      <c r="AC333" s="14">
        <v>23.553621486647224</v>
      </c>
      <c r="AD333" s="26">
        <f t="shared" si="84"/>
        <v>0.14250000000000002</v>
      </c>
      <c r="AE333" s="4">
        <f t="shared" si="85"/>
        <v>23.55</v>
      </c>
      <c r="AF333" s="27">
        <f t="shared" si="98"/>
        <v>0.14249999999999999</v>
      </c>
      <c r="AG333" s="4">
        <f t="shared" si="86"/>
        <v>20.2</v>
      </c>
      <c r="AH333" s="27">
        <f t="shared" si="87"/>
        <v>0.5353</v>
      </c>
    </row>
    <row r="334" spans="1:34" x14ac:dyDescent="0.35">
      <c r="A334" s="8" t="s">
        <v>698</v>
      </c>
      <c r="B334" s="9" t="s">
        <v>699</v>
      </c>
      <c r="C334" s="8" t="s">
        <v>1134</v>
      </c>
      <c r="D334" s="8" t="s">
        <v>1149</v>
      </c>
      <c r="E334" s="8" t="s">
        <v>905</v>
      </c>
      <c r="F334" s="25" t="s">
        <v>1060</v>
      </c>
      <c r="G334" s="8" t="s">
        <v>19</v>
      </c>
      <c r="H334" s="8">
        <v>30</v>
      </c>
      <c r="I334" s="8" t="s">
        <v>1163</v>
      </c>
      <c r="J334" s="10">
        <v>59.68</v>
      </c>
      <c r="K334" s="22">
        <v>0.39400000000000002</v>
      </c>
      <c r="L334" s="11">
        <v>43.3</v>
      </c>
      <c r="M334" s="13">
        <v>0.51029999999999998</v>
      </c>
      <c r="N334" s="17">
        <f t="shared" si="91"/>
        <v>21.20401</v>
      </c>
      <c r="O334" s="13">
        <v>0.1075</v>
      </c>
      <c r="P334" s="14">
        <f t="shared" si="92"/>
        <v>18.924578924999999</v>
      </c>
      <c r="Q334" s="14">
        <f t="shared" si="93"/>
        <v>8.820879475249999</v>
      </c>
      <c r="R334" s="28">
        <f t="shared" si="94"/>
        <v>1.32472052475</v>
      </c>
      <c r="S334" s="28">
        <f t="shared" si="95"/>
        <v>4.4169777965160746</v>
      </c>
      <c r="T334" s="28">
        <f t="shared" si="96"/>
        <v>4.1539034752499999</v>
      </c>
      <c r="U334" s="28">
        <f t="shared" si="88"/>
        <v>4.4169777965160746</v>
      </c>
      <c r="V334" s="28">
        <f t="shared" si="89"/>
        <v>4.4039016787339245</v>
      </c>
      <c r="W334" s="28">
        <f t="shared" si="90"/>
        <v>0.22019508393669623</v>
      </c>
      <c r="X334" s="28">
        <f t="shared" si="97"/>
        <v>4.6371728804527708</v>
      </c>
      <c r="Y334" s="14">
        <v>23.561916736999997</v>
      </c>
      <c r="Z334" s="13">
        <v>0.14249999999999999</v>
      </c>
      <c r="AA334" s="14">
        <v>22.822703920699706</v>
      </c>
      <c r="AB334" s="13">
        <f t="shared" si="99"/>
        <v>0.47289999999999999</v>
      </c>
      <c r="AC334" s="14">
        <v>27.477453920699705</v>
      </c>
      <c r="AD334" s="26">
        <f t="shared" si="84"/>
        <v>0.14250000000000002</v>
      </c>
      <c r="AE334" s="4">
        <f t="shared" si="85"/>
        <v>27.48</v>
      </c>
      <c r="AF334" s="27">
        <f t="shared" si="98"/>
        <v>0.14249999999999999</v>
      </c>
      <c r="AG334" s="4">
        <f t="shared" si="86"/>
        <v>23.56</v>
      </c>
      <c r="AH334" s="27">
        <f t="shared" si="87"/>
        <v>0.47289999999999999</v>
      </c>
    </row>
    <row r="335" spans="1:34" x14ac:dyDescent="0.35">
      <c r="A335" s="8" t="s">
        <v>700</v>
      </c>
      <c r="B335" s="9" t="s">
        <v>701</v>
      </c>
      <c r="C335" s="8" t="s">
        <v>1134</v>
      </c>
      <c r="D335" s="8" t="s">
        <v>1139</v>
      </c>
      <c r="E335" s="8" t="s">
        <v>905</v>
      </c>
      <c r="F335" s="25" t="s">
        <v>1061</v>
      </c>
      <c r="G335" s="8" t="s">
        <v>16</v>
      </c>
      <c r="H335" s="8">
        <v>14</v>
      </c>
      <c r="I335" s="8" t="s">
        <v>1163</v>
      </c>
      <c r="J335" s="10">
        <v>30.9</v>
      </c>
      <c r="K335" s="22">
        <v>0.39400000000000002</v>
      </c>
      <c r="L335" s="11">
        <v>22.42</v>
      </c>
      <c r="M335" s="13">
        <v>0.65969999999999995</v>
      </c>
      <c r="N335" s="17">
        <f t="shared" si="91"/>
        <v>7.629526000000002</v>
      </c>
      <c r="O335" s="13">
        <v>0.1075</v>
      </c>
      <c r="P335" s="14">
        <f t="shared" si="92"/>
        <v>6.8093519550000012</v>
      </c>
      <c r="Q335" s="14">
        <f t="shared" si="93"/>
        <v>4.7763453631499999</v>
      </c>
      <c r="R335" s="28">
        <f t="shared" si="94"/>
        <v>0.47665463685000015</v>
      </c>
      <c r="S335" s="28">
        <f t="shared" si="95"/>
        <v>1.5892959369450455</v>
      </c>
      <c r="T335" s="28">
        <f t="shared" si="96"/>
        <v>2.3599653631499997</v>
      </c>
      <c r="U335" s="28">
        <f t="shared" si="88"/>
        <v>2.3599653631499997</v>
      </c>
      <c r="V335" s="28">
        <f t="shared" si="89"/>
        <v>2.4163800000000002</v>
      </c>
      <c r="W335" s="28">
        <f t="shared" si="90"/>
        <v>0.12081900000000001</v>
      </c>
      <c r="X335" s="28">
        <f t="shared" si="97"/>
        <v>2.4807843631499997</v>
      </c>
      <c r="Y335" s="14">
        <v>9.2893622116000003</v>
      </c>
      <c r="Z335" s="13">
        <v>0.14249999999999999</v>
      </c>
      <c r="AA335" s="14">
        <v>8.4229254654227397</v>
      </c>
      <c r="AB335" s="13">
        <f t="shared" si="99"/>
        <v>0.62429999999999997</v>
      </c>
      <c r="AC335" s="14">
        <v>10.833075465422739</v>
      </c>
      <c r="AD335" s="26">
        <f t="shared" si="84"/>
        <v>0.14249999999999988</v>
      </c>
      <c r="AE335" s="4">
        <f t="shared" si="85"/>
        <v>10.83</v>
      </c>
      <c r="AF335" s="27">
        <f t="shared" si="98"/>
        <v>0.14249999999999999</v>
      </c>
      <c r="AG335" s="4">
        <f t="shared" si="86"/>
        <v>9.2899999999999991</v>
      </c>
      <c r="AH335" s="27">
        <f t="shared" si="87"/>
        <v>0.62429999999999997</v>
      </c>
    </row>
    <row r="336" spans="1:34" x14ac:dyDescent="0.35">
      <c r="A336" s="8" t="s">
        <v>702</v>
      </c>
      <c r="B336" s="9" t="s">
        <v>703</v>
      </c>
      <c r="C336" s="8" t="s">
        <v>1134</v>
      </c>
      <c r="D336" s="8" t="s">
        <v>1139</v>
      </c>
      <c r="E336" s="8" t="s">
        <v>905</v>
      </c>
      <c r="F336" s="25" t="s">
        <v>1061</v>
      </c>
      <c r="G336" s="8" t="s">
        <v>23</v>
      </c>
      <c r="H336" s="8">
        <v>14</v>
      </c>
      <c r="I336" s="8" t="s">
        <v>1163</v>
      </c>
      <c r="J336" s="10">
        <v>37.130000000000003</v>
      </c>
      <c r="K336" s="22">
        <v>0.39400000000000002</v>
      </c>
      <c r="L336" s="11">
        <v>26.94</v>
      </c>
      <c r="M336" s="13">
        <v>0.75749999999999995</v>
      </c>
      <c r="N336" s="17">
        <f t="shared" si="91"/>
        <v>6.5329500000000014</v>
      </c>
      <c r="O336" s="13">
        <v>0.1075</v>
      </c>
      <c r="P336" s="14">
        <f t="shared" si="92"/>
        <v>5.8306578750000009</v>
      </c>
      <c r="Q336" s="14">
        <f t="shared" si="93"/>
        <v>5.9039539487500008</v>
      </c>
      <c r="R336" s="28">
        <f t="shared" si="94"/>
        <v>0.40814605125000009</v>
      </c>
      <c r="S336" s="28">
        <f t="shared" si="95"/>
        <v>1.3608697173671251</v>
      </c>
      <c r="T336" s="28">
        <f t="shared" si="96"/>
        <v>3.0003879487500003</v>
      </c>
      <c r="U336" s="28">
        <f t="shared" si="88"/>
        <v>3.0003879487500003</v>
      </c>
      <c r="V336" s="28">
        <f t="shared" si="89"/>
        <v>2.9035660000000005</v>
      </c>
      <c r="W336" s="28">
        <f t="shared" si="90"/>
        <v>0.14517830000000004</v>
      </c>
      <c r="X336" s="28">
        <f t="shared" si="97"/>
        <v>3.1455662487500002</v>
      </c>
      <c r="Y336" s="14">
        <v>8.9752939528999995</v>
      </c>
      <c r="Z336" s="13">
        <v>0.14249999999999999</v>
      </c>
      <c r="AA336" s="14">
        <v>7.5707651054227387</v>
      </c>
      <c r="AB336" s="13">
        <f t="shared" si="99"/>
        <v>0.71899999999999997</v>
      </c>
      <c r="AC336" s="14">
        <v>10.466815105422739</v>
      </c>
      <c r="AD336" s="26">
        <f t="shared" si="84"/>
        <v>0.14249999999999996</v>
      </c>
      <c r="AE336" s="4">
        <f t="shared" si="85"/>
        <v>10.47</v>
      </c>
      <c r="AF336" s="27">
        <f t="shared" si="98"/>
        <v>0.14249999999999999</v>
      </c>
      <c r="AG336" s="4">
        <f t="shared" si="86"/>
        <v>8.98</v>
      </c>
      <c r="AH336" s="27">
        <f t="shared" si="87"/>
        <v>0.71899999999999997</v>
      </c>
    </row>
    <row r="337" spans="1:34" x14ac:dyDescent="0.35">
      <c r="A337" s="8" t="s">
        <v>704</v>
      </c>
      <c r="B337" s="9" t="s">
        <v>705</v>
      </c>
      <c r="C337" s="8" t="s">
        <v>1134</v>
      </c>
      <c r="D337" s="8" t="s">
        <v>1139</v>
      </c>
      <c r="E337" s="8" t="s">
        <v>905</v>
      </c>
      <c r="F337" s="25" t="s">
        <v>1061</v>
      </c>
      <c r="G337" s="8" t="s">
        <v>23</v>
      </c>
      <c r="H337" s="8">
        <v>28</v>
      </c>
      <c r="I337" s="8" t="s">
        <v>1163</v>
      </c>
      <c r="J337" s="10">
        <v>36.71</v>
      </c>
      <c r="K337" s="22">
        <v>0.39400000000000002</v>
      </c>
      <c r="L337" s="11">
        <v>26.63</v>
      </c>
      <c r="M337" s="13">
        <v>0.6845</v>
      </c>
      <c r="N337" s="17">
        <f t="shared" si="91"/>
        <v>8.4017649999999993</v>
      </c>
      <c r="O337" s="13">
        <v>0.1075</v>
      </c>
      <c r="P337" s="14">
        <f t="shared" si="92"/>
        <v>7.4985752624999993</v>
      </c>
      <c r="Q337" s="14">
        <f t="shared" si="93"/>
        <v>5.7157997316250002</v>
      </c>
      <c r="R337" s="28">
        <f t="shared" si="94"/>
        <v>0.52490026837500003</v>
      </c>
      <c r="S337" s="28">
        <f t="shared" si="95"/>
        <v>1.7501599676922375</v>
      </c>
      <c r="T337" s="28">
        <f t="shared" si="96"/>
        <v>2.8450777316249996</v>
      </c>
      <c r="U337" s="28">
        <f t="shared" si="88"/>
        <v>2.8450777316249996</v>
      </c>
      <c r="V337" s="28">
        <f t="shared" si="89"/>
        <v>2.8707220000000007</v>
      </c>
      <c r="W337" s="28">
        <f t="shared" si="90"/>
        <v>0.14353610000000003</v>
      </c>
      <c r="X337" s="28">
        <f t="shared" si="97"/>
        <v>2.9886138316249995</v>
      </c>
      <c r="Y337" s="14">
        <v>10.4862696268</v>
      </c>
      <c r="Z337" s="13">
        <v>0.14249999999999999</v>
      </c>
      <c r="AA337" s="14">
        <v>9.3661608621574342</v>
      </c>
      <c r="AB337" s="13">
        <f t="shared" si="99"/>
        <v>0.64829999999999999</v>
      </c>
      <c r="AC337" s="14">
        <v>12.228885862157433</v>
      </c>
      <c r="AD337" s="26">
        <f t="shared" si="84"/>
        <v>0.1424999999999999</v>
      </c>
      <c r="AE337" s="4">
        <f t="shared" si="85"/>
        <v>12.23</v>
      </c>
      <c r="AF337" s="27">
        <f t="shared" si="98"/>
        <v>0.14249999999999999</v>
      </c>
      <c r="AG337" s="4">
        <f t="shared" si="86"/>
        <v>10.49</v>
      </c>
      <c r="AH337" s="27">
        <f t="shared" si="87"/>
        <v>0.64829999999999999</v>
      </c>
    </row>
    <row r="338" spans="1:34" x14ac:dyDescent="0.35">
      <c r="A338" s="8" t="s">
        <v>706</v>
      </c>
      <c r="B338" s="9" t="s">
        <v>707</v>
      </c>
      <c r="C338" s="8" t="s">
        <v>1134</v>
      </c>
      <c r="D338" s="8" t="s">
        <v>1139</v>
      </c>
      <c r="E338" s="8" t="s">
        <v>905</v>
      </c>
      <c r="F338" s="25" t="s">
        <v>1062</v>
      </c>
      <c r="G338" s="8" t="s">
        <v>18</v>
      </c>
      <c r="H338" s="8">
        <v>10</v>
      </c>
      <c r="I338" s="8" t="s">
        <v>1163</v>
      </c>
      <c r="J338" s="10">
        <v>31.52</v>
      </c>
      <c r="K338" s="22">
        <v>0.39400000000000002</v>
      </c>
      <c r="L338" s="11">
        <v>22.87</v>
      </c>
      <c r="M338" s="13">
        <v>0.66059999999999997</v>
      </c>
      <c r="N338" s="17">
        <f t="shared" si="91"/>
        <v>7.7620780000000007</v>
      </c>
      <c r="O338" s="13">
        <v>0.1075</v>
      </c>
      <c r="P338" s="14">
        <f t="shared" si="92"/>
        <v>6.9276546150000007</v>
      </c>
      <c r="Q338" s="14">
        <f t="shared" si="93"/>
        <v>4.8734641769500007</v>
      </c>
      <c r="R338" s="28">
        <f t="shared" si="94"/>
        <v>0.4849358230500001</v>
      </c>
      <c r="S338" s="28">
        <f t="shared" si="95"/>
        <v>1.6169076594863852</v>
      </c>
      <c r="T338" s="28">
        <f t="shared" si="96"/>
        <v>2.4086001769499994</v>
      </c>
      <c r="U338" s="28">
        <f t="shared" si="88"/>
        <v>2.4086001769499994</v>
      </c>
      <c r="V338" s="28">
        <f t="shared" si="89"/>
        <v>2.4648640000000013</v>
      </c>
      <c r="W338" s="28">
        <f t="shared" si="90"/>
        <v>0.12324320000000007</v>
      </c>
      <c r="X338" s="28">
        <f t="shared" si="97"/>
        <v>2.5318433769499995</v>
      </c>
      <c r="Y338" s="14">
        <v>9.4587083480249969</v>
      </c>
      <c r="Z338" s="13">
        <v>0.14249999999999999</v>
      </c>
      <c r="AA338" s="14">
        <v>8.5720386711661778</v>
      </c>
      <c r="AB338" s="13">
        <f t="shared" si="99"/>
        <v>0.62519999999999998</v>
      </c>
      <c r="AC338" s="14">
        <v>11.030563671166178</v>
      </c>
      <c r="AD338" s="26">
        <f t="shared" si="84"/>
        <v>0.14250000000000004</v>
      </c>
      <c r="AE338" s="4">
        <f t="shared" si="85"/>
        <v>11.03</v>
      </c>
      <c r="AF338" s="27">
        <f t="shared" si="98"/>
        <v>0.14249999999999999</v>
      </c>
      <c r="AG338" s="4">
        <f t="shared" si="86"/>
        <v>9.4600000000000009</v>
      </c>
      <c r="AH338" s="27">
        <f t="shared" si="87"/>
        <v>0.62519999999999998</v>
      </c>
    </row>
    <row r="339" spans="1:34" x14ac:dyDescent="0.35">
      <c r="A339" s="8" t="s">
        <v>708</v>
      </c>
      <c r="B339" s="9" t="s">
        <v>709</v>
      </c>
      <c r="C339" s="8" t="s">
        <v>1134</v>
      </c>
      <c r="D339" s="8" t="s">
        <v>1139</v>
      </c>
      <c r="E339" s="8" t="s">
        <v>905</v>
      </c>
      <c r="F339" s="25" t="s">
        <v>1062</v>
      </c>
      <c r="G339" s="8" t="s">
        <v>17</v>
      </c>
      <c r="H339" s="8">
        <v>10</v>
      </c>
      <c r="I339" s="8" t="s">
        <v>1163</v>
      </c>
      <c r="J339" s="10">
        <v>60.58</v>
      </c>
      <c r="K339" s="22">
        <v>0.39400000000000002</v>
      </c>
      <c r="L339" s="11">
        <v>43.95</v>
      </c>
      <c r="M339" s="13">
        <v>0.68630000000000002</v>
      </c>
      <c r="N339" s="17">
        <f t="shared" si="91"/>
        <v>13.787115</v>
      </c>
      <c r="O339" s="13">
        <v>0.1075</v>
      </c>
      <c r="P339" s="14">
        <f t="shared" si="92"/>
        <v>12.305000137499999</v>
      </c>
      <c r="Q339" s="14">
        <f t="shared" si="93"/>
        <v>9.4372499903750011</v>
      </c>
      <c r="R339" s="28">
        <f t="shared" si="94"/>
        <v>0.86135000962499997</v>
      </c>
      <c r="S339" s="28">
        <f t="shared" si="95"/>
        <v>2.8719747270923621</v>
      </c>
      <c r="T339" s="28">
        <f t="shared" si="96"/>
        <v>4.6998939903749992</v>
      </c>
      <c r="U339" s="28">
        <f t="shared" si="88"/>
        <v>4.6998939903749992</v>
      </c>
      <c r="V339" s="28">
        <f t="shared" si="89"/>
        <v>4.7373560000000019</v>
      </c>
      <c r="W339" s="28">
        <f t="shared" si="90"/>
        <v>0.2368678000000001</v>
      </c>
      <c r="X339" s="28">
        <f t="shared" si="97"/>
        <v>4.936761790374999</v>
      </c>
      <c r="Y339" s="14">
        <v>17.240244444250003</v>
      </c>
      <c r="Z339" s="13">
        <v>0.14249999999999999</v>
      </c>
      <c r="AA339" s="14">
        <v>15.380616334402331</v>
      </c>
      <c r="AB339" s="13">
        <f t="shared" si="99"/>
        <v>0.65</v>
      </c>
      <c r="AC339" s="14">
        <v>20.105241334402333</v>
      </c>
      <c r="AD339" s="26">
        <f t="shared" si="84"/>
        <v>0.14249999999999988</v>
      </c>
      <c r="AE339" s="4">
        <f t="shared" si="85"/>
        <v>20.11</v>
      </c>
      <c r="AF339" s="27">
        <f t="shared" si="98"/>
        <v>0.14249999999999999</v>
      </c>
      <c r="AG339" s="4">
        <f t="shared" si="86"/>
        <v>17.239999999999998</v>
      </c>
      <c r="AH339" s="27">
        <f t="shared" si="87"/>
        <v>0.65</v>
      </c>
    </row>
    <row r="340" spans="1:34" x14ac:dyDescent="0.35">
      <c r="A340" s="8" t="s">
        <v>710</v>
      </c>
      <c r="B340" s="9" t="s">
        <v>711</v>
      </c>
      <c r="C340" s="8" t="s">
        <v>1135</v>
      </c>
      <c r="D340" s="8" t="s">
        <v>1147</v>
      </c>
      <c r="E340" s="8" t="s">
        <v>905</v>
      </c>
      <c r="F340" s="25" t="s">
        <v>1063</v>
      </c>
      <c r="G340" s="8" t="s">
        <v>41</v>
      </c>
      <c r="H340" s="8">
        <v>42</v>
      </c>
      <c r="I340" s="8" t="s">
        <v>1164</v>
      </c>
      <c r="J340" s="10">
        <v>230.28</v>
      </c>
      <c r="K340" s="22">
        <v>0.3417</v>
      </c>
      <c r="L340" s="11">
        <v>171.66</v>
      </c>
      <c r="M340" s="13">
        <v>0.49259999999999998</v>
      </c>
      <c r="N340" s="17">
        <f t="shared" si="91"/>
        <v>87.100284000000016</v>
      </c>
      <c r="O340" s="13">
        <v>0.1075</v>
      </c>
      <c r="P340" s="14">
        <f t="shared" si="92"/>
        <v>77.737003470000005</v>
      </c>
      <c r="Q340" s="14">
        <f t="shared" si="93"/>
        <v>33.706009757100006</v>
      </c>
      <c r="R340" s="28">
        <f t="shared" si="94"/>
        <v>5.4415902429000012</v>
      </c>
      <c r="S340" s="28">
        <f t="shared" si="95"/>
        <v>18.143738872894531</v>
      </c>
      <c r="T340" s="28">
        <f t="shared" si="96"/>
        <v>15.6981137571</v>
      </c>
      <c r="U340" s="28">
        <f t="shared" si="88"/>
        <v>18.143738872894531</v>
      </c>
      <c r="V340" s="28">
        <f t="shared" si="89"/>
        <v>15.562270884205475</v>
      </c>
      <c r="W340" s="28">
        <f t="shared" si="90"/>
        <v>0.77811354421027379</v>
      </c>
      <c r="X340" s="28">
        <f t="shared" si="97"/>
        <v>18.921852417104805</v>
      </c>
      <c r="Y340" s="14">
        <v>96.666291337049998</v>
      </c>
      <c r="Z340" s="13">
        <v>0.14249999999999999</v>
      </c>
      <c r="AA340" s="14">
        <v>94.27691890618074</v>
      </c>
      <c r="AB340" s="13">
        <f t="shared" si="99"/>
        <v>0.45079999999999998</v>
      </c>
      <c r="AC340" s="14">
        <v>112.73036890618074</v>
      </c>
      <c r="AD340" s="26">
        <f t="shared" si="84"/>
        <v>0.1424999999999999</v>
      </c>
      <c r="AE340" s="4">
        <f t="shared" si="85"/>
        <v>112.73</v>
      </c>
      <c r="AF340" s="27">
        <f t="shared" si="98"/>
        <v>0.14249999999999999</v>
      </c>
      <c r="AG340" s="4">
        <f t="shared" si="86"/>
        <v>96.67</v>
      </c>
      <c r="AH340" s="27">
        <f t="shared" si="87"/>
        <v>0.45079999999999998</v>
      </c>
    </row>
    <row r="341" spans="1:34" x14ac:dyDescent="0.35">
      <c r="A341" s="8" t="s">
        <v>712</v>
      </c>
      <c r="B341" s="9" t="s">
        <v>713</v>
      </c>
      <c r="C341" s="8" t="s">
        <v>1135</v>
      </c>
      <c r="D341" s="8" t="s">
        <v>1147</v>
      </c>
      <c r="E341" s="8" t="s">
        <v>905</v>
      </c>
      <c r="F341" s="25" t="s">
        <v>1063</v>
      </c>
      <c r="G341" s="8" t="s">
        <v>41</v>
      </c>
      <c r="H341" s="8">
        <v>84</v>
      </c>
      <c r="I341" s="8" t="s">
        <v>1164</v>
      </c>
      <c r="J341" s="10">
        <v>463.11</v>
      </c>
      <c r="K341" s="22">
        <v>0.3417</v>
      </c>
      <c r="L341" s="11">
        <v>345.23</v>
      </c>
      <c r="M341" s="13">
        <v>0.57509999999999994</v>
      </c>
      <c r="N341" s="17">
        <f t="shared" si="91"/>
        <v>146.68822700000004</v>
      </c>
      <c r="O341" s="13">
        <v>0.1075</v>
      </c>
      <c r="P341" s="14">
        <f t="shared" si="92"/>
        <v>130.91924259750002</v>
      </c>
      <c r="Q341" s="14">
        <f t="shared" si="93"/>
        <v>69.564353018174998</v>
      </c>
      <c r="R341" s="28">
        <f t="shared" si="94"/>
        <v>9.1643469818250018</v>
      </c>
      <c r="S341" s="28">
        <f t="shared" si="95"/>
        <v>30.556420303013905</v>
      </c>
      <c r="T341" s="28">
        <f t="shared" si="96"/>
        <v>33.349151018174993</v>
      </c>
      <c r="U341" s="28">
        <f t="shared" si="88"/>
        <v>33.349151018174993</v>
      </c>
      <c r="V341" s="28">
        <f t="shared" si="89"/>
        <v>36.215202000000005</v>
      </c>
      <c r="W341" s="28">
        <f t="shared" si="90"/>
        <v>1.8107601000000004</v>
      </c>
      <c r="X341" s="28">
        <f t="shared" si="97"/>
        <v>35.159911118174996</v>
      </c>
      <c r="Y341" s="14">
        <v>166.06723378685001</v>
      </c>
      <c r="Z341" s="13">
        <v>0.14249999999999999</v>
      </c>
      <c r="AA341" s="14">
        <v>156.55218757941691</v>
      </c>
      <c r="AB341" s="13">
        <f t="shared" si="99"/>
        <v>0.54649999999999999</v>
      </c>
      <c r="AC341" s="14">
        <v>193.6644125794169</v>
      </c>
      <c r="AD341" s="26">
        <f t="shared" si="84"/>
        <v>0.14249999999999993</v>
      </c>
      <c r="AE341" s="4">
        <f t="shared" si="85"/>
        <v>193.66</v>
      </c>
      <c r="AF341" s="27">
        <f t="shared" si="98"/>
        <v>0.14249999999999999</v>
      </c>
      <c r="AG341" s="4">
        <f t="shared" si="86"/>
        <v>166.07</v>
      </c>
      <c r="AH341" s="27">
        <f t="shared" si="87"/>
        <v>0.54649999999999999</v>
      </c>
    </row>
    <row r="342" spans="1:34" x14ac:dyDescent="0.35">
      <c r="A342" s="8" t="s">
        <v>714</v>
      </c>
      <c r="B342" s="9" t="s">
        <v>715</v>
      </c>
      <c r="C342" s="8" t="s">
        <v>1135</v>
      </c>
      <c r="D342" s="8" t="s">
        <v>1139</v>
      </c>
      <c r="E342" s="8" t="s">
        <v>905</v>
      </c>
      <c r="F342" s="25" t="s">
        <v>1064</v>
      </c>
      <c r="G342" s="8" t="s">
        <v>3</v>
      </c>
      <c r="H342" s="8">
        <v>200</v>
      </c>
      <c r="I342" s="8" t="s">
        <v>1164</v>
      </c>
      <c r="J342" s="10">
        <v>12.84</v>
      </c>
      <c r="K342" s="22">
        <v>0.3417</v>
      </c>
      <c r="L342" s="11">
        <v>9.57</v>
      </c>
      <c r="M342" s="13">
        <v>0.2442</v>
      </c>
      <c r="N342" s="17">
        <f t="shared" si="91"/>
        <v>7.2330060000000005</v>
      </c>
      <c r="O342" s="13">
        <v>0.1075</v>
      </c>
      <c r="P342" s="14">
        <f t="shared" si="92"/>
        <v>6.4554578550000006</v>
      </c>
      <c r="Q342" s="14">
        <f t="shared" si="93"/>
        <v>1.7309179501500003</v>
      </c>
      <c r="R342" s="28">
        <f t="shared" si="94"/>
        <v>0.45188204985000008</v>
      </c>
      <c r="S342" s="28">
        <f t="shared" si="95"/>
        <v>1.5066974078991453</v>
      </c>
      <c r="T342" s="28">
        <f t="shared" si="96"/>
        <v>0.72682995014999996</v>
      </c>
      <c r="U342" s="28">
        <f t="shared" si="88"/>
        <v>1.5066974078991453</v>
      </c>
      <c r="V342" s="28">
        <f t="shared" si="89"/>
        <v>0.22422054225085497</v>
      </c>
      <c r="W342" s="28">
        <f t="shared" si="90"/>
        <v>1.121102711254275E-2</v>
      </c>
      <c r="X342" s="28">
        <f t="shared" si="97"/>
        <v>1.517908435011688</v>
      </c>
      <c r="Y342" s="14">
        <v>7.9731825707003736</v>
      </c>
      <c r="Z342" s="13">
        <v>0.14249999999999999</v>
      </c>
      <c r="AA342" s="14">
        <v>8.2693970941112234</v>
      </c>
      <c r="AB342" s="13">
        <f t="shared" si="99"/>
        <v>0.13589999999999999</v>
      </c>
      <c r="AC342" s="14">
        <v>9.2981720941112229</v>
      </c>
      <c r="AD342" s="26">
        <f t="shared" si="84"/>
        <v>0.14250000000000002</v>
      </c>
      <c r="AE342" s="4">
        <f t="shared" si="85"/>
        <v>9.3000000000000007</v>
      </c>
      <c r="AF342" s="27">
        <f t="shared" si="98"/>
        <v>0.14249999999999999</v>
      </c>
      <c r="AG342" s="4">
        <f t="shared" si="86"/>
        <v>7.97</v>
      </c>
      <c r="AH342" s="27">
        <f t="shared" si="87"/>
        <v>0.13589999999999999</v>
      </c>
    </row>
    <row r="343" spans="1:34" x14ac:dyDescent="0.35">
      <c r="A343" s="8" t="s">
        <v>716</v>
      </c>
      <c r="B343" s="9" t="s">
        <v>717</v>
      </c>
      <c r="C343" s="8" t="s">
        <v>1135</v>
      </c>
      <c r="D343" s="8" t="s">
        <v>1139</v>
      </c>
      <c r="E343" s="8" t="s">
        <v>905</v>
      </c>
      <c r="F343" s="25" t="s">
        <v>1064</v>
      </c>
      <c r="G343" s="8" t="s">
        <v>3</v>
      </c>
      <c r="H343" s="8">
        <v>300</v>
      </c>
      <c r="I343" s="8" t="s">
        <v>1164</v>
      </c>
      <c r="J343" s="10">
        <v>18.45</v>
      </c>
      <c r="K343" s="22">
        <v>0.3417</v>
      </c>
      <c r="L343" s="11">
        <v>13.75</v>
      </c>
      <c r="M343" s="13">
        <v>0.3029</v>
      </c>
      <c r="N343" s="17">
        <f t="shared" si="91"/>
        <v>9.5851250000000014</v>
      </c>
      <c r="O343" s="13">
        <v>0.1075</v>
      </c>
      <c r="P343" s="14">
        <f t="shared" si="92"/>
        <v>8.5547240625000001</v>
      </c>
      <c r="Q343" s="14">
        <f t="shared" si="93"/>
        <v>2.5376693156250001</v>
      </c>
      <c r="R343" s="28">
        <f t="shared" si="94"/>
        <v>0.59883068437500009</v>
      </c>
      <c r="S343" s="28">
        <f t="shared" si="95"/>
        <v>1.9966640414634376</v>
      </c>
      <c r="T343" s="28">
        <f t="shared" si="96"/>
        <v>1.0948793156249996</v>
      </c>
      <c r="U343" s="28">
        <f t="shared" si="88"/>
        <v>1.9966640414634376</v>
      </c>
      <c r="V343" s="28">
        <f t="shared" si="89"/>
        <v>0.54100527416156252</v>
      </c>
      <c r="W343" s="28">
        <f t="shared" si="90"/>
        <v>2.7050263708078129E-2</v>
      </c>
      <c r="X343" s="28">
        <f t="shared" si="97"/>
        <v>2.0237143051715156</v>
      </c>
      <c r="Y343" s="14">
        <v>10.578174403143766</v>
      </c>
      <c r="Z343" s="13">
        <v>0.14249999999999999</v>
      </c>
      <c r="AA343" s="14">
        <v>10.857938443899435</v>
      </c>
      <c r="AB343" s="13">
        <f t="shared" si="99"/>
        <v>0.21029999999999999</v>
      </c>
      <c r="AC343" s="14">
        <v>12.336063443899436</v>
      </c>
      <c r="AD343" s="26">
        <f t="shared" si="84"/>
        <v>0.14249999999999999</v>
      </c>
      <c r="AE343" s="4">
        <f t="shared" si="85"/>
        <v>12.34</v>
      </c>
      <c r="AF343" s="27">
        <f t="shared" si="98"/>
        <v>0.14249999999999999</v>
      </c>
      <c r="AG343" s="4">
        <f t="shared" si="86"/>
        <v>10.58</v>
      </c>
      <c r="AH343" s="27">
        <f t="shared" si="87"/>
        <v>0.21029999999999999</v>
      </c>
    </row>
    <row r="344" spans="1:34" x14ac:dyDescent="0.35">
      <c r="A344" s="8" t="s">
        <v>718</v>
      </c>
      <c r="B344" s="9" t="s">
        <v>719</v>
      </c>
      <c r="C344" s="8" t="s">
        <v>1134</v>
      </c>
      <c r="D344" s="8" t="s">
        <v>1139</v>
      </c>
      <c r="E344" s="8" t="s">
        <v>905</v>
      </c>
      <c r="F344" s="25" t="s">
        <v>1065</v>
      </c>
      <c r="G344" s="8" t="s">
        <v>23</v>
      </c>
      <c r="H344" s="8">
        <v>28</v>
      </c>
      <c r="I344" s="8" t="s">
        <v>1163</v>
      </c>
      <c r="J344" s="10">
        <v>35.770000000000003</v>
      </c>
      <c r="K344" s="22">
        <v>0.39400000000000002</v>
      </c>
      <c r="L344" s="11">
        <v>25.95</v>
      </c>
      <c r="M344" s="13">
        <v>0.67120000000000002</v>
      </c>
      <c r="N344" s="17">
        <f t="shared" si="91"/>
        <v>8.5323599999999988</v>
      </c>
      <c r="O344" s="13">
        <v>0.1075</v>
      </c>
      <c r="P344" s="14">
        <f t="shared" si="92"/>
        <v>7.6151312999999989</v>
      </c>
      <c r="Q344" s="14">
        <f t="shared" si="93"/>
        <v>5.5478408090000002</v>
      </c>
      <c r="R344" s="28">
        <f t="shared" si="94"/>
        <v>0.53305919099999999</v>
      </c>
      <c r="S344" s="28">
        <f t="shared" si="95"/>
        <v>1.7773640302886995</v>
      </c>
      <c r="T344" s="28">
        <f t="shared" si="96"/>
        <v>2.7506268089999999</v>
      </c>
      <c r="U344" s="28">
        <f t="shared" si="88"/>
        <v>2.7506268089999999</v>
      </c>
      <c r="V344" s="28">
        <f t="shared" si="89"/>
        <v>2.7972140000000003</v>
      </c>
      <c r="W344" s="28">
        <f t="shared" si="90"/>
        <v>0.13986070000000003</v>
      </c>
      <c r="X344" s="28">
        <f t="shared" si="97"/>
        <v>2.8904875089999997</v>
      </c>
      <c r="Y344" s="14">
        <v>10.504722820374999</v>
      </c>
      <c r="Z344" s="13">
        <v>0.14249999999999999</v>
      </c>
      <c r="AA344" s="14">
        <v>9.4607806214285706</v>
      </c>
      <c r="AB344" s="13">
        <f t="shared" si="99"/>
        <v>0.63539999999999996</v>
      </c>
      <c r="AC344" s="14">
        <v>12.25040562142857</v>
      </c>
      <c r="AD344" s="26">
        <f t="shared" si="84"/>
        <v>0.14249999999999996</v>
      </c>
      <c r="AE344" s="4">
        <f t="shared" si="85"/>
        <v>12.25</v>
      </c>
      <c r="AF344" s="27">
        <f t="shared" si="98"/>
        <v>0.14249999999999999</v>
      </c>
      <c r="AG344" s="4">
        <f t="shared" si="86"/>
        <v>10.5</v>
      </c>
      <c r="AH344" s="27">
        <f t="shared" si="87"/>
        <v>0.63539999999999996</v>
      </c>
    </row>
    <row r="345" spans="1:34" x14ac:dyDescent="0.35">
      <c r="A345" s="8" t="s">
        <v>720</v>
      </c>
      <c r="B345" s="9" t="s">
        <v>721</v>
      </c>
      <c r="C345" s="8" t="s">
        <v>1134</v>
      </c>
      <c r="D345" s="8" t="s">
        <v>1139</v>
      </c>
      <c r="E345" s="8" t="s">
        <v>905</v>
      </c>
      <c r="F345" s="25" t="s">
        <v>1065</v>
      </c>
      <c r="G345" s="8" t="s">
        <v>23</v>
      </c>
      <c r="H345" s="8">
        <v>42</v>
      </c>
      <c r="I345" s="8" t="s">
        <v>1163</v>
      </c>
      <c r="J345" s="10">
        <v>69.11</v>
      </c>
      <c r="K345" s="22">
        <v>0.39400000000000002</v>
      </c>
      <c r="L345" s="11">
        <v>50.14</v>
      </c>
      <c r="M345" s="13">
        <v>0.72699999999999998</v>
      </c>
      <c r="N345" s="17">
        <f t="shared" si="91"/>
        <v>13.688220000000001</v>
      </c>
      <c r="O345" s="13">
        <v>0.1075</v>
      </c>
      <c r="P345" s="14">
        <f t="shared" si="92"/>
        <v>12.21673635</v>
      </c>
      <c r="Q345" s="14">
        <f t="shared" si="93"/>
        <v>10.8935284555</v>
      </c>
      <c r="R345" s="28">
        <f t="shared" si="94"/>
        <v>0.8551715445000001</v>
      </c>
      <c r="S345" s="28">
        <f t="shared" si="95"/>
        <v>2.8513740473536497</v>
      </c>
      <c r="T345" s="28">
        <f t="shared" si="96"/>
        <v>5.4891264555000001</v>
      </c>
      <c r="U345" s="28">
        <f t="shared" si="88"/>
        <v>5.4891264555000001</v>
      </c>
      <c r="V345" s="28">
        <f t="shared" si="89"/>
        <v>5.4044020000000002</v>
      </c>
      <c r="W345" s="28">
        <f t="shared" si="90"/>
        <v>0.27022010000000002</v>
      </c>
      <c r="X345" s="28">
        <f t="shared" si="97"/>
        <v>5.7593465555000005</v>
      </c>
      <c r="Y345" s="14">
        <v>17.97435169665</v>
      </c>
      <c r="Z345" s="13">
        <v>0.14249999999999999</v>
      </c>
      <c r="AA345" s="14">
        <v>15.571293086472304</v>
      </c>
      <c r="AB345" s="13">
        <f t="shared" si="99"/>
        <v>0.68940000000000001</v>
      </c>
      <c r="AC345" s="14">
        <v>20.961343086472304</v>
      </c>
      <c r="AD345" s="26">
        <f t="shared" si="84"/>
        <v>0.14250000000000002</v>
      </c>
      <c r="AE345" s="4">
        <f t="shared" si="85"/>
        <v>20.96</v>
      </c>
      <c r="AF345" s="27">
        <f t="shared" si="98"/>
        <v>0.14249999999999999</v>
      </c>
      <c r="AG345" s="4">
        <f t="shared" si="86"/>
        <v>17.97</v>
      </c>
      <c r="AH345" s="27">
        <f t="shared" si="87"/>
        <v>0.68940000000000001</v>
      </c>
    </row>
    <row r="346" spans="1:34" x14ac:dyDescent="0.35">
      <c r="A346" s="8" t="s">
        <v>722</v>
      </c>
      <c r="B346" s="9" t="s">
        <v>723</v>
      </c>
      <c r="C346" s="8" t="s">
        <v>1134</v>
      </c>
      <c r="D346" s="8" t="s">
        <v>1139</v>
      </c>
      <c r="E346" s="8" t="s">
        <v>905</v>
      </c>
      <c r="F346" s="25" t="s">
        <v>1065</v>
      </c>
      <c r="G346" s="8" t="s">
        <v>19</v>
      </c>
      <c r="H346" s="8">
        <v>14</v>
      </c>
      <c r="I346" s="8" t="s">
        <v>1163</v>
      </c>
      <c r="J346" s="10">
        <v>53.33</v>
      </c>
      <c r="K346" s="22">
        <v>0.39400000000000002</v>
      </c>
      <c r="L346" s="11">
        <v>38.69</v>
      </c>
      <c r="M346" s="13">
        <v>0.73019999999999996</v>
      </c>
      <c r="N346" s="17">
        <f t="shared" si="91"/>
        <v>10.438562000000001</v>
      </c>
      <c r="O346" s="13">
        <v>0.1075</v>
      </c>
      <c r="P346" s="14">
        <f t="shared" si="92"/>
        <v>9.3164165850000007</v>
      </c>
      <c r="Q346" s="14">
        <f t="shared" si="93"/>
        <v>8.4139508390500009</v>
      </c>
      <c r="R346" s="28">
        <f t="shared" si="94"/>
        <v>0.65214916095000008</v>
      </c>
      <c r="S346" s="28">
        <f t="shared" si="95"/>
        <v>2.1744423145224152</v>
      </c>
      <c r="T346" s="28">
        <f t="shared" si="96"/>
        <v>4.2435448390499992</v>
      </c>
      <c r="U346" s="28">
        <f t="shared" si="88"/>
        <v>4.2435448390499992</v>
      </c>
      <c r="V346" s="28">
        <f t="shared" si="89"/>
        <v>4.1704060000000016</v>
      </c>
      <c r="W346" s="28">
        <f t="shared" si="90"/>
        <v>0.2085203000000001</v>
      </c>
      <c r="X346" s="28">
        <f t="shared" si="97"/>
        <v>4.4520651390499992</v>
      </c>
      <c r="Y346" s="14">
        <v>13.767145855074997</v>
      </c>
      <c r="Z346" s="13">
        <v>0.14249999999999999</v>
      </c>
      <c r="AA346" s="14">
        <v>11.895805589008743</v>
      </c>
      <c r="AB346" s="13">
        <f t="shared" si="99"/>
        <v>0.6925</v>
      </c>
      <c r="AC346" s="14">
        <v>16.054980589008743</v>
      </c>
      <c r="AD346" s="26">
        <f t="shared" si="84"/>
        <v>0.14250000000000002</v>
      </c>
      <c r="AE346" s="4">
        <f t="shared" si="85"/>
        <v>16.05</v>
      </c>
      <c r="AF346" s="27">
        <f t="shared" si="98"/>
        <v>0.14249999999999999</v>
      </c>
      <c r="AG346" s="4">
        <f t="shared" si="86"/>
        <v>13.77</v>
      </c>
      <c r="AH346" s="27">
        <f t="shared" si="87"/>
        <v>0.6925</v>
      </c>
    </row>
    <row r="347" spans="1:34" x14ac:dyDescent="0.35">
      <c r="A347" s="8" t="s">
        <v>724</v>
      </c>
      <c r="B347" s="9" t="s">
        <v>725</v>
      </c>
      <c r="C347" s="8" t="s">
        <v>1134</v>
      </c>
      <c r="D347" s="8" t="s">
        <v>1139</v>
      </c>
      <c r="E347" s="8" t="s">
        <v>905</v>
      </c>
      <c r="F347" s="25" t="s">
        <v>1065</v>
      </c>
      <c r="G347" s="8" t="s">
        <v>19</v>
      </c>
      <c r="H347" s="8">
        <v>28</v>
      </c>
      <c r="I347" s="8" t="s">
        <v>1163</v>
      </c>
      <c r="J347" s="10">
        <v>55.77</v>
      </c>
      <c r="K347" s="22">
        <v>0.39400000000000002</v>
      </c>
      <c r="L347" s="11">
        <v>40.46</v>
      </c>
      <c r="M347" s="13">
        <v>0.72030000000000005</v>
      </c>
      <c r="N347" s="17">
        <f t="shared" si="91"/>
        <v>11.316661999999997</v>
      </c>
      <c r="O347" s="13">
        <v>0.1075</v>
      </c>
      <c r="P347" s="14">
        <f t="shared" si="92"/>
        <v>10.100120834999997</v>
      </c>
      <c r="Q347" s="14">
        <f t="shared" si="93"/>
        <v>8.7738915415500021</v>
      </c>
      <c r="R347" s="28">
        <f t="shared" si="94"/>
        <v>0.70700845844999982</v>
      </c>
      <c r="S347" s="28">
        <f t="shared" si="95"/>
        <v>2.3573581027681643</v>
      </c>
      <c r="T347" s="28">
        <f t="shared" si="96"/>
        <v>4.4126775415500008</v>
      </c>
      <c r="U347" s="28">
        <f t="shared" si="88"/>
        <v>4.4126775415500008</v>
      </c>
      <c r="V347" s="28">
        <f t="shared" si="89"/>
        <v>4.3612140000000013</v>
      </c>
      <c r="W347" s="28">
        <f t="shared" si="90"/>
        <v>0.21806070000000008</v>
      </c>
      <c r="X347" s="28">
        <f t="shared" si="97"/>
        <v>4.6307382415500005</v>
      </c>
      <c r="Y347" s="14">
        <v>14.7294620939</v>
      </c>
      <c r="Z347" s="13">
        <v>0.14249999999999999</v>
      </c>
      <c r="AA347" s="14">
        <v>12.827765269854225</v>
      </c>
      <c r="AB347" s="13">
        <f t="shared" si="99"/>
        <v>0.68300000000000005</v>
      </c>
      <c r="AC347" s="14">
        <v>17.177215269854226</v>
      </c>
      <c r="AD347" s="26">
        <f t="shared" si="84"/>
        <v>0.14249999999999993</v>
      </c>
      <c r="AE347" s="4">
        <f t="shared" si="85"/>
        <v>17.18</v>
      </c>
      <c r="AF347" s="27">
        <f t="shared" si="98"/>
        <v>0.14249999999999999</v>
      </c>
      <c r="AG347" s="4">
        <f t="shared" si="86"/>
        <v>14.73</v>
      </c>
      <c r="AH347" s="27">
        <f t="shared" si="87"/>
        <v>0.68300000000000005</v>
      </c>
    </row>
    <row r="348" spans="1:34" x14ac:dyDescent="0.35">
      <c r="A348" s="8" t="s">
        <v>726</v>
      </c>
      <c r="B348" s="9" t="s">
        <v>727</v>
      </c>
      <c r="C348" s="8" t="s">
        <v>1134</v>
      </c>
      <c r="D348" s="8" t="s">
        <v>1139</v>
      </c>
      <c r="E348" s="8" t="s">
        <v>905</v>
      </c>
      <c r="F348" s="25" t="s">
        <v>1065</v>
      </c>
      <c r="G348" s="8" t="s">
        <v>19</v>
      </c>
      <c r="H348" s="8">
        <v>42</v>
      </c>
      <c r="I348" s="8" t="s">
        <v>1163</v>
      </c>
      <c r="J348" s="10">
        <v>83.7</v>
      </c>
      <c r="K348" s="22">
        <v>0.39400000000000002</v>
      </c>
      <c r="L348" s="11">
        <v>60.72</v>
      </c>
      <c r="M348" s="13">
        <v>0.72599999999999998</v>
      </c>
      <c r="N348" s="17">
        <f t="shared" si="91"/>
        <v>16.637280000000001</v>
      </c>
      <c r="O348" s="13">
        <v>0.1075</v>
      </c>
      <c r="P348" s="14">
        <f t="shared" si="92"/>
        <v>14.8487724</v>
      </c>
      <c r="Q348" s="14">
        <f t="shared" si="93"/>
        <v>13.189585932</v>
      </c>
      <c r="R348" s="28">
        <f t="shared" si="94"/>
        <v>1.0394140680000001</v>
      </c>
      <c r="S348" s="28">
        <f t="shared" si="95"/>
        <v>3.4656886293875999</v>
      </c>
      <c r="T348" s="28">
        <f t="shared" si="96"/>
        <v>6.6442459319999996</v>
      </c>
      <c r="U348" s="28">
        <f t="shared" si="88"/>
        <v>6.6442459319999996</v>
      </c>
      <c r="V348" s="28">
        <f t="shared" si="89"/>
        <v>6.5453400000000004</v>
      </c>
      <c r="W348" s="28">
        <f t="shared" si="90"/>
        <v>0.32726700000000003</v>
      </c>
      <c r="X348" s="28">
        <f t="shared" si="97"/>
        <v>6.9715129319999996</v>
      </c>
      <c r="Y348" s="14">
        <v>21.8181888222</v>
      </c>
      <c r="Z348" s="13">
        <v>0.14249999999999999</v>
      </c>
      <c r="AA348" s="14">
        <v>18.91655197924198</v>
      </c>
      <c r="AB348" s="13">
        <f t="shared" si="99"/>
        <v>0.6885</v>
      </c>
      <c r="AC348" s="14">
        <v>25.44395197924198</v>
      </c>
      <c r="AD348" s="26">
        <f t="shared" si="84"/>
        <v>0.14249999999999993</v>
      </c>
      <c r="AE348" s="4">
        <f t="shared" si="85"/>
        <v>25.44</v>
      </c>
      <c r="AF348" s="27">
        <f t="shared" si="98"/>
        <v>0.14249999999999999</v>
      </c>
      <c r="AG348" s="4">
        <f t="shared" si="86"/>
        <v>21.82</v>
      </c>
      <c r="AH348" s="27">
        <f t="shared" si="87"/>
        <v>0.6885</v>
      </c>
    </row>
    <row r="349" spans="1:34" x14ac:dyDescent="0.35">
      <c r="A349" s="8" t="s">
        <v>728</v>
      </c>
      <c r="B349" s="9" t="s">
        <v>729</v>
      </c>
      <c r="C349" s="8" t="s">
        <v>12</v>
      </c>
      <c r="D349" s="8">
        <v>0</v>
      </c>
      <c r="E349" s="8" t="s">
        <v>905</v>
      </c>
      <c r="F349" s="25" t="s">
        <v>1066</v>
      </c>
      <c r="G349" s="8" t="s">
        <v>13</v>
      </c>
      <c r="H349" s="8">
        <v>15</v>
      </c>
      <c r="I349" s="8" t="s">
        <v>1164</v>
      </c>
      <c r="J349" s="10">
        <v>29.4</v>
      </c>
      <c r="K349" s="22">
        <v>0.3417</v>
      </c>
      <c r="L349" s="11">
        <v>21.92</v>
      </c>
      <c r="M349" s="13">
        <v>0.49249999999999999</v>
      </c>
      <c r="N349" s="17">
        <f t="shared" si="91"/>
        <v>11.124400000000001</v>
      </c>
      <c r="O349" s="13">
        <v>0.1075</v>
      </c>
      <c r="P349" s="14">
        <f t="shared" si="92"/>
        <v>9.9285270000000008</v>
      </c>
      <c r="Q349" s="14">
        <f t="shared" si="93"/>
        <v>4.3030031100000006</v>
      </c>
      <c r="R349" s="28">
        <f t="shared" si="94"/>
        <v>0.69499689000000009</v>
      </c>
      <c r="S349" s="28">
        <f t="shared" si="95"/>
        <v>2.3173082732729999</v>
      </c>
      <c r="T349" s="28">
        <f t="shared" si="96"/>
        <v>2.0039231099999992</v>
      </c>
      <c r="U349" s="28">
        <f t="shared" si="88"/>
        <v>2.3173082732729999</v>
      </c>
      <c r="V349" s="28">
        <f t="shared" si="89"/>
        <v>1.9856948367270006</v>
      </c>
      <c r="W349" s="28">
        <f t="shared" si="90"/>
        <v>9.9284741836350041E-2</v>
      </c>
      <c r="X349" s="28">
        <f t="shared" si="97"/>
        <v>2.41659301510935</v>
      </c>
      <c r="Y349" s="14">
        <v>12.345031294399998</v>
      </c>
      <c r="Z349" s="13">
        <v>0.14249999999999999</v>
      </c>
      <c r="AA349" s="14">
        <v>12.040137952653058</v>
      </c>
      <c r="AB349" s="13">
        <f t="shared" si="99"/>
        <v>0.45069999999999999</v>
      </c>
      <c r="AC349" s="14">
        <v>14.396537952653059</v>
      </c>
      <c r="AD349" s="26">
        <f t="shared" si="84"/>
        <v>0.14249999999999999</v>
      </c>
      <c r="AE349" s="4">
        <f t="shared" si="85"/>
        <v>14.4</v>
      </c>
      <c r="AF349" s="27">
        <f t="shared" si="98"/>
        <v>0.14249999999999999</v>
      </c>
      <c r="AG349" s="4">
        <f t="shared" si="86"/>
        <v>12.35</v>
      </c>
      <c r="AH349" s="27">
        <f t="shared" si="87"/>
        <v>0.45069999999999999</v>
      </c>
    </row>
    <row r="350" spans="1:34" x14ac:dyDescent="0.35">
      <c r="A350" s="8" t="s">
        <v>730</v>
      </c>
      <c r="B350" s="9" t="s">
        <v>731</v>
      </c>
      <c r="C350" s="8" t="s">
        <v>12</v>
      </c>
      <c r="D350" s="8" t="s">
        <v>1184</v>
      </c>
      <c r="E350" s="8" t="s">
        <v>905</v>
      </c>
      <c r="F350" s="25" t="s">
        <v>1066</v>
      </c>
      <c r="G350" s="8" t="s">
        <v>1109</v>
      </c>
      <c r="H350" s="8">
        <v>15</v>
      </c>
      <c r="I350" s="8" t="s">
        <v>1164</v>
      </c>
      <c r="J350" s="10">
        <v>14.41</v>
      </c>
      <c r="K350" s="22">
        <v>0.3417</v>
      </c>
      <c r="L350" s="11">
        <v>10.74</v>
      </c>
      <c r="M350" s="13">
        <v>0.53059999999999996</v>
      </c>
      <c r="N350" s="17">
        <f t="shared" si="91"/>
        <v>5.0413560000000004</v>
      </c>
      <c r="O350" s="13">
        <v>0.1075</v>
      </c>
      <c r="P350" s="14">
        <f t="shared" si="92"/>
        <v>4.4994102300000005</v>
      </c>
      <c r="Q350" s="14">
        <f t="shared" si="93"/>
        <v>2.1347412839</v>
      </c>
      <c r="R350" s="28">
        <f t="shared" si="94"/>
        <v>0.31495871610000009</v>
      </c>
      <c r="S350" s="28">
        <f t="shared" si="95"/>
        <v>1.0501578482717702</v>
      </c>
      <c r="T350" s="28">
        <f t="shared" si="96"/>
        <v>1.0078792838999997</v>
      </c>
      <c r="U350" s="28">
        <f t="shared" si="88"/>
        <v>1.0501578482717702</v>
      </c>
      <c r="V350" s="28">
        <f t="shared" si="89"/>
        <v>1.0845834356282298</v>
      </c>
      <c r="W350" s="28">
        <f t="shared" si="90"/>
        <v>5.4229171781411491E-2</v>
      </c>
      <c r="X350" s="28">
        <f t="shared" si="97"/>
        <v>1.1043870200531816</v>
      </c>
      <c r="Y350" s="14">
        <v>5.6042683436499994</v>
      </c>
      <c r="Z350" s="13">
        <v>0.14249999999999999</v>
      </c>
      <c r="AA350" s="14">
        <v>5.3810399051311952</v>
      </c>
      <c r="AB350" s="13">
        <f t="shared" si="99"/>
        <v>0.499</v>
      </c>
      <c r="AC350" s="14">
        <v>6.5355899051311948</v>
      </c>
      <c r="AD350" s="26">
        <f t="shared" si="84"/>
        <v>0.14250000000000002</v>
      </c>
      <c r="AE350" s="4">
        <f t="shared" si="85"/>
        <v>6.54</v>
      </c>
      <c r="AF350" s="27">
        <f t="shared" si="98"/>
        <v>0.14249999999999999</v>
      </c>
      <c r="AG350" s="4">
        <f t="shared" si="86"/>
        <v>5.6</v>
      </c>
      <c r="AH350" s="27">
        <f t="shared" si="87"/>
        <v>0.499</v>
      </c>
    </row>
    <row r="351" spans="1:34" x14ac:dyDescent="0.35">
      <c r="A351" s="8" t="s">
        <v>732</v>
      </c>
      <c r="B351" s="9" t="s">
        <v>733</v>
      </c>
      <c r="C351" s="8" t="s">
        <v>1135</v>
      </c>
      <c r="D351" s="8" t="s">
        <v>1184</v>
      </c>
      <c r="E351" s="8" t="s">
        <v>905</v>
      </c>
      <c r="F351" s="25" t="s">
        <v>1066</v>
      </c>
      <c r="G351" s="8" t="s">
        <v>1128</v>
      </c>
      <c r="H351" s="8">
        <v>20</v>
      </c>
      <c r="I351" s="8" t="s">
        <v>1164</v>
      </c>
      <c r="J351" s="10">
        <v>24.9</v>
      </c>
      <c r="K351" s="22">
        <v>0.3417</v>
      </c>
      <c r="L351" s="11">
        <v>18.559999999999999</v>
      </c>
      <c r="M351" s="13">
        <v>0.55710000000000004</v>
      </c>
      <c r="N351" s="17">
        <f t="shared" si="91"/>
        <v>8.2202239999999982</v>
      </c>
      <c r="O351" s="13">
        <v>0.1075</v>
      </c>
      <c r="P351" s="14">
        <f t="shared" si="92"/>
        <v>7.3365499199999977</v>
      </c>
      <c r="Q351" s="14">
        <f t="shared" si="93"/>
        <v>3.7194415055999999</v>
      </c>
      <c r="R351" s="28">
        <f t="shared" si="94"/>
        <v>0.5135584943999999</v>
      </c>
      <c r="S351" s="28">
        <f t="shared" si="95"/>
        <v>1.7123434147780796</v>
      </c>
      <c r="T351" s="28">
        <f t="shared" si="96"/>
        <v>1.7722615056</v>
      </c>
      <c r="U351" s="28">
        <f t="shared" si="88"/>
        <v>1.7722615056</v>
      </c>
      <c r="V351" s="28">
        <f t="shared" si="89"/>
        <v>1.9471799999999999</v>
      </c>
      <c r="W351" s="28">
        <f t="shared" si="90"/>
        <v>9.7359000000000001E-2</v>
      </c>
      <c r="X351" s="28">
        <f t="shared" si="97"/>
        <v>1.8696205055999999</v>
      </c>
      <c r="Y351" s="14">
        <v>9.205529595199998</v>
      </c>
      <c r="Z351" s="13">
        <v>0.14249999999999999</v>
      </c>
      <c r="AA351" s="14">
        <v>8.7401114812827956</v>
      </c>
      <c r="AB351" s="13">
        <f t="shared" si="99"/>
        <v>0.52910000000000001</v>
      </c>
      <c r="AC351" s="14">
        <v>10.735311481282796</v>
      </c>
      <c r="AD351" s="26">
        <f t="shared" si="84"/>
        <v>0.14249999999999996</v>
      </c>
      <c r="AE351" s="4">
        <f t="shared" si="85"/>
        <v>10.74</v>
      </c>
      <c r="AF351" s="27">
        <f t="shared" si="98"/>
        <v>0.14249999999999999</v>
      </c>
      <c r="AG351" s="4">
        <f t="shared" si="86"/>
        <v>9.2100000000000009</v>
      </c>
      <c r="AH351" s="27">
        <f t="shared" si="87"/>
        <v>0.52910000000000001</v>
      </c>
    </row>
    <row r="352" spans="1:34" x14ac:dyDescent="0.35">
      <c r="A352" s="8" t="s">
        <v>734</v>
      </c>
      <c r="B352" s="9" t="s">
        <v>735</v>
      </c>
      <c r="C352" s="8" t="s">
        <v>1135</v>
      </c>
      <c r="D352" s="8" t="s">
        <v>1184</v>
      </c>
      <c r="E352" s="8" t="s">
        <v>905</v>
      </c>
      <c r="F352" s="25" t="s">
        <v>1067</v>
      </c>
      <c r="G352" s="8" t="s">
        <v>21</v>
      </c>
      <c r="H352" s="8">
        <v>24</v>
      </c>
      <c r="I352" s="8" t="s">
        <v>1164</v>
      </c>
      <c r="J352" s="10">
        <v>15.87</v>
      </c>
      <c r="K352" s="22">
        <v>0.3417</v>
      </c>
      <c r="L352" s="11">
        <v>11.83</v>
      </c>
      <c r="M352" s="13">
        <v>0.13700000000000001</v>
      </c>
      <c r="N352" s="17">
        <f t="shared" si="91"/>
        <v>10.209289999999999</v>
      </c>
      <c r="O352" s="13">
        <v>0.1075</v>
      </c>
      <c r="P352" s="14">
        <f t="shared" si="92"/>
        <v>9.1117913249999987</v>
      </c>
      <c r="Q352" s="14">
        <f t="shared" si="93"/>
        <v>2.0600746072500002</v>
      </c>
      <c r="R352" s="28">
        <f t="shared" si="94"/>
        <v>0.63782539274999994</v>
      </c>
      <c r="S352" s="28">
        <f t="shared" si="95"/>
        <v>2.1266829834636747</v>
      </c>
      <c r="T352" s="28">
        <f t="shared" si="96"/>
        <v>0.81904060724999983</v>
      </c>
      <c r="U352" s="28">
        <f t="shared" si="88"/>
        <v>2.1266829834636747</v>
      </c>
      <c r="V352" s="28">
        <f t="shared" si="89"/>
        <v>-6.6608376213674436E-2</v>
      </c>
      <c r="W352" s="28">
        <f t="shared" si="90"/>
        <v>-3.3304188106837219E-3</v>
      </c>
      <c r="X352" s="28">
        <f t="shared" si="97"/>
        <v>2.1233525646529912</v>
      </c>
      <c r="Y352" s="14">
        <v>11.234859742236081</v>
      </c>
      <c r="Z352" s="13">
        <v>0.14249999999999999</v>
      </c>
      <c r="AA352" s="14">
        <v>11.830152250421085</v>
      </c>
      <c r="AB352" s="13">
        <f t="shared" si="99"/>
        <v>0</v>
      </c>
      <c r="AC352" s="14">
        <v>13.101877250421085</v>
      </c>
      <c r="AD352" s="26">
        <f t="shared" si="84"/>
        <v>0.14249999999999996</v>
      </c>
      <c r="AE352" s="4">
        <f t="shared" si="85"/>
        <v>13.1</v>
      </c>
      <c r="AF352" s="27">
        <f t="shared" si="98"/>
        <v>0.14249999999999999</v>
      </c>
      <c r="AG352" s="4">
        <f t="shared" si="86"/>
        <v>11.23</v>
      </c>
      <c r="AH352" s="27">
        <f t="shared" si="87"/>
        <v>0</v>
      </c>
    </row>
    <row r="353" spans="1:34" x14ac:dyDescent="0.35">
      <c r="A353" s="8" t="s">
        <v>736</v>
      </c>
      <c r="B353" s="9" t="s">
        <v>737</v>
      </c>
      <c r="C353" s="8" t="s">
        <v>1135</v>
      </c>
      <c r="D353" s="8" t="s">
        <v>1184</v>
      </c>
      <c r="E353" s="8" t="s">
        <v>905</v>
      </c>
      <c r="F353" s="25" t="s">
        <v>1068</v>
      </c>
      <c r="G353" s="8" t="s">
        <v>3</v>
      </c>
      <c r="H353" s="8">
        <v>10</v>
      </c>
      <c r="I353" s="8" t="s">
        <v>1164</v>
      </c>
      <c r="J353" s="10">
        <v>41.87</v>
      </c>
      <c r="K353" s="22">
        <v>0.3417</v>
      </c>
      <c r="L353" s="11">
        <v>31.21</v>
      </c>
      <c r="M353" s="13">
        <v>0.59279999999999999</v>
      </c>
      <c r="N353" s="17">
        <f t="shared" si="91"/>
        <v>12.708712</v>
      </c>
      <c r="O353" s="13">
        <v>0.1075</v>
      </c>
      <c r="P353" s="14">
        <f t="shared" si="92"/>
        <v>11.342525459999999</v>
      </c>
      <c r="Q353" s="14">
        <f t="shared" si="93"/>
        <v>6.3239232178</v>
      </c>
      <c r="R353" s="28">
        <f t="shared" si="94"/>
        <v>0.79397678220000001</v>
      </c>
      <c r="S353" s="28">
        <f t="shared" si="95"/>
        <v>2.6473340998385395</v>
      </c>
      <c r="T353" s="28">
        <f t="shared" si="96"/>
        <v>3.0496892177999992</v>
      </c>
      <c r="U353" s="28">
        <f t="shared" si="88"/>
        <v>3.0496892177999992</v>
      </c>
      <c r="V353" s="28">
        <f t="shared" si="89"/>
        <v>3.2742340000000008</v>
      </c>
      <c r="W353" s="28">
        <f t="shared" si="90"/>
        <v>0.16371170000000004</v>
      </c>
      <c r="X353" s="28">
        <f t="shared" si="97"/>
        <v>3.2134009177999991</v>
      </c>
      <c r="Y353" s="14">
        <v>14.554848774524999</v>
      </c>
      <c r="Z353" s="13">
        <v>0.14249999999999999</v>
      </c>
      <c r="AA353" s="14">
        <v>13.618509576705538</v>
      </c>
      <c r="AB353" s="13">
        <f t="shared" si="99"/>
        <v>0.56359999999999999</v>
      </c>
      <c r="AC353" s="14">
        <v>16.973584576705537</v>
      </c>
      <c r="AD353" s="26">
        <f t="shared" si="84"/>
        <v>0.14249999999999999</v>
      </c>
      <c r="AE353" s="4">
        <f t="shared" si="85"/>
        <v>16.97</v>
      </c>
      <c r="AF353" s="27">
        <f t="shared" si="98"/>
        <v>0.14249999999999999</v>
      </c>
      <c r="AG353" s="4">
        <f t="shared" si="86"/>
        <v>14.55</v>
      </c>
      <c r="AH353" s="27">
        <f t="shared" si="87"/>
        <v>0.56359999999999999</v>
      </c>
    </row>
    <row r="354" spans="1:34" x14ac:dyDescent="0.35">
      <c r="A354" s="8" t="s">
        <v>738</v>
      </c>
      <c r="B354" s="9" t="s">
        <v>739</v>
      </c>
      <c r="C354" s="8" t="s">
        <v>1135</v>
      </c>
      <c r="D354" s="8" t="s">
        <v>1184</v>
      </c>
      <c r="E354" s="8" t="s">
        <v>905</v>
      </c>
      <c r="F354" s="25" t="s">
        <v>1068</v>
      </c>
      <c r="G354" s="8" t="s">
        <v>3</v>
      </c>
      <c r="H354" s="8">
        <v>20</v>
      </c>
      <c r="I354" s="8" t="s">
        <v>1164</v>
      </c>
      <c r="J354" s="10">
        <v>63.5</v>
      </c>
      <c r="K354" s="22">
        <v>0.3417</v>
      </c>
      <c r="L354" s="11">
        <v>47.34</v>
      </c>
      <c r="M354" s="13">
        <v>0.52800000000000002</v>
      </c>
      <c r="N354" s="17">
        <f t="shared" si="91"/>
        <v>22.344480000000001</v>
      </c>
      <c r="O354" s="13">
        <v>0.1075</v>
      </c>
      <c r="P354" s="14">
        <f t="shared" si="92"/>
        <v>19.9424484</v>
      </c>
      <c r="Q354" s="14">
        <f t="shared" si="93"/>
        <v>9.3990286120000004</v>
      </c>
      <c r="R354" s="28">
        <f t="shared" si="94"/>
        <v>1.3959713880000002</v>
      </c>
      <c r="S354" s="28">
        <f t="shared" si="95"/>
        <v>4.6545475141115995</v>
      </c>
      <c r="T354" s="28">
        <f t="shared" si="96"/>
        <v>4.4333286119999995</v>
      </c>
      <c r="U354" s="28">
        <f t="shared" si="88"/>
        <v>4.6545475141115995</v>
      </c>
      <c r="V354" s="28">
        <f t="shared" si="89"/>
        <v>4.7444810978884009</v>
      </c>
      <c r="W354" s="28">
        <f t="shared" si="90"/>
        <v>0.23722405489442006</v>
      </c>
      <c r="X354" s="28">
        <f t="shared" si="97"/>
        <v>4.8917715690060195</v>
      </c>
      <c r="Y354" s="14">
        <v>24.834611751050002</v>
      </c>
      <c r="Z354" s="13">
        <v>0.14249999999999999</v>
      </c>
      <c r="AA354" s="14">
        <v>23.872596356909622</v>
      </c>
      <c r="AB354" s="13">
        <f t="shared" si="99"/>
        <v>0.49569999999999997</v>
      </c>
      <c r="AC354" s="14">
        <v>28.961646356909622</v>
      </c>
      <c r="AD354" s="26">
        <f t="shared" si="84"/>
        <v>0.14249999999999996</v>
      </c>
      <c r="AE354" s="4">
        <f t="shared" si="85"/>
        <v>28.96</v>
      </c>
      <c r="AF354" s="27">
        <f t="shared" si="98"/>
        <v>0.14249999999999999</v>
      </c>
      <c r="AG354" s="4">
        <f t="shared" si="86"/>
        <v>24.83</v>
      </c>
      <c r="AH354" s="27">
        <f t="shared" si="87"/>
        <v>0.49569999999999997</v>
      </c>
    </row>
    <row r="355" spans="1:34" x14ac:dyDescent="0.35">
      <c r="A355" s="8" t="s">
        <v>740</v>
      </c>
      <c r="B355" s="9" t="s">
        <v>741</v>
      </c>
      <c r="C355" s="8" t="s">
        <v>1135</v>
      </c>
      <c r="D355" s="8" t="s">
        <v>1184</v>
      </c>
      <c r="E355" s="8" t="s">
        <v>905</v>
      </c>
      <c r="F355" s="25" t="s">
        <v>1068</v>
      </c>
      <c r="G355" s="8" t="s">
        <v>3</v>
      </c>
      <c r="H355" s="8">
        <v>30</v>
      </c>
      <c r="I355" s="8" t="s">
        <v>1164</v>
      </c>
      <c r="J355" s="10">
        <v>82.65</v>
      </c>
      <c r="K355" s="22">
        <v>0.3417</v>
      </c>
      <c r="L355" s="11">
        <v>61.61</v>
      </c>
      <c r="M355" s="13">
        <v>0.56610000000000005</v>
      </c>
      <c r="N355" s="17">
        <f t="shared" si="91"/>
        <v>26.732578999999998</v>
      </c>
      <c r="O355" s="13">
        <v>0.1075</v>
      </c>
      <c r="P355" s="14">
        <f t="shared" si="92"/>
        <v>23.858826757499997</v>
      </c>
      <c r="Q355" s="14">
        <f t="shared" si="93"/>
        <v>12.380382126975002</v>
      </c>
      <c r="R355" s="28">
        <f t="shared" si="94"/>
        <v>1.6701178730249999</v>
      </c>
      <c r="S355" s="28">
        <f t="shared" si="95"/>
        <v>5.5686263063737425</v>
      </c>
      <c r="T355" s="28">
        <f t="shared" si="96"/>
        <v>5.917152126975</v>
      </c>
      <c r="U355" s="28">
        <f t="shared" si="88"/>
        <v>5.917152126975</v>
      </c>
      <c r="V355" s="28">
        <f t="shared" si="89"/>
        <v>6.463230000000002</v>
      </c>
      <c r="W355" s="28">
        <f t="shared" si="90"/>
        <v>0.3231615000000001</v>
      </c>
      <c r="X355" s="28">
        <f t="shared" si="97"/>
        <v>6.2403136269750004</v>
      </c>
      <c r="Y355" s="14">
        <v>30.097013145200002</v>
      </c>
      <c r="Z355" s="13">
        <v>0.14249999999999999</v>
      </c>
      <c r="AA355" s="14">
        <v>28.475482603731777</v>
      </c>
      <c r="AB355" s="13">
        <f t="shared" si="99"/>
        <v>0.53779999999999994</v>
      </c>
      <c r="AC355" s="14">
        <v>35.098557603731777</v>
      </c>
      <c r="AD355" s="26">
        <f t="shared" si="84"/>
        <v>0.1424999999999999</v>
      </c>
      <c r="AE355" s="4">
        <f t="shared" si="85"/>
        <v>35.1</v>
      </c>
      <c r="AF355" s="27">
        <f t="shared" si="98"/>
        <v>0.14249999999999999</v>
      </c>
      <c r="AG355" s="4">
        <f t="shared" si="86"/>
        <v>30.1</v>
      </c>
      <c r="AH355" s="27">
        <f t="shared" si="87"/>
        <v>0.53779999999999994</v>
      </c>
    </row>
    <row r="356" spans="1:34" x14ac:dyDescent="0.35">
      <c r="A356" s="8" t="s">
        <v>742</v>
      </c>
      <c r="B356" s="9" t="s">
        <v>743</v>
      </c>
      <c r="C356" s="8" t="s">
        <v>1134</v>
      </c>
      <c r="D356" s="8" t="s">
        <v>1149</v>
      </c>
      <c r="E356" s="8" t="s">
        <v>905</v>
      </c>
      <c r="F356" s="25" t="s">
        <v>1069</v>
      </c>
      <c r="G356" s="8" t="s">
        <v>23</v>
      </c>
      <c r="H356" s="8">
        <v>30</v>
      </c>
      <c r="I356" s="8" t="s">
        <v>1163</v>
      </c>
      <c r="J356" s="10">
        <v>65.459999999999994</v>
      </c>
      <c r="K356" s="22">
        <v>0.39400000000000002</v>
      </c>
      <c r="L356" s="11">
        <v>47.49</v>
      </c>
      <c r="M356" s="13">
        <v>0.69720000000000004</v>
      </c>
      <c r="N356" s="17">
        <f t="shared" si="91"/>
        <v>14.379971999999999</v>
      </c>
      <c r="O356" s="13">
        <v>0.1075</v>
      </c>
      <c r="P356" s="14">
        <f t="shared" si="92"/>
        <v>12.834125009999998</v>
      </c>
      <c r="Q356" s="14">
        <f t="shared" si="93"/>
        <v>10.229811249299999</v>
      </c>
      <c r="R356" s="28">
        <f t="shared" si="94"/>
        <v>0.89838875069999991</v>
      </c>
      <c r="S356" s="28">
        <f t="shared" si="95"/>
        <v>2.9954719432089894</v>
      </c>
      <c r="T356" s="28">
        <f t="shared" si="96"/>
        <v>5.1108392492999997</v>
      </c>
      <c r="U356" s="28">
        <f t="shared" si="88"/>
        <v>5.1108392492999997</v>
      </c>
      <c r="V356" s="28">
        <f t="shared" si="89"/>
        <v>5.1189719999999994</v>
      </c>
      <c r="W356" s="28">
        <f t="shared" si="90"/>
        <v>0.25594859999999997</v>
      </c>
      <c r="X356" s="28">
        <f t="shared" si="97"/>
        <v>5.3667878492999996</v>
      </c>
      <c r="Y356" s="14">
        <v>18.199273148324998</v>
      </c>
      <c r="Z356" s="13">
        <v>0.14249999999999999</v>
      </c>
      <c r="AA356" s="14">
        <v>16.118467155481046</v>
      </c>
      <c r="AB356" s="13">
        <f t="shared" si="99"/>
        <v>0.66059999999999997</v>
      </c>
      <c r="AC356" s="14">
        <v>21.223642155481045</v>
      </c>
      <c r="AD356" s="26">
        <f t="shared" si="84"/>
        <v>0.14249999999999988</v>
      </c>
      <c r="AE356" s="4">
        <f t="shared" si="85"/>
        <v>21.22</v>
      </c>
      <c r="AF356" s="27">
        <f t="shared" si="98"/>
        <v>0.14249999999999999</v>
      </c>
      <c r="AG356" s="4">
        <f t="shared" si="86"/>
        <v>18.2</v>
      </c>
      <c r="AH356" s="27">
        <f t="shared" si="87"/>
        <v>0.66059999999999997</v>
      </c>
    </row>
    <row r="357" spans="1:34" x14ac:dyDescent="0.35">
      <c r="A357" s="8" t="s">
        <v>744</v>
      </c>
      <c r="B357" s="9" t="s">
        <v>745</v>
      </c>
      <c r="C357" s="8" t="s">
        <v>1134</v>
      </c>
      <c r="D357" s="8" t="s">
        <v>1183</v>
      </c>
      <c r="E357" s="8" t="s">
        <v>905</v>
      </c>
      <c r="F357" s="25" t="s">
        <v>1070</v>
      </c>
      <c r="G357" s="8" t="s">
        <v>14</v>
      </c>
      <c r="H357" s="8">
        <v>20</v>
      </c>
      <c r="I357" s="8" t="s">
        <v>1163</v>
      </c>
      <c r="J357" s="10">
        <v>67.87</v>
      </c>
      <c r="K357" s="22">
        <v>0.39400000000000002</v>
      </c>
      <c r="L357" s="11">
        <v>49.24</v>
      </c>
      <c r="M357" s="13">
        <v>0.13730000000000001</v>
      </c>
      <c r="N357" s="17">
        <f t="shared" si="91"/>
        <v>42.479348000000002</v>
      </c>
      <c r="O357" s="13">
        <v>0.1075</v>
      </c>
      <c r="P357" s="14">
        <f t="shared" si="92"/>
        <v>37.912818090000002</v>
      </c>
      <c r="Q357" s="14">
        <f t="shared" si="93"/>
        <v>8.8840027337000009</v>
      </c>
      <c r="R357" s="28">
        <f t="shared" si="94"/>
        <v>2.6538972663000004</v>
      </c>
      <c r="S357" s="28">
        <f t="shared" si="95"/>
        <v>8.8488138293879111</v>
      </c>
      <c r="T357" s="28">
        <f t="shared" si="96"/>
        <v>3.5765687336999994</v>
      </c>
      <c r="U357" s="28">
        <f t="shared" si="88"/>
        <v>8.8488138293879111</v>
      </c>
      <c r="V357" s="28">
        <f t="shared" si="89"/>
        <v>3.5188904312089875E-2</v>
      </c>
      <c r="W357" s="28">
        <f t="shared" si="90"/>
        <v>1.7594452156044938E-3</v>
      </c>
      <c r="X357" s="28">
        <f t="shared" si="97"/>
        <v>8.8505732746035157</v>
      </c>
      <c r="Y357" s="14">
        <v>46.762208658026282</v>
      </c>
      <c r="Z357" s="13">
        <v>0.14249999999999999</v>
      </c>
      <c r="AA357" s="14">
        <v>49.239887939389241</v>
      </c>
      <c r="AB357" s="13">
        <f t="shared" si="99"/>
        <v>0</v>
      </c>
      <c r="AC357" s="14">
        <v>54.533187939389244</v>
      </c>
      <c r="AD357" s="26">
        <f t="shared" si="84"/>
        <v>0.1424999999999999</v>
      </c>
      <c r="AE357" s="4">
        <f t="shared" si="85"/>
        <v>54.53</v>
      </c>
      <c r="AF357" s="27">
        <f t="shared" si="98"/>
        <v>0.14249999999999999</v>
      </c>
      <c r="AG357" s="4">
        <f t="shared" si="86"/>
        <v>46.76</v>
      </c>
      <c r="AH357" s="27">
        <f t="shared" si="87"/>
        <v>0</v>
      </c>
    </row>
    <row r="358" spans="1:34" x14ac:dyDescent="0.35">
      <c r="A358" s="8" t="s">
        <v>746</v>
      </c>
      <c r="B358" s="9" t="s">
        <v>747</v>
      </c>
      <c r="C358" s="8" t="s">
        <v>1134</v>
      </c>
      <c r="D358" s="8" t="s">
        <v>1183</v>
      </c>
      <c r="E358" s="8" t="s">
        <v>905</v>
      </c>
      <c r="F358" s="25" t="s">
        <v>1070</v>
      </c>
      <c r="G358" s="8" t="s">
        <v>14</v>
      </c>
      <c r="H358" s="8">
        <v>30</v>
      </c>
      <c r="I358" s="8" t="s">
        <v>1163</v>
      </c>
      <c r="J358" s="10">
        <v>91.69</v>
      </c>
      <c r="K358" s="22">
        <v>0.39400000000000002</v>
      </c>
      <c r="L358" s="11">
        <v>66.52</v>
      </c>
      <c r="M358" s="13">
        <v>0.14449999999999999</v>
      </c>
      <c r="N358" s="17">
        <f t="shared" si="91"/>
        <v>56.907859999999999</v>
      </c>
      <c r="O358" s="13">
        <v>0.1075</v>
      </c>
      <c r="P358" s="14">
        <f t="shared" si="92"/>
        <v>50.790265049999995</v>
      </c>
      <c r="Q358" s="14">
        <f t="shared" si="93"/>
        <v>12.031981446500001</v>
      </c>
      <c r="R358" s="28">
        <f t="shared" si="94"/>
        <v>3.5553185534999998</v>
      </c>
      <c r="S358" s="28">
        <f t="shared" si="95"/>
        <v>11.85439707240495</v>
      </c>
      <c r="T358" s="28">
        <f t="shared" si="96"/>
        <v>4.861823446499999</v>
      </c>
      <c r="U358" s="28">
        <f t="shared" si="88"/>
        <v>11.85439707240495</v>
      </c>
      <c r="V358" s="28">
        <f t="shared" si="89"/>
        <v>0.17758437409505134</v>
      </c>
      <c r="W358" s="28">
        <f t="shared" si="90"/>
        <v>8.8792187047525683E-3</v>
      </c>
      <c r="X358" s="28">
        <f t="shared" si="97"/>
        <v>11.863276291109702</v>
      </c>
      <c r="Y358" s="14">
        <v>62.652264328717983</v>
      </c>
      <c r="Z358" s="13">
        <v>0.14249999999999999</v>
      </c>
      <c r="AA358" s="14">
        <v>65.91296510637666</v>
      </c>
      <c r="AB358" s="13">
        <f t="shared" si="99"/>
        <v>9.1000000000000004E-3</v>
      </c>
      <c r="AC358" s="14">
        <v>73.063865106376653</v>
      </c>
      <c r="AD358" s="26">
        <f t="shared" si="84"/>
        <v>0.14249999999999996</v>
      </c>
      <c r="AE358" s="4">
        <f t="shared" si="85"/>
        <v>73.06</v>
      </c>
      <c r="AF358" s="27">
        <f t="shared" si="98"/>
        <v>0.14249999999999999</v>
      </c>
      <c r="AG358" s="4">
        <f t="shared" si="86"/>
        <v>62.65</v>
      </c>
      <c r="AH358" s="27">
        <f t="shared" si="87"/>
        <v>9.1000000000000004E-3</v>
      </c>
    </row>
    <row r="359" spans="1:34" x14ac:dyDescent="0.35">
      <c r="A359" s="8" t="s">
        <v>748</v>
      </c>
      <c r="B359" s="9" t="s">
        <v>749</v>
      </c>
      <c r="C359" s="8" t="s">
        <v>1134</v>
      </c>
      <c r="D359" s="8" t="s">
        <v>1149</v>
      </c>
      <c r="E359" s="8" t="s">
        <v>905</v>
      </c>
      <c r="F359" s="25" t="s">
        <v>1071</v>
      </c>
      <c r="G359" s="8" t="s">
        <v>22</v>
      </c>
      <c r="H359" s="8">
        <v>15</v>
      </c>
      <c r="I359" s="8" t="s">
        <v>1163</v>
      </c>
      <c r="J359" s="10">
        <v>81.66</v>
      </c>
      <c r="K359" s="22">
        <v>0.39400000000000002</v>
      </c>
      <c r="L359" s="11">
        <v>59.24</v>
      </c>
      <c r="M359" s="13">
        <v>0.14810000000000001</v>
      </c>
      <c r="N359" s="17">
        <f t="shared" si="91"/>
        <v>50.466556000000004</v>
      </c>
      <c r="O359" s="13">
        <v>0.1075</v>
      </c>
      <c r="P359" s="14">
        <f t="shared" si="92"/>
        <v>45.041401229999998</v>
      </c>
      <c r="Q359" s="14">
        <f t="shared" si="93"/>
        <v>10.729301913900001</v>
      </c>
      <c r="R359" s="28">
        <f t="shared" si="94"/>
        <v>3.1528980861</v>
      </c>
      <c r="S359" s="28">
        <f t="shared" si="95"/>
        <v>10.512618005680769</v>
      </c>
      <c r="T359" s="28">
        <f t="shared" si="96"/>
        <v>4.3434899138999992</v>
      </c>
      <c r="U359" s="28">
        <f t="shared" si="88"/>
        <v>10.512618005680769</v>
      </c>
      <c r="V359" s="28">
        <f t="shared" si="89"/>
        <v>0.21668390821923111</v>
      </c>
      <c r="W359" s="28">
        <f t="shared" si="90"/>
        <v>1.0834195410961556E-2</v>
      </c>
      <c r="X359" s="28">
        <f t="shared" si="97"/>
        <v>10.523452201091731</v>
      </c>
      <c r="Y359" s="14">
        <v>55.563716175919083</v>
      </c>
      <c r="Z359" s="13">
        <v>0.14249999999999999</v>
      </c>
      <c r="AA359" s="14">
        <v>58.429036648302137</v>
      </c>
      <c r="AB359" s="13">
        <f t="shared" si="99"/>
        <v>1.37E-2</v>
      </c>
      <c r="AC359" s="14">
        <v>64.797336648302135</v>
      </c>
      <c r="AD359" s="26">
        <f t="shared" si="84"/>
        <v>0.14249999999999996</v>
      </c>
      <c r="AE359" s="4">
        <f t="shared" si="85"/>
        <v>64.8</v>
      </c>
      <c r="AF359" s="27">
        <f t="shared" si="98"/>
        <v>0.14249999999999999</v>
      </c>
      <c r="AG359" s="4">
        <f t="shared" si="86"/>
        <v>55.56</v>
      </c>
      <c r="AH359" s="27">
        <f t="shared" si="87"/>
        <v>1.37E-2</v>
      </c>
    </row>
    <row r="360" spans="1:34" x14ac:dyDescent="0.35">
      <c r="A360" s="8" t="s">
        <v>750</v>
      </c>
      <c r="B360" s="9" t="s">
        <v>751</v>
      </c>
      <c r="C360" s="8" t="s">
        <v>1134</v>
      </c>
      <c r="D360" s="8" t="s">
        <v>1149</v>
      </c>
      <c r="E360" s="8" t="s">
        <v>905</v>
      </c>
      <c r="F360" s="25" t="s">
        <v>1071</v>
      </c>
      <c r="G360" s="8" t="s">
        <v>39</v>
      </c>
      <c r="H360" s="8">
        <v>15</v>
      </c>
      <c r="I360" s="8" t="s">
        <v>1163</v>
      </c>
      <c r="J360" s="10">
        <v>86.37</v>
      </c>
      <c r="K360" s="22">
        <v>0.39400000000000002</v>
      </c>
      <c r="L360" s="11">
        <v>62.66</v>
      </c>
      <c r="M360" s="13">
        <v>0.4753</v>
      </c>
      <c r="N360" s="17">
        <f t="shared" si="91"/>
        <v>32.877701999999992</v>
      </c>
      <c r="O360" s="13">
        <v>0.1075</v>
      </c>
      <c r="P360" s="14">
        <f t="shared" si="92"/>
        <v>29.343349034999992</v>
      </c>
      <c r="Q360" s="14">
        <f t="shared" si="93"/>
        <v>12.628865567550003</v>
      </c>
      <c r="R360" s="28">
        <f t="shared" si="94"/>
        <v>2.0540344324499995</v>
      </c>
      <c r="S360" s="28">
        <f t="shared" si="95"/>
        <v>6.8487083214199647</v>
      </c>
      <c r="T360" s="28">
        <f t="shared" si="96"/>
        <v>5.8747315675500005</v>
      </c>
      <c r="U360" s="28">
        <f t="shared" si="88"/>
        <v>6.8487083214199647</v>
      </c>
      <c r="V360" s="28">
        <f t="shared" si="89"/>
        <v>5.7801572461300381</v>
      </c>
      <c r="W360" s="28">
        <f t="shared" si="90"/>
        <v>0.28900786230650194</v>
      </c>
      <c r="X360" s="28">
        <f t="shared" si="97"/>
        <v>7.1377161837264662</v>
      </c>
      <c r="Y360" s="14">
        <v>36.479390533099995</v>
      </c>
      <c r="Z360" s="13">
        <v>0.14249999999999999</v>
      </c>
      <c r="AA360" s="14">
        <v>35.805613303906696</v>
      </c>
      <c r="AB360" s="13">
        <f t="shared" si="99"/>
        <v>0.42859999999999998</v>
      </c>
      <c r="AC360" s="14">
        <v>42.541563303906699</v>
      </c>
      <c r="AD360" s="26">
        <f t="shared" ref="AD360:AD412" si="100">(AC360-Y360)/AC360</f>
        <v>0.14249999999999999</v>
      </c>
      <c r="AE360" s="4">
        <f t="shared" ref="AE360:AE412" si="101">ROUND(AC360,2)</f>
        <v>42.54</v>
      </c>
      <c r="AF360" s="27">
        <f t="shared" si="98"/>
        <v>0.14249999999999999</v>
      </c>
      <c r="AG360" s="4">
        <f t="shared" si="86"/>
        <v>36.479999999999997</v>
      </c>
      <c r="AH360" s="27">
        <f t="shared" si="87"/>
        <v>0.42859999999999998</v>
      </c>
    </row>
    <row r="361" spans="1:34" x14ac:dyDescent="0.35">
      <c r="A361" s="8" t="s">
        <v>752</v>
      </c>
      <c r="B361" s="9" t="s">
        <v>753</v>
      </c>
      <c r="C361" s="8" t="s">
        <v>1134</v>
      </c>
      <c r="D361" s="8" t="s">
        <v>1204</v>
      </c>
      <c r="E361" s="8" t="s">
        <v>905</v>
      </c>
      <c r="F361" s="25" t="s">
        <v>1072</v>
      </c>
      <c r="G361" s="8" t="s">
        <v>23</v>
      </c>
      <c r="H361" s="8">
        <v>10</v>
      </c>
      <c r="I361" s="8" t="s">
        <v>1163</v>
      </c>
      <c r="J361" s="10">
        <v>24.96</v>
      </c>
      <c r="K361" s="22">
        <v>0.39400000000000002</v>
      </c>
      <c r="L361" s="11">
        <v>18.11</v>
      </c>
      <c r="M361" s="13">
        <v>0.65090000000000003</v>
      </c>
      <c r="N361" s="17">
        <f t="shared" si="91"/>
        <v>6.3222009999999988</v>
      </c>
      <c r="O361" s="13">
        <v>0.1075</v>
      </c>
      <c r="P361" s="14">
        <f t="shared" si="92"/>
        <v>5.6425643924999989</v>
      </c>
      <c r="Q361" s="14">
        <f t="shared" si="93"/>
        <v>3.8482204925250008</v>
      </c>
      <c r="R361" s="28">
        <f t="shared" si="94"/>
        <v>0.39497950747499994</v>
      </c>
      <c r="S361" s="28">
        <f t="shared" si="95"/>
        <v>1.3169688866451073</v>
      </c>
      <c r="T361" s="28">
        <f t="shared" si="96"/>
        <v>1.896348492525</v>
      </c>
      <c r="U361" s="28">
        <f t="shared" si="88"/>
        <v>1.896348492525</v>
      </c>
      <c r="V361" s="28">
        <f t="shared" si="89"/>
        <v>1.9518720000000007</v>
      </c>
      <c r="W361" s="28">
        <f t="shared" si="90"/>
        <v>9.7593600000000044E-2</v>
      </c>
      <c r="X361" s="28">
        <f t="shared" si="97"/>
        <v>1.993942092525</v>
      </c>
      <c r="Y361" s="14">
        <v>7.6358811919999994</v>
      </c>
      <c r="Z361" s="13">
        <v>0.14249999999999999</v>
      </c>
      <c r="AA361" s="14">
        <v>6.9579927166180751</v>
      </c>
      <c r="AB361" s="13">
        <f t="shared" si="99"/>
        <v>0.61580000000000001</v>
      </c>
      <c r="AC361" s="14">
        <v>8.9048177166180746</v>
      </c>
      <c r="AD361" s="26">
        <f t="shared" si="100"/>
        <v>0.14249999999999996</v>
      </c>
      <c r="AE361" s="4">
        <f t="shared" si="101"/>
        <v>8.9</v>
      </c>
      <c r="AF361" s="27">
        <f t="shared" si="98"/>
        <v>0.14249999999999999</v>
      </c>
      <c r="AG361" s="4">
        <f t="shared" si="86"/>
        <v>7.64</v>
      </c>
      <c r="AH361" s="27">
        <f t="shared" si="87"/>
        <v>0.61580000000000001</v>
      </c>
    </row>
    <row r="362" spans="1:34" x14ac:dyDescent="0.35">
      <c r="A362" s="8" t="s">
        <v>754</v>
      </c>
      <c r="B362" s="9" t="s">
        <v>755</v>
      </c>
      <c r="C362" s="8" t="s">
        <v>1134</v>
      </c>
      <c r="D362" s="8" t="s">
        <v>1204</v>
      </c>
      <c r="E362" s="8" t="s">
        <v>905</v>
      </c>
      <c r="F362" s="25" t="s">
        <v>1072</v>
      </c>
      <c r="G362" s="8" t="s">
        <v>23</v>
      </c>
      <c r="H362" s="8">
        <v>15</v>
      </c>
      <c r="I362" s="8" t="s">
        <v>1163</v>
      </c>
      <c r="J362" s="10">
        <v>35.01</v>
      </c>
      <c r="K362" s="22">
        <v>0.39400000000000002</v>
      </c>
      <c r="L362" s="11">
        <v>25.4</v>
      </c>
      <c r="M362" s="13">
        <v>0.64510000000000001</v>
      </c>
      <c r="N362" s="17">
        <f t="shared" si="91"/>
        <v>9.0144599999999997</v>
      </c>
      <c r="O362" s="13">
        <v>0.1075</v>
      </c>
      <c r="P362" s="14">
        <f t="shared" si="92"/>
        <v>8.0454055499999999</v>
      </c>
      <c r="Q362" s="14">
        <f t="shared" si="93"/>
        <v>5.3885216114999999</v>
      </c>
      <c r="R362" s="28">
        <f t="shared" si="94"/>
        <v>0.56317838850000002</v>
      </c>
      <c r="S362" s="28">
        <f t="shared" si="95"/>
        <v>1.87778960996445</v>
      </c>
      <c r="T362" s="28">
        <f t="shared" si="96"/>
        <v>2.6507396114999997</v>
      </c>
      <c r="U362" s="28">
        <f t="shared" si="88"/>
        <v>2.6507396114999997</v>
      </c>
      <c r="V362" s="28">
        <f t="shared" si="89"/>
        <v>2.7377820000000002</v>
      </c>
      <c r="W362" s="28">
        <f t="shared" si="90"/>
        <v>0.13688910000000001</v>
      </c>
      <c r="X362" s="28">
        <f t="shared" si="97"/>
        <v>2.7876287114999996</v>
      </c>
      <c r="Y362" s="14">
        <v>10.832157262999999</v>
      </c>
      <c r="Z362" s="13">
        <v>0.14249999999999999</v>
      </c>
      <c r="AA362" s="14">
        <v>9.9017533679300289</v>
      </c>
      <c r="AB362" s="13">
        <f t="shared" si="99"/>
        <v>0.61019999999999996</v>
      </c>
      <c r="AC362" s="14">
        <v>12.632253367930028</v>
      </c>
      <c r="AD362" s="26">
        <f t="shared" si="100"/>
        <v>0.14249999999999999</v>
      </c>
      <c r="AE362" s="4">
        <f t="shared" si="101"/>
        <v>12.63</v>
      </c>
      <c r="AF362" s="27">
        <f t="shared" si="98"/>
        <v>0.14249999999999999</v>
      </c>
      <c r="AG362" s="4">
        <f t="shared" si="86"/>
        <v>10.83</v>
      </c>
      <c r="AH362" s="27">
        <f t="shared" si="87"/>
        <v>0.61019999999999996</v>
      </c>
    </row>
    <row r="363" spans="1:34" x14ac:dyDescent="0.35">
      <c r="A363" s="8" t="s">
        <v>756</v>
      </c>
      <c r="B363" s="9" t="s">
        <v>757</v>
      </c>
      <c r="C363" s="8" t="s">
        <v>1135</v>
      </c>
      <c r="D363" s="8" t="s">
        <v>1139</v>
      </c>
      <c r="E363" s="8" t="s">
        <v>905</v>
      </c>
      <c r="F363" s="25" t="s">
        <v>1073</v>
      </c>
      <c r="G363" s="8" t="s">
        <v>1114</v>
      </c>
      <c r="H363" s="8">
        <v>30</v>
      </c>
      <c r="I363" s="8" t="s">
        <v>1164</v>
      </c>
      <c r="J363" s="10">
        <v>112.91</v>
      </c>
      <c r="K363" s="22">
        <v>0.3417</v>
      </c>
      <c r="L363" s="11">
        <v>84.17</v>
      </c>
      <c r="M363" s="13">
        <v>0.3654</v>
      </c>
      <c r="N363" s="17">
        <f t="shared" si="91"/>
        <v>53.414282000000007</v>
      </c>
      <c r="O363" s="13">
        <v>0.1075</v>
      </c>
      <c r="P363" s="14">
        <f t="shared" si="92"/>
        <v>47.672246685000005</v>
      </c>
      <c r="Q363" s="14">
        <f t="shared" si="93"/>
        <v>15.85764273205</v>
      </c>
      <c r="R363" s="28">
        <f t="shared" si="94"/>
        <v>3.3370572679500006</v>
      </c>
      <c r="S363" s="28">
        <f t="shared" si="95"/>
        <v>11.126654704032315</v>
      </c>
      <c r="T363" s="28">
        <f t="shared" si="96"/>
        <v>7.0280807320499976</v>
      </c>
      <c r="U363" s="28">
        <f t="shared" si="88"/>
        <v>11.126654704032315</v>
      </c>
      <c r="V363" s="28">
        <f t="shared" si="89"/>
        <v>4.7309880280176841</v>
      </c>
      <c r="W363" s="28">
        <f t="shared" si="90"/>
        <v>0.23654940140088421</v>
      </c>
      <c r="X363" s="28">
        <f t="shared" si="97"/>
        <v>11.3632041054332</v>
      </c>
      <c r="Y363" s="14">
        <v>59.033834943574973</v>
      </c>
      <c r="Z363" s="13">
        <v>0.14249999999999999</v>
      </c>
      <c r="AA363" s="14">
        <v>59.795847383177801</v>
      </c>
      <c r="AB363" s="13">
        <f t="shared" si="99"/>
        <v>0.28960000000000002</v>
      </c>
      <c r="AC363" s="14">
        <v>68.844122383177805</v>
      </c>
      <c r="AD363" s="26">
        <f t="shared" si="100"/>
        <v>0.1424999999999999</v>
      </c>
      <c r="AE363" s="4">
        <f t="shared" si="101"/>
        <v>68.84</v>
      </c>
      <c r="AF363" s="27">
        <f t="shared" si="98"/>
        <v>0.14249999999999999</v>
      </c>
      <c r="AG363" s="4">
        <f t="shared" si="86"/>
        <v>59.03</v>
      </c>
      <c r="AH363" s="27">
        <f t="shared" si="87"/>
        <v>0.28960000000000002</v>
      </c>
    </row>
    <row r="364" spans="1:34" x14ac:dyDescent="0.35">
      <c r="A364" s="8" t="s">
        <v>758</v>
      </c>
      <c r="B364" s="9" t="s">
        <v>759</v>
      </c>
      <c r="C364" s="8" t="s">
        <v>1134</v>
      </c>
      <c r="D364" s="8" t="s">
        <v>1149</v>
      </c>
      <c r="E364" s="8" t="s">
        <v>905</v>
      </c>
      <c r="F364" s="25" t="s">
        <v>1074</v>
      </c>
      <c r="G364" s="8" t="s">
        <v>3</v>
      </c>
      <c r="H364" s="8">
        <v>30</v>
      </c>
      <c r="I364" s="8" t="s">
        <v>1163</v>
      </c>
      <c r="J364" s="10">
        <v>103.92</v>
      </c>
      <c r="K364" s="22">
        <v>0.39400000000000002</v>
      </c>
      <c r="L364" s="11">
        <v>75.39</v>
      </c>
      <c r="M364" s="13">
        <v>0.60460000000000003</v>
      </c>
      <c r="N364" s="17">
        <f t="shared" si="91"/>
        <v>29.809206</v>
      </c>
      <c r="O364" s="13">
        <v>0.1075</v>
      </c>
      <c r="P364" s="14">
        <f t="shared" si="92"/>
        <v>26.604716354999997</v>
      </c>
      <c r="Q364" s="14">
        <f t="shared" si="93"/>
        <v>15.804069855150003</v>
      </c>
      <c r="R364" s="28">
        <f t="shared" si="94"/>
        <v>1.86233014485</v>
      </c>
      <c r="S364" s="28">
        <f t="shared" si="95"/>
        <v>6.2095141925406434</v>
      </c>
      <c r="T364" s="28">
        <f t="shared" si="96"/>
        <v>7.6775258551499981</v>
      </c>
      <c r="U364" s="28">
        <f t="shared" si="88"/>
        <v>7.6775258551499981</v>
      </c>
      <c r="V364" s="28">
        <f t="shared" si="89"/>
        <v>8.1265440000000044</v>
      </c>
      <c r="W364" s="28">
        <f t="shared" si="90"/>
        <v>0.40632720000000022</v>
      </c>
      <c r="X364" s="28">
        <f t="shared" si="97"/>
        <v>8.0838530551499979</v>
      </c>
      <c r="Y364" s="14">
        <v>34.685966381924999</v>
      </c>
      <c r="Z364" s="13">
        <v>0.14249999999999999</v>
      </c>
      <c r="AA364" s="14">
        <v>32.345681567842561</v>
      </c>
      <c r="AB364" s="13">
        <f t="shared" si="99"/>
        <v>0.57099999999999995</v>
      </c>
      <c r="AC364" s="14">
        <v>40.45010656784256</v>
      </c>
      <c r="AD364" s="26">
        <f t="shared" si="100"/>
        <v>0.14249999999999993</v>
      </c>
      <c r="AE364" s="4">
        <f t="shared" si="101"/>
        <v>40.450000000000003</v>
      </c>
      <c r="AF364" s="27">
        <f t="shared" si="98"/>
        <v>0.14249999999999999</v>
      </c>
      <c r="AG364" s="4">
        <f t="shared" si="86"/>
        <v>34.69</v>
      </c>
      <c r="AH364" s="27">
        <f t="shared" si="87"/>
        <v>0.57099999999999995</v>
      </c>
    </row>
    <row r="365" spans="1:34" x14ac:dyDescent="0.35">
      <c r="A365" s="8" t="s">
        <v>760</v>
      </c>
      <c r="B365" s="9" t="s">
        <v>761</v>
      </c>
      <c r="C365" s="8" t="s">
        <v>1134</v>
      </c>
      <c r="D365" s="8" t="s">
        <v>1177</v>
      </c>
      <c r="E365" s="8" t="s">
        <v>905</v>
      </c>
      <c r="F365" s="25" t="s">
        <v>1075</v>
      </c>
      <c r="G365" s="8" t="s">
        <v>23</v>
      </c>
      <c r="H365" s="8">
        <v>10</v>
      </c>
      <c r="I365" s="8" t="s">
        <v>1163</v>
      </c>
      <c r="J365" s="10">
        <v>24.14</v>
      </c>
      <c r="K365" s="22">
        <v>0.39400000000000002</v>
      </c>
      <c r="L365" s="11">
        <v>17.510000000000002</v>
      </c>
      <c r="M365" s="13">
        <v>0.59699999999999998</v>
      </c>
      <c r="N365" s="17">
        <f t="shared" si="91"/>
        <v>7.0565300000000013</v>
      </c>
      <c r="O365" s="13">
        <v>0.1075</v>
      </c>
      <c r="P365" s="14">
        <f t="shared" si="92"/>
        <v>6.2979530250000009</v>
      </c>
      <c r="Q365" s="14">
        <f t="shared" si="93"/>
        <v>3.6629432882500006</v>
      </c>
      <c r="R365" s="28">
        <f t="shared" si="94"/>
        <v>0.44085671175000013</v>
      </c>
      <c r="S365" s="28">
        <f t="shared" si="95"/>
        <v>1.469935938081975</v>
      </c>
      <c r="T365" s="28">
        <f t="shared" si="96"/>
        <v>1.7751952882499997</v>
      </c>
      <c r="U365" s="28">
        <f t="shared" si="88"/>
        <v>1.7751952882499997</v>
      </c>
      <c r="V365" s="28">
        <f t="shared" si="89"/>
        <v>1.8877480000000009</v>
      </c>
      <c r="W365" s="28">
        <f t="shared" si="90"/>
        <v>9.4387400000000052E-2</v>
      </c>
      <c r="X365" s="28">
        <f t="shared" si="97"/>
        <v>1.8695826882499997</v>
      </c>
      <c r="Y365" s="14">
        <v>8.166931136725001</v>
      </c>
      <c r="Z365" s="13">
        <v>0.14249999999999999</v>
      </c>
      <c r="AA365" s="14">
        <v>7.6417929437026242</v>
      </c>
      <c r="AB365" s="13">
        <f t="shared" si="99"/>
        <v>0.56359999999999999</v>
      </c>
      <c r="AC365" s="14">
        <v>9.524117943702624</v>
      </c>
      <c r="AD365" s="26">
        <f t="shared" si="100"/>
        <v>0.1424999999999999</v>
      </c>
      <c r="AE365" s="4">
        <f t="shared" si="101"/>
        <v>9.52</v>
      </c>
      <c r="AF365" s="27">
        <f t="shared" si="98"/>
        <v>0.14249999999999999</v>
      </c>
      <c r="AG365" s="4">
        <f t="shared" ref="AG365:AG423" si="102">ROUND(Y365,2)</f>
        <v>8.17</v>
      </c>
      <c r="AH365" s="27">
        <f t="shared" ref="AH365:AH423" si="103">ROUND(AB365,4)</f>
        <v>0.56359999999999999</v>
      </c>
    </row>
    <row r="366" spans="1:34" x14ac:dyDescent="0.35">
      <c r="A366" s="8" t="s">
        <v>762</v>
      </c>
      <c r="B366" s="9" t="s">
        <v>763</v>
      </c>
      <c r="C366" s="8" t="s">
        <v>1134</v>
      </c>
      <c r="D366" s="8" t="s">
        <v>1177</v>
      </c>
      <c r="E366" s="8" t="s">
        <v>905</v>
      </c>
      <c r="F366" s="25" t="s">
        <v>1076</v>
      </c>
      <c r="G366" s="8" t="s">
        <v>23</v>
      </c>
      <c r="H366" s="8">
        <v>10</v>
      </c>
      <c r="I366" s="8" t="s">
        <v>1163</v>
      </c>
      <c r="J366" s="10">
        <v>29.9</v>
      </c>
      <c r="K366" s="22">
        <v>0.39400000000000002</v>
      </c>
      <c r="L366" s="11">
        <v>21.69</v>
      </c>
      <c r="M366" s="13">
        <v>0.70520000000000005</v>
      </c>
      <c r="N366" s="17">
        <f t="shared" si="91"/>
        <v>6.3942119999999996</v>
      </c>
      <c r="O366" s="13">
        <v>0.1075</v>
      </c>
      <c r="P366" s="14">
        <f t="shared" si="92"/>
        <v>5.7068342099999994</v>
      </c>
      <c r="Q366" s="14">
        <f t="shared" si="93"/>
        <v>4.6835216053000002</v>
      </c>
      <c r="R366" s="28">
        <f t="shared" si="94"/>
        <v>0.39947839470000002</v>
      </c>
      <c r="S366" s="28">
        <f t="shared" si="95"/>
        <v>1.3319693977797897</v>
      </c>
      <c r="T366" s="28">
        <f t="shared" si="96"/>
        <v>2.3453416052999998</v>
      </c>
      <c r="U366" s="28">
        <f t="shared" si="88"/>
        <v>2.3453416052999998</v>
      </c>
      <c r="V366" s="28">
        <f t="shared" si="89"/>
        <v>2.3381800000000004</v>
      </c>
      <c r="W366" s="28">
        <f t="shared" si="90"/>
        <v>0.11690900000000003</v>
      </c>
      <c r="X366" s="28">
        <f t="shared" si="97"/>
        <v>2.4622506053</v>
      </c>
      <c r="Y366" s="14">
        <v>8.1683359138249987</v>
      </c>
      <c r="Z366" s="13">
        <v>0.14249999999999999</v>
      </c>
      <c r="AA366" s="14">
        <v>7.1940811677259466</v>
      </c>
      <c r="AB366" s="13">
        <f t="shared" si="99"/>
        <v>0.66830000000000001</v>
      </c>
      <c r="AC366" s="14">
        <v>9.5257561677259464</v>
      </c>
      <c r="AD366" s="26">
        <f t="shared" si="100"/>
        <v>0.14250000000000004</v>
      </c>
      <c r="AE366" s="4">
        <f t="shared" si="101"/>
        <v>9.5299999999999994</v>
      </c>
      <c r="AF366" s="27">
        <f t="shared" si="98"/>
        <v>0.14249999999999999</v>
      </c>
      <c r="AG366" s="4">
        <f t="shared" si="102"/>
        <v>8.17</v>
      </c>
      <c r="AH366" s="27">
        <f t="shared" si="103"/>
        <v>0.66830000000000001</v>
      </c>
    </row>
    <row r="367" spans="1:34" x14ac:dyDescent="0.35">
      <c r="A367" s="8" t="s">
        <v>764</v>
      </c>
      <c r="B367" s="9" t="s">
        <v>765</v>
      </c>
      <c r="C367" s="8" t="s">
        <v>1134</v>
      </c>
      <c r="D367" s="8" t="s">
        <v>1177</v>
      </c>
      <c r="E367" s="8" t="s">
        <v>905</v>
      </c>
      <c r="F367" s="25" t="s">
        <v>1076</v>
      </c>
      <c r="G367" s="8" t="s">
        <v>25</v>
      </c>
      <c r="H367" s="8">
        <v>20</v>
      </c>
      <c r="I367" s="8" t="s">
        <v>1163</v>
      </c>
      <c r="J367" s="10">
        <v>20.52</v>
      </c>
      <c r="K367" s="22">
        <v>0.39400000000000002</v>
      </c>
      <c r="L367" s="11">
        <v>14.89</v>
      </c>
      <c r="M367" s="13">
        <v>0.625</v>
      </c>
      <c r="N367" s="17">
        <f t="shared" si="91"/>
        <v>5.5837500000000002</v>
      </c>
      <c r="O367" s="13">
        <v>0.1075</v>
      </c>
      <c r="P367" s="14">
        <f t="shared" si="92"/>
        <v>4.9834968750000002</v>
      </c>
      <c r="Q367" s="14">
        <f t="shared" si="93"/>
        <v>3.1395552187500004</v>
      </c>
      <c r="R367" s="28">
        <f t="shared" si="94"/>
        <v>0.34884478125000007</v>
      </c>
      <c r="S367" s="28">
        <f t="shared" si="95"/>
        <v>1.1631431871281253</v>
      </c>
      <c r="T367" s="28">
        <f t="shared" si="96"/>
        <v>1.5348912187499999</v>
      </c>
      <c r="U367" s="28">
        <f t="shared" si="88"/>
        <v>1.5348912187499999</v>
      </c>
      <c r="V367" s="28">
        <f t="shared" si="89"/>
        <v>1.6046640000000005</v>
      </c>
      <c r="W367" s="28">
        <f t="shared" si="90"/>
        <v>8.0233200000000032E-2</v>
      </c>
      <c r="X367" s="28">
        <f t="shared" si="97"/>
        <v>1.61512441875</v>
      </c>
      <c r="Y367" s="14">
        <v>6.5981071792750008</v>
      </c>
      <c r="Z367" s="13">
        <v>0.14249999999999999</v>
      </c>
      <c r="AA367" s="14">
        <v>6.0939106318075806</v>
      </c>
      <c r="AB367" s="13">
        <f t="shared" si="99"/>
        <v>0.5907</v>
      </c>
      <c r="AC367" s="14">
        <v>7.6945856318075805</v>
      </c>
      <c r="AD367" s="26">
        <f t="shared" si="100"/>
        <v>0.14249999999999993</v>
      </c>
      <c r="AE367" s="4">
        <f t="shared" si="101"/>
        <v>7.69</v>
      </c>
      <c r="AF367" s="27">
        <f t="shared" si="98"/>
        <v>0.14249999999999999</v>
      </c>
      <c r="AG367" s="4">
        <f t="shared" si="102"/>
        <v>6.6</v>
      </c>
      <c r="AH367" s="27">
        <f t="shared" si="103"/>
        <v>0.5907</v>
      </c>
    </row>
    <row r="368" spans="1:34" x14ac:dyDescent="0.35">
      <c r="A368" s="8" t="s">
        <v>766</v>
      </c>
      <c r="B368" s="9" t="s">
        <v>767</v>
      </c>
      <c r="C368" s="8" t="s">
        <v>1134</v>
      </c>
      <c r="D368" s="8" t="s">
        <v>1168</v>
      </c>
      <c r="E368" s="8" t="s">
        <v>905</v>
      </c>
      <c r="F368" s="25" t="s">
        <v>1077</v>
      </c>
      <c r="G368" s="8" t="s">
        <v>1111</v>
      </c>
      <c r="H368" s="8">
        <v>30</v>
      </c>
      <c r="I368" s="8" t="s">
        <v>1163</v>
      </c>
      <c r="J368" s="10">
        <v>190.88</v>
      </c>
      <c r="K368" s="22">
        <v>0.39400000000000002</v>
      </c>
      <c r="L368" s="11">
        <v>138.47999999999999</v>
      </c>
      <c r="M368" s="13">
        <v>0.78439999999999999</v>
      </c>
      <c r="N368" s="17">
        <f t="shared" si="91"/>
        <v>29.856287999999999</v>
      </c>
      <c r="O368" s="13">
        <v>0.1075</v>
      </c>
      <c r="P368" s="14">
        <f t="shared" si="92"/>
        <v>26.646737039999998</v>
      </c>
      <c r="Q368" s="14">
        <f t="shared" si="93"/>
        <v>30.584328407200005</v>
      </c>
      <c r="R368" s="28">
        <f t="shared" si="94"/>
        <v>1.8652715928000001</v>
      </c>
      <c r="S368" s="28">
        <f t="shared" si="95"/>
        <v>6.2193217783989594</v>
      </c>
      <c r="T368" s="28">
        <f t="shared" si="96"/>
        <v>15.657512407199999</v>
      </c>
      <c r="U368" s="28">
        <f t="shared" si="88"/>
        <v>15.657512407199999</v>
      </c>
      <c r="V368" s="28">
        <f t="shared" si="89"/>
        <v>14.926816000000006</v>
      </c>
      <c r="W368" s="28">
        <f t="shared" si="90"/>
        <v>0.74634080000000036</v>
      </c>
      <c r="X368" s="28">
        <f t="shared" si="97"/>
        <v>16.403853207199997</v>
      </c>
      <c r="Y368" s="14">
        <v>43.045808879000006</v>
      </c>
      <c r="Z368" s="13">
        <v>0.14249999999999999</v>
      </c>
      <c r="AA368" s="14">
        <v>35.312594027988339</v>
      </c>
      <c r="AB368" s="13">
        <f t="shared" si="99"/>
        <v>0.745</v>
      </c>
      <c r="AC368" s="14">
        <v>50.199194027988341</v>
      </c>
      <c r="AD368" s="26">
        <f t="shared" si="100"/>
        <v>0.14249999999999993</v>
      </c>
      <c r="AE368" s="4">
        <f t="shared" si="101"/>
        <v>50.2</v>
      </c>
      <c r="AF368" s="27">
        <f t="shared" si="98"/>
        <v>0.14249999999999999</v>
      </c>
      <c r="AG368" s="4">
        <f t="shared" si="102"/>
        <v>43.05</v>
      </c>
      <c r="AH368" s="27">
        <f t="shared" si="103"/>
        <v>0.745</v>
      </c>
    </row>
    <row r="369" spans="1:34" x14ac:dyDescent="0.35">
      <c r="A369" s="8" t="s">
        <v>768</v>
      </c>
      <c r="B369" s="9" t="s">
        <v>769</v>
      </c>
      <c r="C369" s="8" t="s">
        <v>1134</v>
      </c>
      <c r="D369" s="8" t="s">
        <v>1168</v>
      </c>
      <c r="E369" s="8" t="s">
        <v>905</v>
      </c>
      <c r="F369" s="25" t="s">
        <v>1077</v>
      </c>
      <c r="G369" s="8" t="s">
        <v>1116</v>
      </c>
      <c r="H369" s="8">
        <v>30</v>
      </c>
      <c r="I369" s="8" t="s">
        <v>1163</v>
      </c>
      <c r="J369" s="10">
        <v>119.41</v>
      </c>
      <c r="K369" s="22">
        <v>0.39400000000000002</v>
      </c>
      <c r="L369" s="11">
        <v>86.63</v>
      </c>
      <c r="M369" s="13">
        <v>0.77749999999999997</v>
      </c>
      <c r="N369" s="17">
        <f t="shared" si="91"/>
        <v>19.275175000000001</v>
      </c>
      <c r="O369" s="13">
        <v>0.1075</v>
      </c>
      <c r="P369" s="14">
        <f t="shared" si="92"/>
        <v>17.203093687500001</v>
      </c>
      <c r="Q369" s="14">
        <f t="shared" si="93"/>
        <v>19.095483441875</v>
      </c>
      <c r="R369" s="28">
        <f t="shared" si="94"/>
        <v>1.2042165581250002</v>
      </c>
      <c r="S369" s="28">
        <f t="shared" si="95"/>
        <v>4.0151848635688134</v>
      </c>
      <c r="T369" s="28">
        <f t="shared" si="96"/>
        <v>9.7576214418749991</v>
      </c>
      <c r="U369" s="28">
        <f t="shared" si="88"/>
        <v>9.7576214418749991</v>
      </c>
      <c r="V369" s="28">
        <f t="shared" si="89"/>
        <v>9.3378620000000012</v>
      </c>
      <c r="W369" s="28">
        <f t="shared" si="90"/>
        <v>0.46689310000000006</v>
      </c>
      <c r="X369" s="28">
        <f t="shared" si="97"/>
        <v>10.224514541874999</v>
      </c>
      <c r="Y369" s="14">
        <v>27.424617112050001</v>
      </c>
      <c r="Z369" s="13">
        <v>0.14249999999999999</v>
      </c>
      <c r="AA369" s="14">
        <v>22.669335772069971</v>
      </c>
      <c r="AB369" s="13">
        <f t="shared" si="99"/>
        <v>0.73829999999999996</v>
      </c>
      <c r="AC369" s="14">
        <v>31.982060772069971</v>
      </c>
      <c r="AD369" s="26">
        <f t="shared" si="100"/>
        <v>0.14249999999999999</v>
      </c>
      <c r="AE369" s="4">
        <f t="shared" si="101"/>
        <v>31.98</v>
      </c>
      <c r="AF369" s="27">
        <f t="shared" si="98"/>
        <v>0.14249999999999999</v>
      </c>
      <c r="AG369" s="4">
        <f t="shared" si="102"/>
        <v>27.42</v>
      </c>
      <c r="AH369" s="27">
        <f t="shared" si="103"/>
        <v>0.73829999999999996</v>
      </c>
    </row>
    <row r="370" spans="1:34" x14ac:dyDescent="0.35">
      <c r="A370" s="8" t="s">
        <v>770</v>
      </c>
      <c r="B370" s="9" t="s">
        <v>771</v>
      </c>
      <c r="C370" s="8" t="s">
        <v>1135</v>
      </c>
      <c r="D370" s="8" t="s">
        <v>1149</v>
      </c>
      <c r="E370" s="8" t="s">
        <v>905</v>
      </c>
      <c r="F370" s="25" t="s">
        <v>1078</v>
      </c>
      <c r="G370" s="8" t="s">
        <v>13</v>
      </c>
      <c r="H370" s="8">
        <v>30</v>
      </c>
      <c r="I370" s="8" t="s">
        <v>1164</v>
      </c>
      <c r="J370" s="10">
        <v>173.12</v>
      </c>
      <c r="K370" s="22">
        <v>0.3417</v>
      </c>
      <c r="L370" s="11">
        <v>129.05000000000001</v>
      </c>
      <c r="M370" s="13">
        <v>0.71940000000000004</v>
      </c>
      <c r="N370" s="17">
        <f t="shared" si="91"/>
        <v>36.21143</v>
      </c>
      <c r="O370" s="13">
        <v>0.1075</v>
      </c>
      <c r="P370" s="14">
        <f t="shared" si="92"/>
        <v>32.318701274999995</v>
      </c>
      <c r="Q370" s="14">
        <f t="shared" si="93"/>
        <v>27.168090910750003</v>
      </c>
      <c r="R370" s="28">
        <f t="shared" si="94"/>
        <v>2.26230908925</v>
      </c>
      <c r="S370" s="28">
        <f t="shared" si="95"/>
        <v>7.5431525588837243</v>
      </c>
      <c r="T370" s="28">
        <f t="shared" si="96"/>
        <v>13.630106910749999</v>
      </c>
      <c r="U370" s="28">
        <f t="shared" si="88"/>
        <v>13.630106910749999</v>
      </c>
      <c r="V370" s="28">
        <f t="shared" si="89"/>
        <v>13.537984000000003</v>
      </c>
      <c r="W370" s="28">
        <f t="shared" si="90"/>
        <v>0.67689920000000026</v>
      </c>
      <c r="X370" s="28">
        <f t="shared" si="97"/>
        <v>14.307006110749999</v>
      </c>
      <c r="Y370" s="14">
        <v>46.621251611875003</v>
      </c>
      <c r="Z370" s="13">
        <v>0.14249999999999999</v>
      </c>
      <c r="AA370" s="14">
        <v>40.495931544460639</v>
      </c>
      <c r="AB370" s="13">
        <f t="shared" si="99"/>
        <v>0.68620000000000003</v>
      </c>
      <c r="AC370" s="14">
        <v>54.368806544460639</v>
      </c>
      <c r="AD370" s="26">
        <f t="shared" si="100"/>
        <v>0.1424999999999999</v>
      </c>
      <c r="AE370" s="4">
        <f t="shared" si="101"/>
        <v>54.37</v>
      </c>
      <c r="AF370" s="27">
        <f t="shared" si="98"/>
        <v>0.14249999999999999</v>
      </c>
      <c r="AG370" s="4">
        <f t="shared" si="102"/>
        <v>46.62</v>
      </c>
      <c r="AH370" s="27">
        <f t="shared" si="103"/>
        <v>0.68620000000000003</v>
      </c>
    </row>
    <row r="371" spans="1:34" x14ac:dyDescent="0.35">
      <c r="A371" s="8" t="s">
        <v>772</v>
      </c>
      <c r="B371" s="9" t="s">
        <v>773</v>
      </c>
      <c r="C371" s="8" t="s">
        <v>1135</v>
      </c>
      <c r="D371" s="8" t="s">
        <v>1149</v>
      </c>
      <c r="E371" s="8" t="s">
        <v>905</v>
      </c>
      <c r="F371" s="25" t="s">
        <v>1078</v>
      </c>
      <c r="G371" s="8" t="s">
        <v>1109</v>
      </c>
      <c r="H371" s="8">
        <v>30</v>
      </c>
      <c r="I371" s="8" t="s">
        <v>1164</v>
      </c>
      <c r="J371" s="10">
        <v>335.78</v>
      </c>
      <c r="K371" s="22">
        <v>0.3417</v>
      </c>
      <c r="L371" s="11">
        <v>250.31</v>
      </c>
      <c r="M371" s="13">
        <v>0.73360000000000003</v>
      </c>
      <c r="N371" s="17">
        <f t="shared" si="91"/>
        <v>66.682583999999991</v>
      </c>
      <c r="O371" s="13">
        <v>0.1075</v>
      </c>
      <c r="P371" s="14">
        <f t="shared" si="92"/>
        <v>59.514206219999991</v>
      </c>
      <c r="Q371" s="14">
        <f t="shared" si="93"/>
        <v>52.916605564599998</v>
      </c>
      <c r="R371" s="28">
        <f t="shared" si="94"/>
        <v>4.1659944354</v>
      </c>
      <c r="S371" s="28">
        <f t="shared" si="95"/>
        <v>13.890556217541777</v>
      </c>
      <c r="T371" s="28">
        <f t="shared" si="96"/>
        <v>26.658609564599999</v>
      </c>
      <c r="U371" s="28">
        <f t="shared" si="88"/>
        <v>26.658609564599999</v>
      </c>
      <c r="V371" s="28">
        <f t="shared" si="89"/>
        <v>26.257995999999999</v>
      </c>
      <c r="W371" s="28">
        <f t="shared" si="90"/>
        <v>1.3128998000000001</v>
      </c>
      <c r="X371" s="28">
        <f t="shared" si="97"/>
        <v>27.971509364599999</v>
      </c>
      <c r="Y371" s="14">
        <v>87.477073006075003</v>
      </c>
      <c r="Z371" s="13">
        <v>0.14249999999999999</v>
      </c>
      <c r="AA371" s="14">
        <v>75.105754307376088</v>
      </c>
      <c r="AB371" s="13">
        <f t="shared" si="99"/>
        <v>0.69989999999999997</v>
      </c>
      <c r="AC371" s="14">
        <v>102.01407930737609</v>
      </c>
      <c r="AD371" s="26">
        <f t="shared" si="100"/>
        <v>0.14249999999999996</v>
      </c>
      <c r="AE371" s="4">
        <f t="shared" si="101"/>
        <v>102.01</v>
      </c>
      <c r="AF371" s="27">
        <f t="shared" si="98"/>
        <v>0.14249999999999999</v>
      </c>
      <c r="AG371" s="4">
        <f t="shared" si="102"/>
        <v>87.48</v>
      </c>
      <c r="AH371" s="27">
        <f t="shared" si="103"/>
        <v>0.69989999999999997</v>
      </c>
    </row>
    <row r="372" spans="1:34" x14ac:dyDescent="0.35">
      <c r="A372" s="8" t="s">
        <v>774</v>
      </c>
      <c r="B372" s="9" t="s">
        <v>775</v>
      </c>
      <c r="C372" s="8" t="s">
        <v>1135</v>
      </c>
      <c r="D372" s="8" t="s">
        <v>1149</v>
      </c>
      <c r="E372" s="8" t="s">
        <v>905</v>
      </c>
      <c r="F372" s="25" t="s">
        <v>1078</v>
      </c>
      <c r="G372" s="8" t="s">
        <v>1108</v>
      </c>
      <c r="H372" s="8">
        <v>30</v>
      </c>
      <c r="I372" s="8" t="s">
        <v>1164</v>
      </c>
      <c r="J372" s="10">
        <v>64.94</v>
      </c>
      <c r="K372" s="22">
        <v>0.3417</v>
      </c>
      <c r="L372" s="11">
        <v>48.41</v>
      </c>
      <c r="M372" s="13">
        <v>0.73009999999999997</v>
      </c>
      <c r="N372" s="17">
        <f t="shared" si="91"/>
        <v>13.065859</v>
      </c>
      <c r="O372" s="13">
        <v>0.1075</v>
      </c>
      <c r="P372" s="14">
        <f t="shared" si="92"/>
        <v>11.661279157499999</v>
      </c>
      <c r="Q372" s="14">
        <f t="shared" si="93"/>
        <v>10.223510458974999</v>
      </c>
      <c r="R372" s="28">
        <f t="shared" si="94"/>
        <v>0.81628954102500006</v>
      </c>
      <c r="S372" s="28">
        <f t="shared" si="95"/>
        <v>2.7217308940813423</v>
      </c>
      <c r="T372" s="28">
        <f t="shared" si="96"/>
        <v>5.1452024589749996</v>
      </c>
      <c r="U372" s="28">
        <f t="shared" si="88"/>
        <v>5.1452024589749996</v>
      </c>
      <c r="V372" s="28">
        <f t="shared" si="89"/>
        <v>5.0783079999999998</v>
      </c>
      <c r="W372" s="28">
        <f t="shared" si="90"/>
        <v>0.25391540000000001</v>
      </c>
      <c r="X372" s="28">
        <f t="shared" si="97"/>
        <v>5.399117858975</v>
      </c>
      <c r="Y372" s="14">
        <v>17.058725540200001</v>
      </c>
      <c r="Z372" s="13">
        <v>0.14249999999999999</v>
      </c>
      <c r="AA372" s="14">
        <v>14.6894824812828</v>
      </c>
      <c r="AB372" s="13">
        <f t="shared" si="99"/>
        <v>0.6966</v>
      </c>
      <c r="AC372" s="14">
        <v>19.893557481282798</v>
      </c>
      <c r="AD372" s="26">
        <f t="shared" si="100"/>
        <v>0.1424999999999999</v>
      </c>
      <c r="AE372" s="4">
        <f t="shared" si="101"/>
        <v>19.89</v>
      </c>
      <c r="AF372" s="27">
        <f t="shared" si="98"/>
        <v>0.14249999999999999</v>
      </c>
      <c r="AG372" s="4">
        <f t="shared" si="102"/>
        <v>17.059999999999999</v>
      </c>
      <c r="AH372" s="27">
        <f t="shared" si="103"/>
        <v>0.6966</v>
      </c>
    </row>
    <row r="373" spans="1:34" x14ac:dyDescent="0.35">
      <c r="A373" s="8" t="s">
        <v>776</v>
      </c>
      <c r="B373" s="9" t="s">
        <v>777</v>
      </c>
      <c r="C373" s="8" t="s">
        <v>1134</v>
      </c>
      <c r="D373" s="8" t="s">
        <v>1205</v>
      </c>
      <c r="E373" s="8" t="s">
        <v>905</v>
      </c>
      <c r="F373" s="25" t="s">
        <v>1079</v>
      </c>
      <c r="G373" s="8" t="s">
        <v>16</v>
      </c>
      <c r="H373" s="8">
        <v>20</v>
      </c>
      <c r="I373" s="8" t="s">
        <v>1163</v>
      </c>
      <c r="J373" s="10">
        <v>30.32</v>
      </c>
      <c r="K373" s="22">
        <v>0.39400000000000002</v>
      </c>
      <c r="L373" s="11">
        <v>22</v>
      </c>
      <c r="M373" s="13">
        <v>0.27429999999999999</v>
      </c>
      <c r="N373" s="17">
        <f t="shared" si="91"/>
        <v>15.965400000000001</v>
      </c>
      <c r="O373" s="13">
        <v>0.1075</v>
      </c>
      <c r="P373" s="14">
        <f t="shared" si="92"/>
        <v>14.249119500000001</v>
      </c>
      <c r="Q373" s="14">
        <f t="shared" si="93"/>
        <v>4.1569616350000009</v>
      </c>
      <c r="R373" s="28">
        <f t="shared" si="94"/>
        <v>0.99743836500000016</v>
      </c>
      <c r="S373" s="28">
        <f t="shared" si="95"/>
        <v>3.3257302421805002</v>
      </c>
      <c r="T373" s="28">
        <f t="shared" si="96"/>
        <v>1.7859376349999998</v>
      </c>
      <c r="U373" s="28">
        <f t="shared" si="88"/>
        <v>3.3257302421805002</v>
      </c>
      <c r="V373" s="28">
        <f t="shared" si="89"/>
        <v>0.83123139281950076</v>
      </c>
      <c r="W373" s="28">
        <f t="shared" si="90"/>
        <v>4.1561569640975043E-2</v>
      </c>
      <c r="X373" s="28">
        <f t="shared" si="97"/>
        <v>3.3672918118214752</v>
      </c>
      <c r="Y373" s="14">
        <v>17.615988968577074</v>
      </c>
      <c r="Z373" s="13">
        <v>0.14249999999999999</v>
      </c>
      <c r="AA373" s="14">
        <v>18.178427368603003</v>
      </c>
      <c r="AB373" s="13">
        <f t="shared" si="99"/>
        <v>0.17369999999999999</v>
      </c>
      <c r="AC373" s="14">
        <v>20.543427368603002</v>
      </c>
      <c r="AD373" s="26">
        <f t="shared" si="100"/>
        <v>0.14249999999999999</v>
      </c>
      <c r="AE373" s="4">
        <f t="shared" si="101"/>
        <v>20.54</v>
      </c>
      <c r="AF373" s="27">
        <f t="shared" si="98"/>
        <v>0.14249999999999999</v>
      </c>
      <c r="AG373" s="4">
        <f t="shared" si="102"/>
        <v>17.62</v>
      </c>
      <c r="AH373" s="27">
        <f t="shared" si="103"/>
        <v>0.17369999999999999</v>
      </c>
    </row>
    <row r="374" spans="1:34" x14ac:dyDescent="0.35">
      <c r="A374" s="8" t="s">
        <v>778</v>
      </c>
      <c r="B374" s="9" t="s">
        <v>779</v>
      </c>
      <c r="C374" s="8" t="s">
        <v>1134</v>
      </c>
      <c r="D374" s="8" t="s">
        <v>1139</v>
      </c>
      <c r="E374" s="8" t="s">
        <v>905</v>
      </c>
      <c r="F374" s="25" t="s">
        <v>1080</v>
      </c>
      <c r="G374" s="8" t="s">
        <v>1111</v>
      </c>
      <c r="H374" s="8">
        <v>1</v>
      </c>
      <c r="I374" s="8" t="s">
        <v>1163</v>
      </c>
      <c r="J374" s="10">
        <v>154.1</v>
      </c>
      <c r="K374" s="22">
        <v>0.39400000000000002</v>
      </c>
      <c r="L374" s="11">
        <v>111.8</v>
      </c>
      <c r="M374" s="13">
        <v>0.73209999999999997</v>
      </c>
      <c r="N374" s="17">
        <f t="shared" si="91"/>
        <v>29.951220000000003</v>
      </c>
      <c r="O374" s="13">
        <v>0.1075</v>
      </c>
      <c r="P374" s="14">
        <f t="shared" si="92"/>
        <v>26.731463850000001</v>
      </c>
      <c r="Q374" s="14">
        <f t="shared" si="93"/>
        <v>24.325797530499997</v>
      </c>
      <c r="R374" s="28">
        <f t="shared" si="94"/>
        <v>1.8712024695000002</v>
      </c>
      <c r="S374" s="28">
        <f t="shared" si="95"/>
        <v>6.2390969311261504</v>
      </c>
      <c r="T374" s="28">
        <f t="shared" si="96"/>
        <v>12.275177530499999</v>
      </c>
      <c r="U374" s="28">
        <f t="shared" si="88"/>
        <v>12.275177530499999</v>
      </c>
      <c r="V374" s="28">
        <f t="shared" si="89"/>
        <v>12.050619999999999</v>
      </c>
      <c r="W374" s="28">
        <f t="shared" si="90"/>
        <v>0.60253099999999993</v>
      </c>
      <c r="X374" s="28">
        <f t="shared" si="97"/>
        <v>12.877708530499998</v>
      </c>
      <c r="Y374" s="14">
        <v>39.605312206000008</v>
      </c>
      <c r="Z374" s="13">
        <v>0.14249999999999999</v>
      </c>
      <c r="AA374" s="14">
        <v>34.16845300991254</v>
      </c>
      <c r="AB374" s="13">
        <f t="shared" si="99"/>
        <v>0.69440000000000002</v>
      </c>
      <c r="AC374" s="14">
        <v>46.186953009912543</v>
      </c>
      <c r="AD374" s="26">
        <f t="shared" si="100"/>
        <v>0.14249999999999996</v>
      </c>
      <c r="AE374" s="4">
        <f t="shared" si="101"/>
        <v>46.19</v>
      </c>
      <c r="AF374" s="27">
        <f t="shared" si="98"/>
        <v>0.14249999999999999</v>
      </c>
      <c r="AG374" s="4">
        <f t="shared" si="102"/>
        <v>39.61</v>
      </c>
      <c r="AH374" s="27">
        <f t="shared" si="103"/>
        <v>0.69440000000000002</v>
      </c>
    </row>
    <row r="375" spans="1:34" x14ac:dyDescent="0.35">
      <c r="A375" s="8" t="s">
        <v>780</v>
      </c>
      <c r="B375" s="9" t="s">
        <v>781</v>
      </c>
      <c r="C375" s="8" t="s">
        <v>1134</v>
      </c>
      <c r="D375" s="8" t="s">
        <v>1139</v>
      </c>
      <c r="E375" s="8" t="s">
        <v>905</v>
      </c>
      <c r="F375" s="25" t="s">
        <v>1080</v>
      </c>
      <c r="G375" s="8" t="s">
        <v>1126</v>
      </c>
      <c r="H375" s="8">
        <v>4</v>
      </c>
      <c r="I375" s="8" t="s">
        <v>1163</v>
      </c>
      <c r="J375" s="10">
        <v>185.17</v>
      </c>
      <c r="K375" s="22">
        <v>0.39400000000000002</v>
      </c>
      <c r="L375" s="11">
        <v>134.34</v>
      </c>
      <c r="M375" s="13">
        <v>0.67310000000000003</v>
      </c>
      <c r="N375" s="17">
        <f t="shared" si="91"/>
        <v>43.915745999999999</v>
      </c>
      <c r="O375" s="13">
        <v>0.1075</v>
      </c>
      <c r="P375" s="14">
        <f t="shared" si="92"/>
        <v>39.194803304999994</v>
      </c>
      <c r="Q375" s="14">
        <f t="shared" si="93"/>
        <v>28.73526376865</v>
      </c>
      <c r="R375" s="28">
        <f t="shared" si="94"/>
        <v>2.74363623135</v>
      </c>
      <c r="S375" s="28">
        <f t="shared" si="95"/>
        <v>9.1480278965836916</v>
      </c>
      <c r="T375" s="28">
        <f t="shared" si="96"/>
        <v>14.25496976865</v>
      </c>
      <c r="U375" s="28">
        <f t="shared" si="88"/>
        <v>14.25496976865</v>
      </c>
      <c r="V375" s="28">
        <f t="shared" si="89"/>
        <v>14.480294000000001</v>
      </c>
      <c r="W375" s="28">
        <f t="shared" si="90"/>
        <v>0.72401470000000012</v>
      </c>
      <c r="X375" s="28">
        <f t="shared" si="97"/>
        <v>14.978984468649999</v>
      </c>
      <c r="Y375" s="14">
        <v>54.1691493493</v>
      </c>
      <c r="Z375" s="13">
        <v>0.14249999999999999</v>
      </c>
      <c r="AA375" s="14">
        <v>48.729469649329445</v>
      </c>
      <c r="AB375" s="13">
        <f t="shared" si="99"/>
        <v>0.63729999999999998</v>
      </c>
      <c r="AC375" s="14">
        <v>63.171019649329445</v>
      </c>
      <c r="AD375" s="26">
        <f t="shared" si="100"/>
        <v>0.14249999999999999</v>
      </c>
      <c r="AE375" s="4">
        <f t="shared" si="101"/>
        <v>63.17</v>
      </c>
      <c r="AF375" s="27">
        <f t="shared" si="98"/>
        <v>0.14249999999999999</v>
      </c>
      <c r="AG375" s="4">
        <f t="shared" si="102"/>
        <v>54.17</v>
      </c>
      <c r="AH375" s="27">
        <f t="shared" si="103"/>
        <v>0.63729999999999998</v>
      </c>
    </row>
    <row r="376" spans="1:34" x14ac:dyDescent="0.35">
      <c r="A376" s="8" t="s">
        <v>782</v>
      </c>
      <c r="B376" s="9" t="s">
        <v>783</v>
      </c>
      <c r="C376" s="8" t="s">
        <v>1134</v>
      </c>
      <c r="D376" s="8" t="s">
        <v>1139</v>
      </c>
      <c r="E376" s="8" t="s">
        <v>905</v>
      </c>
      <c r="F376" s="25" t="s">
        <v>1081</v>
      </c>
      <c r="G376" s="8" t="s">
        <v>1112</v>
      </c>
      <c r="H376" s="8">
        <v>6</v>
      </c>
      <c r="I376" s="8" t="s">
        <v>1163</v>
      </c>
      <c r="J376" s="10">
        <v>80.94</v>
      </c>
      <c r="K376" s="22">
        <v>0.39400000000000002</v>
      </c>
      <c r="L376" s="11">
        <v>58.72</v>
      </c>
      <c r="M376" s="13">
        <v>0.52359999999999995</v>
      </c>
      <c r="N376" s="17">
        <f t="shared" si="91"/>
        <v>27.974208000000001</v>
      </c>
      <c r="O376" s="13">
        <v>0.1075</v>
      </c>
      <c r="P376" s="14">
        <f t="shared" si="92"/>
        <v>24.966980639999999</v>
      </c>
      <c r="Q376" s="14">
        <f t="shared" si="93"/>
        <v>12.0121113552</v>
      </c>
      <c r="R376" s="28">
        <f t="shared" si="94"/>
        <v>1.7476886448000002</v>
      </c>
      <c r="S376" s="28">
        <f t="shared" si="95"/>
        <v>5.8272683143953596</v>
      </c>
      <c r="T376" s="28">
        <f t="shared" si="96"/>
        <v>5.6826033551999995</v>
      </c>
      <c r="U376" s="28">
        <f t="shared" si="88"/>
        <v>5.8272683143953596</v>
      </c>
      <c r="V376" s="28">
        <f t="shared" si="89"/>
        <v>6.1848430408046404</v>
      </c>
      <c r="W376" s="28">
        <f t="shared" si="90"/>
        <v>0.30924215204023203</v>
      </c>
      <c r="X376" s="28">
        <f t="shared" si="97"/>
        <v>6.1365104664355918</v>
      </c>
      <c r="Y376" s="14">
        <v>31.10537523759999</v>
      </c>
      <c r="Z376" s="13">
        <v>0.14249999999999999</v>
      </c>
      <c r="AA376" s="14">
        <v>29.962090073002905</v>
      </c>
      <c r="AB376" s="13">
        <f t="shared" si="99"/>
        <v>0.48970000000000002</v>
      </c>
      <c r="AC376" s="14">
        <v>36.274490073002902</v>
      </c>
      <c r="AD376" s="26">
        <f t="shared" si="100"/>
        <v>0.14249999999999996</v>
      </c>
      <c r="AE376" s="4">
        <f t="shared" si="101"/>
        <v>36.270000000000003</v>
      </c>
      <c r="AF376" s="27">
        <f t="shared" si="98"/>
        <v>0.14249999999999999</v>
      </c>
      <c r="AG376" s="4">
        <f t="shared" si="102"/>
        <v>31.11</v>
      </c>
      <c r="AH376" s="27">
        <f t="shared" si="103"/>
        <v>0.48970000000000002</v>
      </c>
    </row>
    <row r="377" spans="1:34" x14ac:dyDescent="0.35">
      <c r="A377" s="8" t="s">
        <v>784</v>
      </c>
      <c r="B377" s="9" t="s">
        <v>785</v>
      </c>
      <c r="C377" s="8" t="s">
        <v>1134</v>
      </c>
      <c r="D377" s="8" t="s">
        <v>1149</v>
      </c>
      <c r="E377" s="8" t="s">
        <v>905</v>
      </c>
      <c r="F377" s="25" t="s">
        <v>1082</v>
      </c>
      <c r="G377" s="8" t="s">
        <v>16</v>
      </c>
      <c r="H377" s="8">
        <v>10</v>
      </c>
      <c r="I377" s="8" t="s">
        <v>1163</v>
      </c>
      <c r="J377" s="10">
        <v>93.73</v>
      </c>
      <c r="K377" s="22">
        <v>0.39400000000000002</v>
      </c>
      <c r="L377" s="11">
        <v>68</v>
      </c>
      <c r="M377" s="13">
        <v>0.69730000000000003</v>
      </c>
      <c r="N377" s="17">
        <f t="shared" si="91"/>
        <v>20.583599999999997</v>
      </c>
      <c r="O377" s="13">
        <v>0.1075</v>
      </c>
      <c r="P377" s="14">
        <f t="shared" si="92"/>
        <v>18.370862999999996</v>
      </c>
      <c r="Q377" s="14">
        <f t="shared" si="93"/>
        <v>14.648139590000003</v>
      </c>
      <c r="R377" s="28">
        <f t="shared" si="94"/>
        <v>1.2859604099999999</v>
      </c>
      <c r="S377" s="28">
        <f t="shared" si="95"/>
        <v>4.2877410533369993</v>
      </c>
      <c r="T377" s="28">
        <f t="shared" si="96"/>
        <v>7.3184535900000007</v>
      </c>
      <c r="U377" s="28">
        <f t="shared" si="88"/>
        <v>7.3184535900000007</v>
      </c>
      <c r="V377" s="28">
        <f t="shared" si="89"/>
        <v>7.3296860000000024</v>
      </c>
      <c r="W377" s="28">
        <f t="shared" si="90"/>
        <v>0.36648430000000015</v>
      </c>
      <c r="X377" s="28">
        <f t="shared" si="97"/>
        <v>7.6849378900000005</v>
      </c>
      <c r="Y377" s="14">
        <v>26.053453019999999</v>
      </c>
      <c r="Z377" s="13">
        <v>0.14249999999999999</v>
      </c>
      <c r="AA377" s="14">
        <v>23.073035591836735</v>
      </c>
      <c r="AB377" s="13">
        <f t="shared" si="99"/>
        <v>0.66069999999999995</v>
      </c>
      <c r="AC377" s="14">
        <v>30.383035591836734</v>
      </c>
      <c r="AD377" s="26">
        <f t="shared" si="100"/>
        <v>0.14250000000000002</v>
      </c>
      <c r="AE377" s="4">
        <f t="shared" si="101"/>
        <v>30.38</v>
      </c>
      <c r="AF377" s="27">
        <f t="shared" si="98"/>
        <v>0.14249999999999999</v>
      </c>
      <c r="AG377" s="4">
        <f t="shared" si="102"/>
        <v>26.05</v>
      </c>
      <c r="AH377" s="27">
        <f t="shared" si="103"/>
        <v>0.66069999999999995</v>
      </c>
    </row>
    <row r="378" spans="1:34" x14ac:dyDescent="0.35">
      <c r="A378" s="8" t="s">
        <v>786</v>
      </c>
      <c r="B378" s="9" t="s">
        <v>787</v>
      </c>
      <c r="C378" s="8" t="s">
        <v>1134</v>
      </c>
      <c r="D378" s="8" t="s">
        <v>1149</v>
      </c>
      <c r="E378" s="8" t="s">
        <v>905</v>
      </c>
      <c r="F378" s="25" t="s">
        <v>1082</v>
      </c>
      <c r="G378" s="8" t="s">
        <v>16</v>
      </c>
      <c r="H378" s="8">
        <v>30</v>
      </c>
      <c r="I378" s="8" t="s">
        <v>1163</v>
      </c>
      <c r="J378" s="10">
        <v>281.20999999999998</v>
      </c>
      <c r="K378" s="22">
        <v>0.39400000000000002</v>
      </c>
      <c r="L378" s="11">
        <v>204.01</v>
      </c>
      <c r="M378" s="13">
        <v>0.81869999999999998</v>
      </c>
      <c r="N378" s="17">
        <f t="shared" si="91"/>
        <v>36.987013000000005</v>
      </c>
      <c r="O378" s="13">
        <v>0.1075</v>
      </c>
      <c r="P378" s="14">
        <f t="shared" si="92"/>
        <v>33.010909102500001</v>
      </c>
      <c r="Q378" s="14">
        <f t="shared" si="93"/>
        <v>45.494936362825001</v>
      </c>
      <c r="R378" s="28">
        <f t="shared" si="94"/>
        <v>2.3107636371750004</v>
      </c>
      <c r="S378" s="28">
        <f t="shared" si="95"/>
        <v>7.7047131736143974</v>
      </c>
      <c r="T378" s="28">
        <f t="shared" si="96"/>
        <v>23.504314362824996</v>
      </c>
      <c r="U378" s="28">
        <f t="shared" si="88"/>
        <v>23.504314362824996</v>
      </c>
      <c r="V378" s="28">
        <f t="shared" si="89"/>
        <v>21.990622000000005</v>
      </c>
      <c r="W378" s="28">
        <f t="shared" si="90"/>
        <v>1.0995311000000003</v>
      </c>
      <c r="X378" s="28">
        <f t="shared" si="97"/>
        <v>24.603845462824996</v>
      </c>
      <c r="Y378" s="14">
        <v>57.607710610050006</v>
      </c>
      <c r="Z378" s="13">
        <v>0.14249999999999999</v>
      </c>
      <c r="AA378" s="14">
        <v>45.249928626880468</v>
      </c>
      <c r="AB378" s="13">
        <f t="shared" si="99"/>
        <v>0.7782</v>
      </c>
      <c r="AC378" s="14">
        <v>67.181003626880468</v>
      </c>
      <c r="AD378" s="26">
        <f t="shared" si="100"/>
        <v>0.14249999999999993</v>
      </c>
      <c r="AE378" s="4">
        <f t="shared" si="101"/>
        <v>67.180000000000007</v>
      </c>
      <c r="AF378" s="27">
        <f t="shared" si="98"/>
        <v>0.14249999999999999</v>
      </c>
      <c r="AG378" s="4">
        <f t="shared" si="102"/>
        <v>57.61</v>
      </c>
      <c r="AH378" s="27">
        <f t="shared" si="103"/>
        <v>0.7782</v>
      </c>
    </row>
    <row r="379" spans="1:34" x14ac:dyDescent="0.35">
      <c r="A379" s="8" t="s">
        <v>788</v>
      </c>
      <c r="B379" s="9" t="s">
        <v>789</v>
      </c>
      <c r="C379" s="8" t="s">
        <v>1134</v>
      </c>
      <c r="D379" s="8" t="s">
        <v>1149</v>
      </c>
      <c r="E379" s="8" t="s">
        <v>905</v>
      </c>
      <c r="F379" s="25" t="s">
        <v>1082</v>
      </c>
      <c r="G379" s="8" t="s">
        <v>22</v>
      </c>
      <c r="H379" s="8">
        <v>14</v>
      </c>
      <c r="I379" s="8" t="s">
        <v>1163</v>
      </c>
      <c r="J379" s="10">
        <v>131.18</v>
      </c>
      <c r="K379" s="22">
        <v>0.39400000000000002</v>
      </c>
      <c r="L379" s="11">
        <v>95.17</v>
      </c>
      <c r="M379" s="13">
        <v>0.79330000000000001</v>
      </c>
      <c r="N379" s="17">
        <f t="shared" si="91"/>
        <v>19.671638999999999</v>
      </c>
      <c r="O379" s="13">
        <v>0.1075</v>
      </c>
      <c r="P379" s="14">
        <f t="shared" si="92"/>
        <v>17.556937807499999</v>
      </c>
      <c r="Q379" s="14">
        <f t="shared" si="93"/>
        <v>21.071614353475002</v>
      </c>
      <c r="R379" s="28">
        <f t="shared" si="94"/>
        <v>1.228985646525</v>
      </c>
      <c r="S379" s="28">
        <f t="shared" si="95"/>
        <v>4.0977717273326917</v>
      </c>
      <c r="T379" s="28">
        <f t="shared" si="96"/>
        <v>10.813338353474998</v>
      </c>
      <c r="U379" s="28">
        <f t="shared" si="88"/>
        <v>10.813338353474998</v>
      </c>
      <c r="V379" s="28">
        <f t="shared" si="89"/>
        <v>10.258276000000004</v>
      </c>
      <c r="W379" s="28">
        <f t="shared" si="90"/>
        <v>0.5129138000000002</v>
      </c>
      <c r="X379" s="28">
        <f t="shared" si="97"/>
        <v>11.326252153474998</v>
      </c>
      <c r="Y379" s="14">
        <v>28.879903978800002</v>
      </c>
      <c r="Z379" s="13">
        <v>0.14249999999999999</v>
      </c>
      <c r="AA379" s="14">
        <v>23.448413313469388</v>
      </c>
      <c r="AB379" s="13">
        <f t="shared" si="99"/>
        <v>0.75360000000000005</v>
      </c>
      <c r="AC379" s="14">
        <v>33.679188313469389</v>
      </c>
      <c r="AD379" s="26">
        <f t="shared" si="100"/>
        <v>0.14249999999999999</v>
      </c>
      <c r="AE379" s="4">
        <f t="shared" si="101"/>
        <v>33.68</v>
      </c>
      <c r="AF379" s="27">
        <f t="shared" si="98"/>
        <v>0.14249999999999999</v>
      </c>
      <c r="AG379" s="4">
        <f t="shared" si="102"/>
        <v>28.88</v>
      </c>
      <c r="AH379" s="27">
        <f t="shared" si="103"/>
        <v>0.75360000000000005</v>
      </c>
    </row>
    <row r="380" spans="1:34" x14ac:dyDescent="0.35">
      <c r="A380" s="8" t="s">
        <v>790</v>
      </c>
      <c r="B380" s="9" t="s">
        <v>791</v>
      </c>
      <c r="C380" s="8" t="s">
        <v>1134</v>
      </c>
      <c r="D380" s="8" t="s">
        <v>1149</v>
      </c>
      <c r="E380" s="8" t="s">
        <v>905</v>
      </c>
      <c r="F380" s="25" t="s">
        <v>1082</v>
      </c>
      <c r="G380" s="8" t="s">
        <v>22</v>
      </c>
      <c r="H380" s="8">
        <v>30</v>
      </c>
      <c r="I380" s="8" t="s">
        <v>1163</v>
      </c>
      <c r="J380" s="10">
        <v>277.60000000000002</v>
      </c>
      <c r="K380" s="22">
        <v>0.39400000000000002</v>
      </c>
      <c r="L380" s="11">
        <v>201.39</v>
      </c>
      <c r="M380" s="13">
        <v>0.82269999999999999</v>
      </c>
      <c r="N380" s="17">
        <f t="shared" si="91"/>
        <v>35.706446999999997</v>
      </c>
      <c r="O380" s="13">
        <v>0.1075</v>
      </c>
      <c r="P380" s="14">
        <f t="shared" si="92"/>
        <v>31.868003947499997</v>
      </c>
      <c r="Q380" s="14">
        <f t="shared" si="93"/>
        <v>44.961239723675007</v>
      </c>
      <c r="R380" s="28">
        <f t="shared" si="94"/>
        <v>2.2307602763249998</v>
      </c>
      <c r="S380" s="28">
        <f t="shared" si="95"/>
        <v>7.4379602533425508</v>
      </c>
      <c r="T380" s="28">
        <f t="shared" si="96"/>
        <v>23.252919723674999</v>
      </c>
      <c r="U380" s="28">
        <f t="shared" ref="U380:U443" si="104">IFERROR(IF(J380="-",P380*7%,LARGE(S380:T380,1)),"-")</f>
        <v>23.252919723674999</v>
      </c>
      <c r="V380" s="28">
        <f t="shared" ref="V380:V443" si="105">IFERROR(Q380-U380,"-")</f>
        <v>21.708320000000008</v>
      </c>
      <c r="W380" s="28">
        <f t="shared" ref="W380:W443" si="106">IFERROR(V380*5%,"-")</f>
        <v>1.0854160000000004</v>
      </c>
      <c r="X380" s="28">
        <f t="shared" si="97"/>
        <v>24.338335723675002</v>
      </c>
      <c r="Y380" s="14">
        <v>56.199386177950004</v>
      </c>
      <c r="Z380" s="13">
        <v>0.14249999999999999</v>
      </c>
      <c r="AA380" s="14">
        <v>43.889217773119533</v>
      </c>
      <c r="AB380" s="13">
        <f t="shared" si="99"/>
        <v>0.78210000000000002</v>
      </c>
      <c r="AC380" s="14">
        <v>65.538642773119534</v>
      </c>
      <c r="AD380" s="26">
        <f t="shared" si="100"/>
        <v>0.14249999999999996</v>
      </c>
      <c r="AE380" s="4">
        <f t="shared" si="101"/>
        <v>65.540000000000006</v>
      </c>
      <c r="AF380" s="27">
        <f t="shared" si="98"/>
        <v>0.14249999999999999</v>
      </c>
      <c r="AG380" s="4">
        <f t="shared" si="102"/>
        <v>56.2</v>
      </c>
      <c r="AH380" s="27">
        <f t="shared" si="103"/>
        <v>0.78210000000000002</v>
      </c>
    </row>
    <row r="381" spans="1:34" x14ac:dyDescent="0.35">
      <c r="A381" s="8" t="s">
        <v>792</v>
      </c>
      <c r="B381" s="9" t="s">
        <v>793</v>
      </c>
      <c r="C381" s="8" t="s">
        <v>1134</v>
      </c>
      <c r="D381" s="8" t="s">
        <v>1149</v>
      </c>
      <c r="E381" s="8" t="s">
        <v>905</v>
      </c>
      <c r="F381" s="25" t="s">
        <v>1082</v>
      </c>
      <c r="G381" s="8" t="s">
        <v>23</v>
      </c>
      <c r="H381" s="8">
        <v>14</v>
      </c>
      <c r="I381" s="8" t="s">
        <v>1163</v>
      </c>
      <c r="J381" s="10">
        <v>131.18</v>
      </c>
      <c r="K381" s="22">
        <v>0.39400000000000002</v>
      </c>
      <c r="L381" s="11">
        <v>95.17</v>
      </c>
      <c r="M381" s="13">
        <v>0.78259999999999996</v>
      </c>
      <c r="N381" s="17">
        <f t="shared" ref="N381:N444" si="107">L381*(1-M381)</f>
        <v>20.689958000000004</v>
      </c>
      <c r="O381" s="13">
        <v>0.1075</v>
      </c>
      <c r="P381" s="14">
        <f t="shared" ref="P381:P444" si="108">N381*(1-O381)</f>
        <v>18.465787515000002</v>
      </c>
      <c r="Q381" s="14">
        <f t="shared" ref="Q381:Q444" si="109">IFERROR(IF(J381="-",P381*(1+K381)*17%,(J381*17%)-R381),"-")</f>
        <v>21.007994873950004</v>
      </c>
      <c r="R381" s="28">
        <f t="shared" ref="R381:R444" si="110">IFERROR(P381*7%,"-")</f>
        <v>1.2926051260500002</v>
      </c>
      <c r="S381" s="28">
        <f t="shared" ref="S381:S444" si="111">IFERROR((P381*1.983*0.153)-R381,0)</f>
        <v>4.309896340213486</v>
      </c>
      <c r="T381" s="28">
        <f t="shared" ref="T381:T444" si="112">IFERROR((J381*0.6*0.153)-R381,0)</f>
        <v>10.749718873949998</v>
      </c>
      <c r="U381" s="28">
        <f t="shared" si="104"/>
        <v>10.749718873949998</v>
      </c>
      <c r="V381" s="28">
        <f t="shared" si="105"/>
        <v>10.258276000000006</v>
      </c>
      <c r="W381" s="28">
        <f t="shared" si="106"/>
        <v>0.51291380000000031</v>
      </c>
      <c r="X381" s="28">
        <f t="shared" ref="X381:X444" si="113">IF($J381="-",Q381-U381,Q381-V381+W381)</f>
        <v>11.262632673949998</v>
      </c>
      <c r="Y381" s="14">
        <v>29.725134206774992</v>
      </c>
      <c r="Z381" s="13">
        <v>0.14249999999999999</v>
      </c>
      <c r="AA381" s="14">
        <v>24.434104541428564</v>
      </c>
      <c r="AB381" s="13">
        <f t="shared" si="99"/>
        <v>0.74329999999999996</v>
      </c>
      <c r="AC381" s="14">
        <v>34.664879541428562</v>
      </c>
      <c r="AD381" s="26">
        <f t="shared" si="100"/>
        <v>0.14249999999999999</v>
      </c>
      <c r="AE381" s="4">
        <f t="shared" si="101"/>
        <v>34.659999999999997</v>
      </c>
      <c r="AF381" s="27">
        <f t="shared" ref="AF381:AF444" si="114">ROUND(AD381,4)</f>
        <v>0.14249999999999999</v>
      </c>
      <c r="AG381" s="4">
        <f t="shared" si="102"/>
        <v>29.73</v>
      </c>
      <c r="AH381" s="27">
        <f t="shared" si="103"/>
        <v>0.74329999999999996</v>
      </c>
    </row>
    <row r="382" spans="1:34" x14ac:dyDescent="0.35">
      <c r="A382" s="8" t="s">
        <v>794</v>
      </c>
      <c r="B382" s="9" t="s">
        <v>795</v>
      </c>
      <c r="C382" s="8" t="s">
        <v>1134</v>
      </c>
      <c r="D382" s="8" t="s">
        <v>1149</v>
      </c>
      <c r="E382" s="8" t="s">
        <v>905</v>
      </c>
      <c r="F382" s="25" t="s">
        <v>1082</v>
      </c>
      <c r="G382" s="8" t="s">
        <v>23</v>
      </c>
      <c r="H382" s="8">
        <v>30</v>
      </c>
      <c r="I382" s="8" t="s">
        <v>1163</v>
      </c>
      <c r="J382" s="10">
        <v>277.60000000000002</v>
      </c>
      <c r="K382" s="22">
        <v>0.39400000000000002</v>
      </c>
      <c r="L382" s="11">
        <v>201.39</v>
      </c>
      <c r="M382" s="13">
        <v>0.8004</v>
      </c>
      <c r="N382" s="17">
        <f t="shared" si="107"/>
        <v>40.197443999999997</v>
      </c>
      <c r="O382" s="13">
        <v>0.1075</v>
      </c>
      <c r="P382" s="14">
        <f t="shared" si="108"/>
        <v>35.876218769999994</v>
      </c>
      <c r="Q382" s="14">
        <f t="shared" si="109"/>
        <v>44.680664686100009</v>
      </c>
      <c r="R382" s="28">
        <f t="shared" si="110"/>
        <v>2.5113353138999996</v>
      </c>
      <c r="S382" s="28">
        <f t="shared" si="111"/>
        <v>8.3734735846992301</v>
      </c>
      <c r="T382" s="28">
        <f t="shared" si="112"/>
        <v>22.972344686100001</v>
      </c>
      <c r="U382" s="28">
        <f t="shared" si="104"/>
        <v>22.972344686100001</v>
      </c>
      <c r="V382" s="28">
        <f t="shared" si="105"/>
        <v>21.708320000000008</v>
      </c>
      <c r="W382" s="28">
        <f t="shared" si="106"/>
        <v>1.0854160000000004</v>
      </c>
      <c r="X382" s="28">
        <f t="shared" si="113"/>
        <v>24.057760686100004</v>
      </c>
      <c r="Y382" s="14">
        <v>59.927025962875</v>
      </c>
      <c r="Z382" s="13">
        <v>0.14249999999999999</v>
      </c>
      <c r="AA382" s="14">
        <v>48.236319563119537</v>
      </c>
      <c r="AB382" s="13">
        <f t="shared" si="99"/>
        <v>0.76049999999999995</v>
      </c>
      <c r="AC382" s="14">
        <v>69.88574456311953</v>
      </c>
      <c r="AD382" s="26">
        <f t="shared" si="100"/>
        <v>0.14249999999999996</v>
      </c>
      <c r="AE382" s="4">
        <f t="shared" si="101"/>
        <v>69.89</v>
      </c>
      <c r="AF382" s="27">
        <f t="shared" si="114"/>
        <v>0.14249999999999999</v>
      </c>
      <c r="AG382" s="4">
        <f t="shared" si="102"/>
        <v>59.93</v>
      </c>
      <c r="AH382" s="27">
        <f t="shared" si="103"/>
        <v>0.76049999999999995</v>
      </c>
    </row>
    <row r="383" spans="1:34" x14ac:dyDescent="0.35">
      <c r="A383" s="8" t="s">
        <v>796</v>
      </c>
      <c r="B383" s="9" t="s">
        <v>797</v>
      </c>
      <c r="C383" s="8" t="s">
        <v>1134</v>
      </c>
      <c r="D383" s="8" t="s">
        <v>1149</v>
      </c>
      <c r="E383" s="8" t="s">
        <v>905</v>
      </c>
      <c r="F383" s="25" t="s">
        <v>1083</v>
      </c>
      <c r="G383" s="8" t="s">
        <v>16</v>
      </c>
      <c r="H383" s="8">
        <v>30</v>
      </c>
      <c r="I383" s="8" t="s">
        <v>1163</v>
      </c>
      <c r="J383" s="10">
        <v>123.5</v>
      </c>
      <c r="K383" s="22">
        <v>0.39400000000000002</v>
      </c>
      <c r="L383" s="11">
        <v>89.6</v>
      </c>
      <c r="M383" s="13">
        <v>0.81269999999999998</v>
      </c>
      <c r="N383" s="17">
        <f t="shared" si="107"/>
        <v>16.782080000000001</v>
      </c>
      <c r="O383" s="13">
        <v>0.1075</v>
      </c>
      <c r="P383" s="14">
        <f t="shared" si="108"/>
        <v>14.9780064</v>
      </c>
      <c r="Q383" s="14">
        <f t="shared" si="109"/>
        <v>19.946539552000001</v>
      </c>
      <c r="R383" s="28">
        <f t="shared" si="110"/>
        <v>1.0484604480000002</v>
      </c>
      <c r="S383" s="28">
        <f t="shared" si="111"/>
        <v>3.4958517157535995</v>
      </c>
      <c r="T383" s="28">
        <f t="shared" si="112"/>
        <v>10.288839551999999</v>
      </c>
      <c r="U383" s="28">
        <f t="shared" si="104"/>
        <v>10.288839551999999</v>
      </c>
      <c r="V383" s="28">
        <f t="shared" si="105"/>
        <v>9.6577000000000019</v>
      </c>
      <c r="W383" s="28">
        <f t="shared" si="106"/>
        <v>0.48288500000000012</v>
      </c>
      <c r="X383" s="28">
        <f t="shared" si="113"/>
        <v>10.771724551999998</v>
      </c>
      <c r="Y383" s="14">
        <v>25.746637287999999</v>
      </c>
      <c r="Z383" s="13">
        <v>0.14249999999999999</v>
      </c>
      <c r="AA383" s="14">
        <v>20.393232988921284</v>
      </c>
      <c r="AB383" s="13">
        <f t="shared" si="99"/>
        <v>0.77239999999999998</v>
      </c>
      <c r="AC383" s="14">
        <v>30.025232988921282</v>
      </c>
      <c r="AD383" s="26">
        <f t="shared" si="100"/>
        <v>0.14250000000000002</v>
      </c>
      <c r="AE383" s="4">
        <f t="shared" si="101"/>
        <v>30.03</v>
      </c>
      <c r="AF383" s="27">
        <f t="shared" si="114"/>
        <v>0.14249999999999999</v>
      </c>
      <c r="AG383" s="4">
        <f t="shared" si="102"/>
        <v>25.75</v>
      </c>
      <c r="AH383" s="27">
        <f t="shared" si="103"/>
        <v>0.77239999999999998</v>
      </c>
    </row>
    <row r="384" spans="1:34" x14ac:dyDescent="0.35">
      <c r="A384" s="8" t="s">
        <v>798</v>
      </c>
      <c r="B384" s="9" t="s">
        <v>799</v>
      </c>
      <c r="C384" s="8" t="s">
        <v>1134</v>
      </c>
      <c r="D384" s="8" t="s">
        <v>1149</v>
      </c>
      <c r="E384" s="8" t="s">
        <v>905</v>
      </c>
      <c r="F384" s="25" t="s">
        <v>1083</v>
      </c>
      <c r="G384" s="8" t="s">
        <v>23</v>
      </c>
      <c r="H384" s="8">
        <v>30</v>
      </c>
      <c r="I384" s="8" t="s">
        <v>1163</v>
      </c>
      <c r="J384" s="10">
        <v>224.61</v>
      </c>
      <c r="K384" s="22">
        <v>0.39400000000000002</v>
      </c>
      <c r="L384" s="11">
        <v>162.94999999999999</v>
      </c>
      <c r="M384" s="13">
        <v>0.82089999999999996</v>
      </c>
      <c r="N384" s="17">
        <f t="shared" si="107"/>
        <v>29.184345000000004</v>
      </c>
      <c r="O384" s="13">
        <v>0.1075</v>
      </c>
      <c r="P384" s="14">
        <f t="shared" si="108"/>
        <v>26.047027912500003</v>
      </c>
      <c r="Q384" s="14">
        <f t="shared" si="109"/>
        <v>36.360408046125002</v>
      </c>
      <c r="R384" s="28">
        <f t="shared" si="110"/>
        <v>1.8232919538750003</v>
      </c>
      <c r="S384" s="28">
        <f t="shared" si="111"/>
        <v>6.0793502677495876</v>
      </c>
      <c r="T384" s="28">
        <f t="shared" si="112"/>
        <v>18.795906046124998</v>
      </c>
      <c r="U384" s="28">
        <f t="shared" si="104"/>
        <v>18.795906046124998</v>
      </c>
      <c r="V384" s="28">
        <f t="shared" si="105"/>
        <v>17.564502000000005</v>
      </c>
      <c r="W384" s="28">
        <f t="shared" si="106"/>
        <v>0.87822510000000031</v>
      </c>
      <c r="X384" s="28">
        <f t="shared" si="113"/>
        <v>19.674131146124999</v>
      </c>
      <c r="Y384" s="14">
        <v>45.715532802499993</v>
      </c>
      <c r="Z384" s="13">
        <v>0.14249999999999999</v>
      </c>
      <c r="AA384" s="14">
        <v>35.795449696792993</v>
      </c>
      <c r="AB384" s="13">
        <f t="shared" si="99"/>
        <v>0.78029999999999999</v>
      </c>
      <c r="AC384" s="14">
        <v>53.312574696792993</v>
      </c>
      <c r="AD384" s="26">
        <f t="shared" si="100"/>
        <v>0.14249999999999996</v>
      </c>
      <c r="AE384" s="4">
        <f t="shared" si="101"/>
        <v>53.31</v>
      </c>
      <c r="AF384" s="27">
        <f t="shared" si="114"/>
        <v>0.14249999999999999</v>
      </c>
      <c r="AG384" s="4">
        <f t="shared" si="102"/>
        <v>45.72</v>
      </c>
      <c r="AH384" s="27">
        <f t="shared" si="103"/>
        <v>0.78029999999999999</v>
      </c>
    </row>
    <row r="385" spans="1:34" x14ac:dyDescent="0.35">
      <c r="A385" s="8" t="s">
        <v>800</v>
      </c>
      <c r="B385" s="9" t="s">
        <v>801</v>
      </c>
      <c r="C385" s="8" t="s">
        <v>1134</v>
      </c>
      <c r="D385" s="8" t="s">
        <v>1149</v>
      </c>
      <c r="E385" s="8" t="s">
        <v>905</v>
      </c>
      <c r="F385" s="25" t="s">
        <v>1083</v>
      </c>
      <c r="G385" s="8" t="s">
        <v>19</v>
      </c>
      <c r="H385" s="8">
        <v>30</v>
      </c>
      <c r="I385" s="8" t="s">
        <v>1163</v>
      </c>
      <c r="J385" s="10">
        <v>173.54</v>
      </c>
      <c r="K385" s="22">
        <v>0.39400000000000002</v>
      </c>
      <c r="L385" s="11">
        <v>125.9</v>
      </c>
      <c r="M385" s="13">
        <v>0.49459999999999998</v>
      </c>
      <c r="N385" s="17">
        <f t="shared" si="107"/>
        <v>63.629860000000015</v>
      </c>
      <c r="O385" s="13">
        <v>0.1075</v>
      </c>
      <c r="P385" s="14">
        <f t="shared" si="108"/>
        <v>56.789650050000013</v>
      </c>
      <c r="Q385" s="14">
        <f t="shared" si="109"/>
        <v>25.526524496499999</v>
      </c>
      <c r="R385" s="28">
        <f t="shared" si="110"/>
        <v>3.9752755035000011</v>
      </c>
      <c r="S385" s="28">
        <f t="shared" si="111"/>
        <v>13.254647532019955</v>
      </c>
      <c r="T385" s="28">
        <f t="shared" si="112"/>
        <v>11.955696496499998</v>
      </c>
      <c r="U385" s="28">
        <f t="shared" si="104"/>
        <v>13.254647532019955</v>
      </c>
      <c r="V385" s="28">
        <f t="shared" si="105"/>
        <v>12.271876964480043</v>
      </c>
      <c r="W385" s="28">
        <f t="shared" si="106"/>
        <v>0.6135938482240022</v>
      </c>
      <c r="X385" s="28">
        <f t="shared" si="113"/>
        <v>13.868241380243958</v>
      </c>
      <c r="Y385" s="14">
        <v>70.66309268949999</v>
      </c>
      <c r="Z385" s="13">
        <v>0.14249999999999999</v>
      </c>
      <c r="AA385" s="14">
        <v>68.871688996501447</v>
      </c>
      <c r="AB385" s="13">
        <f t="shared" si="99"/>
        <v>0.45300000000000001</v>
      </c>
      <c r="AC385" s="14">
        <v>82.405938996501447</v>
      </c>
      <c r="AD385" s="26">
        <f t="shared" si="100"/>
        <v>0.14250000000000002</v>
      </c>
      <c r="AE385" s="4">
        <f t="shared" si="101"/>
        <v>82.41</v>
      </c>
      <c r="AF385" s="27">
        <f t="shared" si="114"/>
        <v>0.14249999999999999</v>
      </c>
      <c r="AG385" s="4">
        <f t="shared" si="102"/>
        <v>70.66</v>
      </c>
      <c r="AH385" s="27">
        <f t="shared" si="103"/>
        <v>0.45300000000000001</v>
      </c>
    </row>
    <row r="386" spans="1:34" x14ac:dyDescent="0.35">
      <c r="A386" s="8" t="s">
        <v>802</v>
      </c>
      <c r="B386" s="9" t="s">
        <v>803</v>
      </c>
      <c r="C386" s="8" t="s">
        <v>1134</v>
      </c>
      <c r="D386" s="8" t="s">
        <v>1149</v>
      </c>
      <c r="E386" s="8" t="s">
        <v>905</v>
      </c>
      <c r="F386" s="25" t="s">
        <v>1083</v>
      </c>
      <c r="G386" s="8" t="s">
        <v>25</v>
      </c>
      <c r="H386" s="8">
        <v>30</v>
      </c>
      <c r="I386" s="8" t="s">
        <v>1163</v>
      </c>
      <c r="J386" s="10">
        <v>87.38</v>
      </c>
      <c r="K386" s="22">
        <v>0.39400000000000002</v>
      </c>
      <c r="L386" s="11">
        <v>63.39</v>
      </c>
      <c r="M386" s="13">
        <v>0.73980000000000001</v>
      </c>
      <c r="N386" s="17">
        <f t="shared" si="107"/>
        <v>16.494077999999998</v>
      </c>
      <c r="O386" s="13">
        <v>0.1075</v>
      </c>
      <c r="P386" s="14">
        <f t="shared" si="108"/>
        <v>14.720964614999998</v>
      </c>
      <c r="Q386" s="14">
        <f t="shared" si="109"/>
        <v>13.82413247695</v>
      </c>
      <c r="R386" s="28">
        <f t="shared" si="110"/>
        <v>1.03046752305</v>
      </c>
      <c r="S386" s="28">
        <f t="shared" si="111"/>
        <v>3.4358584201763844</v>
      </c>
      <c r="T386" s="28">
        <f t="shared" si="112"/>
        <v>6.9910164769499996</v>
      </c>
      <c r="U386" s="28">
        <f t="shared" si="104"/>
        <v>6.9910164769499996</v>
      </c>
      <c r="V386" s="28">
        <f t="shared" si="105"/>
        <v>6.8331160000000004</v>
      </c>
      <c r="W386" s="28">
        <f t="shared" si="106"/>
        <v>0.34165580000000006</v>
      </c>
      <c r="X386" s="28">
        <f t="shared" si="113"/>
        <v>7.3326722769499995</v>
      </c>
      <c r="Y386" s="14">
        <v>22.051448193725001</v>
      </c>
      <c r="Z386" s="13">
        <v>0.14249999999999999</v>
      </c>
      <c r="AA386" s="14">
        <v>18.90154956994169</v>
      </c>
      <c r="AB386" s="13">
        <f t="shared" si="99"/>
        <v>0.70179999999999998</v>
      </c>
      <c r="AC386" s="14">
        <v>25.71597456994169</v>
      </c>
      <c r="AD386" s="26">
        <f t="shared" si="100"/>
        <v>0.1424999999999999</v>
      </c>
      <c r="AE386" s="4">
        <f t="shared" si="101"/>
        <v>25.72</v>
      </c>
      <c r="AF386" s="27">
        <f t="shared" si="114"/>
        <v>0.14249999999999999</v>
      </c>
      <c r="AG386" s="4">
        <f t="shared" si="102"/>
        <v>22.05</v>
      </c>
      <c r="AH386" s="27">
        <f t="shared" si="103"/>
        <v>0.70179999999999998</v>
      </c>
    </row>
    <row r="387" spans="1:34" x14ac:dyDescent="0.35">
      <c r="A387" s="8" t="s">
        <v>804</v>
      </c>
      <c r="B387" s="9" t="s">
        <v>805</v>
      </c>
      <c r="C387" s="8" t="s">
        <v>1134</v>
      </c>
      <c r="D387" s="8" t="s">
        <v>1149</v>
      </c>
      <c r="E387" s="8" t="s">
        <v>905</v>
      </c>
      <c r="F387" s="25" t="s">
        <v>1083</v>
      </c>
      <c r="G387" s="8" t="s">
        <v>25</v>
      </c>
      <c r="H387" s="8">
        <v>60</v>
      </c>
      <c r="I387" s="8" t="s">
        <v>1163</v>
      </c>
      <c r="J387" s="10">
        <v>161.81</v>
      </c>
      <c r="K387" s="22">
        <v>0.39400000000000002</v>
      </c>
      <c r="L387" s="11">
        <v>117.39</v>
      </c>
      <c r="M387" s="13">
        <v>0.74399999999999999</v>
      </c>
      <c r="N387" s="17">
        <f t="shared" si="107"/>
        <v>30.051840000000002</v>
      </c>
      <c r="O387" s="13">
        <v>0.1075</v>
      </c>
      <c r="P387" s="14">
        <f t="shared" si="108"/>
        <v>26.821267200000001</v>
      </c>
      <c r="Q387" s="14">
        <f t="shared" si="109"/>
        <v>25.630211296000002</v>
      </c>
      <c r="R387" s="28">
        <f t="shared" si="110"/>
        <v>1.8774887040000003</v>
      </c>
      <c r="S387" s="28">
        <f t="shared" si="111"/>
        <v>6.2600569432127999</v>
      </c>
      <c r="T387" s="28">
        <f t="shared" si="112"/>
        <v>12.976669295999999</v>
      </c>
      <c r="U387" s="28">
        <f t="shared" si="104"/>
        <v>12.976669295999999</v>
      </c>
      <c r="V387" s="28">
        <f t="shared" si="105"/>
        <v>12.653542000000003</v>
      </c>
      <c r="W387" s="28">
        <f t="shared" si="106"/>
        <v>0.63267710000000021</v>
      </c>
      <c r="X387" s="28">
        <f t="shared" si="113"/>
        <v>13.609346395999999</v>
      </c>
      <c r="Y387" s="14">
        <v>40.426560412775004</v>
      </c>
      <c r="Z387" s="13">
        <v>0.14249999999999999</v>
      </c>
      <c r="AA387" s="14">
        <v>34.525251866209913</v>
      </c>
      <c r="AB387" s="13">
        <f t="shared" ref="AB387:AB450" si="115">ROUND(1-(AA387/L387),4)</f>
        <v>0.70589999999999997</v>
      </c>
      <c r="AC387" s="14">
        <v>47.144676866209913</v>
      </c>
      <c r="AD387" s="26">
        <f t="shared" si="100"/>
        <v>0.14249999999999993</v>
      </c>
      <c r="AE387" s="4">
        <f t="shared" si="101"/>
        <v>47.14</v>
      </c>
      <c r="AF387" s="27">
        <f t="shared" si="114"/>
        <v>0.14249999999999999</v>
      </c>
      <c r="AG387" s="4">
        <f t="shared" si="102"/>
        <v>40.43</v>
      </c>
      <c r="AH387" s="27">
        <f t="shared" si="103"/>
        <v>0.70589999999999997</v>
      </c>
    </row>
    <row r="388" spans="1:34" x14ac:dyDescent="0.35">
      <c r="A388" s="8" t="s">
        <v>806</v>
      </c>
      <c r="B388" s="9" t="s">
        <v>807</v>
      </c>
      <c r="C388" s="8" t="s">
        <v>1135</v>
      </c>
      <c r="D388" s="8" t="s">
        <v>1139</v>
      </c>
      <c r="E388" s="8" t="s">
        <v>905</v>
      </c>
      <c r="F388" s="25" t="s">
        <v>1084</v>
      </c>
      <c r="G388" s="8" t="s">
        <v>1131</v>
      </c>
      <c r="H388" s="8">
        <v>15</v>
      </c>
      <c r="I388" s="8" t="s">
        <v>1164</v>
      </c>
      <c r="J388" s="10">
        <v>19.59</v>
      </c>
      <c r="K388" s="22">
        <v>0.3417</v>
      </c>
      <c r="L388" s="11">
        <v>14.6</v>
      </c>
      <c r="M388" s="13">
        <v>0.13700000000000001</v>
      </c>
      <c r="N388" s="17">
        <f t="shared" si="107"/>
        <v>12.5998</v>
      </c>
      <c r="O388" s="13">
        <v>0.1075</v>
      </c>
      <c r="P388" s="14">
        <f t="shared" si="108"/>
        <v>11.245321499999999</v>
      </c>
      <c r="Q388" s="14">
        <f t="shared" si="109"/>
        <v>2.5431274950000002</v>
      </c>
      <c r="R388" s="28">
        <f t="shared" si="110"/>
        <v>0.78717250500000002</v>
      </c>
      <c r="S388" s="28">
        <f t="shared" si="111"/>
        <v>2.6246467927785</v>
      </c>
      <c r="T388" s="28">
        <f t="shared" si="112"/>
        <v>1.0111894949999998</v>
      </c>
      <c r="U388" s="28">
        <f t="shared" si="104"/>
        <v>2.6246467927785</v>
      </c>
      <c r="V388" s="28">
        <f t="shared" si="105"/>
        <v>-8.1519297778499755E-2</v>
      </c>
      <c r="W388" s="28">
        <f t="shared" si="106"/>
        <v>-4.0759648889249879E-3</v>
      </c>
      <c r="X388" s="28">
        <f t="shared" si="113"/>
        <v>2.620570827889575</v>
      </c>
      <c r="Y388" s="14">
        <v>13.865541647222891</v>
      </c>
      <c r="Z388" s="13">
        <v>0.14249999999999999</v>
      </c>
      <c r="AA388" s="14">
        <v>14.600227868481504</v>
      </c>
      <c r="AB388" s="13">
        <f t="shared" si="115"/>
        <v>0</v>
      </c>
      <c r="AC388" s="14">
        <v>16.169727868481505</v>
      </c>
      <c r="AD388" s="26">
        <f t="shared" si="100"/>
        <v>0.14250000000000002</v>
      </c>
      <c r="AE388" s="4">
        <f t="shared" si="101"/>
        <v>16.170000000000002</v>
      </c>
      <c r="AF388" s="27">
        <f t="shared" si="114"/>
        <v>0.14249999999999999</v>
      </c>
      <c r="AG388" s="4">
        <f t="shared" si="102"/>
        <v>13.87</v>
      </c>
      <c r="AH388" s="27">
        <f t="shared" si="103"/>
        <v>0</v>
      </c>
    </row>
    <row r="389" spans="1:34" x14ac:dyDescent="0.35">
      <c r="A389" s="8" t="s">
        <v>808</v>
      </c>
      <c r="B389" s="9" t="s">
        <v>809</v>
      </c>
      <c r="C389" s="8" t="s">
        <v>1135</v>
      </c>
      <c r="D389" s="8" t="s">
        <v>1139</v>
      </c>
      <c r="E389" s="8" t="s">
        <v>905</v>
      </c>
      <c r="F389" s="25" t="s">
        <v>1084</v>
      </c>
      <c r="G389" s="8" t="s">
        <v>1131</v>
      </c>
      <c r="H389" s="8">
        <v>6</v>
      </c>
      <c r="I389" s="8" t="s">
        <v>1164</v>
      </c>
      <c r="J389" s="10">
        <v>26.7</v>
      </c>
      <c r="K389" s="22">
        <v>0.3417</v>
      </c>
      <c r="L389" s="11">
        <v>19.899999999999999</v>
      </c>
      <c r="M389" s="13">
        <v>0.13700000000000001</v>
      </c>
      <c r="N389" s="17">
        <f t="shared" si="107"/>
        <v>17.1737</v>
      </c>
      <c r="O389" s="13">
        <v>0.1075</v>
      </c>
      <c r="P389" s="14">
        <f t="shared" si="108"/>
        <v>15.327527249999999</v>
      </c>
      <c r="Q389" s="14">
        <f t="shared" si="109"/>
        <v>3.4660730925000003</v>
      </c>
      <c r="R389" s="28">
        <f t="shared" si="110"/>
        <v>1.0729269075000001</v>
      </c>
      <c r="S389" s="28">
        <f t="shared" si="111"/>
        <v>3.5774295326227499</v>
      </c>
      <c r="T389" s="28">
        <f t="shared" si="112"/>
        <v>1.3781330924999999</v>
      </c>
      <c r="U389" s="28">
        <f t="shared" si="104"/>
        <v>3.5774295326227499</v>
      </c>
      <c r="V389" s="28">
        <f t="shared" si="105"/>
        <v>-0.11135644012274959</v>
      </c>
      <c r="W389" s="28">
        <f t="shared" si="106"/>
        <v>-5.5678220061374795E-3</v>
      </c>
      <c r="X389" s="28">
        <f t="shared" si="113"/>
        <v>3.5718617106166124</v>
      </c>
      <c r="Y389" s="14">
        <v>18.89891097806407</v>
      </c>
      <c r="Z389" s="13">
        <v>0.14249999999999999</v>
      </c>
      <c r="AA389" s="14">
        <v>19.90029633010387</v>
      </c>
      <c r="AB389" s="13">
        <f t="shared" si="115"/>
        <v>0</v>
      </c>
      <c r="AC389" s="14">
        <v>22.039546330103871</v>
      </c>
      <c r="AD389" s="26">
        <f t="shared" si="100"/>
        <v>0.14249999999999999</v>
      </c>
      <c r="AE389" s="4">
        <f t="shared" si="101"/>
        <v>22.04</v>
      </c>
      <c r="AF389" s="27">
        <f t="shared" si="114"/>
        <v>0.14249999999999999</v>
      </c>
      <c r="AG389" s="4">
        <f t="shared" si="102"/>
        <v>18.899999999999999</v>
      </c>
      <c r="AH389" s="27">
        <f t="shared" si="103"/>
        <v>0</v>
      </c>
    </row>
    <row r="390" spans="1:34" x14ac:dyDescent="0.35">
      <c r="A390" s="8" t="s">
        <v>810</v>
      </c>
      <c r="B390" s="9" t="s">
        <v>811</v>
      </c>
      <c r="C390" s="8" t="s">
        <v>1134</v>
      </c>
      <c r="D390" s="8" t="s">
        <v>1168</v>
      </c>
      <c r="E390" s="8" t="s">
        <v>905</v>
      </c>
      <c r="F390" s="25" t="s">
        <v>1085</v>
      </c>
      <c r="G390" s="8" t="s">
        <v>13</v>
      </c>
      <c r="H390" s="8">
        <v>30</v>
      </c>
      <c r="I390" s="8" t="s">
        <v>1163</v>
      </c>
      <c r="J390" s="10">
        <v>227.97</v>
      </c>
      <c r="K390" s="22">
        <v>0.39400000000000002</v>
      </c>
      <c r="L390" s="11">
        <v>165.39</v>
      </c>
      <c r="M390" s="13">
        <v>0.79720000000000002</v>
      </c>
      <c r="N390" s="17">
        <f t="shared" si="107"/>
        <v>33.541091999999992</v>
      </c>
      <c r="O390" s="13">
        <v>0.1075</v>
      </c>
      <c r="P390" s="14">
        <f t="shared" si="108"/>
        <v>29.935424609999991</v>
      </c>
      <c r="Q390" s="14">
        <f t="shared" si="109"/>
        <v>36.659420277300001</v>
      </c>
      <c r="R390" s="28">
        <f t="shared" si="110"/>
        <v>2.0954797226999995</v>
      </c>
      <c r="S390" s="28">
        <f t="shared" si="111"/>
        <v>6.9868981685493887</v>
      </c>
      <c r="T390" s="28">
        <f t="shared" si="112"/>
        <v>18.832166277299997</v>
      </c>
      <c r="U390" s="28">
        <f t="shared" si="104"/>
        <v>18.832166277299997</v>
      </c>
      <c r="V390" s="28">
        <f t="shared" si="105"/>
        <v>17.827254000000003</v>
      </c>
      <c r="W390" s="28">
        <f t="shared" si="106"/>
        <v>0.89136270000000017</v>
      </c>
      <c r="X390" s="28">
        <f t="shared" si="113"/>
        <v>19.723528977299999</v>
      </c>
      <c r="Y390" s="14">
        <v>49.653243084074994</v>
      </c>
      <c r="Z390" s="13">
        <v>0.14249999999999999</v>
      </c>
      <c r="AA390" s="14">
        <v>40.125231657813401</v>
      </c>
      <c r="AB390" s="13">
        <f t="shared" si="115"/>
        <v>0.75739999999999996</v>
      </c>
      <c r="AC390" s="14">
        <v>57.904656657813405</v>
      </c>
      <c r="AD390" s="26">
        <f t="shared" si="100"/>
        <v>0.14250000000000002</v>
      </c>
      <c r="AE390" s="4">
        <f t="shared" si="101"/>
        <v>57.9</v>
      </c>
      <c r="AF390" s="27">
        <f t="shared" si="114"/>
        <v>0.14249999999999999</v>
      </c>
      <c r="AG390" s="4">
        <f t="shared" si="102"/>
        <v>49.65</v>
      </c>
      <c r="AH390" s="27">
        <f t="shared" si="103"/>
        <v>0.75739999999999996</v>
      </c>
    </row>
    <row r="391" spans="1:34" x14ac:dyDescent="0.35">
      <c r="A391" s="8" t="s">
        <v>812</v>
      </c>
      <c r="B391" s="9" t="s">
        <v>813</v>
      </c>
      <c r="C391" s="8" t="s">
        <v>1134</v>
      </c>
      <c r="D391" s="8" t="s">
        <v>1168</v>
      </c>
      <c r="E391" s="8" t="s">
        <v>905</v>
      </c>
      <c r="F391" s="25" t="s">
        <v>1085</v>
      </c>
      <c r="G391" s="8" t="s">
        <v>20</v>
      </c>
      <c r="H391" s="8">
        <v>30</v>
      </c>
      <c r="I391" s="8" t="s">
        <v>1163</v>
      </c>
      <c r="J391" s="10">
        <v>106.27</v>
      </c>
      <c r="K391" s="22">
        <v>0.39400000000000002</v>
      </c>
      <c r="L391" s="11">
        <v>77.099999999999994</v>
      </c>
      <c r="M391" s="13">
        <v>0.77290000000000003</v>
      </c>
      <c r="N391" s="17">
        <f t="shared" si="107"/>
        <v>17.509409999999995</v>
      </c>
      <c r="O391" s="13">
        <v>0.1075</v>
      </c>
      <c r="P391" s="14">
        <f t="shared" si="108"/>
        <v>15.627148424999996</v>
      </c>
      <c r="Q391" s="14">
        <f t="shared" si="109"/>
        <v>16.971999610249998</v>
      </c>
      <c r="R391" s="28">
        <f t="shared" si="110"/>
        <v>1.0939003897499999</v>
      </c>
      <c r="S391" s="28">
        <f t="shared" si="111"/>
        <v>3.6473608152465742</v>
      </c>
      <c r="T391" s="28">
        <f t="shared" si="112"/>
        <v>8.6616856102500002</v>
      </c>
      <c r="U391" s="28">
        <f t="shared" si="104"/>
        <v>8.6616856102500002</v>
      </c>
      <c r="V391" s="28">
        <f t="shared" si="105"/>
        <v>8.3103139999999982</v>
      </c>
      <c r="W391" s="28">
        <f t="shared" si="106"/>
        <v>0.41551569999999993</v>
      </c>
      <c r="X391" s="28">
        <f t="shared" si="113"/>
        <v>9.0772013102500004</v>
      </c>
      <c r="Y391" s="14">
        <v>24.701687664999998</v>
      </c>
      <c r="Z391" s="13">
        <v>0.14249999999999999</v>
      </c>
      <c r="AA391" s="14">
        <v>20.518382845481046</v>
      </c>
      <c r="AB391" s="13">
        <f t="shared" si="115"/>
        <v>0.7339</v>
      </c>
      <c r="AC391" s="14">
        <v>28.806632845481047</v>
      </c>
      <c r="AD391" s="26">
        <f t="shared" si="100"/>
        <v>0.14250000000000002</v>
      </c>
      <c r="AE391" s="4">
        <f t="shared" si="101"/>
        <v>28.81</v>
      </c>
      <c r="AF391" s="27">
        <f t="shared" si="114"/>
        <v>0.14249999999999999</v>
      </c>
      <c r="AG391" s="4">
        <f t="shared" si="102"/>
        <v>24.7</v>
      </c>
      <c r="AH391" s="27">
        <f t="shared" si="103"/>
        <v>0.7339</v>
      </c>
    </row>
    <row r="392" spans="1:34" x14ac:dyDescent="0.35">
      <c r="A392" s="8" t="s">
        <v>814</v>
      </c>
      <c r="B392" s="9" t="s">
        <v>815</v>
      </c>
      <c r="C392" s="8" t="s">
        <v>1135</v>
      </c>
      <c r="D392" s="8" t="s">
        <v>1168</v>
      </c>
      <c r="E392" s="8" t="s">
        <v>905</v>
      </c>
      <c r="F392" s="25" t="s">
        <v>1086</v>
      </c>
      <c r="G392" s="8" t="s">
        <v>16</v>
      </c>
      <c r="H392" s="8">
        <v>30</v>
      </c>
      <c r="I392" s="8" t="s">
        <v>1164</v>
      </c>
      <c r="J392" s="10">
        <v>84.15</v>
      </c>
      <c r="K392" s="22">
        <v>0.3417</v>
      </c>
      <c r="L392" s="11">
        <v>62.73</v>
      </c>
      <c r="M392" s="13">
        <v>0.66159999999999997</v>
      </c>
      <c r="N392" s="17">
        <f t="shared" si="107"/>
        <v>21.227831999999999</v>
      </c>
      <c r="O392" s="13">
        <v>0.1075</v>
      </c>
      <c r="P392" s="14">
        <f t="shared" si="108"/>
        <v>18.945840059999998</v>
      </c>
      <c r="Q392" s="14">
        <f t="shared" si="109"/>
        <v>12.979291195800002</v>
      </c>
      <c r="R392" s="28">
        <f t="shared" si="110"/>
        <v>1.3262088042</v>
      </c>
      <c r="S392" s="28">
        <f t="shared" si="111"/>
        <v>4.4219401241639398</v>
      </c>
      <c r="T392" s="28">
        <f t="shared" si="112"/>
        <v>6.3987611957999997</v>
      </c>
      <c r="U392" s="28">
        <f t="shared" si="104"/>
        <v>6.3987611957999997</v>
      </c>
      <c r="V392" s="28">
        <f t="shared" si="105"/>
        <v>6.5805300000000022</v>
      </c>
      <c r="W392" s="28">
        <f t="shared" si="106"/>
        <v>0.32902650000000011</v>
      </c>
      <c r="X392" s="28">
        <f t="shared" si="113"/>
        <v>6.7277876958</v>
      </c>
      <c r="Y392" s="14">
        <v>25.671461845724998</v>
      </c>
      <c r="Z392" s="13">
        <v>0.14249999999999999</v>
      </c>
      <c r="AA392" s="14">
        <v>23.19408983466472</v>
      </c>
      <c r="AB392" s="13">
        <f t="shared" si="115"/>
        <v>0.63029999999999997</v>
      </c>
      <c r="AC392" s="14">
        <v>29.93756483466472</v>
      </c>
      <c r="AD392" s="26">
        <f t="shared" si="100"/>
        <v>0.14249999999999996</v>
      </c>
      <c r="AE392" s="4">
        <f t="shared" si="101"/>
        <v>29.94</v>
      </c>
      <c r="AF392" s="27">
        <f t="shared" si="114"/>
        <v>0.14249999999999999</v>
      </c>
      <c r="AG392" s="4">
        <f t="shared" si="102"/>
        <v>25.67</v>
      </c>
      <c r="AH392" s="27">
        <f t="shared" si="103"/>
        <v>0.63029999999999997</v>
      </c>
    </row>
    <row r="393" spans="1:34" x14ac:dyDescent="0.35">
      <c r="A393" s="8" t="s">
        <v>816</v>
      </c>
      <c r="B393" s="9" t="s">
        <v>817</v>
      </c>
      <c r="C393" s="8" t="s">
        <v>1135</v>
      </c>
      <c r="D393" s="8" t="s">
        <v>1168</v>
      </c>
      <c r="E393" s="8" t="s">
        <v>905</v>
      </c>
      <c r="F393" s="25" t="s">
        <v>1086</v>
      </c>
      <c r="G393" s="8" t="s">
        <v>22</v>
      </c>
      <c r="H393" s="8">
        <v>30</v>
      </c>
      <c r="I393" s="8" t="s">
        <v>1164</v>
      </c>
      <c r="J393" s="10">
        <v>100.15</v>
      </c>
      <c r="K393" s="22">
        <v>0.3417</v>
      </c>
      <c r="L393" s="11">
        <v>74.66</v>
      </c>
      <c r="M393" s="13">
        <v>0.70240000000000002</v>
      </c>
      <c r="N393" s="17">
        <f t="shared" si="107"/>
        <v>22.218815999999997</v>
      </c>
      <c r="O393" s="13">
        <v>0.1075</v>
      </c>
      <c r="P393" s="14">
        <f t="shared" si="108"/>
        <v>19.830293279999996</v>
      </c>
      <c r="Q393" s="14">
        <f t="shared" si="109"/>
        <v>15.637379470400001</v>
      </c>
      <c r="R393" s="28">
        <f t="shared" si="110"/>
        <v>1.3881205295999999</v>
      </c>
      <c r="S393" s="28">
        <f t="shared" si="111"/>
        <v>4.6283706212587195</v>
      </c>
      <c r="T393" s="28">
        <f t="shared" si="112"/>
        <v>7.8056494704000006</v>
      </c>
      <c r="U393" s="28">
        <f t="shared" si="104"/>
        <v>7.8056494704000006</v>
      </c>
      <c r="V393" s="28">
        <f t="shared" si="105"/>
        <v>7.8317300000000003</v>
      </c>
      <c r="W393" s="28">
        <f t="shared" si="106"/>
        <v>0.39158650000000006</v>
      </c>
      <c r="X393" s="28">
        <f t="shared" si="113"/>
        <v>8.1972359704000013</v>
      </c>
      <c r="Y393" s="14">
        <v>28.024951427250002</v>
      </c>
      <c r="Z393" s="13">
        <v>0.14249999999999999</v>
      </c>
      <c r="AA393" s="14">
        <v>24.65620909883382</v>
      </c>
      <c r="AB393" s="13">
        <f t="shared" si="115"/>
        <v>0.66979999999999995</v>
      </c>
      <c r="AC393" s="14">
        <v>32.682159098833822</v>
      </c>
      <c r="AD393" s="26">
        <f t="shared" si="100"/>
        <v>0.14249999999999999</v>
      </c>
      <c r="AE393" s="4">
        <f t="shared" si="101"/>
        <v>32.68</v>
      </c>
      <c r="AF393" s="27">
        <f t="shared" si="114"/>
        <v>0.14249999999999999</v>
      </c>
      <c r="AG393" s="4">
        <f t="shared" si="102"/>
        <v>28.02</v>
      </c>
      <c r="AH393" s="27">
        <f t="shared" si="103"/>
        <v>0.66979999999999995</v>
      </c>
    </row>
    <row r="394" spans="1:34" x14ac:dyDescent="0.35">
      <c r="A394" s="8" t="s">
        <v>818</v>
      </c>
      <c r="B394" s="9" t="s">
        <v>819</v>
      </c>
      <c r="C394" s="8" t="s">
        <v>1135</v>
      </c>
      <c r="D394" s="8" t="s">
        <v>1149</v>
      </c>
      <c r="E394" s="8" t="s">
        <v>905</v>
      </c>
      <c r="F394" s="25" t="s">
        <v>1087</v>
      </c>
      <c r="G394" s="8" t="s">
        <v>13</v>
      </c>
      <c r="H394" s="8">
        <v>4</v>
      </c>
      <c r="I394" s="8" t="s">
        <v>1164</v>
      </c>
      <c r="J394" s="10">
        <v>159.16</v>
      </c>
      <c r="K394" s="22">
        <v>0.3417</v>
      </c>
      <c r="L394" s="11">
        <v>118.65</v>
      </c>
      <c r="M394" s="13">
        <v>0.80159999999999998</v>
      </c>
      <c r="N394" s="17">
        <f t="shared" si="107"/>
        <v>23.540160000000004</v>
      </c>
      <c r="O394" s="13">
        <v>0.1075</v>
      </c>
      <c r="P394" s="14">
        <f t="shared" si="108"/>
        <v>21.009592800000004</v>
      </c>
      <c r="Q394" s="14">
        <f t="shared" si="109"/>
        <v>25.586528504</v>
      </c>
      <c r="R394" s="28">
        <f t="shared" si="110"/>
        <v>1.4706714960000005</v>
      </c>
      <c r="S394" s="28">
        <f t="shared" si="111"/>
        <v>4.9036179499272006</v>
      </c>
      <c r="T394" s="28">
        <f t="shared" si="112"/>
        <v>13.140216503999998</v>
      </c>
      <c r="U394" s="28">
        <f t="shared" si="104"/>
        <v>13.140216503999998</v>
      </c>
      <c r="V394" s="28">
        <f t="shared" si="105"/>
        <v>12.446312000000002</v>
      </c>
      <c r="W394" s="28">
        <f t="shared" si="106"/>
        <v>0.62231560000000019</v>
      </c>
      <c r="X394" s="28">
        <f t="shared" si="113"/>
        <v>13.762532103999998</v>
      </c>
      <c r="Y394" s="14">
        <v>34.768028216124996</v>
      </c>
      <c r="Z394" s="13">
        <v>0.14249999999999999</v>
      </c>
      <c r="AA394" s="14">
        <v>27.790930499854227</v>
      </c>
      <c r="AB394" s="13">
        <f t="shared" si="115"/>
        <v>0.76580000000000004</v>
      </c>
      <c r="AC394" s="14">
        <v>40.545805499854225</v>
      </c>
      <c r="AD394" s="26">
        <f t="shared" si="100"/>
        <v>0.14250000000000004</v>
      </c>
      <c r="AE394" s="4">
        <f t="shared" si="101"/>
        <v>40.549999999999997</v>
      </c>
      <c r="AF394" s="27">
        <f t="shared" si="114"/>
        <v>0.14249999999999999</v>
      </c>
      <c r="AG394" s="4">
        <f t="shared" si="102"/>
        <v>34.770000000000003</v>
      </c>
      <c r="AH394" s="27">
        <f t="shared" si="103"/>
        <v>0.76580000000000004</v>
      </c>
    </row>
    <row r="395" spans="1:34" x14ac:dyDescent="0.35">
      <c r="A395" s="8" t="s">
        <v>820</v>
      </c>
      <c r="B395" s="9" t="s">
        <v>821</v>
      </c>
      <c r="C395" s="8" t="s">
        <v>1135</v>
      </c>
      <c r="D395" s="8" t="s">
        <v>1149</v>
      </c>
      <c r="E395" s="8" t="s">
        <v>905</v>
      </c>
      <c r="F395" s="25" t="s">
        <v>1087</v>
      </c>
      <c r="G395" s="8" t="s">
        <v>1108</v>
      </c>
      <c r="H395" s="8">
        <v>4</v>
      </c>
      <c r="I395" s="8" t="s">
        <v>1164</v>
      </c>
      <c r="J395" s="10">
        <v>92.51</v>
      </c>
      <c r="K395" s="22">
        <v>0.3417</v>
      </c>
      <c r="L395" s="11">
        <v>68.959999999999994</v>
      </c>
      <c r="M395" s="13">
        <v>0.79179999999999995</v>
      </c>
      <c r="N395" s="17">
        <f t="shared" si="107"/>
        <v>14.357472000000003</v>
      </c>
      <c r="O395" s="13">
        <v>0.1075</v>
      </c>
      <c r="P395" s="14">
        <f t="shared" si="108"/>
        <v>12.814043760000002</v>
      </c>
      <c r="Q395" s="14">
        <f t="shared" si="109"/>
        <v>14.829716936800002</v>
      </c>
      <c r="R395" s="28">
        <f t="shared" si="110"/>
        <v>0.89698306320000021</v>
      </c>
      <c r="S395" s="28">
        <f t="shared" si="111"/>
        <v>2.9907849995402405</v>
      </c>
      <c r="T395" s="28">
        <f t="shared" si="112"/>
        <v>7.5954349368000003</v>
      </c>
      <c r="U395" s="28">
        <f t="shared" si="104"/>
        <v>7.5954349368000003</v>
      </c>
      <c r="V395" s="28">
        <f t="shared" si="105"/>
        <v>7.2342820000000021</v>
      </c>
      <c r="W395" s="28">
        <f t="shared" si="106"/>
        <v>0.36171410000000015</v>
      </c>
      <c r="X395" s="28">
        <f t="shared" si="113"/>
        <v>7.9571490368000006</v>
      </c>
      <c r="Y395" s="14">
        <v>20.768811780399997</v>
      </c>
      <c r="Z395" s="13">
        <v>0.14249999999999999</v>
      </c>
      <c r="AA395" s="14">
        <v>16.8069886651895</v>
      </c>
      <c r="AB395" s="13">
        <f t="shared" si="115"/>
        <v>0.75629999999999997</v>
      </c>
      <c r="AC395" s="14">
        <v>24.2201886651895</v>
      </c>
      <c r="AD395" s="26">
        <f t="shared" si="100"/>
        <v>0.14249999999999999</v>
      </c>
      <c r="AE395" s="4">
        <f t="shared" si="101"/>
        <v>24.22</v>
      </c>
      <c r="AF395" s="27">
        <f t="shared" si="114"/>
        <v>0.14249999999999999</v>
      </c>
      <c r="AG395" s="4">
        <f t="shared" si="102"/>
        <v>20.77</v>
      </c>
      <c r="AH395" s="27">
        <f t="shared" si="103"/>
        <v>0.75629999999999997</v>
      </c>
    </row>
    <row r="396" spans="1:34" x14ac:dyDescent="0.35">
      <c r="A396" s="8" t="s">
        <v>822</v>
      </c>
      <c r="B396" s="9" t="s">
        <v>823</v>
      </c>
      <c r="C396" s="8" t="s">
        <v>1135</v>
      </c>
      <c r="D396" s="8" t="s">
        <v>1149</v>
      </c>
      <c r="E396" s="8" t="s">
        <v>905</v>
      </c>
      <c r="F396" s="25" t="s">
        <v>1087</v>
      </c>
      <c r="G396" s="8" t="s">
        <v>20</v>
      </c>
      <c r="H396" s="8">
        <v>4</v>
      </c>
      <c r="I396" s="8" t="s">
        <v>1164</v>
      </c>
      <c r="J396" s="10">
        <v>21.36</v>
      </c>
      <c r="K396" s="22">
        <v>0.3417</v>
      </c>
      <c r="L396" s="11">
        <v>15.92</v>
      </c>
      <c r="M396" s="13">
        <v>0.72640000000000005</v>
      </c>
      <c r="N396" s="17">
        <f t="shared" si="107"/>
        <v>4.3557119999999996</v>
      </c>
      <c r="O396" s="13">
        <v>0.1075</v>
      </c>
      <c r="P396" s="14">
        <f t="shared" si="108"/>
        <v>3.8874729599999993</v>
      </c>
      <c r="Q396" s="14">
        <f t="shared" si="109"/>
        <v>3.3590768928000001</v>
      </c>
      <c r="R396" s="28">
        <f t="shared" si="110"/>
        <v>0.27212310719999999</v>
      </c>
      <c r="S396" s="28">
        <f t="shared" si="111"/>
        <v>0.90733230139103982</v>
      </c>
      <c r="T396" s="28">
        <f t="shared" si="112"/>
        <v>1.6887248927999998</v>
      </c>
      <c r="U396" s="28">
        <f t="shared" si="104"/>
        <v>1.6887248927999998</v>
      </c>
      <c r="V396" s="28">
        <f t="shared" si="105"/>
        <v>1.6703520000000003</v>
      </c>
      <c r="W396" s="28">
        <f t="shared" si="106"/>
        <v>8.3517600000000025E-2</v>
      </c>
      <c r="X396" s="28">
        <f t="shared" si="113"/>
        <v>1.7722424927999998</v>
      </c>
      <c r="Y396" s="14">
        <v>5.6591657749999991</v>
      </c>
      <c r="Z396" s="13">
        <v>0.14249999999999999</v>
      </c>
      <c r="AA396" s="14">
        <v>4.8882102332361503</v>
      </c>
      <c r="AB396" s="13">
        <f t="shared" si="115"/>
        <v>0.69299999999999995</v>
      </c>
      <c r="AC396" s="14">
        <v>6.5996102332361506</v>
      </c>
      <c r="AD396" s="26">
        <f t="shared" si="100"/>
        <v>0.14250000000000002</v>
      </c>
      <c r="AE396" s="4">
        <f t="shared" si="101"/>
        <v>6.6</v>
      </c>
      <c r="AF396" s="27">
        <f t="shared" si="114"/>
        <v>0.14249999999999999</v>
      </c>
      <c r="AG396" s="4">
        <f t="shared" si="102"/>
        <v>5.66</v>
      </c>
      <c r="AH396" s="27">
        <f t="shared" si="103"/>
        <v>0.69299999999999995</v>
      </c>
    </row>
    <row r="397" spans="1:34" x14ac:dyDescent="0.35">
      <c r="A397" s="8" t="s">
        <v>824</v>
      </c>
      <c r="B397" s="9" t="s">
        <v>825</v>
      </c>
      <c r="C397" s="8" t="s">
        <v>1135</v>
      </c>
      <c r="D397" s="8" t="s">
        <v>1149</v>
      </c>
      <c r="E397" s="8" t="s">
        <v>905</v>
      </c>
      <c r="F397" s="25" t="s">
        <v>1087</v>
      </c>
      <c r="G397" s="8" t="s">
        <v>20</v>
      </c>
      <c r="H397" s="8">
        <v>8</v>
      </c>
      <c r="I397" s="8" t="s">
        <v>1164</v>
      </c>
      <c r="J397" s="10">
        <v>40.03</v>
      </c>
      <c r="K397" s="22">
        <v>0.3417</v>
      </c>
      <c r="L397" s="11">
        <v>29.84</v>
      </c>
      <c r="M397" s="13">
        <v>0.78720000000000001</v>
      </c>
      <c r="N397" s="17">
        <f t="shared" si="107"/>
        <v>6.349952</v>
      </c>
      <c r="O397" s="13">
        <v>0.1075</v>
      </c>
      <c r="P397" s="14">
        <f t="shared" si="108"/>
        <v>5.66733216</v>
      </c>
      <c r="Q397" s="14">
        <f t="shared" si="109"/>
        <v>6.4083867487999999</v>
      </c>
      <c r="R397" s="28">
        <f t="shared" si="110"/>
        <v>0.39671325120000006</v>
      </c>
      <c r="S397" s="28">
        <f t="shared" si="111"/>
        <v>1.3227496588118401</v>
      </c>
      <c r="T397" s="28">
        <f t="shared" si="112"/>
        <v>3.2780407488000001</v>
      </c>
      <c r="U397" s="28">
        <f t="shared" si="104"/>
        <v>3.2780407488000001</v>
      </c>
      <c r="V397" s="28">
        <f t="shared" si="105"/>
        <v>3.1303459999999999</v>
      </c>
      <c r="W397" s="28">
        <f t="shared" si="106"/>
        <v>0.1565173</v>
      </c>
      <c r="X397" s="28">
        <f t="shared" si="113"/>
        <v>3.4345580488</v>
      </c>
      <c r="Y397" s="14">
        <v>9.1008599082000021</v>
      </c>
      <c r="Z397" s="13">
        <v>0.14249999999999999</v>
      </c>
      <c r="AA397" s="14">
        <v>7.4054477063556856</v>
      </c>
      <c r="AB397" s="13">
        <f t="shared" si="115"/>
        <v>0.75180000000000002</v>
      </c>
      <c r="AC397" s="14">
        <v>10.613247706355686</v>
      </c>
      <c r="AD397" s="26">
        <f t="shared" si="100"/>
        <v>0.1424999999999999</v>
      </c>
      <c r="AE397" s="4">
        <f t="shared" si="101"/>
        <v>10.61</v>
      </c>
      <c r="AF397" s="27">
        <f t="shared" si="114"/>
        <v>0.14249999999999999</v>
      </c>
      <c r="AG397" s="4">
        <f t="shared" si="102"/>
        <v>9.1</v>
      </c>
      <c r="AH397" s="27">
        <f t="shared" si="103"/>
        <v>0.75180000000000002</v>
      </c>
    </row>
    <row r="398" spans="1:34" x14ac:dyDescent="0.35">
      <c r="A398" s="8" t="s">
        <v>826</v>
      </c>
      <c r="B398" s="9" t="s">
        <v>827</v>
      </c>
      <c r="C398" s="8" t="s">
        <v>1134</v>
      </c>
      <c r="D398" s="8" t="s">
        <v>1147</v>
      </c>
      <c r="E398" s="8" t="s">
        <v>905</v>
      </c>
      <c r="F398" s="25" t="s">
        <v>1088</v>
      </c>
      <c r="G398" s="8" t="s">
        <v>16</v>
      </c>
      <c r="H398" s="8">
        <v>30</v>
      </c>
      <c r="I398" s="8" t="s">
        <v>1163</v>
      </c>
      <c r="J398" s="10">
        <v>33.270000000000003</v>
      </c>
      <c r="K398" s="22">
        <v>0.39400000000000002</v>
      </c>
      <c r="L398" s="11">
        <v>24.14</v>
      </c>
      <c r="M398" s="13">
        <v>0.68089999999999995</v>
      </c>
      <c r="N398" s="17">
        <f t="shared" si="107"/>
        <v>7.7030740000000018</v>
      </c>
      <c r="O398" s="13">
        <v>0.1075</v>
      </c>
      <c r="P398" s="14">
        <f t="shared" si="108"/>
        <v>6.8749935450000015</v>
      </c>
      <c r="Q398" s="14">
        <f t="shared" si="109"/>
        <v>5.1746504518500007</v>
      </c>
      <c r="R398" s="28">
        <f t="shared" si="110"/>
        <v>0.48124954815000015</v>
      </c>
      <c r="S398" s="28">
        <f t="shared" si="111"/>
        <v>1.6046166184094557</v>
      </c>
      <c r="T398" s="28">
        <f t="shared" si="112"/>
        <v>2.57293645185</v>
      </c>
      <c r="U398" s="28">
        <f t="shared" si="104"/>
        <v>2.57293645185</v>
      </c>
      <c r="V398" s="28">
        <f t="shared" si="105"/>
        <v>2.6017140000000007</v>
      </c>
      <c r="W398" s="28">
        <f t="shared" si="106"/>
        <v>0.13008570000000005</v>
      </c>
      <c r="X398" s="28">
        <f t="shared" si="113"/>
        <v>2.7030221518499999</v>
      </c>
      <c r="Y398" s="14">
        <v>9.5771822029999996</v>
      </c>
      <c r="Z398" s="13">
        <v>0.14249999999999999</v>
      </c>
      <c r="AA398" s="14">
        <v>8.5736756011661797</v>
      </c>
      <c r="AB398" s="13">
        <f t="shared" si="115"/>
        <v>0.64480000000000004</v>
      </c>
      <c r="AC398" s="14">
        <v>11.16872560116618</v>
      </c>
      <c r="AD398" s="26">
        <f t="shared" si="100"/>
        <v>0.14249999999999999</v>
      </c>
      <c r="AE398" s="4">
        <f t="shared" si="101"/>
        <v>11.17</v>
      </c>
      <c r="AF398" s="27">
        <f t="shared" si="114"/>
        <v>0.14249999999999999</v>
      </c>
      <c r="AG398" s="4">
        <f t="shared" si="102"/>
        <v>9.58</v>
      </c>
      <c r="AH398" s="27">
        <f t="shared" si="103"/>
        <v>0.64480000000000004</v>
      </c>
    </row>
    <row r="399" spans="1:34" x14ac:dyDescent="0.35">
      <c r="A399" s="8" t="s">
        <v>828</v>
      </c>
      <c r="B399" s="9" t="s">
        <v>829</v>
      </c>
      <c r="C399" s="8" t="s">
        <v>1134</v>
      </c>
      <c r="D399" s="8" t="s">
        <v>1147</v>
      </c>
      <c r="E399" s="8" t="s">
        <v>905</v>
      </c>
      <c r="F399" s="25" t="s">
        <v>1088</v>
      </c>
      <c r="G399" s="8" t="s">
        <v>23</v>
      </c>
      <c r="H399" s="8">
        <v>30</v>
      </c>
      <c r="I399" s="8" t="s">
        <v>1163</v>
      </c>
      <c r="J399" s="10">
        <v>57.07</v>
      </c>
      <c r="K399" s="22">
        <v>0.39400000000000002</v>
      </c>
      <c r="L399" s="11">
        <v>41.4</v>
      </c>
      <c r="M399" s="13">
        <v>0.79969999999999997</v>
      </c>
      <c r="N399" s="17">
        <f t="shared" si="107"/>
        <v>8.2924200000000017</v>
      </c>
      <c r="O399" s="13">
        <v>0.1075</v>
      </c>
      <c r="P399" s="14">
        <f t="shared" si="108"/>
        <v>7.4009848500000013</v>
      </c>
      <c r="Q399" s="14">
        <f t="shared" si="109"/>
        <v>9.1838310604999993</v>
      </c>
      <c r="R399" s="28">
        <f t="shared" si="110"/>
        <v>0.5180689395000001</v>
      </c>
      <c r="S399" s="28">
        <f t="shared" si="111"/>
        <v>1.7273824630051506</v>
      </c>
      <c r="T399" s="28">
        <f t="shared" si="112"/>
        <v>4.7209570604999991</v>
      </c>
      <c r="U399" s="28">
        <f t="shared" si="104"/>
        <v>4.7209570604999991</v>
      </c>
      <c r="V399" s="28">
        <f t="shared" si="105"/>
        <v>4.4628740000000002</v>
      </c>
      <c r="W399" s="28">
        <f t="shared" si="106"/>
        <v>0.22314370000000003</v>
      </c>
      <c r="X399" s="28">
        <f t="shared" si="113"/>
        <v>4.9441007604999987</v>
      </c>
      <c r="Y399" s="14">
        <v>12.343656171999996</v>
      </c>
      <c r="Z399" s="13">
        <v>0.14249999999999999</v>
      </c>
      <c r="AA399" s="14">
        <v>9.9444343113702569</v>
      </c>
      <c r="AB399" s="13">
        <f t="shared" si="115"/>
        <v>0.75980000000000003</v>
      </c>
      <c r="AC399" s="14">
        <v>14.394934311370257</v>
      </c>
      <c r="AD399" s="26">
        <f t="shared" si="100"/>
        <v>0.14249999999999996</v>
      </c>
      <c r="AE399" s="4">
        <f t="shared" si="101"/>
        <v>14.39</v>
      </c>
      <c r="AF399" s="27">
        <f t="shared" si="114"/>
        <v>0.14249999999999999</v>
      </c>
      <c r="AG399" s="4">
        <f t="shared" si="102"/>
        <v>12.34</v>
      </c>
      <c r="AH399" s="27">
        <f t="shared" si="103"/>
        <v>0.75980000000000003</v>
      </c>
    </row>
    <row r="400" spans="1:34" x14ac:dyDescent="0.35">
      <c r="A400" s="8" t="s">
        <v>830</v>
      </c>
      <c r="B400" s="9" t="s">
        <v>831</v>
      </c>
      <c r="C400" s="8" t="s">
        <v>1134</v>
      </c>
      <c r="D400" s="8" t="s">
        <v>1147</v>
      </c>
      <c r="E400" s="8" t="s">
        <v>905</v>
      </c>
      <c r="F400" s="25" t="s">
        <v>1088</v>
      </c>
      <c r="G400" s="8" t="s">
        <v>19</v>
      </c>
      <c r="H400" s="8">
        <v>30</v>
      </c>
      <c r="I400" s="8" t="s">
        <v>1163</v>
      </c>
      <c r="J400" s="10">
        <v>67.930000000000007</v>
      </c>
      <c r="K400" s="22">
        <v>0.39400000000000002</v>
      </c>
      <c r="L400" s="11">
        <v>49.28</v>
      </c>
      <c r="M400" s="13">
        <v>0.77129999999999999</v>
      </c>
      <c r="N400" s="17">
        <f t="shared" si="107"/>
        <v>11.270336</v>
      </c>
      <c r="O400" s="13">
        <v>0.1075</v>
      </c>
      <c r="P400" s="14">
        <f t="shared" si="108"/>
        <v>10.05877488</v>
      </c>
      <c r="Q400" s="14">
        <f t="shared" si="109"/>
        <v>10.843985758400002</v>
      </c>
      <c r="R400" s="28">
        <f t="shared" si="110"/>
        <v>0.70411424160000002</v>
      </c>
      <c r="S400" s="28">
        <f t="shared" si="111"/>
        <v>2.3477079982171198</v>
      </c>
      <c r="T400" s="28">
        <f t="shared" si="112"/>
        <v>5.5318597584000004</v>
      </c>
      <c r="U400" s="28">
        <f t="shared" si="104"/>
        <v>5.5318597584000004</v>
      </c>
      <c r="V400" s="28">
        <f t="shared" si="105"/>
        <v>5.3121260000000019</v>
      </c>
      <c r="W400" s="28">
        <f t="shared" si="106"/>
        <v>0.26560630000000013</v>
      </c>
      <c r="X400" s="28">
        <f t="shared" si="113"/>
        <v>5.7974660584000004</v>
      </c>
      <c r="Y400" s="14">
        <v>15.854539423200004</v>
      </c>
      <c r="Z400" s="13">
        <v>0.14249999999999999</v>
      </c>
      <c r="AA400" s="14">
        <v>13.1916588025656</v>
      </c>
      <c r="AB400" s="13">
        <f t="shared" si="115"/>
        <v>0.73229999999999995</v>
      </c>
      <c r="AC400" s="14">
        <v>18.489258802565601</v>
      </c>
      <c r="AD400" s="26">
        <f t="shared" si="100"/>
        <v>0.14249999999999996</v>
      </c>
      <c r="AE400" s="4">
        <f t="shared" si="101"/>
        <v>18.489999999999998</v>
      </c>
      <c r="AF400" s="27">
        <f t="shared" si="114"/>
        <v>0.14249999999999999</v>
      </c>
      <c r="AG400" s="4">
        <f t="shared" si="102"/>
        <v>15.85</v>
      </c>
      <c r="AH400" s="27">
        <f t="shared" si="103"/>
        <v>0.73229999999999995</v>
      </c>
    </row>
    <row r="401" spans="1:34" x14ac:dyDescent="0.35">
      <c r="A401" s="8" t="s">
        <v>832</v>
      </c>
      <c r="B401" s="9" t="s">
        <v>833</v>
      </c>
      <c r="C401" s="8" t="s">
        <v>1134</v>
      </c>
      <c r="D401" s="8" t="s">
        <v>1206</v>
      </c>
      <c r="E401" s="8" t="s">
        <v>905</v>
      </c>
      <c r="F401" s="25" t="s">
        <v>1089</v>
      </c>
      <c r="G401" s="8" t="s">
        <v>1115</v>
      </c>
      <c r="H401" s="8">
        <v>20</v>
      </c>
      <c r="I401" s="8" t="s">
        <v>1163</v>
      </c>
      <c r="J401" s="10">
        <v>20.41</v>
      </c>
      <c r="K401" s="22">
        <v>0.39400000000000002</v>
      </c>
      <c r="L401" s="11">
        <v>14.81</v>
      </c>
      <c r="M401" s="13">
        <v>0.57179999999999997</v>
      </c>
      <c r="N401" s="17">
        <f t="shared" si="107"/>
        <v>6.3416420000000002</v>
      </c>
      <c r="O401" s="13">
        <v>0.1075</v>
      </c>
      <c r="P401" s="14">
        <f t="shared" si="108"/>
        <v>5.659915485</v>
      </c>
      <c r="Q401" s="14">
        <f t="shared" si="109"/>
        <v>3.0735059160500002</v>
      </c>
      <c r="R401" s="28">
        <f t="shared" si="110"/>
        <v>0.39619408395000005</v>
      </c>
      <c r="S401" s="28">
        <f t="shared" si="111"/>
        <v>1.321018614283515</v>
      </c>
      <c r="T401" s="28">
        <f t="shared" si="112"/>
        <v>1.4774439160500001</v>
      </c>
      <c r="U401" s="28">
        <f t="shared" si="104"/>
        <v>1.4774439160500001</v>
      </c>
      <c r="V401" s="28">
        <f t="shared" si="105"/>
        <v>1.5960620000000001</v>
      </c>
      <c r="W401" s="28">
        <f t="shared" si="106"/>
        <v>7.9803100000000016E-2</v>
      </c>
      <c r="X401" s="28">
        <f t="shared" si="113"/>
        <v>1.5572470160500003</v>
      </c>
      <c r="Y401" s="14">
        <v>7.216651148775</v>
      </c>
      <c r="Z401" s="13">
        <v>0.14249999999999999</v>
      </c>
      <c r="AA401" s="14">
        <v>6.8238447070262396</v>
      </c>
      <c r="AB401" s="13">
        <f t="shared" si="115"/>
        <v>0.53920000000000001</v>
      </c>
      <c r="AC401" s="14">
        <v>8.415919707026239</v>
      </c>
      <c r="AD401" s="26">
        <f t="shared" si="100"/>
        <v>0.14249999999999999</v>
      </c>
      <c r="AE401" s="4">
        <f t="shared" si="101"/>
        <v>8.42</v>
      </c>
      <c r="AF401" s="27">
        <f t="shared" si="114"/>
        <v>0.14249999999999999</v>
      </c>
      <c r="AG401" s="4">
        <f t="shared" si="102"/>
        <v>7.22</v>
      </c>
      <c r="AH401" s="27">
        <f t="shared" si="103"/>
        <v>0.53920000000000001</v>
      </c>
    </row>
    <row r="402" spans="1:34" x14ac:dyDescent="0.35">
      <c r="A402" s="8" t="s">
        <v>834</v>
      </c>
      <c r="B402" s="9" t="s">
        <v>835</v>
      </c>
      <c r="C402" s="8" t="s">
        <v>1134</v>
      </c>
      <c r="D402" s="8" t="s">
        <v>1149</v>
      </c>
      <c r="E402" s="8" t="s">
        <v>905</v>
      </c>
      <c r="F402" s="25" t="s">
        <v>1090</v>
      </c>
      <c r="G402" s="8" t="s">
        <v>23</v>
      </c>
      <c r="H402" s="8">
        <v>1</v>
      </c>
      <c r="I402" s="8" t="s">
        <v>1163</v>
      </c>
      <c r="J402" s="10">
        <v>35.99</v>
      </c>
      <c r="K402" s="22">
        <v>0.39400000000000002</v>
      </c>
      <c r="L402" s="11">
        <v>26.11</v>
      </c>
      <c r="M402" s="13">
        <v>0.8488</v>
      </c>
      <c r="N402" s="17">
        <f t="shared" si="107"/>
        <v>3.947832</v>
      </c>
      <c r="O402" s="13">
        <v>0.1075</v>
      </c>
      <c r="P402" s="14">
        <f t="shared" si="108"/>
        <v>3.52344006</v>
      </c>
      <c r="Q402" s="14">
        <f t="shared" si="109"/>
        <v>5.8716591958000004</v>
      </c>
      <c r="R402" s="28">
        <f t="shared" si="110"/>
        <v>0.24664080420000004</v>
      </c>
      <c r="S402" s="28">
        <f t="shared" si="111"/>
        <v>0.82236738656394015</v>
      </c>
      <c r="T402" s="28">
        <f t="shared" si="112"/>
        <v>3.0572411958000001</v>
      </c>
      <c r="U402" s="28">
        <f t="shared" si="104"/>
        <v>3.0572411958000001</v>
      </c>
      <c r="V402" s="28">
        <f t="shared" si="105"/>
        <v>2.8144180000000003</v>
      </c>
      <c r="W402" s="28">
        <f t="shared" si="106"/>
        <v>0.14072090000000001</v>
      </c>
      <c r="X402" s="28">
        <f t="shared" si="113"/>
        <v>3.1979620957999999</v>
      </c>
      <c r="Y402" s="14">
        <v>6.7205006427749998</v>
      </c>
      <c r="Z402" s="13">
        <v>0.14249999999999999</v>
      </c>
      <c r="AA402" s="14">
        <v>5.0304935338483965</v>
      </c>
      <c r="AB402" s="13">
        <f t="shared" si="115"/>
        <v>0.80730000000000002</v>
      </c>
      <c r="AC402" s="14">
        <v>7.8373185338483964</v>
      </c>
      <c r="AD402" s="26">
        <f t="shared" si="100"/>
        <v>0.14250000000000002</v>
      </c>
      <c r="AE402" s="4">
        <f t="shared" si="101"/>
        <v>7.84</v>
      </c>
      <c r="AF402" s="27">
        <f t="shared" si="114"/>
        <v>0.14249999999999999</v>
      </c>
      <c r="AG402" s="4">
        <f t="shared" si="102"/>
        <v>6.72</v>
      </c>
      <c r="AH402" s="27">
        <f t="shared" si="103"/>
        <v>0.80730000000000002</v>
      </c>
    </row>
    <row r="403" spans="1:34" x14ac:dyDescent="0.35">
      <c r="A403" s="8" t="s">
        <v>836</v>
      </c>
      <c r="B403" s="9" t="s">
        <v>837</v>
      </c>
      <c r="C403" s="8" t="s">
        <v>1134</v>
      </c>
      <c r="D403" s="8" t="s">
        <v>1149</v>
      </c>
      <c r="E403" s="8" t="s">
        <v>905</v>
      </c>
      <c r="F403" s="25" t="s">
        <v>1090</v>
      </c>
      <c r="G403" s="8" t="s">
        <v>23</v>
      </c>
      <c r="H403" s="8">
        <v>2</v>
      </c>
      <c r="I403" s="8" t="s">
        <v>1163</v>
      </c>
      <c r="J403" s="10">
        <v>54.27</v>
      </c>
      <c r="K403" s="22">
        <v>0.39400000000000002</v>
      </c>
      <c r="L403" s="11">
        <v>39.369999999999997</v>
      </c>
      <c r="M403" s="13">
        <v>0.84</v>
      </c>
      <c r="N403" s="17">
        <f t="shared" si="107"/>
        <v>6.2992000000000008</v>
      </c>
      <c r="O403" s="13">
        <v>0.1075</v>
      </c>
      <c r="P403" s="14">
        <f t="shared" si="108"/>
        <v>5.6220360000000005</v>
      </c>
      <c r="Q403" s="14">
        <f t="shared" si="109"/>
        <v>8.8323574800000006</v>
      </c>
      <c r="R403" s="28">
        <f t="shared" si="110"/>
        <v>0.39354252000000006</v>
      </c>
      <c r="S403" s="28">
        <f t="shared" si="111"/>
        <v>1.3121775803640001</v>
      </c>
      <c r="T403" s="28">
        <f t="shared" si="112"/>
        <v>4.5884434799999987</v>
      </c>
      <c r="U403" s="28">
        <f t="shared" si="104"/>
        <v>4.5884434799999987</v>
      </c>
      <c r="V403" s="28">
        <f t="shared" si="105"/>
        <v>4.243914000000002</v>
      </c>
      <c r="W403" s="28">
        <f t="shared" si="106"/>
        <v>0.2121957000000001</v>
      </c>
      <c r="X403" s="28">
        <f t="shared" si="113"/>
        <v>4.8006391799999992</v>
      </c>
      <c r="Y403" s="14">
        <v>10.421315832325002</v>
      </c>
      <c r="Z403" s="13">
        <v>0.14249999999999999</v>
      </c>
      <c r="AA403" s="14">
        <v>7.9208629968804676</v>
      </c>
      <c r="AB403" s="13">
        <f t="shared" si="115"/>
        <v>0.79879999999999995</v>
      </c>
      <c r="AC403" s="14">
        <v>12.153137996880467</v>
      </c>
      <c r="AD403" s="26">
        <f t="shared" si="100"/>
        <v>0.1424999999999999</v>
      </c>
      <c r="AE403" s="4">
        <f t="shared" si="101"/>
        <v>12.15</v>
      </c>
      <c r="AF403" s="27">
        <f t="shared" si="114"/>
        <v>0.14249999999999999</v>
      </c>
      <c r="AG403" s="4">
        <f t="shared" si="102"/>
        <v>10.42</v>
      </c>
      <c r="AH403" s="27">
        <f t="shared" si="103"/>
        <v>0.79879999999999995</v>
      </c>
    </row>
    <row r="404" spans="1:34" x14ac:dyDescent="0.35">
      <c r="A404" s="8" t="s">
        <v>838</v>
      </c>
      <c r="B404" s="9" t="s">
        <v>839</v>
      </c>
      <c r="C404" s="8" t="s">
        <v>1134</v>
      </c>
      <c r="D404" s="8" t="s">
        <v>1149</v>
      </c>
      <c r="E404" s="8" t="s">
        <v>905</v>
      </c>
      <c r="F404" s="25" t="s">
        <v>1090</v>
      </c>
      <c r="G404" s="8" t="s">
        <v>23</v>
      </c>
      <c r="H404" s="8">
        <v>4</v>
      </c>
      <c r="I404" s="8" t="s">
        <v>1163</v>
      </c>
      <c r="J404" s="10">
        <v>45.5</v>
      </c>
      <c r="K404" s="22">
        <v>0.39400000000000002</v>
      </c>
      <c r="L404" s="11">
        <v>33.01</v>
      </c>
      <c r="M404" s="13">
        <v>0.80220000000000002</v>
      </c>
      <c r="N404" s="17">
        <f t="shared" si="107"/>
        <v>6.5293779999999986</v>
      </c>
      <c r="O404" s="13">
        <v>0.1075</v>
      </c>
      <c r="P404" s="14">
        <f t="shared" si="108"/>
        <v>5.8274698649999985</v>
      </c>
      <c r="Q404" s="14">
        <f t="shared" si="109"/>
        <v>7.3270771094500002</v>
      </c>
      <c r="R404" s="28">
        <f t="shared" si="110"/>
        <v>0.40792289054999992</v>
      </c>
      <c r="S404" s="28">
        <f t="shared" si="111"/>
        <v>1.3601256390211347</v>
      </c>
      <c r="T404" s="28">
        <f t="shared" si="112"/>
        <v>3.7689771094499998</v>
      </c>
      <c r="U404" s="28">
        <f t="shared" si="104"/>
        <v>3.7689771094499998</v>
      </c>
      <c r="V404" s="28">
        <f t="shared" si="105"/>
        <v>3.5581000000000005</v>
      </c>
      <c r="W404" s="28">
        <f t="shared" si="106"/>
        <v>0.17790500000000004</v>
      </c>
      <c r="X404" s="28">
        <f t="shared" si="113"/>
        <v>3.9468821094499997</v>
      </c>
      <c r="Y404" s="14">
        <v>9.7732122216749993</v>
      </c>
      <c r="Z404" s="13">
        <v>0.14249999999999999</v>
      </c>
      <c r="AA404" s="14">
        <v>7.8487570369387756</v>
      </c>
      <c r="AB404" s="13">
        <f t="shared" si="115"/>
        <v>0.76219999999999999</v>
      </c>
      <c r="AC404" s="14">
        <v>11.397332036938774</v>
      </c>
      <c r="AD404" s="26">
        <f t="shared" si="100"/>
        <v>0.14249999999999996</v>
      </c>
      <c r="AE404" s="4">
        <f t="shared" si="101"/>
        <v>11.4</v>
      </c>
      <c r="AF404" s="27">
        <f t="shared" si="114"/>
        <v>0.14249999999999999</v>
      </c>
      <c r="AG404" s="4">
        <f t="shared" si="102"/>
        <v>9.77</v>
      </c>
      <c r="AH404" s="27">
        <f t="shared" si="103"/>
        <v>0.76219999999999999</v>
      </c>
    </row>
    <row r="405" spans="1:34" x14ac:dyDescent="0.35">
      <c r="A405" s="8" t="s">
        <v>840</v>
      </c>
      <c r="B405" s="9" t="s">
        <v>841</v>
      </c>
      <c r="C405" s="8" t="s">
        <v>1134</v>
      </c>
      <c r="D405" s="8" t="s">
        <v>1149</v>
      </c>
      <c r="E405" s="8" t="s">
        <v>905</v>
      </c>
      <c r="F405" s="25" t="s">
        <v>1090</v>
      </c>
      <c r="G405" s="8" t="s">
        <v>25</v>
      </c>
      <c r="H405" s="8">
        <v>30</v>
      </c>
      <c r="I405" s="8" t="s">
        <v>1163</v>
      </c>
      <c r="J405" s="10">
        <v>128.13999999999999</v>
      </c>
      <c r="K405" s="22">
        <v>0.39400000000000002</v>
      </c>
      <c r="L405" s="11">
        <v>92.96</v>
      </c>
      <c r="M405" s="13">
        <v>0.82609999999999995</v>
      </c>
      <c r="N405" s="17">
        <f t="shared" si="107"/>
        <v>16.165744000000004</v>
      </c>
      <c r="O405" s="13">
        <v>0.1075</v>
      </c>
      <c r="P405" s="14">
        <f t="shared" si="108"/>
        <v>14.427926520000003</v>
      </c>
      <c r="Q405" s="14">
        <f t="shared" si="109"/>
        <v>20.773845143599999</v>
      </c>
      <c r="R405" s="28">
        <f t="shared" si="110"/>
        <v>1.0099548564000003</v>
      </c>
      <c r="S405" s="28">
        <f t="shared" si="111"/>
        <v>3.3674636218414804</v>
      </c>
      <c r="T405" s="28">
        <f t="shared" si="112"/>
        <v>10.753297143599998</v>
      </c>
      <c r="U405" s="28">
        <f t="shared" si="104"/>
        <v>10.753297143599998</v>
      </c>
      <c r="V405" s="28">
        <f t="shared" si="105"/>
        <v>10.020548000000002</v>
      </c>
      <c r="W405" s="28">
        <f t="shared" si="106"/>
        <v>0.50102740000000012</v>
      </c>
      <c r="X405" s="28">
        <f t="shared" si="113"/>
        <v>11.254324543599997</v>
      </c>
      <c r="Y405" s="14">
        <v>25.679041387199995</v>
      </c>
      <c r="Z405" s="13">
        <v>0.14249999999999999</v>
      </c>
      <c r="AA405" s="14">
        <v>19.953203950087456</v>
      </c>
      <c r="AB405" s="13">
        <f t="shared" si="115"/>
        <v>0.78539999999999999</v>
      </c>
      <c r="AC405" s="14">
        <v>29.946403950087458</v>
      </c>
      <c r="AD405" s="26">
        <f t="shared" si="100"/>
        <v>0.14250000000000002</v>
      </c>
      <c r="AE405" s="4">
        <f t="shared" si="101"/>
        <v>29.95</v>
      </c>
      <c r="AF405" s="27">
        <f t="shared" si="114"/>
        <v>0.14249999999999999</v>
      </c>
      <c r="AG405" s="4">
        <f t="shared" si="102"/>
        <v>25.68</v>
      </c>
      <c r="AH405" s="27">
        <f t="shared" si="103"/>
        <v>0.78539999999999999</v>
      </c>
    </row>
    <row r="406" spans="1:34" x14ac:dyDescent="0.35">
      <c r="A406" s="8" t="s">
        <v>842</v>
      </c>
      <c r="B406" s="9" t="s">
        <v>843</v>
      </c>
      <c r="C406" s="8" t="s">
        <v>1134</v>
      </c>
      <c r="D406" s="8" t="s">
        <v>1149</v>
      </c>
      <c r="E406" s="8" t="s">
        <v>905</v>
      </c>
      <c r="F406" s="25" t="s">
        <v>1091</v>
      </c>
      <c r="G406" s="8" t="s">
        <v>3</v>
      </c>
      <c r="H406" s="8">
        <v>20</v>
      </c>
      <c r="I406" s="8" t="s">
        <v>1163</v>
      </c>
      <c r="J406" s="10">
        <v>106.78</v>
      </c>
      <c r="K406" s="22">
        <v>0.39400000000000002</v>
      </c>
      <c r="L406" s="11">
        <v>77.47</v>
      </c>
      <c r="M406" s="13">
        <v>0.66579999999999995</v>
      </c>
      <c r="N406" s="17">
        <f t="shared" si="107"/>
        <v>25.890474000000005</v>
      </c>
      <c r="O406" s="13">
        <v>0.1075</v>
      </c>
      <c r="P406" s="14">
        <f t="shared" si="108"/>
        <v>23.107248045000002</v>
      </c>
      <c r="Q406" s="14">
        <f t="shared" si="109"/>
        <v>16.535092636850003</v>
      </c>
      <c r="R406" s="28">
        <f t="shared" si="110"/>
        <v>1.6175073631500003</v>
      </c>
      <c r="S406" s="28">
        <f t="shared" si="111"/>
        <v>5.3932085864549562</v>
      </c>
      <c r="T406" s="28">
        <f t="shared" si="112"/>
        <v>8.1848966368499987</v>
      </c>
      <c r="U406" s="28">
        <f t="shared" si="104"/>
        <v>8.1848966368499987</v>
      </c>
      <c r="V406" s="28">
        <f t="shared" si="105"/>
        <v>8.3501960000000039</v>
      </c>
      <c r="W406" s="28">
        <f t="shared" si="106"/>
        <v>0.41750980000000021</v>
      </c>
      <c r="X406" s="28">
        <f t="shared" si="113"/>
        <v>8.6024064368499982</v>
      </c>
      <c r="Y406" s="14">
        <v>31.706979636424997</v>
      </c>
      <c r="Z406" s="13">
        <v>0.14249999999999999</v>
      </c>
      <c r="AA406" s="14">
        <v>28.64804454685131</v>
      </c>
      <c r="AB406" s="13">
        <f t="shared" si="115"/>
        <v>0.63019999999999998</v>
      </c>
      <c r="AC406" s="14">
        <v>36.976069546851306</v>
      </c>
      <c r="AD406" s="26">
        <f t="shared" si="100"/>
        <v>0.14249999999999996</v>
      </c>
      <c r="AE406" s="4">
        <f t="shared" si="101"/>
        <v>36.979999999999997</v>
      </c>
      <c r="AF406" s="27">
        <f t="shared" si="114"/>
        <v>0.14249999999999999</v>
      </c>
      <c r="AG406" s="4">
        <f t="shared" si="102"/>
        <v>31.71</v>
      </c>
      <c r="AH406" s="27">
        <f t="shared" si="103"/>
        <v>0.63019999999999998</v>
      </c>
    </row>
    <row r="407" spans="1:34" x14ac:dyDescent="0.35">
      <c r="A407" s="8" t="s">
        <v>844</v>
      </c>
      <c r="B407" s="9" t="s">
        <v>845</v>
      </c>
      <c r="C407" s="8" t="s">
        <v>1134</v>
      </c>
      <c r="D407" s="8" t="s">
        <v>1149</v>
      </c>
      <c r="E407" s="8" t="s">
        <v>905</v>
      </c>
      <c r="F407" s="25" t="s">
        <v>1091</v>
      </c>
      <c r="G407" s="8" t="s">
        <v>3</v>
      </c>
      <c r="H407" s="8">
        <v>30</v>
      </c>
      <c r="I407" s="8" t="s">
        <v>1163</v>
      </c>
      <c r="J407" s="10">
        <v>124.23</v>
      </c>
      <c r="K407" s="22">
        <v>0.39400000000000002</v>
      </c>
      <c r="L407" s="11">
        <v>90.13</v>
      </c>
      <c r="M407" s="13">
        <v>0.621</v>
      </c>
      <c r="N407" s="17">
        <f t="shared" si="107"/>
        <v>34.159269999999999</v>
      </c>
      <c r="O407" s="13">
        <v>0.1075</v>
      </c>
      <c r="P407" s="14">
        <f t="shared" si="108"/>
        <v>30.487148474999998</v>
      </c>
      <c r="Q407" s="14">
        <f t="shared" si="109"/>
        <v>18.984999606750002</v>
      </c>
      <c r="R407" s="28">
        <f t="shared" si="110"/>
        <v>2.1341003932500002</v>
      </c>
      <c r="S407" s="28">
        <f t="shared" si="111"/>
        <v>7.1156699669165242</v>
      </c>
      <c r="T407" s="28">
        <f t="shared" si="112"/>
        <v>9.2702136067499996</v>
      </c>
      <c r="U407" s="28">
        <f t="shared" si="104"/>
        <v>9.2702136067499996</v>
      </c>
      <c r="V407" s="28">
        <f t="shared" si="105"/>
        <v>9.7147860000000019</v>
      </c>
      <c r="W407" s="28">
        <f t="shared" si="106"/>
        <v>0.4857393000000001</v>
      </c>
      <c r="X407" s="28">
        <f t="shared" si="113"/>
        <v>9.7559529067500002</v>
      </c>
      <c r="Y407" s="14">
        <v>40.239989418175</v>
      </c>
      <c r="Z407" s="13">
        <v>0.14249999999999999</v>
      </c>
      <c r="AA407" s="14">
        <v>37.238126362303205</v>
      </c>
      <c r="AB407" s="13">
        <f t="shared" si="115"/>
        <v>0.58679999999999999</v>
      </c>
      <c r="AC407" s="14">
        <v>46.927101362303205</v>
      </c>
      <c r="AD407" s="26">
        <f t="shared" si="100"/>
        <v>0.14249999999999996</v>
      </c>
      <c r="AE407" s="4">
        <f t="shared" si="101"/>
        <v>46.93</v>
      </c>
      <c r="AF407" s="27">
        <f t="shared" si="114"/>
        <v>0.14249999999999999</v>
      </c>
      <c r="AG407" s="4">
        <f t="shared" si="102"/>
        <v>40.24</v>
      </c>
      <c r="AH407" s="27">
        <f t="shared" si="103"/>
        <v>0.58679999999999999</v>
      </c>
    </row>
    <row r="408" spans="1:34" x14ac:dyDescent="0.35">
      <c r="A408" s="8" t="s">
        <v>846</v>
      </c>
      <c r="B408" s="9" t="s">
        <v>847</v>
      </c>
      <c r="C408" s="8" t="s">
        <v>1134</v>
      </c>
      <c r="D408" s="8" t="s">
        <v>1149</v>
      </c>
      <c r="E408" s="8" t="s">
        <v>905</v>
      </c>
      <c r="F408" s="25" t="s">
        <v>1091</v>
      </c>
      <c r="G408" s="8" t="s">
        <v>3</v>
      </c>
      <c r="H408" s="8">
        <v>60</v>
      </c>
      <c r="I408" s="8" t="s">
        <v>1163</v>
      </c>
      <c r="J408" s="10">
        <v>287.99</v>
      </c>
      <c r="K408" s="22">
        <v>0.39400000000000002</v>
      </c>
      <c r="L408" s="11">
        <v>208.93</v>
      </c>
      <c r="M408" s="13">
        <v>0.60750000000000004</v>
      </c>
      <c r="N408" s="17">
        <f t="shared" si="107"/>
        <v>82.005024999999989</v>
      </c>
      <c r="O408" s="13">
        <v>0.1075</v>
      </c>
      <c r="P408" s="14">
        <f t="shared" si="108"/>
        <v>73.189484812499984</v>
      </c>
      <c r="Q408" s="14">
        <f t="shared" si="109"/>
        <v>43.83503606312501</v>
      </c>
      <c r="R408" s="28">
        <f t="shared" si="110"/>
        <v>5.1232639368749995</v>
      </c>
      <c r="S408" s="28">
        <f t="shared" si="111"/>
        <v>17.082352565752686</v>
      </c>
      <c r="T408" s="28">
        <f t="shared" si="112"/>
        <v>21.314218063125004</v>
      </c>
      <c r="U408" s="28">
        <f t="shared" si="104"/>
        <v>21.314218063125004</v>
      </c>
      <c r="V408" s="28">
        <f t="shared" si="105"/>
        <v>22.520818000000006</v>
      </c>
      <c r="W408" s="28">
        <f t="shared" si="106"/>
        <v>1.1260409000000002</v>
      </c>
      <c r="X408" s="28">
        <f t="shared" si="113"/>
        <v>22.440258963125004</v>
      </c>
      <c r="Y408" s="14">
        <v>95.622529945050005</v>
      </c>
      <c r="Z408" s="13">
        <v>0.14249999999999999</v>
      </c>
      <c r="AA408" s="14">
        <v>89.053179454868797</v>
      </c>
      <c r="AB408" s="13">
        <f t="shared" si="115"/>
        <v>0.57379999999999998</v>
      </c>
      <c r="AC408" s="14">
        <v>111.5131544548688</v>
      </c>
      <c r="AD408" s="26">
        <f t="shared" si="100"/>
        <v>0.1424999999999999</v>
      </c>
      <c r="AE408" s="4">
        <f t="shared" si="101"/>
        <v>111.51</v>
      </c>
      <c r="AF408" s="27">
        <f t="shared" si="114"/>
        <v>0.14249999999999999</v>
      </c>
      <c r="AG408" s="4">
        <f t="shared" si="102"/>
        <v>95.62</v>
      </c>
      <c r="AH408" s="27">
        <f t="shared" si="103"/>
        <v>0.57379999999999998</v>
      </c>
    </row>
    <row r="409" spans="1:34" x14ac:dyDescent="0.35">
      <c r="A409" s="8" t="s">
        <v>848</v>
      </c>
      <c r="B409" s="9" t="s">
        <v>849</v>
      </c>
      <c r="C409" s="8" t="s">
        <v>1134</v>
      </c>
      <c r="D409" s="8" t="s">
        <v>1204</v>
      </c>
      <c r="E409" s="8" t="s">
        <v>905</v>
      </c>
      <c r="F409" s="25" t="s">
        <v>1092</v>
      </c>
      <c r="G409" s="8" t="s">
        <v>23</v>
      </c>
      <c r="H409" s="8">
        <v>10</v>
      </c>
      <c r="I409" s="8" t="s">
        <v>1163</v>
      </c>
      <c r="J409" s="10">
        <v>58.95</v>
      </c>
      <c r="K409" s="22">
        <v>0.39400000000000002</v>
      </c>
      <c r="L409" s="11">
        <v>42.77</v>
      </c>
      <c r="M409" s="13">
        <v>0.59430000000000005</v>
      </c>
      <c r="N409" s="17">
        <f t="shared" si="107"/>
        <v>17.351789</v>
      </c>
      <c r="O409" s="13">
        <v>0.1075</v>
      </c>
      <c r="P409" s="14">
        <f t="shared" si="108"/>
        <v>15.4864716825</v>
      </c>
      <c r="Q409" s="14">
        <f t="shared" si="109"/>
        <v>8.9374469822250013</v>
      </c>
      <c r="R409" s="28">
        <f t="shared" si="110"/>
        <v>1.0840530177750001</v>
      </c>
      <c r="S409" s="28">
        <f t="shared" si="111"/>
        <v>3.6145270042238176</v>
      </c>
      <c r="T409" s="28">
        <f t="shared" si="112"/>
        <v>4.3275569822249995</v>
      </c>
      <c r="U409" s="28">
        <f t="shared" si="104"/>
        <v>4.3275569822249995</v>
      </c>
      <c r="V409" s="28">
        <f t="shared" si="105"/>
        <v>4.6098900000000018</v>
      </c>
      <c r="W409" s="28">
        <f t="shared" si="106"/>
        <v>0.2304945000000001</v>
      </c>
      <c r="X409" s="28">
        <f t="shared" si="113"/>
        <v>4.5580514822249993</v>
      </c>
      <c r="Y409" s="14">
        <v>20.043046423549999</v>
      </c>
      <c r="Z409" s="13">
        <v>0.14249999999999999</v>
      </c>
      <c r="AA409" s="14">
        <v>18.776040071195332</v>
      </c>
      <c r="AB409" s="13">
        <f t="shared" si="115"/>
        <v>0.56100000000000005</v>
      </c>
      <c r="AC409" s="14">
        <v>23.373815071195331</v>
      </c>
      <c r="AD409" s="26">
        <f t="shared" si="100"/>
        <v>0.14249999999999988</v>
      </c>
      <c r="AE409" s="4">
        <f t="shared" si="101"/>
        <v>23.37</v>
      </c>
      <c r="AF409" s="27">
        <f t="shared" si="114"/>
        <v>0.14249999999999999</v>
      </c>
      <c r="AG409" s="4">
        <f t="shared" si="102"/>
        <v>20.04</v>
      </c>
      <c r="AH409" s="27">
        <f t="shared" si="103"/>
        <v>0.56100000000000005</v>
      </c>
    </row>
    <row r="410" spans="1:34" x14ac:dyDescent="0.35">
      <c r="A410" s="8" t="s">
        <v>850</v>
      </c>
      <c r="B410" s="9" t="s">
        <v>851</v>
      </c>
      <c r="C410" s="8" t="s">
        <v>1135</v>
      </c>
      <c r="D410" s="8" t="s">
        <v>1203</v>
      </c>
      <c r="E410" s="8" t="s">
        <v>905</v>
      </c>
      <c r="F410" s="25" t="s">
        <v>1093</v>
      </c>
      <c r="G410" s="8" t="s">
        <v>1112</v>
      </c>
      <c r="H410" s="8">
        <v>20</v>
      </c>
      <c r="I410" s="8" t="s">
        <v>1164</v>
      </c>
      <c r="J410" s="10">
        <v>45.15</v>
      </c>
      <c r="K410" s="22">
        <v>0.3417</v>
      </c>
      <c r="L410" s="11">
        <v>33.659999999999997</v>
      </c>
      <c r="M410" s="13">
        <v>0.37169999999999997</v>
      </c>
      <c r="N410" s="17">
        <f t="shared" si="107"/>
        <v>21.148578000000001</v>
      </c>
      <c r="O410" s="13">
        <v>0.1075</v>
      </c>
      <c r="P410" s="14">
        <f t="shared" si="108"/>
        <v>18.875105864999998</v>
      </c>
      <c r="Q410" s="14">
        <f t="shared" si="109"/>
        <v>6.354242589450001</v>
      </c>
      <c r="R410" s="28">
        <f t="shared" si="110"/>
        <v>1.3212574105499999</v>
      </c>
      <c r="S410" s="28">
        <f t="shared" si="111"/>
        <v>4.4054308337851342</v>
      </c>
      <c r="T410" s="28">
        <f t="shared" si="112"/>
        <v>2.8235125894500004</v>
      </c>
      <c r="U410" s="28">
        <f t="shared" si="104"/>
        <v>4.4054308337851342</v>
      </c>
      <c r="V410" s="28">
        <f t="shared" si="105"/>
        <v>1.9488117556648668</v>
      </c>
      <c r="W410" s="28">
        <f t="shared" si="106"/>
        <v>9.744058778324334E-2</v>
      </c>
      <c r="X410" s="28">
        <f t="shared" si="113"/>
        <v>4.5028714215683774</v>
      </c>
      <c r="Y410" s="14">
        <v>23.37733110140444</v>
      </c>
      <c r="Z410" s="13">
        <v>0.14249999999999999</v>
      </c>
      <c r="AA410" s="14">
        <v>23.643743704261738</v>
      </c>
      <c r="AB410" s="13">
        <f t="shared" si="115"/>
        <v>0.29759999999999998</v>
      </c>
      <c r="AC410" s="14">
        <v>27.262193704261737</v>
      </c>
      <c r="AD410" s="26">
        <f t="shared" si="100"/>
        <v>0.14249999999999996</v>
      </c>
      <c r="AE410" s="4">
        <f t="shared" si="101"/>
        <v>27.26</v>
      </c>
      <c r="AF410" s="27">
        <f t="shared" si="114"/>
        <v>0.14249999999999999</v>
      </c>
      <c r="AG410" s="4">
        <f t="shared" si="102"/>
        <v>23.38</v>
      </c>
      <c r="AH410" s="27">
        <f t="shared" si="103"/>
        <v>0.29759999999999998</v>
      </c>
    </row>
    <row r="411" spans="1:34" x14ac:dyDescent="0.35">
      <c r="A411" s="8" t="s">
        <v>852</v>
      </c>
      <c r="B411" s="9" t="s">
        <v>853</v>
      </c>
      <c r="C411" s="8" t="s">
        <v>1134</v>
      </c>
      <c r="D411" s="8" t="s">
        <v>1203</v>
      </c>
      <c r="E411" s="8" t="s">
        <v>905</v>
      </c>
      <c r="F411" s="25" t="s">
        <v>1093</v>
      </c>
      <c r="G411" s="8" t="s">
        <v>1117</v>
      </c>
      <c r="H411" s="8">
        <v>14</v>
      </c>
      <c r="I411" s="8" t="s">
        <v>1163</v>
      </c>
      <c r="J411" s="10">
        <v>161.87</v>
      </c>
      <c r="K411" s="22">
        <v>0.39400000000000002</v>
      </c>
      <c r="L411" s="11">
        <v>117.43</v>
      </c>
      <c r="M411" s="13">
        <v>0.66410000000000002</v>
      </c>
      <c r="N411" s="17">
        <f t="shared" si="107"/>
        <v>39.444736999999996</v>
      </c>
      <c r="O411" s="13">
        <v>0.1075</v>
      </c>
      <c r="P411" s="14">
        <f t="shared" si="108"/>
        <v>35.204427772499997</v>
      </c>
      <c r="Q411" s="14">
        <f t="shared" si="109"/>
        <v>25.053590055925003</v>
      </c>
      <c r="R411" s="28">
        <f t="shared" si="110"/>
        <v>2.464309944075</v>
      </c>
      <c r="S411" s="28">
        <f t="shared" si="111"/>
        <v>8.2166782376737277</v>
      </c>
      <c r="T411" s="28">
        <f t="shared" si="112"/>
        <v>12.395356055924999</v>
      </c>
      <c r="U411" s="28">
        <f t="shared" si="104"/>
        <v>12.395356055924999</v>
      </c>
      <c r="V411" s="28">
        <f t="shared" si="105"/>
        <v>12.658234000000004</v>
      </c>
      <c r="W411" s="28">
        <f t="shared" si="106"/>
        <v>0.63291170000000019</v>
      </c>
      <c r="X411" s="28">
        <f t="shared" si="113"/>
        <v>13.028267755925</v>
      </c>
      <c r="Y411" s="14">
        <v>48.228640964100009</v>
      </c>
      <c r="Z411" s="13">
        <v>0.14249999999999999</v>
      </c>
      <c r="AA411" s="14">
        <v>43.619588077667643</v>
      </c>
      <c r="AB411" s="13">
        <f t="shared" si="115"/>
        <v>0.62849999999999995</v>
      </c>
      <c r="AC411" s="14">
        <v>56.243313077667644</v>
      </c>
      <c r="AD411" s="26">
        <f t="shared" si="100"/>
        <v>0.1424999999999999</v>
      </c>
      <c r="AE411" s="4">
        <f t="shared" si="101"/>
        <v>56.24</v>
      </c>
      <c r="AF411" s="27">
        <f t="shared" si="114"/>
        <v>0.14249999999999999</v>
      </c>
      <c r="AG411" s="4">
        <f t="shared" si="102"/>
        <v>48.23</v>
      </c>
      <c r="AH411" s="27">
        <f t="shared" si="103"/>
        <v>0.62849999999999995</v>
      </c>
    </row>
    <row r="412" spans="1:34" x14ac:dyDescent="0.35">
      <c r="A412" s="8" t="s">
        <v>854</v>
      </c>
      <c r="B412" s="9" t="s">
        <v>855</v>
      </c>
      <c r="C412" s="8" t="s">
        <v>1134</v>
      </c>
      <c r="D412" s="8" t="s">
        <v>1193</v>
      </c>
      <c r="E412" s="8" t="s">
        <v>905</v>
      </c>
      <c r="F412" s="25" t="s">
        <v>1094</v>
      </c>
      <c r="G412" s="8" t="s">
        <v>3</v>
      </c>
      <c r="H412" s="8">
        <v>30</v>
      </c>
      <c r="I412" s="8" t="s">
        <v>1163</v>
      </c>
      <c r="J412" s="10">
        <v>87.34</v>
      </c>
      <c r="K412" s="22">
        <v>0.39400000000000002</v>
      </c>
      <c r="L412" s="11">
        <v>63.36</v>
      </c>
      <c r="M412" s="13">
        <v>0.54279999999999995</v>
      </c>
      <c r="N412" s="17">
        <f t="shared" si="107"/>
        <v>28.968192000000002</v>
      </c>
      <c r="O412" s="13">
        <v>0.1075</v>
      </c>
      <c r="P412" s="14">
        <f t="shared" si="108"/>
        <v>25.854111360000001</v>
      </c>
      <c r="Q412" s="14">
        <f t="shared" si="109"/>
        <v>13.038012204800001</v>
      </c>
      <c r="R412" s="28">
        <f t="shared" si="110"/>
        <v>1.8097877952000003</v>
      </c>
      <c r="S412" s="28">
        <f t="shared" si="111"/>
        <v>6.0343237373126399</v>
      </c>
      <c r="T412" s="28">
        <f t="shared" si="112"/>
        <v>6.2080242048000009</v>
      </c>
      <c r="U412" s="28">
        <f t="shared" si="104"/>
        <v>6.2080242048000009</v>
      </c>
      <c r="V412" s="28">
        <f t="shared" si="105"/>
        <v>6.8299880000000002</v>
      </c>
      <c r="W412" s="28">
        <f t="shared" si="106"/>
        <v>0.34149940000000001</v>
      </c>
      <c r="X412" s="28">
        <f t="shared" si="113"/>
        <v>6.549523604800001</v>
      </c>
      <c r="Y412" s="14">
        <v>32.401447302399994</v>
      </c>
      <c r="Z412" s="13">
        <v>0.14249999999999999</v>
      </c>
      <c r="AA412" s="14">
        <v>30.974744375976673</v>
      </c>
      <c r="AB412" s="13">
        <f t="shared" si="115"/>
        <v>0.5111</v>
      </c>
      <c r="AC412" s="14">
        <v>37.785944375976669</v>
      </c>
      <c r="AD412" s="26">
        <f t="shared" si="100"/>
        <v>0.14249999999999999</v>
      </c>
      <c r="AE412" s="4">
        <f t="shared" si="101"/>
        <v>37.79</v>
      </c>
      <c r="AF412" s="27">
        <f t="shared" si="114"/>
        <v>0.14249999999999999</v>
      </c>
      <c r="AG412" s="4">
        <f t="shared" si="102"/>
        <v>32.4</v>
      </c>
      <c r="AH412" s="27">
        <f t="shared" si="103"/>
        <v>0.5111</v>
      </c>
    </row>
    <row r="413" spans="1:34" x14ac:dyDescent="0.35">
      <c r="A413" s="8" t="s">
        <v>856</v>
      </c>
      <c r="B413" s="9" t="s">
        <v>857</v>
      </c>
      <c r="C413" s="8" t="s">
        <v>1134</v>
      </c>
      <c r="D413" s="8" t="s">
        <v>1149</v>
      </c>
      <c r="E413" s="8" t="s">
        <v>905</v>
      </c>
      <c r="F413" s="25" t="s">
        <v>1095</v>
      </c>
      <c r="G413" s="8" t="s">
        <v>25</v>
      </c>
      <c r="H413" s="8">
        <v>50</v>
      </c>
      <c r="I413" s="8" t="s">
        <v>1163</v>
      </c>
      <c r="J413" s="10">
        <v>15.91</v>
      </c>
      <c r="K413" s="22">
        <v>0.39400000000000002</v>
      </c>
      <c r="L413" s="11">
        <v>11.54</v>
      </c>
      <c r="M413" s="13">
        <v>0.59130000000000005</v>
      </c>
      <c r="N413" s="17">
        <f t="shared" si="107"/>
        <v>4.716397999999999</v>
      </c>
      <c r="O413" s="13">
        <v>0.1075</v>
      </c>
      <c r="P413" s="14">
        <f t="shared" si="108"/>
        <v>4.2093852149999993</v>
      </c>
      <c r="Q413" s="14">
        <f t="shared" si="109"/>
        <v>2.4100430349500002</v>
      </c>
      <c r="R413" s="28">
        <f t="shared" si="110"/>
        <v>0.29465696505</v>
      </c>
      <c r="S413" s="28">
        <f t="shared" si="111"/>
        <v>0.98246629979578493</v>
      </c>
      <c r="T413" s="28">
        <f t="shared" si="112"/>
        <v>1.16588103495</v>
      </c>
      <c r="U413" s="28">
        <f t="shared" si="104"/>
        <v>1.16588103495</v>
      </c>
      <c r="V413" s="28">
        <f t="shared" si="105"/>
        <v>1.2441620000000002</v>
      </c>
      <c r="W413" s="28">
        <f t="shared" si="106"/>
        <v>6.2208100000000016E-2</v>
      </c>
      <c r="X413" s="28">
        <f t="shared" si="113"/>
        <v>1.22808913495</v>
      </c>
      <c r="Y413" s="14">
        <v>5.4370759025999993</v>
      </c>
      <c r="Z413" s="13">
        <v>0.14249999999999999</v>
      </c>
      <c r="AA413" s="14">
        <v>5.10006329749271</v>
      </c>
      <c r="AB413" s="13">
        <f t="shared" si="115"/>
        <v>0.55810000000000004</v>
      </c>
      <c r="AC413" s="14">
        <v>6.3406132974927099</v>
      </c>
      <c r="AD413" s="26">
        <f t="shared" ref="AD413" si="116">(AC413-Y413)/AC413</f>
        <v>0.1424999999999999</v>
      </c>
      <c r="AE413" s="4">
        <f t="shared" ref="AE413" si="117">ROUND(AC413,2)</f>
        <v>6.34</v>
      </c>
      <c r="AF413" s="27">
        <f t="shared" si="114"/>
        <v>0.14249999999999999</v>
      </c>
      <c r="AG413" s="4">
        <f t="shared" si="102"/>
        <v>5.44</v>
      </c>
      <c r="AH413" s="27">
        <f t="shared" si="103"/>
        <v>0.55810000000000004</v>
      </c>
    </row>
    <row r="414" spans="1:34" x14ac:dyDescent="0.35">
      <c r="A414" s="8" t="s">
        <v>858</v>
      </c>
      <c r="B414" s="9" t="s">
        <v>859</v>
      </c>
      <c r="C414" s="8" t="s">
        <v>1135</v>
      </c>
      <c r="D414" s="8" t="s">
        <v>1149</v>
      </c>
      <c r="E414" s="8" t="s">
        <v>905</v>
      </c>
      <c r="F414" s="25" t="s">
        <v>1096</v>
      </c>
      <c r="G414" s="8" t="s">
        <v>23</v>
      </c>
      <c r="H414" s="8">
        <v>35</v>
      </c>
      <c r="I414" s="8" t="s">
        <v>1164</v>
      </c>
      <c r="J414" s="10">
        <v>78.81</v>
      </c>
      <c r="K414" s="22">
        <v>0.3417</v>
      </c>
      <c r="L414" s="11">
        <v>58.75</v>
      </c>
      <c r="M414" s="13">
        <v>0.60219999999999996</v>
      </c>
      <c r="N414" s="17">
        <f t="shared" si="107"/>
        <v>23.370750000000001</v>
      </c>
      <c r="O414" s="13">
        <v>0.1075</v>
      </c>
      <c r="P414" s="14">
        <f t="shared" si="108"/>
        <v>20.858394375</v>
      </c>
      <c r="Q414" s="14">
        <f t="shared" si="109"/>
        <v>11.937612393750001</v>
      </c>
      <c r="R414" s="28">
        <f t="shared" si="110"/>
        <v>1.4600876062500001</v>
      </c>
      <c r="S414" s="28">
        <f t="shared" si="111"/>
        <v>4.8683283887306246</v>
      </c>
      <c r="T414" s="28">
        <f t="shared" si="112"/>
        <v>5.7746703937500001</v>
      </c>
      <c r="U414" s="28">
        <f t="shared" si="104"/>
        <v>5.7746703937500001</v>
      </c>
      <c r="V414" s="28">
        <f t="shared" si="105"/>
        <v>6.162942000000001</v>
      </c>
      <c r="W414" s="28">
        <f t="shared" si="106"/>
        <v>0.30814710000000006</v>
      </c>
      <c r="X414" s="28">
        <f t="shared" si="113"/>
        <v>6.0828174937500004</v>
      </c>
      <c r="Y414" s="14">
        <v>26.939183378125001</v>
      </c>
      <c r="Z414" s="13">
        <v>0.14249999999999999</v>
      </c>
      <c r="AA414" s="14">
        <v>25.10033229227405</v>
      </c>
      <c r="AB414" s="13">
        <f t="shared" si="115"/>
        <v>0.57279999999999998</v>
      </c>
      <c r="AC414" s="14">
        <v>31.415957292274051</v>
      </c>
      <c r="AD414" s="26">
        <f t="shared" ref="AD414:AD423" si="118">(AC414-Y414)/AC414</f>
        <v>0.1424999999999999</v>
      </c>
      <c r="AE414" s="4">
        <f t="shared" ref="AE414:AE423" si="119">ROUND(AC414,2)</f>
        <v>31.42</v>
      </c>
      <c r="AF414" s="27">
        <f t="shared" si="114"/>
        <v>0.14249999999999999</v>
      </c>
      <c r="AG414" s="4">
        <f t="shared" si="102"/>
        <v>26.94</v>
      </c>
      <c r="AH414" s="27">
        <f t="shared" si="103"/>
        <v>0.57279999999999998</v>
      </c>
    </row>
    <row r="415" spans="1:34" x14ac:dyDescent="0.35">
      <c r="A415" s="8" t="s">
        <v>860</v>
      </c>
      <c r="B415" s="9" t="s">
        <v>861</v>
      </c>
      <c r="C415" s="8" t="s">
        <v>1134</v>
      </c>
      <c r="D415" s="8" t="s">
        <v>1147</v>
      </c>
      <c r="E415" s="8" t="s">
        <v>905</v>
      </c>
      <c r="F415" s="25" t="s">
        <v>1097</v>
      </c>
      <c r="G415" s="8" t="s">
        <v>13</v>
      </c>
      <c r="H415" s="8">
        <v>60</v>
      </c>
      <c r="I415" s="8" t="s">
        <v>1163</v>
      </c>
      <c r="J415" s="10">
        <v>312.8</v>
      </c>
      <c r="K415" s="22">
        <v>0.39400000000000002</v>
      </c>
      <c r="L415" s="11">
        <v>226.93</v>
      </c>
      <c r="M415" s="13">
        <v>0.71330000000000005</v>
      </c>
      <c r="N415" s="17">
        <f t="shared" si="107"/>
        <v>65.060830999999993</v>
      </c>
      <c r="O415" s="13">
        <v>0.1075</v>
      </c>
      <c r="P415" s="14">
        <f t="shared" si="108"/>
        <v>58.066791667499992</v>
      </c>
      <c r="Q415" s="14">
        <f t="shared" si="109"/>
        <v>49.111324583275007</v>
      </c>
      <c r="R415" s="28">
        <f t="shared" si="110"/>
        <v>4.0646754167249997</v>
      </c>
      <c r="S415" s="28">
        <f t="shared" si="111"/>
        <v>13.552731108402831</v>
      </c>
      <c r="T415" s="28">
        <f t="shared" si="112"/>
        <v>24.650364583275003</v>
      </c>
      <c r="U415" s="28">
        <f t="shared" si="104"/>
        <v>24.650364583275003</v>
      </c>
      <c r="V415" s="28">
        <f t="shared" si="105"/>
        <v>24.460960000000004</v>
      </c>
      <c r="W415" s="28">
        <f t="shared" si="106"/>
        <v>1.2230480000000004</v>
      </c>
      <c r="X415" s="28">
        <f t="shared" si="113"/>
        <v>25.873412583275005</v>
      </c>
      <c r="Y415" s="14">
        <v>83.932368925199995</v>
      </c>
      <c r="Z415" s="13">
        <v>0.14249999999999999</v>
      </c>
      <c r="AA415" s="14">
        <v>73.485338615393573</v>
      </c>
      <c r="AB415" s="13">
        <f t="shared" si="115"/>
        <v>0.67620000000000002</v>
      </c>
      <c r="AC415" s="14">
        <v>97.880313615393575</v>
      </c>
      <c r="AD415" s="26">
        <f t="shared" si="118"/>
        <v>0.14249999999999996</v>
      </c>
      <c r="AE415" s="4">
        <f t="shared" si="119"/>
        <v>97.88</v>
      </c>
      <c r="AF415" s="27">
        <f t="shared" si="114"/>
        <v>0.14249999999999999</v>
      </c>
      <c r="AG415" s="4">
        <f t="shared" si="102"/>
        <v>83.93</v>
      </c>
      <c r="AH415" s="27">
        <f t="shared" si="103"/>
        <v>0.67620000000000002</v>
      </c>
    </row>
    <row r="416" spans="1:34" x14ac:dyDescent="0.35">
      <c r="A416" s="8" t="s">
        <v>862</v>
      </c>
      <c r="B416" s="9" t="s">
        <v>863</v>
      </c>
      <c r="C416" s="8" t="s">
        <v>1134</v>
      </c>
      <c r="D416" s="8" t="s">
        <v>1147</v>
      </c>
      <c r="E416" s="8" t="s">
        <v>905</v>
      </c>
      <c r="F416" s="25" t="s">
        <v>1097</v>
      </c>
      <c r="G416" s="8" t="s">
        <v>1108</v>
      </c>
      <c r="H416" s="8">
        <v>60</v>
      </c>
      <c r="I416" s="8" t="s">
        <v>1163</v>
      </c>
      <c r="J416" s="10">
        <v>117.26</v>
      </c>
      <c r="K416" s="22">
        <v>0.39400000000000002</v>
      </c>
      <c r="L416" s="11">
        <v>85.07</v>
      </c>
      <c r="M416" s="13">
        <v>0.75460000000000005</v>
      </c>
      <c r="N416" s="17">
        <f t="shared" si="107"/>
        <v>20.876177999999996</v>
      </c>
      <c r="O416" s="13">
        <v>0.1075</v>
      </c>
      <c r="P416" s="14">
        <f t="shared" si="108"/>
        <v>18.631988864999997</v>
      </c>
      <c r="Q416" s="14">
        <f t="shared" si="109"/>
        <v>18.629960779450002</v>
      </c>
      <c r="R416" s="28">
        <f t="shared" si="110"/>
        <v>1.30423922055</v>
      </c>
      <c r="S416" s="28">
        <f t="shared" si="111"/>
        <v>4.3486875691021343</v>
      </c>
      <c r="T416" s="28">
        <f t="shared" si="112"/>
        <v>9.4602287794499986</v>
      </c>
      <c r="U416" s="28">
        <f t="shared" si="104"/>
        <v>9.4602287794499986</v>
      </c>
      <c r="V416" s="28">
        <f t="shared" si="105"/>
        <v>9.1697320000000033</v>
      </c>
      <c r="W416" s="28">
        <f t="shared" si="106"/>
        <v>0.45848660000000019</v>
      </c>
      <c r="X416" s="28">
        <f t="shared" si="113"/>
        <v>9.9187153794499991</v>
      </c>
      <c r="Y416" s="14">
        <v>28.547766990024996</v>
      </c>
      <c r="Z416" s="13">
        <v>0.14249999999999999</v>
      </c>
      <c r="AA416" s="14">
        <v>24.146831548134106</v>
      </c>
      <c r="AB416" s="13">
        <f t="shared" si="115"/>
        <v>0.71619999999999995</v>
      </c>
      <c r="AC416" s="14">
        <v>33.291856548134106</v>
      </c>
      <c r="AD416" s="26">
        <f t="shared" si="118"/>
        <v>0.14249999999999999</v>
      </c>
      <c r="AE416" s="4">
        <f t="shared" si="119"/>
        <v>33.29</v>
      </c>
      <c r="AF416" s="27">
        <f t="shared" si="114"/>
        <v>0.14249999999999999</v>
      </c>
      <c r="AG416" s="4">
        <f t="shared" si="102"/>
        <v>28.55</v>
      </c>
      <c r="AH416" s="27">
        <f t="shared" si="103"/>
        <v>0.71619999999999995</v>
      </c>
    </row>
    <row r="417" spans="1:34" x14ac:dyDescent="0.35">
      <c r="A417" s="8" t="s">
        <v>864</v>
      </c>
      <c r="B417" s="9" t="s">
        <v>865</v>
      </c>
      <c r="C417" s="8" t="s">
        <v>1134</v>
      </c>
      <c r="D417" s="8" t="s">
        <v>1147</v>
      </c>
      <c r="E417" s="8" t="s">
        <v>905</v>
      </c>
      <c r="F417" s="25" t="s">
        <v>1097</v>
      </c>
      <c r="G417" s="8" t="s">
        <v>20</v>
      </c>
      <c r="H417" s="8">
        <v>60</v>
      </c>
      <c r="I417" s="8" t="s">
        <v>1163</v>
      </c>
      <c r="J417" s="10">
        <v>213.16</v>
      </c>
      <c r="K417" s="22">
        <v>0.39400000000000002</v>
      </c>
      <c r="L417" s="11">
        <v>154.63999999999999</v>
      </c>
      <c r="M417" s="13">
        <v>0.74980000000000002</v>
      </c>
      <c r="N417" s="17">
        <f t="shared" si="107"/>
        <v>38.690927999999992</v>
      </c>
      <c r="O417" s="13">
        <v>0.1075</v>
      </c>
      <c r="P417" s="14">
        <f t="shared" si="108"/>
        <v>34.53165323999999</v>
      </c>
      <c r="Q417" s="14">
        <f t="shared" si="109"/>
        <v>33.819984273199999</v>
      </c>
      <c r="R417" s="28">
        <f t="shared" si="110"/>
        <v>2.4172157267999994</v>
      </c>
      <c r="S417" s="28">
        <f t="shared" si="111"/>
        <v>8.059653334562757</v>
      </c>
      <c r="T417" s="28">
        <f t="shared" si="112"/>
        <v>17.150872273199997</v>
      </c>
      <c r="U417" s="28">
        <f t="shared" si="104"/>
        <v>17.150872273199997</v>
      </c>
      <c r="V417" s="28">
        <f t="shared" si="105"/>
        <v>16.669112000000002</v>
      </c>
      <c r="W417" s="28">
        <f t="shared" si="106"/>
        <v>0.83345560000000019</v>
      </c>
      <c r="X417" s="28">
        <f t="shared" si="113"/>
        <v>17.984327873199998</v>
      </c>
      <c r="Y417" s="14">
        <v>52.510641780599997</v>
      </c>
      <c r="Z417" s="13">
        <v>0.14249999999999999</v>
      </c>
      <c r="AA417" s="14">
        <v>44.613100035685129</v>
      </c>
      <c r="AB417" s="13">
        <f t="shared" si="115"/>
        <v>0.71150000000000002</v>
      </c>
      <c r="AC417" s="14">
        <v>61.236900035685125</v>
      </c>
      <c r="AD417" s="26">
        <f t="shared" si="118"/>
        <v>0.14249999999999996</v>
      </c>
      <c r="AE417" s="4">
        <f t="shared" si="119"/>
        <v>61.24</v>
      </c>
      <c r="AF417" s="27">
        <f t="shared" si="114"/>
        <v>0.14249999999999999</v>
      </c>
      <c r="AG417" s="4">
        <f t="shared" si="102"/>
        <v>52.51</v>
      </c>
      <c r="AH417" s="27">
        <f t="shared" si="103"/>
        <v>0.71150000000000002</v>
      </c>
    </row>
    <row r="418" spans="1:34" x14ac:dyDescent="0.35">
      <c r="A418" s="8" t="s">
        <v>866</v>
      </c>
      <c r="B418" s="9" t="s">
        <v>867</v>
      </c>
      <c r="C418" s="8" t="s">
        <v>1134</v>
      </c>
      <c r="D418" s="8" t="s">
        <v>1168</v>
      </c>
      <c r="E418" s="8" t="s">
        <v>905</v>
      </c>
      <c r="F418" s="25" t="s">
        <v>1098</v>
      </c>
      <c r="G418" s="8" t="s">
        <v>13</v>
      </c>
      <c r="H418" s="8">
        <v>10</v>
      </c>
      <c r="I418" s="8" t="s">
        <v>1163</v>
      </c>
      <c r="J418" s="10">
        <v>110.22</v>
      </c>
      <c r="K418" s="22">
        <v>0.39400000000000002</v>
      </c>
      <c r="L418" s="11">
        <v>79.959999999999994</v>
      </c>
      <c r="M418" s="13">
        <v>0.39250000000000002</v>
      </c>
      <c r="N418" s="17">
        <f t="shared" si="107"/>
        <v>48.575699999999991</v>
      </c>
      <c r="O418" s="13">
        <v>0.1075</v>
      </c>
      <c r="P418" s="14">
        <f t="shared" si="108"/>
        <v>43.35381224999999</v>
      </c>
      <c r="Q418" s="14">
        <f t="shared" si="109"/>
        <v>15.702633142500002</v>
      </c>
      <c r="R418" s="28">
        <f t="shared" si="110"/>
        <v>3.0347668574999997</v>
      </c>
      <c r="S418" s="28">
        <f t="shared" si="111"/>
        <v>10.118736425337747</v>
      </c>
      <c r="T418" s="28">
        <f t="shared" si="112"/>
        <v>7.0834291424999982</v>
      </c>
      <c r="U418" s="28">
        <f t="shared" si="104"/>
        <v>10.118736425337747</v>
      </c>
      <c r="V418" s="28">
        <f t="shared" si="105"/>
        <v>5.5838967171622542</v>
      </c>
      <c r="W418" s="28">
        <f t="shared" si="106"/>
        <v>0.27919483585811272</v>
      </c>
      <c r="X418" s="28">
        <f t="shared" si="113"/>
        <v>10.397931261195859</v>
      </c>
      <c r="Y418" s="14">
        <v>53.750208485476662</v>
      </c>
      <c r="Z418" s="13">
        <v>0.14249999999999999</v>
      </c>
      <c r="AA418" s="14">
        <v>54.086758875191443</v>
      </c>
      <c r="AB418" s="13">
        <f t="shared" si="115"/>
        <v>0.3236</v>
      </c>
      <c r="AC418" s="14">
        <v>62.682458875191443</v>
      </c>
      <c r="AD418" s="26">
        <f t="shared" si="118"/>
        <v>0.14250000000000002</v>
      </c>
      <c r="AE418" s="4">
        <f t="shared" si="119"/>
        <v>62.68</v>
      </c>
      <c r="AF418" s="27">
        <f t="shared" si="114"/>
        <v>0.14249999999999999</v>
      </c>
      <c r="AG418" s="4">
        <f t="shared" si="102"/>
        <v>53.75</v>
      </c>
      <c r="AH418" s="27">
        <f t="shared" si="103"/>
        <v>0.3236</v>
      </c>
    </row>
    <row r="419" spans="1:34" x14ac:dyDescent="0.35">
      <c r="A419" s="8" t="s">
        <v>868</v>
      </c>
      <c r="B419" s="9" t="s">
        <v>869</v>
      </c>
      <c r="C419" s="8" t="s">
        <v>1134</v>
      </c>
      <c r="D419" s="8" t="s">
        <v>1168</v>
      </c>
      <c r="E419" s="8" t="s">
        <v>905</v>
      </c>
      <c r="F419" s="25" t="s">
        <v>1098</v>
      </c>
      <c r="G419" s="8" t="s">
        <v>20</v>
      </c>
      <c r="H419" s="8">
        <v>10</v>
      </c>
      <c r="I419" s="8" t="s">
        <v>1163</v>
      </c>
      <c r="J419" s="10">
        <v>38.43</v>
      </c>
      <c r="K419" s="22">
        <v>0.39400000000000002</v>
      </c>
      <c r="L419" s="11">
        <v>27.88</v>
      </c>
      <c r="M419" s="13">
        <v>0.69550000000000001</v>
      </c>
      <c r="N419" s="17">
        <f t="shared" si="107"/>
        <v>8.4894599999999993</v>
      </c>
      <c r="O419" s="13">
        <v>0.1075</v>
      </c>
      <c r="P419" s="14">
        <f t="shared" si="108"/>
        <v>7.576843049999999</v>
      </c>
      <c r="Q419" s="14">
        <f t="shared" si="109"/>
        <v>6.0027209865</v>
      </c>
      <c r="R419" s="28">
        <f t="shared" si="110"/>
        <v>0.53037901349999994</v>
      </c>
      <c r="S419" s="28">
        <f t="shared" si="111"/>
        <v>1.7684275910269498</v>
      </c>
      <c r="T419" s="28">
        <f t="shared" si="112"/>
        <v>2.9974949864999996</v>
      </c>
      <c r="U419" s="28">
        <f t="shared" si="104"/>
        <v>2.9974949864999996</v>
      </c>
      <c r="V419" s="28">
        <f t="shared" si="105"/>
        <v>3.0052260000000004</v>
      </c>
      <c r="W419" s="28">
        <f t="shared" si="106"/>
        <v>0.15026130000000004</v>
      </c>
      <c r="X419" s="28">
        <f t="shared" si="113"/>
        <v>3.1477562864999995</v>
      </c>
      <c r="Y419" s="14">
        <v>10.723636709799997</v>
      </c>
      <c r="Z419" s="13">
        <v>0.14249999999999999</v>
      </c>
      <c r="AA419" s="14">
        <v>9.5085987869387729</v>
      </c>
      <c r="AB419" s="13">
        <f t="shared" si="115"/>
        <v>0.65890000000000004</v>
      </c>
      <c r="AC419" s="14">
        <v>12.505698786938773</v>
      </c>
      <c r="AD419" s="26">
        <f t="shared" si="118"/>
        <v>0.14250000000000002</v>
      </c>
      <c r="AE419" s="4">
        <f t="shared" si="119"/>
        <v>12.51</v>
      </c>
      <c r="AF419" s="27">
        <f t="shared" si="114"/>
        <v>0.14249999999999999</v>
      </c>
      <c r="AG419" s="4">
        <f t="shared" si="102"/>
        <v>10.72</v>
      </c>
      <c r="AH419" s="27">
        <f t="shared" si="103"/>
        <v>0.65890000000000004</v>
      </c>
    </row>
    <row r="420" spans="1:34" x14ac:dyDescent="0.35">
      <c r="A420" s="8" t="s">
        <v>870</v>
      </c>
      <c r="B420" s="9" t="s">
        <v>871</v>
      </c>
      <c r="C420" s="8" t="s">
        <v>1135</v>
      </c>
      <c r="D420" s="8" t="s">
        <v>1168</v>
      </c>
      <c r="E420" s="8" t="s">
        <v>905</v>
      </c>
      <c r="F420" s="25" t="s">
        <v>1099</v>
      </c>
      <c r="G420" s="8" t="s">
        <v>1117</v>
      </c>
      <c r="H420" s="8">
        <v>12</v>
      </c>
      <c r="I420" s="8" t="s">
        <v>1164</v>
      </c>
      <c r="J420" s="10">
        <v>56.13</v>
      </c>
      <c r="K420" s="22">
        <v>0.3417</v>
      </c>
      <c r="L420" s="11">
        <v>41.84</v>
      </c>
      <c r="M420" s="13">
        <v>0.13700000000000001</v>
      </c>
      <c r="N420" s="17">
        <f t="shared" si="107"/>
        <v>36.10792</v>
      </c>
      <c r="O420" s="13">
        <v>0.1075</v>
      </c>
      <c r="P420" s="14">
        <f t="shared" si="108"/>
        <v>32.226318599999999</v>
      </c>
      <c r="Q420" s="14">
        <f t="shared" si="109"/>
        <v>7.2862576980000018</v>
      </c>
      <c r="R420" s="28">
        <f t="shared" si="110"/>
        <v>2.255842302</v>
      </c>
      <c r="S420" s="28">
        <f t="shared" si="111"/>
        <v>7.5215905349213994</v>
      </c>
      <c r="T420" s="28">
        <f t="shared" si="112"/>
        <v>2.8968916979999997</v>
      </c>
      <c r="U420" s="28">
        <f t="shared" si="104"/>
        <v>7.5215905349213994</v>
      </c>
      <c r="V420" s="28">
        <f t="shared" si="105"/>
        <v>-0.23533283692139761</v>
      </c>
      <c r="W420" s="28">
        <f t="shared" si="106"/>
        <v>-1.1766641846069882E-2</v>
      </c>
      <c r="X420" s="28">
        <f t="shared" si="113"/>
        <v>7.5098238930753292</v>
      </c>
      <c r="Y420" s="14">
        <v>39.73513752875381</v>
      </c>
      <c r="Z420" s="13">
        <v>0.14249999999999999</v>
      </c>
      <c r="AA420" s="14">
        <v>41.840552803211438</v>
      </c>
      <c r="AB420" s="13">
        <f t="shared" si="115"/>
        <v>0</v>
      </c>
      <c r="AC420" s="14">
        <v>46.338352803211436</v>
      </c>
      <c r="AD420" s="26">
        <f t="shared" si="118"/>
        <v>0.1424999999999999</v>
      </c>
      <c r="AE420" s="4">
        <f t="shared" si="119"/>
        <v>46.34</v>
      </c>
      <c r="AF420" s="27">
        <f t="shared" si="114"/>
        <v>0.14249999999999999</v>
      </c>
      <c r="AG420" s="4">
        <f t="shared" si="102"/>
        <v>39.74</v>
      </c>
      <c r="AH420" s="27">
        <f t="shared" si="103"/>
        <v>0</v>
      </c>
    </row>
    <row r="421" spans="1:34" x14ac:dyDescent="0.35">
      <c r="A421" s="8" t="s">
        <v>872</v>
      </c>
      <c r="B421" s="9" t="s">
        <v>873</v>
      </c>
      <c r="C421" s="8" t="s">
        <v>1134</v>
      </c>
      <c r="D421" s="8" t="s">
        <v>1198</v>
      </c>
      <c r="E421" s="8" t="s">
        <v>905</v>
      </c>
      <c r="F421" s="25" t="s">
        <v>1100</v>
      </c>
      <c r="G421" s="8" t="s">
        <v>3</v>
      </c>
      <c r="H421" s="8">
        <v>25</v>
      </c>
      <c r="I421" s="8" t="s">
        <v>1163</v>
      </c>
      <c r="J421" s="10">
        <v>123.96</v>
      </c>
      <c r="K421" s="22">
        <v>0.39400000000000002</v>
      </c>
      <c r="L421" s="11">
        <v>89.93</v>
      </c>
      <c r="M421" s="13">
        <v>0.69350000000000001</v>
      </c>
      <c r="N421" s="17">
        <f t="shared" si="107"/>
        <v>27.563545000000001</v>
      </c>
      <c r="O421" s="13">
        <v>0.1075</v>
      </c>
      <c r="P421" s="14">
        <f t="shared" si="108"/>
        <v>24.6004639125</v>
      </c>
      <c r="Q421" s="14">
        <f t="shared" si="109"/>
        <v>19.351167526125</v>
      </c>
      <c r="R421" s="28">
        <f t="shared" si="110"/>
        <v>1.7220324738750001</v>
      </c>
      <c r="S421" s="28">
        <f t="shared" si="111"/>
        <v>5.7417236767135877</v>
      </c>
      <c r="T421" s="28">
        <f t="shared" si="112"/>
        <v>9.6574955261249986</v>
      </c>
      <c r="U421" s="28">
        <f t="shared" si="104"/>
        <v>9.6574955261249986</v>
      </c>
      <c r="V421" s="28">
        <f t="shared" si="105"/>
        <v>9.6936720000000012</v>
      </c>
      <c r="W421" s="28">
        <f t="shared" si="106"/>
        <v>0.4846836000000001</v>
      </c>
      <c r="X421" s="28">
        <f t="shared" si="113"/>
        <v>10.142179126124999</v>
      </c>
      <c r="Y421" s="14">
        <v>34.739537980550004</v>
      </c>
      <c r="Z421" s="13">
        <v>0.14249999999999999</v>
      </c>
      <c r="AA421" s="14">
        <v>30.845105735335274</v>
      </c>
      <c r="AB421" s="13">
        <f t="shared" si="115"/>
        <v>0.65700000000000003</v>
      </c>
      <c r="AC421" s="14">
        <v>40.512580735335277</v>
      </c>
      <c r="AD421" s="26">
        <f t="shared" si="118"/>
        <v>0.1424999999999999</v>
      </c>
      <c r="AE421" s="4">
        <f t="shared" si="119"/>
        <v>40.51</v>
      </c>
      <c r="AF421" s="27">
        <f t="shared" si="114"/>
        <v>0.14249999999999999</v>
      </c>
      <c r="AG421" s="4">
        <f t="shared" si="102"/>
        <v>34.74</v>
      </c>
      <c r="AH421" s="27">
        <f t="shared" si="103"/>
        <v>0.65700000000000003</v>
      </c>
    </row>
    <row r="422" spans="1:34" x14ac:dyDescent="0.35">
      <c r="A422" s="8" t="s">
        <v>874</v>
      </c>
      <c r="B422" s="9" t="s">
        <v>875</v>
      </c>
      <c r="C422" s="8" t="s">
        <v>1134</v>
      </c>
      <c r="D422" s="8" t="s">
        <v>1139</v>
      </c>
      <c r="E422" s="8" t="s">
        <v>905</v>
      </c>
      <c r="F422" s="25" t="s">
        <v>1101</v>
      </c>
      <c r="G422" s="8" t="s">
        <v>13</v>
      </c>
      <c r="H422" s="8">
        <v>30</v>
      </c>
      <c r="I422" s="8" t="s">
        <v>1163</v>
      </c>
      <c r="J422" s="10">
        <v>90.33</v>
      </c>
      <c r="K422" s="22">
        <v>0.39400000000000002</v>
      </c>
      <c r="L422" s="11">
        <v>65.53</v>
      </c>
      <c r="M422" s="13">
        <v>0.48699999999999999</v>
      </c>
      <c r="N422" s="17">
        <f t="shared" si="107"/>
        <v>33.616889999999998</v>
      </c>
      <c r="O422" s="13">
        <v>0.1075</v>
      </c>
      <c r="P422" s="14">
        <f t="shared" si="108"/>
        <v>30.003074324999996</v>
      </c>
      <c r="Q422" s="14">
        <f t="shared" si="109"/>
        <v>13.255884797250001</v>
      </c>
      <c r="R422" s="28">
        <f t="shared" si="110"/>
        <v>2.1002152027499998</v>
      </c>
      <c r="S422" s="28">
        <f t="shared" si="111"/>
        <v>7.0026875443806738</v>
      </c>
      <c r="T422" s="28">
        <f t="shared" si="112"/>
        <v>6.1920787972499998</v>
      </c>
      <c r="U422" s="28">
        <f t="shared" si="104"/>
        <v>7.0026875443806738</v>
      </c>
      <c r="V422" s="28">
        <f t="shared" si="105"/>
        <v>6.2531972528693274</v>
      </c>
      <c r="W422" s="28">
        <f t="shared" si="106"/>
        <v>0.3126598626434664</v>
      </c>
      <c r="X422" s="28">
        <f t="shared" si="113"/>
        <v>7.3153474070241398</v>
      </c>
      <c r="Y422" s="14">
        <v>37.318440678324997</v>
      </c>
      <c r="Z422" s="13">
        <v>0.14249999999999999</v>
      </c>
      <c r="AA422" s="14">
        <v>36.475572438279883</v>
      </c>
      <c r="AB422" s="13">
        <f t="shared" si="115"/>
        <v>0.44340000000000002</v>
      </c>
      <c r="AC422" s="14">
        <v>43.520047438279882</v>
      </c>
      <c r="AD422" s="26">
        <f t="shared" si="118"/>
        <v>0.14250000000000004</v>
      </c>
      <c r="AE422" s="4">
        <f t="shared" si="119"/>
        <v>43.52</v>
      </c>
      <c r="AF422" s="27">
        <f t="shared" si="114"/>
        <v>0.14249999999999999</v>
      </c>
      <c r="AG422" s="4">
        <f t="shared" si="102"/>
        <v>37.32</v>
      </c>
      <c r="AH422" s="27">
        <f t="shared" si="103"/>
        <v>0.44340000000000002</v>
      </c>
    </row>
    <row r="423" spans="1:34" x14ac:dyDescent="0.35">
      <c r="A423" s="8" t="s">
        <v>876</v>
      </c>
      <c r="B423" s="9" t="s">
        <v>877</v>
      </c>
      <c r="C423" s="8" t="s">
        <v>1134</v>
      </c>
      <c r="D423" s="8" t="s">
        <v>1139</v>
      </c>
      <c r="E423" s="8" t="s">
        <v>905</v>
      </c>
      <c r="F423" s="25" t="s">
        <v>1101</v>
      </c>
      <c r="G423" s="8" t="s">
        <v>20</v>
      </c>
      <c r="H423" s="8">
        <v>60</v>
      </c>
      <c r="I423" s="8" t="s">
        <v>1163</v>
      </c>
      <c r="J423" s="10">
        <v>90.34</v>
      </c>
      <c r="K423" s="22">
        <v>0.39400000000000002</v>
      </c>
      <c r="L423" s="11">
        <v>65.540000000000006</v>
      </c>
      <c r="M423" s="13">
        <v>0.50619999999999998</v>
      </c>
      <c r="N423" s="17">
        <f t="shared" si="107"/>
        <v>32.363652000000002</v>
      </c>
      <c r="O423" s="13">
        <v>0.1075</v>
      </c>
      <c r="P423" s="14">
        <f t="shared" si="108"/>
        <v>28.884559410000001</v>
      </c>
      <c r="Q423" s="14">
        <f t="shared" si="109"/>
        <v>13.3358808413</v>
      </c>
      <c r="R423" s="28">
        <f t="shared" si="110"/>
        <v>2.0219191587000003</v>
      </c>
      <c r="S423" s="28">
        <f t="shared" si="111"/>
        <v>6.7416272817345897</v>
      </c>
      <c r="T423" s="28">
        <f t="shared" si="112"/>
        <v>6.2712928413000002</v>
      </c>
      <c r="U423" s="28">
        <f t="shared" si="104"/>
        <v>6.7416272817345897</v>
      </c>
      <c r="V423" s="28">
        <f t="shared" si="105"/>
        <v>6.5942535595654101</v>
      </c>
      <c r="W423" s="28">
        <f t="shared" si="106"/>
        <v>0.32971267797827053</v>
      </c>
      <c r="X423" s="28">
        <f t="shared" si="113"/>
        <v>7.0713399597128603</v>
      </c>
      <c r="Y423" s="14">
        <v>35.952897394650002</v>
      </c>
      <c r="Z423" s="13">
        <v>0.14249999999999999</v>
      </c>
      <c r="AA423" s="14">
        <v>34.882027136618078</v>
      </c>
      <c r="AB423" s="13">
        <f t="shared" si="115"/>
        <v>0.46779999999999999</v>
      </c>
      <c r="AC423" s="14">
        <v>41.927577136618076</v>
      </c>
      <c r="AD423" s="26">
        <f t="shared" si="118"/>
        <v>0.14249999999999996</v>
      </c>
      <c r="AE423" s="4">
        <f t="shared" si="119"/>
        <v>41.93</v>
      </c>
      <c r="AF423" s="27">
        <f t="shared" si="114"/>
        <v>0.14249999999999999</v>
      </c>
      <c r="AG423" s="4">
        <f t="shared" si="102"/>
        <v>35.950000000000003</v>
      </c>
      <c r="AH423" s="27">
        <f t="shared" si="103"/>
        <v>0.46779999999999999</v>
      </c>
    </row>
    <row r="424" spans="1:34" x14ac:dyDescent="0.35">
      <c r="A424" s="8" t="s">
        <v>878</v>
      </c>
      <c r="B424" s="9" t="s">
        <v>879</v>
      </c>
      <c r="C424" s="8" t="s">
        <v>1134</v>
      </c>
      <c r="D424" s="8" t="s">
        <v>1178</v>
      </c>
      <c r="E424" s="8" t="s">
        <v>905</v>
      </c>
      <c r="F424" s="25" t="s">
        <v>1102</v>
      </c>
      <c r="G424" s="8" t="s">
        <v>1112</v>
      </c>
      <c r="H424" s="8">
        <v>10</v>
      </c>
      <c r="I424" s="8" t="s">
        <v>1163</v>
      </c>
      <c r="J424" s="10">
        <v>17.64</v>
      </c>
      <c r="K424" s="22">
        <v>0.39400000000000002</v>
      </c>
      <c r="L424" s="11">
        <v>12.8</v>
      </c>
      <c r="M424" s="13">
        <v>0.62909999999999999</v>
      </c>
      <c r="N424" s="17">
        <f t="shared" si="107"/>
        <v>4.7475200000000006</v>
      </c>
      <c r="O424" s="13">
        <v>0.1075</v>
      </c>
      <c r="P424" s="14">
        <f t="shared" si="108"/>
        <v>4.2371616000000003</v>
      </c>
      <c r="Q424" s="14">
        <f t="shared" si="109"/>
        <v>2.7021986880000002</v>
      </c>
      <c r="R424" s="28">
        <f t="shared" si="110"/>
        <v>0.29660131200000006</v>
      </c>
      <c r="S424" s="28">
        <f t="shared" si="111"/>
        <v>0.98894928027840023</v>
      </c>
      <c r="T424" s="28">
        <f t="shared" si="112"/>
        <v>1.3227506879999997</v>
      </c>
      <c r="U424" s="28">
        <f t="shared" si="104"/>
        <v>1.3227506879999997</v>
      </c>
      <c r="V424" s="28">
        <f t="shared" si="105"/>
        <v>1.3794480000000005</v>
      </c>
      <c r="W424" s="28">
        <f t="shared" si="106"/>
        <v>6.8972400000000031E-2</v>
      </c>
      <c r="X424" s="28">
        <f t="shared" si="113"/>
        <v>1.3917230879999998</v>
      </c>
      <c r="Y424" s="14">
        <v>5.6284427360000002</v>
      </c>
      <c r="Z424" s="13">
        <v>0.14249999999999999</v>
      </c>
      <c r="AA424" s="14">
        <v>5.1877816163265305</v>
      </c>
      <c r="AB424" s="13">
        <f t="shared" si="115"/>
        <v>0.59470000000000001</v>
      </c>
      <c r="AC424" s="14">
        <v>6.5637816163265308</v>
      </c>
      <c r="AD424" s="26">
        <f t="shared" ref="AD424:AD430" si="120">(AC424-Y424)/AC424</f>
        <v>0.14249999999999999</v>
      </c>
      <c r="AE424" s="4">
        <f t="shared" ref="AE424:AE430" si="121">ROUND(AC424,2)</f>
        <v>6.56</v>
      </c>
      <c r="AF424" s="27">
        <f t="shared" si="114"/>
        <v>0.14249999999999999</v>
      </c>
      <c r="AG424" s="4">
        <f t="shared" ref="AG424:AG430" si="122">ROUND(Y424,2)</f>
        <v>5.63</v>
      </c>
      <c r="AH424" s="27">
        <f t="shared" ref="AH424:AH430" si="123">ROUND(AB424,4)</f>
        <v>0.59470000000000001</v>
      </c>
    </row>
    <row r="425" spans="1:34" x14ac:dyDescent="0.35">
      <c r="A425" s="8" t="s">
        <v>880</v>
      </c>
      <c r="B425" s="9" t="s">
        <v>881</v>
      </c>
      <c r="C425" s="8" t="s">
        <v>1134</v>
      </c>
      <c r="D425" s="8" t="s">
        <v>1181</v>
      </c>
      <c r="E425" s="8" t="s">
        <v>905</v>
      </c>
      <c r="F425" s="25" t="s">
        <v>1103</v>
      </c>
      <c r="G425" s="8" t="s">
        <v>1111</v>
      </c>
      <c r="H425" s="8">
        <v>30</v>
      </c>
      <c r="I425" s="8" t="s">
        <v>1163</v>
      </c>
      <c r="J425" s="10">
        <v>107.51</v>
      </c>
      <c r="K425" s="22">
        <v>0.39400000000000002</v>
      </c>
      <c r="L425" s="11">
        <v>78</v>
      </c>
      <c r="M425" s="13">
        <v>0.40010000000000001</v>
      </c>
      <c r="N425" s="17">
        <f t="shared" si="107"/>
        <v>46.792200000000001</v>
      </c>
      <c r="O425" s="13">
        <v>0.1075</v>
      </c>
      <c r="P425" s="14">
        <f t="shared" si="108"/>
        <v>41.762038499999996</v>
      </c>
      <c r="Q425" s="14">
        <f t="shared" si="109"/>
        <v>15.353357305000001</v>
      </c>
      <c r="R425" s="28">
        <f t="shared" si="110"/>
        <v>2.9233426950000001</v>
      </c>
      <c r="S425" s="28">
        <f t="shared" si="111"/>
        <v>9.7472180238614978</v>
      </c>
      <c r="T425" s="28">
        <f t="shared" si="112"/>
        <v>6.946075304999999</v>
      </c>
      <c r="U425" s="28">
        <f t="shared" si="104"/>
        <v>9.7472180238614978</v>
      </c>
      <c r="V425" s="28">
        <f t="shared" si="105"/>
        <v>5.6061392811385033</v>
      </c>
      <c r="W425" s="28">
        <f t="shared" si="106"/>
        <v>0.28030696405692518</v>
      </c>
      <c r="X425" s="28">
        <f t="shared" si="113"/>
        <v>10.027524987918422</v>
      </c>
      <c r="Y425" s="14">
        <v>51.788066089142824</v>
      </c>
      <c r="Z425" s="13">
        <v>0.14249999999999999</v>
      </c>
      <c r="AA425" s="14">
        <v>52.009246168096588</v>
      </c>
      <c r="AB425" s="13">
        <f t="shared" si="115"/>
        <v>0.3332</v>
      </c>
      <c r="AC425" s="14">
        <v>60.394246168096586</v>
      </c>
      <c r="AD425" s="26">
        <f t="shared" si="120"/>
        <v>0.14249999999999999</v>
      </c>
      <c r="AE425" s="4">
        <f t="shared" si="121"/>
        <v>60.39</v>
      </c>
      <c r="AF425" s="27">
        <f t="shared" si="114"/>
        <v>0.14249999999999999</v>
      </c>
      <c r="AG425" s="4">
        <f t="shared" si="122"/>
        <v>51.79</v>
      </c>
      <c r="AH425" s="27">
        <f t="shared" si="123"/>
        <v>0.3332</v>
      </c>
    </row>
    <row r="426" spans="1:34" x14ac:dyDescent="0.35">
      <c r="A426" s="8" t="s">
        <v>882</v>
      </c>
      <c r="B426" s="9" t="s">
        <v>883</v>
      </c>
      <c r="C426" s="8" t="s">
        <v>1134</v>
      </c>
      <c r="D426" s="8" t="s">
        <v>1181</v>
      </c>
      <c r="E426" s="8" t="s">
        <v>905</v>
      </c>
      <c r="F426" s="25" t="s">
        <v>1103</v>
      </c>
      <c r="G426" s="8" t="s">
        <v>1124</v>
      </c>
      <c r="H426" s="8">
        <v>30</v>
      </c>
      <c r="I426" s="8" t="s">
        <v>1163</v>
      </c>
      <c r="J426" s="10">
        <v>212.53</v>
      </c>
      <c r="K426" s="22">
        <v>0.39400000000000002</v>
      </c>
      <c r="L426" s="11">
        <v>154.19</v>
      </c>
      <c r="M426" s="13">
        <v>0.38990000000000002</v>
      </c>
      <c r="N426" s="17">
        <f t="shared" si="107"/>
        <v>94.071318999999988</v>
      </c>
      <c r="O426" s="13">
        <v>0.1075</v>
      </c>
      <c r="P426" s="14">
        <f t="shared" si="108"/>
        <v>83.958652207499981</v>
      </c>
      <c r="Q426" s="14">
        <f t="shared" si="109"/>
        <v>30.252994345475006</v>
      </c>
      <c r="R426" s="28">
        <f t="shared" si="110"/>
        <v>5.8771056545249989</v>
      </c>
      <c r="S426" s="28">
        <f t="shared" si="111"/>
        <v>19.595865466578289</v>
      </c>
      <c r="T426" s="28">
        <f t="shared" si="112"/>
        <v>13.633148345475</v>
      </c>
      <c r="U426" s="28">
        <f t="shared" si="104"/>
        <v>19.595865466578289</v>
      </c>
      <c r="V426" s="28">
        <f t="shared" si="105"/>
        <v>10.657128878896717</v>
      </c>
      <c r="W426" s="28">
        <f t="shared" si="106"/>
        <v>0.53285644394483589</v>
      </c>
      <c r="X426" s="28">
        <f t="shared" si="113"/>
        <v>20.128721910523126</v>
      </c>
      <c r="Y426" s="14">
        <v>104.08441406780248</v>
      </c>
      <c r="Z426" s="13">
        <v>0.14249999999999999</v>
      </c>
      <c r="AA426" s="14">
        <v>104.80581589539648</v>
      </c>
      <c r="AB426" s="13">
        <f t="shared" si="115"/>
        <v>0.32029999999999997</v>
      </c>
      <c r="AC426" s="14">
        <v>121.38124089539647</v>
      </c>
      <c r="AD426" s="26">
        <f t="shared" si="120"/>
        <v>0.14249999999999993</v>
      </c>
      <c r="AE426" s="4">
        <f t="shared" si="121"/>
        <v>121.38</v>
      </c>
      <c r="AF426" s="27">
        <f t="shared" si="114"/>
        <v>0.14249999999999999</v>
      </c>
      <c r="AG426" s="4">
        <f t="shared" si="122"/>
        <v>104.08</v>
      </c>
      <c r="AH426" s="27">
        <f t="shared" si="123"/>
        <v>0.32029999999999997</v>
      </c>
    </row>
    <row r="427" spans="1:34" x14ac:dyDescent="0.35">
      <c r="A427" s="8" t="s">
        <v>884</v>
      </c>
      <c r="B427" s="9" t="s">
        <v>1231</v>
      </c>
      <c r="C427" s="8" t="s">
        <v>1134</v>
      </c>
      <c r="D427" s="8" t="s">
        <v>1139</v>
      </c>
      <c r="E427" s="8" t="s">
        <v>905</v>
      </c>
      <c r="F427" s="25" t="s">
        <v>1104</v>
      </c>
      <c r="G427" s="8" t="s">
        <v>1132</v>
      </c>
      <c r="H427" s="8">
        <v>30</v>
      </c>
      <c r="I427" s="8" t="s">
        <v>1163</v>
      </c>
      <c r="J427" s="10">
        <v>81.569999999999993</v>
      </c>
      <c r="K427" s="22">
        <v>0.39400000000000002</v>
      </c>
      <c r="L427" s="11">
        <v>59.18</v>
      </c>
      <c r="M427" s="13">
        <v>0.59809999999999997</v>
      </c>
      <c r="N427" s="17">
        <f t="shared" si="107"/>
        <v>23.784442000000002</v>
      </c>
      <c r="O427" s="13">
        <v>0.1075</v>
      </c>
      <c r="P427" s="14">
        <f t="shared" si="108"/>
        <v>21.227614485</v>
      </c>
      <c r="Q427" s="14">
        <f t="shared" si="109"/>
        <v>12.38096698605</v>
      </c>
      <c r="R427" s="28">
        <f t="shared" si="110"/>
        <v>1.4859330139500002</v>
      </c>
      <c r="S427" s="28">
        <f t="shared" si="111"/>
        <v>4.954503993184515</v>
      </c>
      <c r="T427" s="28">
        <f t="shared" si="112"/>
        <v>6.0021929860499981</v>
      </c>
      <c r="U427" s="28">
        <f t="shared" si="104"/>
        <v>6.0021929860499981</v>
      </c>
      <c r="V427" s="28">
        <f t="shared" si="105"/>
        <v>6.3787740000000017</v>
      </c>
      <c r="W427" s="28">
        <f t="shared" si="106"/>
        <v>0.31893870000000013</v>
      </c>
      <c r="X427" s="28">
        <f t="shared" si="113"/>
        <v>6.3211316860499984</v>
      </c>
      <c r="Y427" s="14">
        <v>27.546702833599994</v>
      </c>
      <c r="Z427" s="13">
        <v>0.14249999999999999</v>
      </c>
      <c r="AA427" s="14">
        <v>25.762584791370259</v>
      </c>
      <c r="AB427" s="13">
        <f t="shared" si="115"/>
        <v>0.56469999999999998</v>
      </c>
      <c r="AC427" s="14">
        <v>32.124434791370255</v>
      </c>
      <c r="AD427" s="26">
        <f t="shared" si="120"/>
        <v>0.14249999999999999</v>
      </c>
      <c r="AE427" s="4">
        <f t="shared" si="121"/>
        <v>32.119999999999997</v>
      </c>
      <c r="AF427" s="27">
        <f t="shared" si="114"/>
        <v>0.14249999999999999</v>
      </c>
      <c r="AG427" s="4">
        <f t="shared" si="122"/>
        <v>27.55</v>
      </c>
      <c r="AH427" s="27">
        <f t="shared" si="123"/>
        <v>0.56469999999999998</v>
      </c>
    </row>
    <row r="428" spans="1:34" x14ac:dyDescent="0.35">
      <c r="A428" s="8" t="s">
        <v>885</v>
      </c>
      <c r="B428" s="9" t="s">
        <v>1232</v>
      </c>
      <c r="C428" s="8" t="s">
        <v>1134</v>
      </c>
      <c r="D428" s="8" t="s">
        <v>1139</v>
      </c>
      <c r="E428" s="8" t="s">
        <v>905</v>
      </c>
      <c r="F428" s="25" t="s">
        <v>1104</v>
      </c>
      <c r="G428" s="8" t="s">
        <v>1133</v>
      </c>
      <c r="H428" s="8">
        <v>30</v>
      </c>
      <c r="I428" s="8" t="s">
        <v>1163</v>
      </c>
      <c r="J428" s="10">
        <v>96.52</v>
      </c>
      <c r="K428" s="22">
        <v>0.39400000000000002</v>
      </c>
      <c r="L428" s="11">
        <v>70.02</v>
      </c>
      <c r="M428" s="13">
        <v>0.50429999999999997</v>
      </c>
      <c r="N428" s="17">
        <f t="shared" si="107"/>
        <v>34.708914</v>
      </c>
      <c r="O428" s="13">
        <v>0.1075</v>
      </c>
      <c r="P428" s="14">
        <f t="shared" si="108"/>
        <v>30.977705744999998</v>
      </c>
      <c r="Q428" s="14">
        <f t="shared" si="109"/>
        <v>14.239960597850001</v>
      </c>
      <c r="R428" s="28">
        <f t="shared" si="110"/>
        <v>2.1684394021500002</v>
      </c>
      <c r="S428" s="28">
        <f t="shared" si="111"/>
        <v>7.2301655431772538</v>
      </c>
      <c r="T428" s="28">
        <f t="shared" si="112"/>
        <v>6.6920965978499982</v>
      </c>
      <c r="U428" s="28">
        <f t="shared" si="104"/>
        <v>7.2301655431772538</v>
      </c>
      <c r="V428" s="28">
        <f t="shared" si="105"/>
        <v>7.0097950546727468</v>
      </c>
      <c r="W428" s="28">
        <f t="shared" si="106"/>
        <v>0.35048975273363736</v>
      </c>
      <c r="X428" s="28">
        <f t="shared" si="113"/>
        <v>7.5806552959108915</v>
      </c>
      <c r="Y428" s="14">
        <v>38.556219411699992</v>
      </c>
      <c r="Z428" s="13">
        <v>0.14249999999999999</v>
      </c>
      <c r="AA428" s="14">
        <v>37.436371179825059</v>
      </c>
      <c r="AB428" s="13">
        <f t="shared" si="115"/>
        <v>0.46529999999999999</v>
      </c>
      <c r="AC428" s="14">
        <v>44.963521179825058</v>
      </c>
      <c r="AD428" s="26">
        <f t="shared" si="120"/>
        <v>0.1424999999999999</v>
      </c>
      <c r="AE428" s="4">
        <f t="shared" si="121"/>
        <v>44.96</v>
      </c>
      <c r="AF428" s="27">
        <f t="shared" si="114"/>
        <v>0.14249999999999999</v>
      </c>
      <c r="AG428" s="4">
        <f t="shared" si="122"/>
        <v>38.56</v>
      </c>
      <c r="AH428" s="27">
        <f t="shared" si="123"/>
        <v>0.46529999999999999</v>
      </c>
    </row>
    <row r="429" spans="1:34" x14ac:dyDescent="0.35">
      <c r="A429" s="8" t="s">
        <v>886</v>
      </c>
      <c r="B429" s="9" t="s">
        <v>1233</v>
      </c>
      <c r="C429" s="8" t="s">
        <v>1134</v>
      </c>
      <c r="D429" s="8" t="s">
        <v>1139</v>
      </c>
      <c r="E429" s="8" t="s">
        <v>905</v>
      </c>
      <c r="F429" s="25" t="s">
        <v>1104</v>
      </c>
      <c r="G429" s="8" t="s">
        <v>1110</v>
      </c>
      <c r="H429" s="8">
        <v>30</v>
      </c>
      <c r="I429" s="8" t="s">
        <v>1163</v>
      </c>
      <c r="J429" s="10">
        <v>81.52</v>
      </c>
      <c r="K429" s="22">
        <v>0.39400000000000002</v>
      </c>
      <c r="L429" s="11">
        <v>59.14</v>
      </c>
      <c r="M429" s="13">
        <v>0.67500000000000004</v>
      </c>
      <c r="N429" s="17">
        <f t="shared" si="107"/>
        <v>19.220499999999998</v>
      </c>
      <c r="O429" s="13">
        <v>0.1075</v>
      </c>
      <c r="P429" s="14">
        <f t="shared" si="108"/>
        <v>17.154296249999998</v>
      </c>
      <c r="Q429" s="14">
        <f t="shared" si="109"/>
        <v>12.6575992625</v>
      </c>
      <c r="R429" s="28">
        <f t="shared" si="110"/>
        <v>1.2008007375</v>
      </c>
      <c r="S429" s="28">
        <f t="shared" si="111"/>
        <v>4.0037955904537492</v>
      </c>
      <c r="T429" s="28">
        <f t="shared" si="112"/>
        <v>6.2827352625000001</v>
      </c>
      <c r="U429" s="28">
        <f t="shared" si="104"/>
        <v>6.2827352625000001</v>
      </c>
      <c r="V429" s="28">
        <f t="shared" si="105"/>
        <v>6.3748639999999996</v>
      </c>
      <c r="W429" s="28">
        <f t="shared" si="106"/>
        <v>0.3187432</v>
      </c>
      <c r="X429" s="28">
        <f t="shared" si="113"/>
        <v>6.6014784625000003</v>
      </c>
      <c r="Y429" s="14">
        <v>23.753732756149997</v>
      </c>
      <c r="Z429" s="13">
        <v>0.14249999999999999</v>
      </c>
      <c r="AA429" s="14">
        <v>21.34359607131195</v>
      </c>
      <c r="AB429" s="13">
        <f t="shared" si="115"/>
        <v>0.6391</v>
      </c>
      <c r="AC429" s="14">
        <v>27.70114607131195</v>
      </c>
      <c r="AD429" s="26">
        <f t="shared" si="120"/>
        <v>0.14249999999999999</v>
      </c>
      <c r="AE429" s="4">
        <f t="shared" si="121"/>
        <v>27.7</v>
      </c>
      <c r="AF429" s="27">
        <f t="shared" si="114"/>
        <v>0.14249999999999999</v>
      </c>
      <c r="AG429" s="4">
        <f t="shared" si="122"/>
        <v>23.75</v>
      </c>
      <c r="AH429" s="27">
        <f t="shared" si="123"/>
        <v>0.6391</v>
      </c>
    </row>
    <row r="430" spans="1:34" x14ac:dyDescent="0.35">
      <c r="A430" s="8" t="s">
        <v>887</v>
      </c>
      <c r="B430" s="9" t="s">
        <v>888</v>
      </c>
      <c r="C430" s="8" t="s">
        <v>1134</v>
      </c>
      <c r="D430" s="8" t="s">
        <v>1154</v>
      </c>
      <c r="E430" s="8" t="s">
        <v>905</v>
      </c>
      <c r="F430" s="25" t="s">
        <v>1105</v>
      </c>
      <c r="G430" s="8" t="s">
        <v>1111</v>
      </c>
      <c r="H430" s="8">
        <v>30</v>
      </c>
      <c r="I430" s="8" t="s">
        <v>1163</v>
      </c>
      <c r="J430" s="10">
        <v>223.15</v>
      </c>
      <c r="K430" s="22">
        <v>0.39400000000000002</v>
      </c>
      <c r="L430" s="11">
        <v>161.88999999999999</v>
      </c>
      <c r="M430" s="13">
        <v>0.63039999999999996</v>
      </c>
      <c r="N430" s="17">
        <f t="shared" si="107"/>
        <v>59.834544000000001</v>
      </c>
      <c r="O430" s="13">
        <v>0.1075</v>
      </c>
      <c r="P430" s="14">
        <f t="shared" si="108"/>
        <v>53.40233052</v>
      </c>
      <c r="Q430" s="14">
        <f t="shared" si="109"/>
        <v>34.197336863600007</v>
      </c>
      <c r="R430" s="28">
        <f t="shared" si="110"/>
        <v>3.7381631364000003</v>
      </c>
      <c r="S430" s="28">
        <f t="shared" si="111"/>
        <v>12.46405054103748</v>
      </c>
      <c r="T430" s="28">
        <f t="shared" si="112"/>
        <v>16.747006863599996</v>
      </c>
      <c r="U430" s="28">
        <f t="shared" si="104"/>
        <v>16.747006863599996</v>
      </c>
      <c r="V430" s="28">
        <f t="shared" si="105"/>
        <v>17.450330000000012</v>
      </c>
      <c r="W430" s="28">
        <f t="shared" si="106"/>
        <v>0.87251650000000058</v>
      </c>
      <c r="X430" s="28">
        <f t="shared" si="113"/>
        <v>17.619523363599995</v>
      </c>
      <c r="Y430" s="14">
        <v>71.016264226624983</v>
      </c>
      <c r="Z430" s="13">
        <v>0.14249999999999999</v>
      </c>
      <c r="AA430" s="14">
        <v>65.414625847376072</v>
      </c>
      <c r="AB430" s="13">
        <f t="shared" si="115"/>
        <v>0.59589999999999999</v>
      </c>
      <c r="AC430" s="14">
        <v>82.817800847376077</v>
      </c>
      <c r="AD430" s="26">
        <f t="shared" si="120"/>
        <v>0.14250000000000004</v>
      </c>
      <c r="AE430" s="4">
        <f t="shared" si="121"/>
        <v>82.82</v>
      </c>
      <c r="AF430" s="27">
        <f t="shared" si="114"/>
        <v>0.14249999999999999</v>
      </c>
      <c r="AG430" s="4">
        <f t="shared" si="122"/>
        <v>71.02</v>
      </c>
      <c r="AH430" s="27">
        <f t="shared" si="123"/>
        <v>0.59589999999999999</v>
      </c>
    </row>
    <row r="431" spans="1:34" x14ac:dyDescent="0.35">
      <c r="A431" s="8" t="s">
        <v>889</v>
      </c>
      <c r="B431" s="9" t="s">
        <v>890</v>
      </c>
      <c r="C431" s="8" t="s">
        <v>1134</v>
      </c>
      <c r="D431" s="8" t="s">
        <v>1154</v>
      </c>
      <c r="E431" s="8" t="s">
        <v>905</v>
      </c>
      <c r="F431" s="25" t="s">
        <v>1105</v>
      </c>
      <c r="G431" s="8" t="s">
        <v>3</v>
      </c>
      <c r="H431" s="8">
        <v>30</v>
      </c>
      <c r="I431" s="8" t="s">
        <v>1163</v>
      </c>
      <c r="J431" s="10">
        <v>66.41</v>
      </c>
      <c r="K431" s="22">
        <v>0.39400000000000002</v>
      </c>
      <c r="L431" s="11">
        <v>48.18</v>
      </c>
      <c r="M431" s="13">
        <v>0.56289999999999996</v>
      </c>
      <c r="N431" s="17">
        <f t="shared" si="107"/>
        <v>21.059478000000002</v>
      </c>
      <c r="O431" s="13">
        <v>0.1075</v>
      </c>
      <c r="P431" s="14">
        <f t="shared" si="108"/>
        <v>18.795584115</v>
      </c>
      <c r="Q431" s="14">
        <f t="shared" si="109"/>
        <v>9.9740091119500001</v>
      </c>
      <c r="R431" s="28">
        <f t="shared" si="110"/>
        <v>1.3156908880500002</v>
      </c>
      <c r="S431" s="28">
        <f t="shared" si="111"/>
        <v>4.3868705368568843</v>
      </c>
      <c r="T431" s="28">
        <f t="shared" si="112"/>
        <v>4.7807471119499994</v>
      </c>
      <c r="U431" s="28">
        <f t="shared" si="104"/>
        <v>4.7807471119499994</v>
      </c>
      <c r="V431" s="28">
        <f t="shared" si="105"/>
        <v>5.1932620000000007</v>
      </c>
      <c r="W431" s="28">
        <f t="shared" si="106"/>
        <v>0.25966310000000004</v>
      </c>
      <c r="X431" s="28">
        <f t="shared" si="113"/>
        <v>5.0404102119499994</v>
      </c>
      <c r="Y431" s="14">
        <v>23.834330791999996</v>
      </c>
      <c r="Z431" s="13">
        <v>0.14249999999999999</v>
      </c>
      <c r="AA431" s="14">
        <v>22.615787949854223</v>
      </c>
      <c r="AB431" s="13">
        <f t="shared" si="115"/>
        <v>0.53059999999999996</v>
      </c>
      <c r="AC431" s="14">
        <v>27.795137949854222</v>
      </c>
      <c r="AD431" s="26">
        <f t="shared" ref="AD431:AD436" si="124">(AC431-Y431)/AC431</f>
        <v>0.14249999999999999</v>
      </c>
      <c r="AE431" s="4">
        <f t="shared" ref="AE431:AE436" si="125">ROUND(AC431,2)</f>
        <v>27.8</v>
      </c>
      <c r="AF431" s="27">
        <f t="shared" si="114"/>
        <v>0.14249999999999999</v>
      </c>
      <c r="AG431" s="4">
        <f t="shared" ref="AG431:AG436" si="126">ROUND(Y431,2)</f>
        <v>23.83</v>
      </c>
      <c r="AH431" s="27">
        <f t="shared" ref="AH431:AH436" si="127">ROUND(AB431,4)</f>
        <v>0.53059999999999996</v>
      </c>
    </row>
    <row r="432" spans="1:34" x14ac:dyDescent="0.35">
      <c r="A432" s="8" t="s">
        <v>891</v>
      </c>
      <c r="B432" s="9" t="s">
        <v>892</v>
      </c>
      <c r="C432" s="8" t="s">
        <v>1134</v>
      </c>
      <c r="D432" s="8" t="s">
        <v>1154</v>
      </c>
      <c r="E432" s="8" t="s">
        <v>905</v>
      </c>
      <c r="F432" s="25" t="s">
        <v>1105</v>
      </c>
      <c r="G432" s="8" t="s">
        <v>1116</v>
      </c>
      <c r="H432" s="8">
        <v>30</v>
      </c>
      <c r="I432" s="8" t="s">
        <v>1163</v>
      </c>
      <c r="J432" s="10">
        <v>114.39</v>
      </c>
      <c r="K432" s="22">
        <v>0.39400000000000002</v>
      </c>
      <c r="L432" s="11">
        <v>82.99</v>
      </c>
      <c r="M432" s="13">
        <v>0.56740000000000002</v>
      </c>
      <c r="N432" s="17">
        <f t="shared" si="107"/>
        <v>35.901473999999993</v>
      </c>
      <c r="O432" s="13">
        <v>0.1075</v>
      </c>
      <c r="P432" s="14">
        <f t="shared" si="108"/>
        <v>32.042065544999993</v>
      </c>
      <c r="Q432" s="14">
        <f t="shared" si="109"/>
        <v>17.203355411850001</v>
      </c>
      <c r="R432" s="28">
        <f t="shared" si="110"/>
        <v>2.2429445881499999</v>
      </c>
      <c r="S432" s="28">
        <f t="shared" si="111"/>
        <v>7.4785860561374538</v>
      </c>
      <c r="T432" s="28">
        <f t="shared" si="112"/>
        <v>8.2580574118500003</v>
      </c>
      <c r="U432" s="28">
        <f t="shared" si="104"/>
        <v>8.2580574118500003</v>
      </c>
      <c r="V432" s="28">
        <f t="shared" si="105"/>
        <v>8.9452980000000011</v>
      </c>
      <c r="W432" s="28">
        <f t="shared" si="106"/>
        <v>0.44726490000000008</v>
      </c>
      <c r="X432" s="28">
        <f t="shared" si="113"/>
        <v>8.7053223118500007</v>
      </c>
      <c r="Y432" s="14">
        <v>40.744522419624992</v>
      </c>
      <c r="Z432" s="13">
        <v>0.14249999999999999</v>
      </c>
      <c r="AA432" s="14">
        <v>38.594053040379002</v>
      </c>
      <c r="AB432" s="13">
        <f t="shared" si="115"/>
        <v>0.53500000000000003</v>
      </c>
      <c r="AC432" s="14">
        <v>47.515478040379001</v>
      </c>
      <c r="AD432" s="26">
        <f t="shared" si="124"/>
        <v>0.14250000000000002</v>
      </c>
      <c r="AE432" s="4">
        <f t="shared" si="125"/>
        <v>47.52</v>
      </c>
      <c r="AF432" s="27">
        <f t="shared" si="114"/>
        <v>0.14249999999999999</v>
      </c>
      <c r="AG432" s="4">
        <f t="shared" si="126"/>
        <v>40.74</v>
      </c>
      <c r="AH432" s="27">
        <f t="shared" si="127"/>
        <v>0.53500000000000003</v>
      </c>
    </row>
    <row r="433" spans="1:34" x14ac:dyDescent="0.35">
      <c r="A433" s="8" t="s">
        <v>893</v>
      </c>
      <c r="B433" s="9" t="s">
        <v>894</v>
      </c>
      <c r="C433" s="8" t="s">
        <v>1134</v>
      </c>
      <c r="D433" s="8" t="s">
        <v>1182</v>
      </c>
      <c r="E433" s="8" t="s">
        <v>905</v>
      </c>
      <c r="F433" s="25" t="s">
        <v>1106</v>
      </c>
      <c r="G433" s="8" t="s">
        <v>1110</v>
      </c>
      <c r="H433" s="8">
        <v>30</v>
      </c>
      <c r="I433" s="8" t="s">
        <v>1163</v>
      </c>
      <c r="J433" s="10">
        <v>37.799999999999997</v>
      </c>
      <c r="K433" s="22">
        <v>0.39400000000000002</v>
      </c>
      <c r="L433" s="11">
        <v>27.42</v>
      </c>
      <c r="M433" s="13">
        <v>0.53120000000000001</v>
      </c>
      <c r="N433" s="17">
        <f t="shared" si="107"/>
        <v>12.854496000000001</v>
      </c>
      <c r="O433" s="13">
        <v>0.1075</v>
      </c>
      <c r="P433" s="14">
        <f t="shared" si="108"/>
        <v>11.47263768</v>
      </c>
      <c r="Q433" s="14">
        <f t="shared" si="109"/>
        <v>5.6229153624000006</v>
      </c>
      <c r="R433" s="28">
        <f t="shared" si="110"/>
        <v>0.80308463760000004</v>
      </c>
      <c r="S433" s="28">
        <f t="shared" si="111"/>
        <v>2.6777021618743202</v>
      </c>
      <c r="T433" s="28">
        <f t="shared" si="112"/>
        <v>2.6669553623999995</v>
      </c>
      <c r="U433" s="28">
        <f t="shared" si="104"/>
        <v>2.6777021618743202</v>
      </c>
      <c r="V433" s="28">
        <f t="shared" si="105"/>
        <v>2.9452132005256804</v>
      </c>
      <c r="W433" s="28">
        <f t="shared" si="106"/>
        <v>0.14726066002628402</v>
      </c>
      <c r="X433" s="28">
        <f t="shared" si="113"/>
        <v>2.8249628219006042</v>
      </c>
      <c r="Y433" s="14">
        <v>14.297823941099999</v>
      </c>
      <c r="Z433" s="13">
        <v>0.14249999999999999</v>
      </c>
      <c r="AA433" s="14">
        <v>13.726197161632651</v>
      </c>
      <c r="AB433" s="13">
        <f t="shared" si="115"/>
        <v>0.49940000000000001</v>
      </c>
      <c r="AC433" s="14">
        <v>16.673847161632651</v>
      </c>
      <c r="AD433" s="26">
        <f t="shared" si="124"/>
        <v>0.14249999999999993</v>
      </c>
      <c r="AE433" s="4">
        <f t="shared" si="125"/>
        <v>16.670000000000002</v>
      </c>
      <c r="AF433" s="27">
        <f t="shared" si="114"/>
        <v>0.14249999999999999</v>
      </c>
      <c r="AG433" s="4">
        <f t="shared" si="126"/>
        <v>14.3</v>
      </c>
      <c r="AH433" s="27">
        <f t="shared" si="127"/>
        <v>0.49940000000000001</v>
      </c>
    </row>
    <row r="434" spans="1:34" x14ac:dyDescent="0.35">
      <c r="A434" s="8" t="s">
        <v>895</v>
      </c>
      <c r="B434" s="9" t="s">
        <v>896</v>
      </c>
      <c r="C434" s="8" t="s">
        <v>1134</v>
      </c>
      <c r="D434" s="8" t="s">
        <v>1139</v>
      </c>
      <c r="E434" s="8" t="s">
        <v>905</v>
      </c>
      <c r="F434" s="25" t="s">
        <v>1107</v>
      </c>
      <c r="G434" s="8" t="s">
        <v>16</v>
      </c>
      <c r="H434" s="8">
        <v>20</v>
      </c>
      <c r="I434" s="8" t="s">
        <v>1163</v>
      </c>
      <c r="J434" s="10">
        <v>73.400000000000006</v>
      </c>
      <c r="K434" s="22">
        <v>0.39400000000000002</v>
      </c>
      <c r="L434" s="11">
        <v>53.25</v>
      </c>
      <c r="M434" s="13">
        <v>0.83709999999999996</v>
      </c>
      <c r="N434" s="17">
        <f t="shared" si="107"/>
        <v>8.6744250000000029</v>
      </c>
      <c r="O434" s="13">
        <v>0.1075</v>
      </c>
      <c r="P434" s="14">
        <f t="shared" si="108"/>
        <v>7.7419243125000019</v>
      </c>
      <c r="Q434" s="14">
        <f t="shared" si="109"/>
        <v>11.936065298125001</v>
      </c>
      <c r="R434" s="28">
        <f t="shared" si="110"/>
        <v>0.54193470187500015</v>
      </c>
      <c r="S434" s="28">
        <f t="shared" si="111"/>
        <v>1.8069573926131879</v>
      </c>
      <c r="T434" s="28">
        <f t="shared" si="112"/>
        <v>6.1961852981249992</v>
      </c>
      <c r="U434" s="28">
        <f t="shared" si="104"/>
        <v>6.1961852981249992</v>
      </c>
      <c r="V434" s="28">
        <f t="shared" si="105"/>
        <v>5.7398800000000021</v>
      </c>
      <c r="W434" s="28">
        <f t="shared" si="106"/>
        <v>0.28699400000000014</v>
      </c>
      <c r="X434" s="28">
        <f t="shared" si="113"/>
        <v>6.4831792981249992</v>
      </c>
      <c r="Y434" s="14">
        <v>14.223265021249997</v>
      </c>
      <c r="Z434" s="13">
        <v>0.14249999999999999</v>
      </c>
      <c r="AA434" s="14">
        <v>10.862522983965011</v>
      </c>
      <c r="AB434" s="13">
        <f t="shared" si="115"/>
        <v>0.79600000000000004</v>
      </c>
      <c r="AC434" s="14">
        <v>16.586897983965009</v>
      </c>
      <c r="AD434" s="26">
        <f t="shared" si="124"/>
        <v>0.14249999999999993</v>
      </c>
      <c r="AE434" s="4">
        <f t="shared" si="125"/>
        <v>16.59</v>
      </c>
      <c r="AF434" s="27">
        <f t="shared" si="114"/>
        <v>0.14249999999999999</v>
      </c>
      <c r="AG434" s="4">
        <f t="shared" si="126"/>
        <v>14.22</v>
      </c>
      <c r="AH434" s="27">
        <f t="shared" si="127"/>
        <v>0.79600000000000004</v>
      </c>
    </row>
    <row r="435" spans="1:34" x14ac:dyDescent="0.35">
      <c r="A435" s="8" t="s">
        <v>897</v>
      </c>
      <c r="B435" s="9" t="s">
        <v>898</v>
      </c>
      <c r="C435" s="8" t="s">
        <v>1134</v>
      </c>
      <c r="D435" s="8" t="s">
        <v>1139</v>
      </c>
      <c r="E435" s="8" t="s">
        <v>905</v>
      </c>
      <c r="F435" s="25" t="s">
        <v>1107</v>
      </c>
      <c r="G435" s="8" t="s">
        <v>16</v>
      </c>
      <c r="H435" s="8">
        <v>30</v>
      </c>
      <c r="I435" s="8" t="s">
        <v>1163</v>
      </c>
      <c r="J435" s="10">
        <v>87.06</v>
      </c>
      <c r="K435" s="22">
        <v>0.39400000000000002</v>
      </c>
      <c r="L435" s="11">
        <v>63.16</v>
      </c>
      <c r="M435" s="13">
        <v>0.80969999999999998</v>
      </c>
      <c r="N435" s="17">
        <f t="shared" si="107"/>
        <v>12.019348000000001</v>
      </c>
      <c r="O435" s="13">
        <v>0.1075</v>
      </c>
      <c r="P435" s="14">
        <f t="shared" si="108"/>
        <v>10.727268090000001</v>
      </c>
      <c r="Q435" s="14">
        <f t="shared" si="109"/>
        <v>14.049291233700002</v>
      </c>
      <c r="R435" s="28">
        <f t="shared" si="110"/>
        <v>0.75090876630000014</v>
      </c>
      <c r="S435" s="28">
        <f t="shared" si="111"/>
        <v>2.5037336449379102</v>
      </c>
      <c r="T435" s="28">
        <f t="shared" si="112"/>
        <v>7.2411992336999988</v>
      </c>
      <c r="U435" s="28">
        <f t="shared" si="104"/>
        <v>7.2411992336999988</v>
      </c>
      <c r="V435" s="28">
        <f t="shared" si="105"/>
        <v>6.8080920000000029</v>
      </c>
      <c r="W435" s="28">
        <f t="shared" si="106"/>
        <v>0.34040460000000017</v>
      </c>
      <c r="X435" s="28">
        <f t="shared" si="113"/>
        <v>7.5816038336999991</v>
      </c>
      <c r="Y435" s="14">
        <v>18.3066911668</v>
      </c>
      <c r="Z435" s="13">
        <v>0.14249999999999999</v>
      </c>
      <c r="AA435" s="14">
        <v>14.559210981690963</v>
      </c>
      <c r="AB435" s="13">
        <f t="shared" si="115"/>
        <v>0.76949999999999996</v>
      </c>
      <c r="AC435" s="14">
        <v>21.348910981690963</v>
      </c>
      <c r="AD435" s="26">
        <f t="shared" si="124"/>
        <v>0.14250000000000004</v>
      </c>
      <c r="AE435" s="4">
        <f t="shared" si="125"/>
        <v>21.35</v>
      </c>
      <c r="AF435" s="27">
        <f t="shared" si="114"/>
        <v>0.14249999999999999</v>
      </c>
      <c r="AG435" s="4">
        <f t="shared" si="126"/>
        <v>18.309999999999999</v>
      </c>
      <c r="AH435" s="27">
        <f t="shared" si="127"/>
        <v>0.76949999999999996</v>
      </c>
    </row>
    <row r="436" spans="1:34" x14ac:dyDescent="0.35">
      <c r="A436" s="8" t="s">
        <v>899</v>
      </c>
      <c r="B436" s="9" t="s">
        <v>900</v>
      </c>
      <c r="C436" s="8" t="s">
        <v>1135</v>
      </c>
      <c r="D436" s="8" t="s">
        <v>1139</v>
      </c>
      <c r="E436" s="8" t="s">
        <v>905</v>
      </c>
      <c r="F436" s="25" t="s">
        <v>1207</v>
      </c>
      <c r="G436" s="8" t="s">
        <v>16</v>
      </c>
      <c r="H436" s="8">
        <v>30</v>
      </c>
      <c r="I436" s="8" t="s">
        <v>1164</v>
      </c>
      <c r="J436" s="10">
        <v>144.01</v>
      </c>
      <c r="K436" s="22">
        <v>0.3417</v>
      </c>
      <c r="L436" s="11">
        <v>107.35</v>
      </c>
      <c r="M436" s="13">
        <v>0.4158</v>
      </c>
      <c r="N436" s="17">
        <f t="shared" si="107"/>
        <v>62.71387</v>
      </c>
      <c r="O436" s="13">
        <v>0.1075</v>
      </c>
      <c r="P436" s="14">
        <f t="shared" si="108"/>
        <v>55.972128974999997</v>
      </c>
      <c r="Q436" s="14">
        <f t="shared" si="109"/>
        <v>20.56365097175</v>
      </c>
      <c r="R436" s="28">
        <f t="shared" si="110"/>
        <v>3.91804902825</v>
      </c>
      <c r="S436" s="28">
        <f t="shared" si="111"/>
        <v>13.063838930636027</v>
      </c>
      <c r="T436" s="28">
        <f t="shared" si="112"/>
        <v>9.302068971749998</v>
      </c>
      <c r="U436" s="28">
        <f t="shared" si="104"/>
        <v>13.063838930636027</v>
      </c>
      <c r="V436" s="28">
        <f t="shared" si="105"/>
        <v>7.499812041113973</v>
      </c>
      <c r="W436" s="28">
        <f t="shared" si="106"/>
        <v>0.37499060205569867</v>
      </c>
      <c r="X436" s="28">
        <f t="shared" si="113"/>
        <v>13.438829532691726</v>
      </c>
      <c r="Y436" s="14">
        <v>69.408897664633244</v>
      </c>
      <c r="Z436" s="13">
        <v>0.14249999999999999</v>
      </c>
      <c r="AA436" s="14">
        <v>69.403195891700577</v>
      </c>
      <c r="AB436" s="13">
        <f t="shared" si="115"/>
        <v>0.35349999999999998</v>
      </c>
      <c r="AC436" s="14">
        <v>80.94332089170058</v>
      </c>
      <c r="AD436" s="26">
        <f t="shared" si="124"/>
        <v>0.14250000000000004</v>
      </c>
      <c r="AE436" s="4">
        <f t="shared" si="125"/>
        <v>80.94</v>
      </c>
      <c r="AF436" s="27">
        <f t="shared" si="114"/>
        <v>0.14249999999999999</v>
      </c>
      <c r="AG436" s="4">
        <f t="shared" si="126"/>
        <v>69.41</v>
      </c>
      <c r="AH436" s="27">
        <f t="shared" si="127"/>
        <v>0.35349999999999998</v>
      </c>
    </row>
    <row r="437" spans="1:34" x14ac:dyDescent="0.35">
      <c r="A437" s="8" t="s">
        <v>901</v>
      </c>
      <c r="B437" s="9" t="s">
        <v>902</v>
      </c>
      <c r="C437" s="8" t="s">
        <v>1135</v>
      </c>
      <c r="D437" s="8" t="s">
        <v>1139</v>
      </c>
      <c r="E437" s="8" t="s">
        <v>905</v>
      </c>
      <c r="F437" s="25" t="s">
        <v>1207</v>
      </c>
      <c r="G437" s="8" t="s">
        <v>16</v>
      </c>
      <c r="H437" s="8">
        <v>60</v>
      </c>
      <c r="I437" s="8" t="s">
        <v>1164</v>
      </c>
      <c r="J437" s="10">
        <v>259.2</v>
      </c>
      <c r="K437" s="22">
        <v>0.3417</v>
      </c>
      <c r="L437" s="11">
        <v>193.22</v>
      </c>
      <c r="M437" s="13">
        <v>0.35339999999999999</v>
      </c>
      <c r="N437" s="17">
        <f t="shared" si="107"/>
        <v>124.93605200000002</v>
      </c>
      <c r="O437" s="13">
        <v>0.1075</v>
      </c>
      <c r="P437" s="14">
        <f t="shared" si="108"/>
        <v>111.50542641000001</v>
      </c>
      <c r="Q437" s="14">
        <f t="shared" si="109"/>
        <v>36.258620151300001</v>
      </c>
      <c r="R437" s="28">
        <f t="shared" si="110"/>
        <v>7.8053798487000012</v>
      </c>
      <c r="S437" s="28">
        <f t="shared" si="111"/>
        <v>26.025255018667593</v>
      </c>
      <c r="T437" s="28">
        <f t="shared" si="112"/>
        <v>15.989180151299996</v>
      </c>
      <c r="U437" s="28">
        <f t="shared" si="104"/>
        <v>26.025255018667593</v>
      </c>
      <c r="V437" s="28">
        <f t="shared" si="105"/>
        <v>10.233365132632407</v>
      </c>
      <c r="W437" s="28">
        <f t="shared" si="106"/>
        <v>0.51166825663162041</v>
      </c>
      <c r="X437" s="28">
        <f t="shared" si="113"/>
        <v>26.536923275299213</v>
      </c>
      <c r="Y437" s="14">
        <v>138.03864035976818</v>
      </c>
      <c r="Z437" s="13">
        <v>0.14249999999999999</v>
      </c>
      <c r="AA437" s="14">
        <v>140.20685625045851</v>
      </c>
      <c r="AB437" s="13">
        <f t="shared" si="115"/>
        <v>0.27439999999999998</v>
      </c>
      <c r="AC437" s="14">
        <v>160.97800625045852</v>
      </c>
      <c r="AD437" s="26">
        <f t="shared" ref="AD437:AD442" si="128">(AC437-Y437)/AC437</f>
        <v>0.14250000000000002</v>
      </c>
      <c r="AE437" s="4">
        <f t="shared" ref="AE437:AE442" si="129">ROUND(AC437,2)</f>
        <v>160.97999999999999</v>
      </c>
      <c r="AF437" s="27">
        <f t="shared" si="114"/>
        <v>0.14249999999999999</v>
      </c>
      <c r="AG437" s="4">
        <f t="shared" ref="AG437:AG442" si="130">ROUND(Y437,2)</f>
        <v>138.04</v>
      </c>
      <c r="AH437" s="27">
        <f t="shared" ref="AH437:AH442" si="131">ROUND(AB437,4)</f>
        <v>0.27439999999999998</v>
      </c>
    </row>
    <row r="438" spans="1:34" x14ac:dyDescent="0.35">
      <c r="A438" s="8" t="s">
        <v>903</v>
      </c>
      <c r="B438" s="9" t="s">
        <v>904</v>
      </c>
      <c r="C438" s="8" t="s">
        <v>1135</v>
      </c>
      <c r="D438" s="8" t="s">
        <v>1139</v>
      </c>
      <c r="E438" s="8" t="s">
        <v>905</v>
      </c>
      <c r="F438" s="25" t="s">
        <v>1207</v>
      </c>
      <c r="G438" s="8" t="s">
        <v>25</v>
      </c>
      <c r="H438" s="8">
        <v>30</v>
      </c>
      <c r="I438" s="8" t="s">
        <v>1164</v>
      </c>
      <c r="J438" s="10">
        <v>87.4</v>
      </c>
      <c r="K438" s="22">
        <v>0.3417</v>
      </c>
      <c r="L438" s="11">
        <v>65.150000000000006</v>
      </c>
      <c r="M438" s="13">
        <v>0.39700000000000002</v>
      </c>
      <c r="N438" s="17">
        <f t="shared" si="107"/>
        <v>39.285450000000004</v>
      </c>
      <c r="O438" s="13">
        <v>0.1075</v>
      </c>
      <c r="P438" s="14">
        <f t="shared" si="108"/>
        <v>35.062264125000006</v>
      </c>
      <c r="Q438" s="14">
        <f t="shared" si="109"/>
        <v>12.403641511250001</v>
      </c>
      <c r="R438" s="28">
        <f t="shared" si="110"/>
        <v>2.4543584887500005</v>
      </c>
      <c r="S438" s="28">
        <f t="shared" si="111"/>
        <v>8.1834973845108756</v>
      </c>
      <c r="T438" s="28">
        <f t="shared" si="112"/>
        <v>5.5689615112499995</v>
      </c>
      <c r="U438" s="28">
        <f t="shared" si="104"/>
        <v>8.1834973845108756</v>
      </c>
      <c r="V438" s="28">
        <f t="shared" si="105"/>
        <v>4.2201441267391253</v>
      </c>
      <c r="W438" s="28">
        <f t="shared" si="106"/>
        <v>0.21100720633695627</v>
      </c>
      <c r="X438" s="28">
        <f t="shared" si="113"/>
        <v>8.3945045908478324</v>
      </c>
      <c r="Y438" s="14">
        <v>43.455518003921803</v>
      </c>
      <c r="Z438" s="13">
        <v>0.14249999999999999</v>
      </c>
      <c r="AA438" s="14">
        <v>43.673363925856329</v>
      </c>
      <c r="AB438" s="13">
        <f t="shared" si="115"/>
        <v>0.3296</v>
      </c>
      <c r="AC438" s="14">
        <v>50.676988925856328</v>
      </c>
      <c r="AD438" s="26">
        <f t="shared" si="128"/>
        <v>0.14249999999999996</v>
      </c>
      <c r="AE438" s="4">
        <f t="shared" si="129"/>
        <v>50.68</v>
      </c>
      <c r="AF438" s="27">
        <f t="shared" si="114"/>
        <v>0.14249999999999999</v>
      </c>
      <c r="AG438" s="4">
        <f t="shared" si="130"/>
        <v>43.46</v>
      </c>
      <c r="AH438" s="27">
        <f t="shared" si="131"/>
        <v>0.3296</v>
      </c>
    </row>
    <row r="439" spans="1:34" x14ac:dyDescent="0.35">
      <c r="A439" s="8" t="s">
        <v>1141</v>
      </c>
      <c r="B439" s="9" t="s">
        <v>1142</v>
      </c>
      <c r="C439" s="8" t="s">
        <v>1134</v>
      </c>
      <c r="D439" s="8" t="s">
        <v>1173</v>
      </c>
      <c r="E439" s="8" t="s">
        <v>905</v>
      </c>
      <c r="F439" s="25" t="s">
        <v>921</v>
      </c>
      <c r="G439" s="8" t="s">
        <v>21</v>
      </c>
      <c r="H439" s="8">
        <v>21</v>
      </c>
      <c r="I439" s="8" t="s">
        <v>1163</v>
      </c>
      <c r="J439" s="10">
        <v>204.51</v>
      </c>
      <c r="K439" s="22">
        <v>0.39400000000000002</v>
      </c>
      <c r="L439" s="11">
        <v>148.37</v>
      </c>
      <c r="M439" s="13">
        <v>0.61960000000000004</v>
      </c>
      <c r="N439" s="17">
        <f t="shared" si="107"/>
        <v>56.439947999999994</v>
      </c>
      <c r="O439" s="13">
        <v>0.1075</v>
      </c>
      <c r="P439" s="14">
        <f t="shared" si="108"/>
        <v>50.372653589999992</v>
      </c>
      <c r="Q439" s="14">
        <f t="shared" si="109"/>
        <v>31.240614248700002</v>
      </c>
      <c r="R439" s="28">
        <f t="shared" si="110"/>
        <v>3.5260857512999997</v>
      </c>
      <c r="S439" s="28">
        <f t="shared" si="111"/>
        <v>11.756926975252409</v>
      </c>
      <c r="T439" s="28">
        <f t="shared" si="112"/>
        <v>15.247932248699998</v>
      </c>
      <c r="U439" s="28">
        <f t="shared" si="104"/>
        <v>15.247932248699998</v>
      </c>
      <c r="V439" s="28">
        <f t="shared" si="105"/>
        <v>15.992682000000004</v>
      </c>
      <c r="W439" s="28">
        <f t="shared" si="106"/>
        <v>0.79963410000000024</v>
      </c>
      <c r="X439" s="28">
        <f t="shared" si="113"/>
        <v>16.047566348699998</v>
      </c>
      <c r="Y439" s="14">
        <v>66.415097093524992</v>
      </c>
      <c r="Z439" s="13">
        <v>0.14249999999999999</v>
      </c>
      <c r="AA439" s="14">
        <v>61.502233272332347</v>
      </c>
      <c r="AB439" s="13">
        <f t="shared" si="115"/>
        <v>0.58550000000000002</v>
      </c>
      <c r="AC439" s="14">
        <v>77.45200827233235</v>
      </c>
      <c r="AD439" s="26">
        <f t="shared" si="128"/>
        <v>0.14249999999999999</v>
      </c>
      <c r="AE439" s="4">
        <f t="shared" si="129"/>
        <v>77.45</v>
      </c>
      <c r="AF439" s="27">
        <f t="shared" si="114"/>
        <v>0.14249999999999999</v>
      </c>
      <c r="AG439" s="4">
        <f t="shared" si="130"/>
        <v>66.42</v>
      </c>
      <c r="AH439" s="27">
        <f t="shared" si="131"/>
        <v>0.58550000000000002</v>
      </c>
    </row>
    <row r="440" spans="1:34" x14ac:dyDescent="0.35">
      <c r="A440" s="8" t="s">
        <v>1143</v>
      </c>
      <c r="B440" s="9" t="s">
        <v>1146</v>
      </c>
      <c r="C440" s="8" t="s">
        <v>1134</v>
      </c>
      <c r="D440" s="8" t="s">
        <v>1147</v>
      </c>
      <c r="E440" s="8" t="s">
        <v>905</v>
      </c>
      <c r="F440" s="25" t="s">
        <v>1208</v>
      </c>
      <c r="G440" s="8" t="s">
        <v>16</v>
      </c>
      <c r="H440" s="8">
        <v>30</v>
      </c>
      <c r="I440" s="8" t="s">
        <v>1163</v>
      </c>
      <c r="J440" s="10">
        <v>155.25</v>
      </c>
      <c r="K440" s="22">
        <v>0.39400000000000002</v>
      </c>
      <c r="L440" s="11">
        <v>112.63</v>
      </c>
      <c r="M440" s="13">
        <v>0.44169999999999998</v>
      </c>
      <c r="N440" s="17">
        <f t="shared" si="107"/>
        <v>62.881329000000001</v>
      </c>
      <c r="O440" s="13">
        <v>0.1075</v>
      </c>
      <c r="P440" s="14">
        <f t="shared" si="108"/>
        <v>56.121586132499999</v>
      </c>
      <c r="Q440" s="14">
        <f t="shared" si="109"/>
        <v>22.463988970725001</v>
      </c>
      <c r="R440" s="28">
        <f t="shared" si="110"/>
        <v>3.9285110292750005</v>
      </c>
      <c r="S440" s="28">
        <f t="shared" si="111"/>
        <v>13.098722081739368</v>
      </c>
      <c r="T440" s="28">
        <f t="shared" si="112"/>
        <v>10.323438970724998</v>
      </c>
      <c r="U440" s="28">
        <f t="shared" si="104"/>
        <v>13.098722081739368</v>
      </c>
      <c r="V440" s="28">
        <f t="shared" si="105"/>
        <v>9.3652668889856336</v>
      </c>
      <c r="W440" s="28">
        <f t="shared" si="106"/>
        <v>0.46826334444928169</v>
      </c>
      <c r="X440" s="28">
        <f t="shared" si="113"/>
        <v>13.56698542618865</v>
      </c>
      <c r="Y440" s="14">
        <v>69.686409353251534</v>
      </c>
      <c r="Z440" s="13">
        <v>0.14249999999999999</v>
      </c>
      <c r="AA440" s="14">
        <v>69.159224683092162</v>
      </c>
      <c r="AB440" s="13">
        <f t="shared" si="115"/>
        <v>0.38600000000000001</v>
      </c>
      <c r="AC440" s="14">
        <v>81.266949683092164</v>
      </c>
      <c r="AD440" s="26">
        <f t="shared" si="128"/>
        <v>0.14249999999999996</v>
      </c>
      <c r="AE440" s="4">
        <f t="shared" si="129"/>
        <v>81.27</v>
      </c>
      <c r="AF440" s="27">
        <f t="shared" si="114"/>
        <v>0.14249999999999999</v>
      </c>
      <c r="AG440" s="4">
        <f t="shared" si="130"/>
        <v>69.69</v>
      </c>
      <c r="AH440" s="27">
        <f t="shared" si="131"/>
        <v>0.38600000000000001</v>
      </c>
    </row>
    <row r="441" spans="1:34" x14ac:dyDescent="0.35">
      <c r="A441" s="8" t="s">
        <v>1144</v>
      </c>
      <c r="B441" s="9" t="s">
        <v>1148</v>
      </c>
      <c r="C441" s="8" t="s">
        <v>15</v>
      </c>
      <c r="D441" s="8" t="s">
        <v>1149</v>
      </c>
      <c r="E441" s="8" t="s">
        <v>905</v>
      </c>
      <c r="F441" s="25" t="s">
        <v>1053</v>
      </c>
      <c r="G441" s="8" t="s">
        <v>3</v>
      </c>
      <c r="H441" s="8">
        <v>8</v>
      </c>
      <c r="I441" s="8" t="s">
        <v>1163</v>
      </c>
      <c r="J441" s="10">
        <v>35.950000000000003</v>
      </c>
      <c r="K441" s="22">
        <v>0.39400000000000002</v>
      </c>
      <c r="L441" s="11">
        <v>26.08</v>
      </c>
      <c r="M441" s="13">
        <v>0.37209999999999999</v>
      </c>
      <c r="N441" s="17">
        <f t="shared" si="107"/>
        <v>16.375632</v>
      </c>
      <c r="O441" s="13">
        <v>0.1075</v>
      </c>
      <c r="P441" s="14">
        <f t="shared" si="108"/>
        <v>14.615251559999999</v>
      </c>
      <c r="Q441" s="14">
        <f t="shared" si="109"/>
        <v>5.0884323908000013</v>
      </c>
      <c r="R441" s="28">
        <f t="shared" si="110"/>
        <v>1.0230676091999999</v>
      </c>
      <c r="S441" s="28">
        <f t="shared" si="111"/>
        <v>3.4111850988524397</v>
      </c>
      <c r="T441" s="28">
        <f t="shared" si="112"/>
        <v>2.2771423907999999</v>
      </c>
      <c r="U441" s="28">
        <f t="shared" si="104"/>
        <v>3.4111850988524397</v>
      </c>
      <c r="V441" s="28">
        <f t="shared" si="105"/>
        <v>1.6772472919475616</v>
      </c>
      <c r="W441" s="28">
        <f t="shared" si="106"/>
        <v>8.3862364597378086E-2</v>
      </c>
      <c r="X441" s="28">
        <f t="shared" si="113"/>
        <v>3.4950474634498176</v>
      </c>
      <c r="Y441" s="14">
        <v>18.109798354731002</v>
      </c>
      <c r="Z441" s="13">
        <v>0.14249999999999999</v>
      </c>
      <c r="AA441" s="14">
        <v>18.315698372864141</v>
      </c>
      <c r="AB441" s="13">
        <f t="shared" si="115"/>
        <v>0.29770000000000002</v>
      </c>
      <c r="AC441" s="14">
        <v>21.11929837286414</v>
      </c>
      <c r="AD441" s="26">
        <f t="shared" si="128"/>
        <v>0.14249999999999993</v>
      </c>
      <c r="AE441" s="4">
        <f t="shared" si="129"/>
        <v>21.12</v>
      </c>
      <c r="AF441" s="27">
        <f t="shared" si="114"/>
        <v>0.14249999999999999</v>
      </c>
      <c r="AG441" s="4">
        <f t="shared" si="130"/>
        <v>18.11</v>
      </c>
      <c r="AH441" s="27">
        <f t="shared" si="131"/>
        <v>0.29770000000000002</v>
      </c>
    </row>
    <row r="442" spans="1:34" x14ac:dyDescent="0.35">
      <c r="A442" s="8" t="s">
        <v>1145</v>
      </c>
      <c r="B442" s="9" t="s">
        <v>1150</v>
      </c>
      <c r="C442" s="8" t="s">
        <v>1134</v>
      </c>
      <c r="D442" s="8" t="s">
        <v>1139</v>
      </c>
      <c r="E442" s="8" t="s">
        <v>905</v>
      </c>
      <c r="F442" s="25" t="s">
        <v>1107</v>
      </c>
      <c r="G442" s="8" t="s">
        <v>25</v>
      </c>
      <c r="H442" s="8">
        <v>30</v>
      </c>
      <c r="I442" s="8" t="s">
        <v>1163</v>
      </c>
      <c r="J442" s="10">
        <v>112.92</v>
      </c>
      <c r="K442" s="22">
        <v>0.39400000000000002</v>
      </c>
      <c r="L442" s="11">
        <v>81.92</v>
      </c>
      <c r="M442" s="13">
        <v>0.68189999999999995</v>
      </c>
      <c r="N442" s="17">
        <f t="shared" si="107"/>
        <v>26.058752000000005</v>
      </c>
      <c r="O442" s="13">
        <v>0.1075</v>
      </c>
      <c r="P442" s="14">
        <f t="shared" si="108"/>
        <v>23.257436160000005</v>
      </c>
      <c r="Q442" s="14">
        <f t="shared" si="109"/>
        <v>17.5683794688</v>
      </c>
      <c r="R442" s="28">
        <f t="shared" si="110"/>
        <v>1.6280205312000005</v>
      </c>
      <c r="S442" s="28">
        <f t="shared" si="111"/>
        <v>5.4282623423078409</v>
      </c>
      <c r="T442" s="28">
        <f t="shared" si="112"/>
        <v>8.7380354687999979</v>
      </c>
      <c r="U442" s="28">
        <f t="shared" si="104"/>
        <v>8.7380354687999979</v>
      </c>
      <c r="V442" s="28">
        <f t="shared" si="105"/>
        <v>8.830344000000002</v>
      </c>
      <c r="W442" s="28">
        <f t="shared" si="106"/>
        <v>0.44151720000000011</v>
      </c>
      <c r="X442" s="28">
        <f t="shared" si="113"/>
        <v>9.1795526687999978</v>
      </c>
      <c r="Y442" s="14">
        <v>32.434160335999998</v>
      </c>
      <c r="Z442" s="13">
        <v>0.14249999999999999</v>
      </c>
      <c r="AA442" s="14">
        <v>29.01769368629737</v>
      </c>
      <c r="AB442" s="13">
        <f t="shared" si="115"/>
        <v>0.64580000000000004</v>
      </c>
      <c r="AC442" s="14">
        <v>37.824093686297374</v>
      </c>
      <c r="AD442" s="26">
        <f t="shared" si="128"/>
        <v>0.14250000000000002</v>
      </c>
      <c r="AE442" s="4">
        <f t="shared" si="129"/>
        <v>37.82</v>
      </c>
      <c r="AF442" s="27">
        <f t="shared" si="114"/>
        <v>0.14249999999999999</v>
      </c>
      <c r="AG442" s="4">
        <f t="shared" si="130"/>
        <v>32.43</v>
      </c>
      <c r="AH442" s="27">
        <f t="shared" si="131"/>
        <v>0.64580000000000004</v>
      </c>
    </row>
    <row r="443" spans="1:34" x14ac:dyDescent="0.35">
      <c r="A443" s="8" t="s">
        <v>1152</v>
      </c>
      <c r="B443" s="9" t="s">
        <v>1153</v>
      </c>
      <c r="C443" s="8" t="s">
        <v>1135</v>
      </c>
      <c r="D443" s="8" t="s">
        <v>1154</v>
      </c>
      <c r="E443" s="8" t="s">
        <v>905</v>
      </c>
      <c r="F443" s="25" t="s">
        <v>1209</v>
      </c>
      <c r="G443" s="8" t="s">
        <v>3</v>
      </c>
      <c r="H443" s="8">
        <v>24</v>
      </c>
      <c r="I443" s="8" t="s">
        <v>1164</v>
      </c>
      <c r="J443" s="10">
        <v>52.42</v>
      </c>
      <c r="K443" s="22">
        <v>0.3417</v>
      </c>
      <c r="L443" s="11">
        <v>39.08</v>
      </c>
      <c r="M443" s="13">
        <v>0.6008</v>
      </c>
      <c r="N443" s="17">
        <f t="shared" si="107"/>
        <v>15.600735999999999</v>
      </c>
      <c r="O443" s="13">
        <v>0.1075</v>
      </c>
      <c r="P443" s="14">
        <f t="shared" si="108"/>
        <v>13.923656879999999</v>
      </c>
      <c r="Q443" s="14">
        <f t="shared" si="109"/>
        <v>7.9367440184000007</v>
      </c>
      <c r="R443" s="28">
        <f t="shared" si="110"/>
        <v>0.9746559816</v>
      </c>
      <c r="S443" s="28">
        <f t="shared" si="111"/>
        <v>3.2497675921351208</v>
      </c>
      <c r="T443" s="28">
        <f t="shared" si="112"/>
        <v>3.8375000184000001</v>
      </c>
      <c r="U443" s="28">
        <f t="shared" si="104"/>
        <v>3.8375000184000001</v>
      </c>
      <c r="V443" s="28">
        <f t="shared" si="105"/>
        <v>4.0992440000000006</v>
      </c>
      <c r="W443" s="28">
        <f t="shared" si="106"/>
        <v>0.20496220000000004</v>
      </c>
      <c r="X443" s="28">
        <f t="shared" si="113"/>
        <v>4.0424622183999999</v>
      </c>
      <c r="Y443" s="14">
        <v>17.964769763700001</v>
      </c>
      <c r="Z443" s="13">
        <v>0.14249999999999999</v>
      </c>
      <c r="AA443" s="14">
        <v>16.749068820641398</v>
      </c>
      <c r="AB443" s="13">
        <f t="shared" si="115"/>
        <v>0.57140000000000002</v>
      </c>
      <c r="AC443" s="14">
        <v>20.950168820641398</v>
      </c>
      <c r="AD443" s="26">
        <f t="shared" ref="AD443:AD444" si="132">(AC443-Y443)/AC443</f>
        <v>0.14249999999999988</v>
      </c>
      <c r="AE443" s="4">
        <f t="shared" ref="AE443:AE444" si="133">ROUND(AC443,2)</f>
        <v>20.95</v>
      </c>
      <c r="AF443" s="27">
        <f t="shared" si="114"/>
        <v>0.14249999999999999</v>
      </c>
      <c r="AG443" s="4">
        <f t="shared" ref="AG443:AG444" si="134">ROUND(Y443,2)</f>
        <v>17.96</v>
      </c>
      <c r="AH443" s="27">
        <f t="shared" ref="AH443:AH444" si="135">ROUND(AB443,4)</f>
        <v>0.57140000000000002</v>
      </c>
    </row>
    <row r="444" spans="1:34" x14ac:dyDescent="0.35">
      <c r="A444" s="8" t="s">
        <v>1155</v>
      </c>
      <c r="B444" s="9" t="s">
        <v>1159</v>
      </c>
      <c r="C444" s="8" t="s">
        <v>1134</v>
      </c>
      <c r="D444" s="8" t="s">
        <v>1139</v>
      </c>
      <c r="E444" s="8" t="s">
        <v>905</v>
      </c>
      <c r="F444" s="25" t="s">
        <v>1165</v>
      </c>
      <c r="G444" s="8" t="s">
        <v>1126</v>
      </c>
      <c r="H444" s="8">
        <v>60</v>
      </c>
      <c r="I444" s="8" t="s">
        <v>1163</v>
      </c>
      <c r="J444" s="10">
        <v>133.47</v>
      </c>
      <c r="K444" s="22">
        <v>0.39400000000000002</v>
      </c>
      <c r="L444" s="11">
        <v>96.83</v>
      </c>
      <c r="M444" s="13">
        <v>0.47849999999999998</v>
      </c>
      <c r="N444" s="17">
        <f t="shared" si="107"/>
        <v>50.496845000000008</v>
      </c>
      <c r="O444" s="13">
        <v>0.1075</v>
      </c>
      <c r="P444" s="14">
        <f t="shared" si="108"/>
        <v>45.068434162500004</v>
      </c>
      <c r="Q444" s="14">
        <f t="shared" si="109"/>
        <v>19.535109608625</v>
      </c>
      <c r="R444" s="28">
        <f t="shared" si="110"/>
        <v>3.1547903913750006</v>
      </c>
      <c r="S444" s="28">
        <f t="shared" si="111"/>
        <v>10.51892746509334</v>
      </c>
      <c r="T444" s="28">
        <f t="shared" si="112"/>
        <v>9.0977556086249987</v>
      </c>
      <c r="U444" s="28">
        <f t="shared" ref="U444:U453" si="136">IFERROR(IF(J444="-",P444*7%,LARGE(S444:T444,1)),"-")</f>
        <v>10.51892746509334</v>
      </c>
      <c r="V444" s="28">
        <f t="shared" ref="V444:V453" si="137">IFERROR(Q444-U444,"-")</f>
        <v>9.01618214353166</v>
      </c>
      <c r="W444" s="28">
        <f t="shared" ref="W444:W453" si="138">IFERROR(V444*5%,"-")</f>
        <v>0.45080910717658301</v>
      </c>
      <c r="X444" s="28">
        <f t="shared" si="113"/>
        <v>10.969736572269923</v>
      </c>
      <c r="Y444" s="14">
        <v>56.042989493974993</v>
      </c>
      <c r="Z444" s="13">
        <v>0.14249999999999999</v>
      </c>
      <c r="AA444" s="14">
        <v>54.947030969650136</v>
      </c>
      <c r="AB444" s="13">
        <f t="shared" si="115"/>
        <v>0.4325</v>
      </c>
      <c r="AC444" s="14">
        <v>65.356255969650135</v>
      </c>
      <c r="AD444" s="26">
        <f t="shared" si="132"/>
        <v>0.14249999999999996</v>
      </c>
      <c r="AE444" s="4">
        <f t="shared" si="133"/>
        <v>65.36</v>
      </c>
      <c r="AF444" s="27">
        <f t="shared" si="114"/>
        <v>0.14249999999999999</v>
      </c>
      <c r="AG444" s="4">
        <f t="shared" si="134"/>
        <v>56.04</v>
      </c>
      <c r="AH444" s="27">
        <f t="shared" si="135"/>
        <v>0.4325</v>
      </c>
    </row>
    <row r="445" spans="1:34" x14ac:dyDescent="0.35">
      <c r="A445" s="8" t="s">
        <v>1156</v>
      </c>
      <c r="B445" s="9" t="s">
        <v>1160</v>
      </c>
      <c r="C445" s="8" t="s">
        <v>1134</v>
      </c>
      <c r="D445" s="8" t="s">
        <v>1139</v>
      </c>
      <c r="E445" s="8" t="s">
        <v>905</v>
      </c>
      <c r="F445" s="25" t="s">
        <v>1165</v>
      </c>
      <c r="G445" s="8" t="s">
        <v>1126</v>
      </c>
      <c r="H445" s="8">
        <v>30</v>
      </c>
      <c r="I445" s="8" t="s">
        <v>1163</v>
      </c>
      <c r="J445" s="10">
        <v>66.73</v>
      </c>
      <c r="K445" s="22">
        <v>0.39400000000000002</v>
      </c>
      <c r="L445" s="11">
        <v>48.41</v>
      </c>
      <c r="M445" s="13">
        <v>0.45450000000000002</v>
      </c>
      <c r="N445" s="17">
        <f t="shared" ref="N445:N453" si="139">L445*(1-M445)</f>
        <v>26.407654999999998</v>
      </c>
      <c r="O445" s="13">
        <v>0.1075</v>
      </c>
      <c r="P445" s="14">
        <f t="shared" ref="P445:P453" si="140">N445*(1-O445)</f>
        <v>23.568832087499999</v>
      </c>
      <c r="Q445" s="14">
        <f t="shared" ref="Q445:Q453" si="141">IFERROR(IF(J445="-",P445*(1+K445)*17%,(J445*17%)-R445),"-")</f>
        <v>9.6942817538749999</v>
      </c>
      <c r="R445" s="28">
        <f t="shared" ref="R445:R453" si="142">IFERROR(P445*7%,"-")</f>
        <v>1.6498182461250002</v>
      </c>
      <c r="S445" s="28">
        <f t="shared" ref="S445:S453" si="143">IFERROR((P445*1.983*0.153)-R445,0)</f>
        <v>5.5009418403904125</v>
      </c>
      <c r="T445" s="28">
        <f t="shared" ref="T445:T453" si="144">IFERROR((J445*0.6*0.153)-R445,0)</f>
        <v>4.4759957538749999</v>
      </c>
      <c r="U445" s="28">
        <f t="shared" si="136"/>
        <v>5.5009418403904125</v>
      </c>
      <c r="V445" s="28">
        <f t="shared" si="137"/>
        <v>4.1933399134845875</v>
      </c>
      <c r="W445" s="28">
        <f t="shared" si="138"/>
        <v>0.20966699567422939</v>
      </c>
      <c r="X445" s="28">
        <f t="shared" ref="X445:X453" si="145">IF($J445="-",Q445-U445,Q445-V445+W445)</f>
        <v>5.7106088360646421</v>
      </c>
      <c r="Y445" s="14">
        <v>29.280481364174996</v>
      </c>
      <c r="Z445" s="13">
        <v>0.14249999999999999</v>
      </c>
      <c r="AA445" s="14">
        <v>28.942258952390667</v>
      </c>
      <c r="AB445" s="13">
        <f t="shared" si="115"/>
        <v>0.40210000000000001</v>
      </c>
      <c r="AC445" s="14">
        <v>34.146333952390663</v>
      </c>
      <c r="AD445" s="26">
        <f t="shared" ref="AD445:AD453" si="146">(AC445-Y445)/AC445</f>
        <v>0.14249999999999993</v>
      </c>
      <c r="AE445" s="4">
        <f t="shared" ref="AE445:AE453" si="147">ROUND(AC445,2)</f>
        <v>34.15</v>
      </c>
      <c r="AF445" s="27">
        <f t="shared" ref="AF445:AF453" si="148">ROUND(AD445,4)</f>
        <v>0.14249999999999999</v>
      </c>
      <c r="AG445" s="4">
        <f t="shared" ref="AG445:AG453" si="149">ROUND(Y445,2)</f>
        <v>29.28</v>
      </c>
      <c r="AH445" s="27">
        <f t="shared" ref="AH445:AH453" si="150">ROUND(AB445,4)</f>
        <v>0.40210000000000001</v>
      </c>
    </row>
    <row r="446" spans="1:34" x14ac:dyDescent="0.35">
      <c r="A446" s="8" t="s">
        <v>1157</v>
      </c>
      <c r="B446" s="9" t="s">
        <v>1161</v>
      </c>
      <c r="C446" s="8" t="s">
        <v>1134</v>
      </c>
      <c r="D446" s="8" t="s">
        <v>1139</v>
      </c>
      <c r="E446" s="8" t="s">
        <v>905</v>
      </c>
      <c r="F446" s="25" t="s">
        <v>1166</v>
      </c>
      <c r="G446" s="8" t="s">
        <v>3</v>
      </c>
      <c r="H446" s="8">
        <v>30</v>
      </c>
      <c r="I446" s="8" t="s">
        <v>1164</v>
      </c>
      <c r="J446" s="10">
        <v>51.87</v>
      </c>
      <c r="K446" s="22">
        <v>0.39400000000000002</v>
      </c>
      <c r="L446" s="11">
        <v>38.67</v>
      </c>
      <c r="M446" s="13">
        <v>0.49180000000000001</v>
      </c>
      <c r="N446" s="17">
        <f t="shared" si="139"/>
        <v>19.652094000000002</v>
      </c>
      <c r="O446" s="13">
        <v>0.1075</v>
      </c>
      <c r="P446" s="14">
        <f t="shared" si="140"/>
        <v>17.539493895</v>
      </c>
      <c r="Q446" s="14">
        <f t="shared" si="141"/>
        <v>7.5901354273499999</v>
      </c>
      <c r="R446" s="28">
        <f t="shared" si="142"/>
        <v>1.2277645726500002</v>
      </c>
      <c r="S446" s="28">
        <f t="shared" si="143"/>
        <v>4.0937003355991051</v>
      </c>
      <c r="T446" s="28">
        <f t="shared" si="144"/>
        <v>3.5339014273499991</v>
      </c>
      <c r="U446" s="28">
        <f t="shared" si="136"/>
        <v>4.0937003355991051</v>
      </c>
      <c r="V446" s="28">
        <f t="shared" si="137"/>
        <v>3.4964350917508948</v>
      </c>
      <c r="W446" s="28">
        <f t="shared" si="138"/>
        <v>0.17482175458754476</v>
      </c>
      <c r="X446" s="28">
        <f t="shared" si="145"/>
        <v>4.2685220901866501</v>
      </c>
      <c r="Y446" s="14">
        <v>21.807683151974999</v>
      </c>
      <c r="Z446" s="13">
        <v>0.14249999999999999</v>
      </c>
      <c r="AA446" s="14">
        <v>21.274675468775506</v>
      </c>
      <c r="AB446" s="13">
        <f t="shared" si="115"/>
        <v>0.44979999999999998</v>
      </c>
      <c r="AC446" s="14">
        <v>25.431700468775507</v>
      </c>
      <c r="AD446" s="26">
        <f t="shared" si="146"/>
        <v>0.14249999999999993</v>
      </c>
      <c r="AE446" s="4">
        <f t="shared" si="147"/>
        <v>25.43</v>
      </c>
      <c r="AF446" s="27">
        <f t="shared" si="148"/>
        <v>0.14249999999999999</v>
      </c>
      <c r="AG446" s="4">
        <f t="shared" si="149"/>
        <v>21.81</v>
      </c>
      <c r="AH446" s="27">
        <f t="shared" si="150"/>
        <v>0.44979999999999998</v>
      </c>
    </row>
    <row r="447" spans="1:34" x14ac:dyDescent="0.35">
      <c r="A447" s="8" t="s">
        <v>1158</v>
      </c>
      <c r="B447" s="9" t="s">
        <v>1162</v>
      </c>
      <c r="C447" s="8" t="s">
        <v>1135</v>
      </c>
      <c r="D447" s="8" t="s">
        <v>1139</v>
      </c>
      <c r="E447" s="8" t="s">
        <v>905</v>
      </c>
      <c r="F447" s="25" t="s">
        <v>1166</v>
      </c>
      <c r="G447" s="8" t="s">
        <v>25</v>
      </c>
      <c r="H447" s="8">
        <v>30</v>
      </c>
      <c r="I447" s="8" t="s">
        <v>1164</v>
      </c>
      <c r="J447" s="10">
        <v>100.73</v>
      </c>
      <c r="K447" s="22">
        <v>0.3417</v>
      </c>
      <c r="L447" s="11">
        <v>75.09</v>
      </c>
      <c r="M447" s="13">
        <v>0.48099999999999998</v>
      </c>
      <c r="N447" s="17">
        <f t="shared" si="139"/>
        <v>38.971710000000002</v>
      </c>
      <c r="O447" s="13">
        <v>0.1075</v>
      </c>
      <c r="P447" s="14">
        <f t="shared" si="140"/>
        <v>34.782251174999999</v>
      </c>
      <c r="Q447" s="14">
        <f t="shared" si="141"/>
        <v>14.689342417750002</v>
      </c>
      <c r="R447" s="28">
        <f t="shared" si="142"/>
        <v>2.4347575822500001</v>
      </c>
      <c r="S447" s="28">
        <f t="shared" si="143"/>
        <v>8.1181426419938241</v>
      </c>
      <c r="T447" s="28">
        <f t="shared" si="144"/>
        <v>6.8122564177499996</v>
      </c>
      <c r="U447" s="28">
        <f t="shared" si="136"/>
        <v>8.1181426419938241</v>
      </c>
      <c r="V447" s="28">
        <f t="shared" si="137"/>
        <v>6.5711997757561775</v>
      </c>
      <c r="W447" s="28">
        <f t="shared" si="138"/>
        <v>0.3285599887878089</v>
      </c>
      <c r="X447" s="28">
        <f t="shared" si="145"/>
        <v>8.4467026307816333</v>
      </c>
      <c r="Y447" s="14">
        <v>43.232300767775001</v>
      </c>
      <c r="Z447" s="13">
        <v>0.14249999999999999</v>
      </c>
      <c r="AA447" s="14">
        <v>42.344502280204075</v>
      </c>
      <c r="AB447" s="13">
        <f t="shared" si="115"/>
        <v>0.43609999999999999</v>
      </c>
      <c r="AC447" s="14">
        <v>50.416677280204077</v>
      </c>
      <c r="AD447" s="26">
        <f t="shared" si="146"/>
        <v>0.1424999999999999</v>
      </c>
      <c r="AE447" s="4">
        <f t="shared" si="147"/>
        <v>50.42</v>
      </c>
      <c r="AF447" s="27">
        <f t="shared" si="148"/>
        <v>0.14249999999999999</v>
      </c>
      <c r="AG447" s="4">
        <f t="shared" si="149"/>
        <v>43.23</v>
      </c>
      <c r="AH447" s="27">
        <f t="shared" si="150"/>
        <v>0.43609999999999999</v>
      </c>
    </row>
    <row r="448" spans="1:34" x14ac:dyDescent="0.35">
      <c r="A448" s="8" t="s">
        <v>1167</v>
      </c>
      <c r="B448" s="9" t="s">
        <v>1213</v>
      </c>
      <c r="C448" s="8" t="s">
        <v>1134</v>
      </c>
      <c r="D448" s="8" t="s">
        <v>1168</v>
      </c>
      <c r="E448" s="8" t="s">
        <v>905</v>
      </c>
      <c r="F448" s="25" t="s">
        <v>949</v>
      </c>
      <c r="G448" s="8" t="s">
        <v>1111</v>
      </c>
      <c r="H448" s="8">
        <v>30</v>
      </c>
      <c r="I448" s="8" t="s">
        <v>1163</v>
      </c>
      <c r="J448" s="10">
        <v>144.88</v>
      </c>
      <c r="K448" s="22">
        <v>0.39400000000000002</v>
      </c>
      <c r="L448" s="11">
        <v>105.11</v>
      </c>
      <c r="M448" s="13">
        <v>0.68240000000000001</v>
      </c>
      <c r="N448" s="17">
        <f t="shared" si="139"/>
        <v>33.382936000000001</v>
      </c>
      <c r="O448" s="13">
        <v>0.1075</v>
      </c>
      <c r="P448" s="14">
        <f t="shared" si="140"/>
        <v>29.79427038</v>
      </c>
      <c r="Q448" s="14">
        <f t="shared" si="141"/>
        <v>22.5440010734</v>
      </c>
      <c r="R448" s="28">
        <f t="shared" si="142"/>
        <v>2.0855989266000003</v>
      </c>
      <c r="S448" s="28">
        <f t="shared" si="143"/>
        <v>6.9539529124216211</v>
      </c>
      <c r="T448" s="28">
        <f t="shared" si="144"/>
        <v>11.214385073399999</v>
      </c>
      <c r="U448" s="28">
        <f t="shared" si="136"/>
        <v>11.214385073399999</v>
      </c>
      <c r="V448" s="28">
        <f t="shared" si="137"/>
        <v>11.329616000000001</v>
      </c>
      <c r="W448" s="28">
        <f t="shared" si="138"/>
        <v>0.56648080000000012</v>
      </c>
      <c r="X448" s="28">
        <f t="shared" si="145"/>
        <v>11.7808658734</v>
      </c>
      <c r="Y448" s="14">
        <v>41.571507067874997</v>
      </c>
      <c r="Z448" s="13">
        <v>0.14249999999999999</v>
      </c>
      <c r="AA448" s="14">
        <v>37.180566624344024</v>
      </c>
      <c r="AB448" s="13">
        <f t="shared" si="115"/>
        <v>0.64629999999999999</v>
      </c>
      <c r="AC448" s="14">
        <v>48.47989162434402</v>
      </c>
      <c r="AD448" s="26">
        <f t="shared" si="146"/>
        <v>0.14250000000000002</v>
      </c>
      <c r="AE448" s="4">
        <f t="shared" si="147"/>
        <v>48.48</v>
      </c>
      <c r="AF448" s="27">
        <f t="shared" si="148"/>
        <v>0.14249999999999999</v>
      </c>
      <c r="AG448" s="4">
        <f t="shared" si="149"/>
        <v>41.57</v>
      </c>
      <c r="AH448" s="27">
        <f t="shared" si="150"/>
        <v>0.64629999999999999</v>
      </c>
    </row>
    <row r="449" spans="1:34" x14ac:dyDescent="0.35">
      <c r="A449" s="8" t="s">
        <v>1217</v>
      </c>
      <c r="B449" s="9" t="s">
        <v>1218</v>
      </c>
      <c r="C449" s="8" t="s">
        <v>1135</v>
      </c>
      <c r="D449" s="8" t="s">
        <v>1147</v>
      </c>
      <c r="E449" s="8" t="s">
        <v>905</v>
      </c>
      <c r="F449" s="25" t="s">
        <v>1221</v>
      </c>
      <c r="G449" s="8" t="s">
        <v>1108</v>
      </c>
      <c r="H449" s="8">
        <v>30</v>
      </c>
      <c r="I449" s="8" t="s">
        <v>1164</v>
      </c>
      <c r="J449" s="10">
        <v>149.59</v>
      </c>
      <c r="K449" s="22">
        <v>0.3417</v>
      </c>
      <c r="L449" s="11">
        <v>111.51</v>
      </c>
      <c r="M449" s="13">
        <v>0.2082</v>
      </c>
      <c r="N449" s="17">
        <f t="shared" si="139"/>
        <v>88.293618000000009</v>
      </c>
      <c r="O449" s="13">
        <v>0.1075</v>
      </c>
      <c r="P449" s="14">
        <f t="shared" si="140"/>
        <v>78.802054065000007</v>
      </c>
      <c r="Q449" s="14">
        <f t="shared" si="141"/>
        <v>19.914156215449999</v>
      </c>
      <c r="R449" s="28">
        <f t="shared" si="142"/>
        <v>5.5161437845500014</v>
      </c>
      <c r="S449" s="28">
        <f t="shared" si="143"/>
        <v>18.392320616716937</v>
      </c>
      <c r="T449" s="28">
        <f t="shared" si="144"/>
        <v>8.2162182154499988</v>
      </c>
      <c r="U449" s="28">
        <f t="shared" si="136"/>
        <v>18.392320616716937</v>
      </c>
      <c r="V449" s="28">
        <f t="shared" si="137"/>
        <v>1.5218355987330625</v>
      </c>
      <c r="W449" s="28">
        <f t="shared" si="138"/>
        <v>7.6091779936653128E-2</v>
      </c>
      <c r="X449" s="28">
        <f t="shared" si="145"/>
        <v>18.468412396653591</v>
      </c>
      <c r="Y449" s="14">
        <v>97.268325757327105</v>
      </c>
      <c r="Z449" s="13">
        <v>0.14249999999999999</v>
      </c>
      <c r="AA449" s="14">
        <v>101.44512486277213</v>
      </c>
      <c r="AB449" s="13">
        <f t="shared" si="115"/>
        <v>9.0300000000000005E-2</v>
      </c>
      <c r="AC449" s="14">
        <v>113.43244986277213</v>
      </c>
      <c r="AD449" s="26">
        <f t="shared" si="146"/>
        <v>0.14249999999999999</v>
      </c>
      <c r="AE449" s="4">
        <f t="shared" si="147"/>
        <v>113.43</v>
      </c>
      <c r="AF449" s="27">
        <f t="shared" si="148"/>
        <v>0.14249999999999999</v>
      </c>
      <c r="AG449" s="4">
        <f t="shared" si="149"/>
        <v>97.27</v>
      </c>
      <c r="AH449" s="27">
        <f t="shared" si="150"/>
        <v>9.0300000000000005E-2</v>
      </c>
    </row>
    <row r="450" spans="1:34" x14ac:dyDescent="0.35">
      <c r="A450" s="8" t="s">
        <v>1219</v>
      </c>
      <c r="B450" s="9" t="s">
        <v>1220</v>
      </c>
      <c r="C450" s="8" t="s">
        <v>1135</v>
      </c>
      <c r="D450" s="8" t="s">
        <v>1147</v>
      </c>
      <c r="E450" s="8" t="s">
        <v>905</v>
      </c>
      <c r="F450" s="25" t="s">
        <v>1221</v>
      </c>
      <c r="G450" s="8" t="s">
        <v>16</v>
      </c>
      <c r="H450" s="8">
        <v>30</v>
      </c>
      <c r="I450" s="8" t="s">
        <v>1164</v>
      </c>
      <c r="J450" s="10">
        <v>122.4</v>
      </c>
      <c r="K450" s="22">
        <v>0.3417</v>
      </c>
      <c r="L450" s="11">
        <v>91.24</v>
      </c>
      <c r="M450" s="13">
        <v>0.30940000000000001</v>
      </c>
      <c r="N450" s="17">
        <f t="shared" si="139"/>
        <v>63.010343999999996</v>
      </c>
      <c r="O450" s="13">
        <v>0.1075</v>
      </c>
      <c r="P450" s="14">
        <f t="shared" si="140"/>
        <v>56.236732019999991</v>
      </c>
      <c r="Q450" s="14">
        <f t="shared" si="141"/>
        <v>16.871428758600004</v>
      </c>
      <c r="R450" s="28">
        <f t="shared" si="142"/>
        <v>3.9365712413999998</v>
      </c>
      <c r="S450" s="28">
        <f t="shared" si="143"/>
        <v>13.125597016735981</v>
      </c>
      <c r="T450" s="28">
        <f t="shared" si="144"/>
        <v>7.2997487585999998</v>
      </c>
      <c r="U450" s="28">
        <f t="shared" si="136"/>
        <v>13.125597016735981</v>
      </c>
      <c r="V450" s="28">
        <f t="shared" si="137"/>
        <v>3.7458317418640235</v>
      </c>
      <c r="W450" s="28">
        <f t="shared" si="138"/>
        <v>0.18729158709320118</v>
      </c>
      <c r="X450" s="28">
        <f t="shared" si="145"/>
        <v>13.312888603829181</v>
      </c>
      <c r="Y450" s="14">
        <v>69.547869051210128</v>
      </c>
      <c r="Z450" s="13">
        <v>0.14249999999999999</v>
      </c>
      <c r="AA450" s="14">
        <v>71.297086648641539</v>
      </c>
      <c r="AB450" s="13">
        <f t="shared" si="115"/>
        <v>0.21859999999999999</v>
      </c>
      <c r="AC450" s="14">
        <v>81.105386648641542</v>
      </c>
      <c r="AD450" s="26">
        <f t="shared" si="146"/>
        <v>0.14249999999999993</v>
      </c>
      <c r="AE450" s="4">
        <f t="shared" si="147"/>
        <v>81.11</v>
      </c>
      <c r="AF450" s="27">
        <f t="shared" si="148"/>
        <v>0.14249999999999999</v>
      </c>
      <c r="AG450" s="4">
        <f t="shared" si="149"/>
        <v>69.55</v>
      </c>
      <c r="AH450" s="27">
        <f t="shared" si="150"/>
        <v>0.21859999999999999</v>
      </c>
    </row>
    <row r="451" spans="1:34" x14ac:dyDescent="0.35">
      <c r="A451" s="8" t="s">
        <v>1234</v>
      </c>
      <c r="B451" s="9" t="s">
        <v>1235</v>
      </c>
      <c r="C451" s="8" t="s">
        <v>1135</v>
      </c>
      <c r="D451" s="8" t="s">
        <v>1236</v>
      </c>
      <c r="E451" s="8" t="s">
        <v>905</v>
      </c>
      <c r="F451" s="25" t="s">
        <v>1237</v>
      </c>
      <c r="G451" s="8" t="s">
        <v>3</v>
      </c>
      <c r="H451" s="8">
        <v>12</v>
      </c>
      <c r="I451" s="8" t="s">
        <v>1164</v>
      </c>
      <c r="J451" s="10">
        <v>24.96</v>
      </c>
      <c r="K451" s="22">
        <v>0.3417</v>
      </c>
      <c r="L451" s="11">
        <v>18.61</v>
      </c>
      <c r="M451" s="13">
        <v>0.36270000000000002</v>
      </c>
      <c r="N451" s="17">
        <f t="shared" si="139"/>
        <v>11.860152999999999</v>
      </c>
      <c r="O451" s="13">
        <v>0.1075</v>
      </c>
      <c r="P451" s="14">
        <f t="shared" si="140"/>
        <v>10.585186552499998</v>
      </c>
      <c r="Q451" s="14">
        <f t="shared" si="141"/>
        <v>3.502236941325001</v>
      </c>
      <c r="R451" s="28">
        <f t="shared" si="142"/>
        <v>0.7409630586749999</v>
      </c>
      <c r="S451" s="28">
        <f t="shared" si="143"/>
        <v>2.470571956166947</v>
      </c>
      <c r="T451" s="28">
        <f t="shared" si="144"/>
        <v>1.5503649413250002</v>
      </c>
      <c r="U451" s="28">
        <f t="shared" si="136"/>
        <v>2.470571956166947</v>
      </c>
      <c r="V451" s="28">
        <f t="shared" si="137"/>
        <v>1.0316649851580539</v>
      </c>
      <c r="W451" s="28">
        <f t="shared" si="138"/>
        <v>5.1583249257902697E-2</v>
      </c>
      <c r="X451" s="28">
        <f t="shared" si="145"/>
        <v>2.5221552054248497</v>
      </c>
      <c r="Y451" s="14">
        <v>13.106984493934927</v>
      </c>
      <c r="Z451" s="13">
        <v>0.14249999999999999</v>
      </c>
      <c r="AA451" s="14">
        <v>13.284538112460556</v>
      </c>
      <c r="AB451" s="13">
        <f t="shared" ref="AB451:AB453" si="151">ROUND(1-(AA451/L451),4)</f>
        <v>0.28620000000000001</v>
      </c>
      <c r="AC451" s="14">
        <v>15.285113112460555</v>
      </c>
      <c r="AD451" s="26">
        <f t="shared" si="146"/>
        <v>0.14249999999999993</v>
      </c>
      <c r="AE451" s="4">
        <f t="shared" si="147"/>
        <v>15.29</v>
      </c>
      <c r="AF451" s="27">
        <f t="shared" si="148"/>
        <v>0.14249999999999999</v>
      </c>
      <c r="AG451" s="4">
        <f t="shared" si="149"/>
        <v>13.11</v>
      </c>
      <c r="AH451" s="27">
        <f t="shared" si="150"/>
        <v>0.28620000000000001</v>
      </c>
    </row>
    <row r="452" spans="1:34" x14ac:dyDescent="0.35">
      <c r="A452" s="8" t="s">
        <v>1238</v>
      </c>
      <c r="B452" s="9" t="s">
        <v>1239</v>
      </c>
      <c r="C452" s="8" t="s">
        <v>1134</v>
      </c>
      <c r="D452" s="8" t="s">
        <v>1139</v>
      </c>
      <c r="E452" s="8" t="s">
        <v>905</v>
      </c>
      <c r="F452" s="25" t="s">
        <v>1240</v>
      </c>
      <c r="G452" s="8" t="s">
        <v>19</v>
      </c>
      <c r="H452" s="8">
        <v>30</v>
      </c>
      <c r="I452" s="8" t="s">
        <v>1163</v>
      </c>
      <c r="J452" s="10">
        <v>103.05</v>
      </c>
      <c r="K452" s="22">
        <v>0.39400000000000002</v>
      </c>
      <c r="L452" s="11">
        <v>74.760000000000005</v>
      </c>
      <c r="M452" s="13">
        <v>0.4743</v>
      </c>
      <c r="N452" s="17">
        <f t="shared" si="139"/>
        <v>39.301332000000009</v>
      </c>
      <c r="O452" s="13">
        <v>0.1075</v>
      </c>
      <c r="P452" s="14">
        <f t="shared" si="140"/>
        <v>35.076438810000006</v>
      </c>
      <c r="Q452" s="14">
        <f t="shared" si="141"/>
        <v>15.0631492833</v>
      </c>
      <c r="R452" s="28">
        <f t="shared" si="142"/>
        <v>2.4553507167000008</v>
      </c>
      <c r="S452" s="28">
        <f t="shared" si="143"/>
        <v>8.1868057418151921</v>
      </c>
      <c r="T452" s="28">
        <f t="shared" si="144"/>
        <v>7.0046392832999986</v>
      </c>
      <c r="U452" s="28">
        <f t="shared" si="136"/>
        <v>8.1868057418151921</v>
      </c>
      <c r="V452" s="28">
        <f t="shared" si="137"/>
        <v>6.8763435414848075</v>
      </c>
      <c r="W452" s="28">
        <f t="shared" si="138"/>
        <v>0.34381717707424042</v>
      </c>
      <c r="X452" s="28">
        <f t="shared" si="145"/>
        <v>8.5306229188894331</v>
      </c>
      <c r="Y452" s="14">
        <v>43.604575626299997</v>
      </c>
      <c r="Z452" s="13">
        <v>0.14249999999999999</v>
      </c>
      <c r="AA452" s="14">
        <v>42.814117056909616</v>
      </c>
      <c r="AB452" s="13">
        <f t="shared" si="151"/>
        <v>0.42730000000000001</v>
      </c>
      <c r="AC452" s="14">
        <v>50.850817056909619</v>
      </c>
      <c r="AD452" s="26">
        <f t="shared" si="146"/>
        <v>0.14250000000000002</v>
      </c>
      <c r="AE452" s="4">
        <f t="shared" si="147"/>
        <v>50.85</v>
      </c>
      <c r="AF452" s="27">
        <f t="shared" si="148"/>
        <v>0.14249999999999999</v>
      </c>
      <c r="AG452" s="4">
        <f t="shared" si="149"/>
        <v>43.6</v>
      </c>
      <c r="AH452" s="27">
        <f t="shared" si="150"/>
        <v>0.42730000000000001</v>
      </c>
    </row>
    <row r="453" spans="1:34" x14ac:dyDescent="0.35">
      <c r="A453" s="8" t="s">
        <v>1241</v>
      </c>
      <c r="B453" s="9" t="s">
        <v>1242</v>
      </c>
      <c r="C453" s="8" t="s">
        <v>1134</v>
      </c>
      <c r="D453" s="8" t="s">
        <v>1139</v>
      </c>
      <c r="E453" s="8" t="s">
        <v>905</v>
      </c>
      <c r="F453" s="25" t="s">
        <v>1240</v>
      </c>
      <c r="G453" s="8" t="s">
        <v>1110</v>
      </c>
      <c r="H453" s="8">
        <v>30</v>
      </c>
      <c r="I453" s="8" t="s">
        <v>1163</v>
      </c>
      <c r="J453" s="10">
        <v>103.05</v>
      </c>
      <c r="K453" s="22">
        <v>0.39400000000000002</v>
      </c>
      <c r="L453" s="11">
        <v>74.760000000000005</v>
      </c>
      <c r="M453" s="13">
        <v>0.4743</v>
      </c>
      <c r="N453" s="17">
        <f t="shared" si="139"/>
        <v>39.301332000000009</v>
      </c>
      <c r="O453" s="13">
        <v>0.1075</v>
      </c>
      <c r="P453" s="14">
        <f t="shared" si="140"/>
        <v>35.076438810000006</v>
      </c>
      <c r="Q453" s="14">
        <f t="shared" si="141"/>
        <v>15.0631492833</v>
      </c>
      <c r="R453" s="28">
        <f t="shared" si="142"/>
        <v>2.4553507167000008</v>
      </c>
      <c r="S453" s="28">
        <f t="shared" si="143"/>
        <v>8.1868057418151921</v>
      </c>
      <c r="T453" s="28">
        <f t="shared" si="144"/>
        <v>7.0046392832999986</v>
      </c>
      <c r="U453" s="28">
        <f t="shared" si="136"/>
        <v>8.1868057418151921</v>
      </c>
      <c r="V453" s="28">
        <f t="shared" si="137"/>
        <v>6.8763435414848075</v>
      </c>
      <c r="W453" s="28">
        <f t="shared" si="138"/>
        <v>0.34381717707424042</v>
      </c>
      <c r="X453" s="28">
        <f t="shared" si="145"/>
        <v>8.5306229188894331</v>
      </c>
      <c r="Y453" s="14">
        <v>43.604575626299997</v>
      </c>
      <c r="Z453" s="13">
        <v>0.14249999999999999</v>
      </c>
      <c r="AA453" s="14">
        <v>42.814117056909616</v>
      </c>
      <c r="AB453" s="13">
        <f t="shared" si="151"/>
        <v>0.42730000000000001</v>
      </c>
      <c r="AC453" s="14">
        <v>50.850817056909619</v>
      </c>
      <c r="AD453" s="26">
        <f t="shared" si="146"/>
        <v>0.14250000000000002</v>
      </c>
      <c r="AE453" s="4">
        <f t="shared" si="147"/>
        <v>50.85</v>
      </c>
      <c r="AF453" s="27">
        <f t="shared" si="148"/>
        <v>0.14249999999999999</v>
      </c>
      <c r="AG453" s="4">
        <f t="shared" si="149"/>
        <v>43.6</v>
      </c>
      <c r="AH453" s="27">
        <f t="shared" si="150"/>
        <v>0.42730000000000001</v>
      </c>
    </row>
  </sheetData>
  <autoFilter ref="A1:AH453" xr:uid="{6467E995-D6B0-4C1F-BC66-5863D927F5A9}"/>
  <conditionalFormatting sqref="B2:B453">
    <cfRule type="cellIs" dxfId="2" priority="3" stopIfTrue="1" operator="equal">
      <formula>#REF!</formula>
    </cfRule>
    <cfRule type="cellIs" dxfId="1" priority="4" stopIfTrue="1" operator="equal">
      <formula>#REF!</formula>
    </cfRule>
    <cfRule type="cellIs" dxfId="0" priority="5" stopIfTrue="1" operator="equal">
      <formula>#REF!</formula>
    </cfRule>
  </conditionalFormatting>
  <dataValidations count="1">
    <dataValidation type="custom" showInputMessage="1" showErrorMessage="1" errorTitle="NÃO.. É POSSÍVEL INICIAR " error="PRIMEIRO VOCÊ DEVE INFORMAR O ESTADO, NO CAMPO: UF DO CLIENTE..." sqref="A2:A66" xr:uid="{F07046A8-4229-4DC1-9398-C4CCA6053209}">
      <formula1>IF($C$4="",0,1)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Política Comercial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Moreira - GRUPO NC</dc:creator>
  <cp:lastModifiedBy>Tiago Carreira</cp:lastModifiedBy>
  <dcterms:created xsi:type="dcterms:W3CDTF">2025-07-01T14:47:21Z</dcterms:created>
  <dcterms:modified xsi:type="dcterms:W3CDTF">2026-06-30T20:12:03Z</dcterms:modified>
</cp:coreProperties>
</file>