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liana Rodrigues\Desktop\MERCADOR\SANFARMA\CLIENTES\DIMEBRAS\"/>
    </mc:Choice>
  </mc:AlternateContent>
  <xr:revisionPtr revIDLastSave="0" documentId="13_ncr:1_{0F4B70E4-A10A-42D2-8C3D-20B8D0C2137D}" xr6:coauthVersionLast="47" xr6:coauthVersionMax="47" xr10:uidLastSave="{00000000-0000-0000-0000-000000000000}"/>
  <bookViews>
    <workbookView xWindow="-108" yWindow="-108" windowWidth="23256" windowHeight="12456" xr2:uid="{96B540AB-5056-4683-BEC4-358A05FF64B9}"/>
  </bookViews>
  <sheets>
    <sheet name="Sanfarma 2026" sheetId="1" r:id="rId1"/>
  </sheets>
  <definedNames>
    <definedName name="_xlnm._FilterDatabase" localSheetId="0" hidden="1">'Sanfarma 2026'!$A$6:$N$441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0" i="1" l="1"/>
  <c r="M440" i="1" s="1"/>
  <c r="J439" i="1"/>
  <c r="M439" i="1" s="1"/>
  <c r="J438" i="1"/>
  <c r="M438" i="1" s="1"/>
  <c r="J437" i="1"/>
  <c r="M437" i="1" s="1"/>
  <c r="J436" i="1"/>
  <c r="M436" i="1" s="1"/>
  <c r="J435" i="1"/>
  <c r="M435" i="1" s="1"/>
  <c r="J434" i="1"/>
  <c r="M434" i="1" s="1"/>
  <c r="J433" i="1"/>
  <c r="M433" i="1" s="1"/>
  <c r="J432" i="1"/>
  <c r="M432" i="1" s="1"/>
  <c r="J431" i="1"/>
  <c r="M431" i="1" s="1"/>
  <c r="J430" i="1"/>
  <c r="M430" i="1" s="1"/>
  <c r="J429" i="1"/>
  <c r="M429" i="1" s="1"/>
  <c r="J428" i="1"/>
  <c r="M428" i="1" s="1"/>
  <c r="J427" i="1"/>
  <c r="M427" i="1" s="1"/>
  <c r="J426" i="1"/>
  <c r="M426" i="1" s="1"/>
  <c r="J425" i="1"/>
  <c r="M425" i="1" s="1"/>
  <c r="J424" i="1"/>
  <c r="M424" i="1" s="1"/>
  <c r="J423" i="1"/>
  <c r="M423" i="1" s="1"/>
  <c r="J422" i="1"/>
  <c r="M422" i="1" s="1"/>
  <c r="J421" i="1"/>
  <c r="M421" i="1" s="1"/>
  <c r="J420" i="1"/>
  <c r="M420" i="1" s="1"/>
  <c r="J419" i="1"/>
  <c r="M419" i="1" s="1"/>
  <c r="J418" i="1"/>
  <c r="M418" i="1" s="1"/>
  <c r="J417" i="1"/>
  <c r="M417" i="1" s="1"/>
  <c r="J416" i="1"/>
  <c r="M416" i="1" s="1"/>
  <c r="J415" i="1"/>
  <c r="M415" i="1" s="1"/>
  <c r="J414" i="1"/>
  <c r="M414" i="1" s="1"/>
  <c r="J413" i="1"/>
  <c r="M413" i="1" s="1"/>
  <c r="J412" i="1"/>
  <c r="M412" i="1" s="1"/>
  <c r="J411" i="1"/>
  <c r="M411" i="1" s="1"/>
  <c r="J410" i="1"/>
  <c r="M410" i="1" s="1"/>
  <c r="J409" i="1"/>
  <c r="M409" i="1" s="1"/>
  <c r="J408" i="1"/>
  <c r="M408" i="1" s="1"/>
  <c r="J407" i="1"/>
  <c r="M407" i="1" s="1"/>
  <c r="J406" i="1"/>
  <c r="M406" i="1" s="1"/>
  <c r="J405" i="1"/>
  <c r="M405" i="1" s="1"/>
  <c r="J404" i="1"/>
  <c r="M404" i="1" s="1"/>
  <c r="J403" i="1"/>
  <c r="M403" i="1" s="1"/>
  <c r="J402" i="1"/>
  <c r="M402" i="1" s="1"/>
  <c r="J401" i="1"/>
  <c r="M401" i="1" s="1"/>
  <c r="J400" i="1"/>
  <c r="M400" i="1" s="1"/>
  <c r="J399" i="1"/>
  <c r="M399" i="1" s="1"/>
  <c r="J398" i="1"/>
  <c r="M398" i="1" s="1"/>
  <c r="J397" i="1"/>
  <c r="M397" i="1" s="1"/>
  <c r="J396" i="1"/>
  <c r="M396" i="1" s="1"/>
  <c r="J395" i="1"/>
  <c r="M395" i="1" s="1"/>
  <c r="J394" i="1"/>
  <c r="M394" i="1" s="1"/>
  <c r="J393" i="1"/>
  <c r="M393" i="1" s="1"/>
  <c r="J392" i="1"/>
  <c r="M392" i="1" s="1"/>
  <c r="J391" i="1"/>
  <c r="M391" i="1" s="1"/>
  <c r="J390" i="1"/>
  <c r="M390" i="1" s="1"/>
  <c r="J389" i="1"/>
  <c r="M389" i="1" s="1"/>
  <c r="J388" i="1"/>
  <c r="M388" i="1" s="1"/>
  <c r="J387" i="1"/>
  <c r="M387" i="1" s="1"/>
  <c r="J386" i="1"/>
  <c r="M386" i="1" s="1"/>
  <c r="J385" i="1"/>
  <c r="M385" i="1" s="1"/>
  <c r="J384" i="1"/>
  <c r="M384" i="1" s="1"/>
  <c r="J383" i="1"/>
  <c r="M383" i="1" s="1"/>
  <c r="J382" i="1"/>
  <c r="M382" i="1" s="1"/>
  <c r="J381" i="1"/>
  <c r="M381" i="1" s="1"/>
  <c r="J380" i="1"/>
  <c r="M380" i="1" s="1"/>
  <c r="J379" i="1"/>
  <c r="M379" i="1" s="1"/>
  <c r="J378" i="1"/>
  <c r="M378" i="1" s="1"/>
  <c r="J377" i="1"/>
  <c r="M377" i="1" s="1"/>
  <c r="J376" i="1"/>
  <c r="M376" i="1" s="1"/>
  <c r="J375" i="1"/>
  <c r="M375" i="1" s="1"/>
  <c r="J374" i="1"/>
  <c r="M374" i="1" s="1"/>
  <c r="J373" i="1"/>
  <c r="M373" i="1" s="1"/>
  <c r="J372" i="1"/>
  <c r="M372" i="1" s="1"/>
  <c r="J371" i="1"/>
  <c r="M371" i="1" s="1"/>
  <c r="J370" i="1"/>
  <c r="M370" i="1" s="1"/>
  <c r="J369" i="1"/>
  <c r="M369" i="1" s="1"/>
  <c r="J368" i="1"/>
  <c r="M368" i="1" s="1"/>
  <c r="J367" i="1"/>
  <c r="M367" i="1" s="1"/>
  <c r="J366" i="1"/>
  <c r="M366" i="1" s="1"/>
  <c r="J365" i="1"/>
  <c r="M365" i="1" s="1"/>
  <c r="J364" i="1"/>
  <c r="M364" i="1" s="1"/>
  <c r="J363" i="1"/>
  <c r="M363" i="1" s="1"/>
  <c r="J362" i="1"/>
  <c r="M362" i="1" s="1"/>
  <c r="J361" i="1"/>
  <c r="M361" i="1" s="1"/>
  <c r="J360" i="1"/>
  <c r="M360" i="1" s="1"/>
  <c r="J359" i="1"/>
  <c r="M359" i="1" s="1"/>
  <c r="J358" i="1"/>
  <c r="M358" i="1" s="1"/>
  <c r="J357" i="1"/>
  <c r="M357" i="1" s="1"/>
  <c r="J356" i="1"/>
  <c r="M356" i="1" s="1"/>
  <c r="J355" i="1"/>
  <c r="M355" i="1" s="1"/>
  <c r="J354" i="1"/>
  <c r="M354" i="1" s="1"/>
  <c r="J353" i="1"/>
  <c r="M353" i="1" s="1"/>
  <c r="J352" i="1"/>
  <c r="M352" i="1" s="1"/>
  <c r="J351" i="1"/>
  <c r="M351" i="1" s="1"/>
  <c r="J350" i="1"/>
  <c r="M350" i="1" s="1"/>
  <c r="J349" i="1"/>
  <c r="M349" i="1" s="1"/>
  <c r="J348" i="1"/>
  <c r="M348" i="1" s="1"/>
  <c r="J347" i="1"/>
  <c r="M347" i="1" s="1"/>
  <c r="J346" i="1"/>
  <c r="M346" i="1" s="1"/>
  <c r="J345" i="1"/>
  <c r="M345" i="1" s="1"/>
  <c r="J344" i="1"/>
  <c r="M344" i="1" s="1"/>
  <c r="J343" i="1"/>
  <c r="M343" i="1" s="1"/>
  <c r="J342" i="1"/>
  <c r="M342" i="1" s="1"/>
  <c r="J341" i="1"/>
  <c r="M341" i="1" s="1"/>
  <c r="J340" i="1"/>
  <c r="M340" i="1" s="1"/>
  <c r="J339" i="1"/>
  <c r="M339" i="1" s="1"/>
  <c r="J338" i="1"/>
  <c r="M338" i="1" s="1"/>
  <c r="J337" i="1"/>
  <c r="M337" i="1" s="1"/>
  <c r="J336" i="1"/>
  <c r="M336" i="1" s="1"/>
  <c r="J334" i="1"/>
  <c r="M334" i="1" s="1"/>
  <c r="J333" i="1"/>
  <c r="M333" i="1" s="1"/>
  <c r="J332" i="1"/>
  <c r="M332" i="1" s="1"/>
  <c r="J330" i="1"/>
  <c r="M330" i="1" s="1"/>
  <c r="J329" i="1"/>
  <c r="M329" i="1" s="1"/>
  <c r="J328" i="1"/>
  <c r="M328" i="1" s="1"/>
  <c r="J327" i="1"/>
  <c r="M327" i="1" s="1"/>
  <c r="J326" i="1"/>
  <c r="M326" i="1" s="1"/>
  <c r="J325" i="1"/>
  <c r="M325" i="1" s="1"/>
  <c r="J324" i="1"/>
  <c r="M324" i="1" s="1"/>
  <c r="J323" i="1"/>
  <c r="M323" i="1" s="1"/>
  <c r="J322" i="1"/>
  <c r="M322" i="1" s="1"/>
  <c r="J321" i="1"/>
  <c r="M321" i="1" s="1"/>
  <c r="J320" i="1"/>
  <c r="M320" i="1" s="1"/>
  <c r="J319" i="1"/>
  <c r="M319" i="1" s="1"/>
  <c r="J318" i="1"/>
  <c r="M318" i="1" s="1"/>
  <c r="J317" i="1"/>
  <c r="M317" i="1" s="1"/>
  <c r="J316" i="1"/>
  <c r="M316" i="1" s="1"/>
  <c r="J314" i="1"/>
  <c r="M314" i="1" s="1"/>
  <c r="J313" i="1"/>
  <c r="M313" i="1" s="1"/>
  <c r="J312" i="1"/>
  <c r="M312" i="1" s="1"/>
  <c r="J311" i="1"/>
  <c r="M311" i="1" s="1"/>
  <c r="J310" i="1"/>
  <c r="M310" i="1" s="1"/>
  <c r="J309" i="1"/>
  <c r="M309" i="1" s="1"/>
  <c r="J308" i="1"/>
  <c r="M308" i="1" s="1"/>
  <c r="J307" i="1"/>
  <c r="M307" i="1" s="1"/>
  <c r="J306" i="1"/>
  <c r="M306" i="1" s="1"/>
  <c r="J305" i="1"/>
  <c r="M305" i="1" s="1"/>
  <c r="J304" i="1"/>
  <c r="M304" i="1" s="1"/>
  <c r="J303" i="1"/>
  <c r="M303" i="1" s="1"/>
  <c r="J302" i="1"/>
  <c r="M302" i="1" s="1"/>
  <c r="J301" i="1"/>
  <c r="M301" i="1" s="1"/>
  <c r="J300" i="1"/>
  <c r="M300" i="1" s="1"/>
  <c r="J299" i="1"/>
  <c r="M299" i="1" s="1"/>
  <c r="J298" i="1"/>
  <c r="M298" i="1" s="1"/>
  <c r="J297" i="1"/>
  <c r="M297" i="1" s="1"/>
  <c r="J296" i="1"/>
  <c r="M296" i="1" s="1"/>
  <c r="J295" i="1"/>
  <c r="M295" i="1" s="1"/>
  <c r="J294" i="1"/>
  <c r="M294" i="1" s="1"/>
  <c r="J293" i="1"/>
  <c r="M293" i="1" s="1"/>
  <c r="J292" i="1"/>
  <c r="M292" i="1" s="1"/>
  <c r="J291" i="1"/>
  <c r="M291" i="1" s="1"/>
  <c r="J290" i="1"/>
  <c r="M290" i="1" s="1"/>
  <c r="J289" i="1"/>
  <c r="M289" i="1" s="1"/>
  <c r="J288" i="1"/>
  <c r="M288" i="1" s="1"/>
  <c r="J287" i="1"/>
  <c r="M287" i="1" s="1"/>
  <c r="J286" i="1"/>
  <c r="M286" i="1" s="1"/>
  <c r="J284" i="1"/>
  <c r="M284" i="1" s="1"/>
  <c r="J283" i="1"/>
  <c r="M283" i="1" s="1"/>
  <c r="J282" i="1"/>
  <c r="M282" i="1" s="1"/>
  <c r="J281" i="1"/>
  <c r="M281" i="1" s="1"/>
  <c r="J280" i="1"/>
  <c r="M280" i="1" s="1"/>
  <c r="J279" i="1"/>
  <c r="M279" i="1" s="1"/>
  <c r="J278" i="1"/>
  <c r="M278" i="1" s="1"/>
  <c r="J277" i="1"/>
  <c r="M277" i="1" s="1"/>
  <c r="J276" i="1"/>
  <c r="M276" i="1" s="1"/>
  <c r="J275" i="1"/>
  <c r="M275" i="1" s="1"/>
  <c r="J274" i="1"/>
  <c r="M274" i="1" s="1"/>
  <c r="J273" i="1"/>
  <c r="M273" i="1" s="1"/>
  <c r="J272" i="1"/>
  <c r="M272" i="1" s="1"/>
  <c r="J271" i="1"/>
  <c r="M271" i="1" s="1"/>
  <c r="J270" i="1"/>
  <c r="M270" i="1" s="1"/>
  <c r="J269" i="1"/>
  <c r="M269" i="1" s="1"/>
  <c r="J268" i="1"/>
  <c r="M268" i="1" s="1"/>
  <c r="J267" i="1"/>
  <c r="M267" i="1" s="1"/>
  <c r="J266" i="1"/>
  <c r="M266" i="1" s="1"/>
  <c r="J265" i="1"/>
  <c r="M265" i="1" s="1"/>
  <c r="J264" i="1"/>
  <c r="M264" i="1" s="1"/>
  <c r="J263" i="1"/>
  <c r="M263" i="1" s="1"/>
  <c r="J262" i="1"/>
  <c r="M262" i="1" s="1"/>
  <c r="J261" i="1"/>
  <c r="M261" i="1" s="1"/>
  <c r="J260" i="1"/>
  <c r="M260" i="1" s="1"/>
  <c r="J259" i="1"/>
  <c r="M259" i="1" s="1"/>
  <c r="J258" i="1"/>
  <c r="M258" i="1" s="1"/>
  <c r="J257" i="1"/>
  <c r="M257" i="1" s="1"/>
  <c r="J256" i="1"/>
  <c r="M256" i="1" s="1"/>
  <c r="J255" i="1"/>
  <c r="M255" i="1" s="1"/>
  <c r="J254" i="1"/>
  <c r="M254" i="1" s="1"/>
  <c r="J253" i="1"/>
  <c r="M253" i="1" s="1"/>
  <c r="J252" i="1"/>
  <c r="M252" i="1" s="1"/>
  <c r="J251" i="1"/>
  <c r="M251" i="1" s="1"/>
  <c r="J250" i="1"/>
  <c r="M250" i="1" s="1"/>
  <c r="J249" i="1"/>
  <c r="M249" i="1" s="1"/>
  <c r="J248" i="1"/>
  <c r="M248" i="1" s="1"/>
  <c r="J246" i="1"/>
  <c r="M246" i="1" s="1"/>
  <c r="J245" i="1"/>
  <c r="M245" i="1" s="1"/>
  <c r="J244" i="1"/>
  <c r="M244" i="1" s="1"/>
  <c r="J242" i="1"/>
  <c r="M242" i="1" s="1"/>
  <c r="J241" i="1"/>
  <c r="M241" i="1" s="1"/>
  <c r="J240" i="1"/>
  <c r="M240" i="1" s="1"/>
  <c r="J239" i="1"/>
  <c r="M239" i="1" s="1"/>
  <c r="J238" i="1"/>
  <c r="M238" i="1" s="1"/>
  <c r="J237" i="1"/>
  <c r="M237" i="1" s="1"/>
  <c r="J236" i="1"/>
  <c r="M236" i="1" s="1"/>
  <c r="J235" i="1"/>
  <c r="M235" i="1" s="1"/>
  <c r="J234" i="1"/>
  <c r="M234" i="1" s="1"/>
  <c r="J233" i="1"/>
  <c r="M233" i="1" s="1"/>
  <c r="J232" i="1"/>
  <c r="M232" i="1" s="1"/>
  <c r="J231" i="1"/>
  <c r="M231" i="1" s="1"/>
  <c r="J230" i="1"/>
  <c r="M230" i="1" s="1"/>
  <c r="J229" i="1"/>
  <c r="M229" i="1" s="1"/>
  <c r="J228" i="1"/>
  <c r="M228" i="1" s="1"/>
  <c r="J227" i="1"/>
  <c r="M227" i="1" s="1"/>
  <c r="J226" i="1"/>
  <c r="M226" i="1" s="1"/>
  <c r="J225" i="1"/>
  <c r="M225" i="1" s="1"/>
  <c r="J224" i="1"/>
  <c r="M224" i="1" s="1"/>
  <c r="J223" i="1"/>
  <c r="M223" i="1" s="1"/>
  <c r="J222" i="1"/>
  <c r="M222" i="1" s="1"/>
  <c r="J221" i="1"/>
  <c r="M221" i="1" s="1"/>
  <c r="J220" i="1"/>
  <c r="M220" i="1" s="1"/>
  <c r="J219" i="1"/>
  <c r="M219" i="1" s="1"/>
  <c r="J218" i="1"/>
  <c r="M218" i="1" s="1"/>
  <c r="J217" i="1"/>
  <c r="M217" i="1" s="1"/>
  <c r="J216" i="1"/>
  <c r="M216" i="1" s="1"/>
  <c r="J215" i="1"/>
  <c r="M215" i="1" s="1"/>
  <c r="J214" i="1"/>
  <c r="M214" i="1" s="1"/>
  <c r="J213" i="1"/>
  <c r="M213" i="1" s="1"/>
  <c r="J212" i="1"/>
  <c r="M212" i="1" s="1"/>
  <c r="J211" i="1"/>
  <c r="M211" i="1" s="1"/>
  <c r="J210" i="1"/>
  <c r="M210" i="1" s="1"/>
  <c r="J209" i="1"/>
  <c r="M209" i="1" s="1"/>
  <c r="J208" i="1"/>
  <c r="M208" i="1" s="1"/>
  <c r="J207" i="1"/>
  <c r="M207" i="1" s="1"/>
  <c r="J206" i="1"/>
  <c r="M206" i="1" s="1"/>
  <c r="J205" i="1"/>
  <c r="M205" i="1" s="1"/>
  <c r="J204" i="1"/>
  <c r="M204" i="1" s="1"/>
  <c r="J203" i="1"/>
  <c r="M203" i="1" s="1"/>
  <c r="J202" i="1"/>
  <c r="M202" i="1" s="1"/>
  <c r="J201" i="1"/>
  <c r="M201" i="1" s="1"/>
  <c r="J200" i="1"/>
  <c r="M200" i="1" s="1"/>
  <c r="J199" i="1"/>
  <c r="M199" i="1" s="1"/>
  <c r="J198" i="1"/>
  <c r="M198" i="1" s="1"/>
  <c r="J197" i="1"/>
  <c r="M197" i="1" s="1"/>
  <c r="J196" i="1"/>
  <c r="M196" i="1" s="1"/>
  <c r="J195" i="1"/>
  <c r="M195" i="1" s="1"/>
  <c r="J194" i="1"/>
  <c r="M194" i="1" s="1"/>
  <c r="J193" i="1"/>
  <c r="M193" i="1" s="1"/>
  <c r="J192" i="1"/>
  <c r="M192" i="1" s="1"/>
  <c r="J191" i="1"/>
  <c r="M191" i="1" s="1"/>
  <c r="J190" i="1"/>
  <c r="M190" i="1" s="1"/>
  <c r="J189" i="1"/>
  <c r="M189" i="1" s="1"/>
  <c r="J188" i="1"/>
  <c r="M188" i="1" s="1"/>
  <c r="J187" i="1"/>
  <c r="M187" i="1" s="1"/>
  <c r="J186" i="1"/>
  <c r="M186" i="1" s="1"/>
  <c r="J185" i="1"/>
  <c r="M185" i="1" s="1"/>
  <c r="J184" i="1"/>
  <c r="M184" i="1" s="1"/>
  <c r="J183" i="1"/>
  <c r="M183" i="1" s="1"/>
  <c r="J182" i="1"/>
  <c r="M182" i="1" s="1"/>
  <c r="J181" i="1"/>
  <c r="M181" i="1" s="1"/>
  <c r="J180" i="1"/>
  <c r="M180" i="1" s="1"/>
  <c r="G178" i="1"/>
  <c r="J178" i="1" s="1"/>
  <c r="M178" i="1" s="1"/>
  <c r="G177" i="1"/>
  <c r="J177" i="1" s="1"/>
  <c r="M177" i="1" s="1"/>
  <c r="G176" i="1"/>
  <c r="J176" i="1" s="1"/>
  <c r="M176" i="1" s="1"/>
  <c r="G175" i="1"/>
  <c r="J175" i="1" s="1"/>
  <c r="M175" i="1" s="1"/>
  <c r="G173" i="1"/>
  <c r="J173" i="1" s="1"/>
  <c r="M173" i="1" s="1"/>
  <c r="G172" i="1"/>
  <c r="J172" i="1" s="1"/>
  <c r="M172" i="1" s="1"/>
  <c r="G171" i="1"/>
  <c r="J171" i="1" s="1"/>
  <c r="M171" i="1" s="1"/>
  <c r="G170" i="1"/>
  <c r="J170" i="1" s="1"/>
  <c r="M170" i="1" s="1"/>
  <c r="G169" i="1"/>
  <c r="J169" i="1" s="1"/>
  <c r="M169" i="1" s="1"/>
  <c r="G168" i="1"/>
  <c r="J168" i="1" s="1"/>
  <c r="M168" i="1" s="1"/>
  <c r="G167" i="1"/>
  <c r="J167" i="1" s="1"/>
  <c r="M167" i="1" s="1"/>
  <c r="G166" i="1"/>
  <c r="J166" i="1" s="1"/>
  <c r="M166" i="1" s="1"/>
  <c r="G164" i="1"/>
  <c r="J164" i="1" s="1"/>
  <c r="M164" i="1" s="1"/>
  <c r="G163" i="1"/>
  <c r="J163" i="1" s="1"/>
  <c r="M163" i="1" s="1"/>
  <c r="G162" i="1"/>
  <c r="J162" i="1" s="1"/>
  <c r="M162" i="1" s="1"/>
  <c r="G160" i="1"/>
  <c r="J160" i="1" s="1"/>
  <c r="M160" i="1" s="1"/>
  <c r="G159" i="1"/>
  <c r="J159" i="1" s="1"/>
  <c r="M159" i="1" s="1"/>
  <c r="G158" i="1"/>
  <c r="J158" i="1" s="1"/>
  <c r="M158" i="1" s="1"/>
  <c r="G157" i="1"/>
  <c r="J157" i="1" s="1"/>
  <c r="M157" i="1" s="1"/>
  <c r="G156" i="1"/>
  <c r="J156" i="1" s="1"/>
  <c r="M156" i="1" s="1"/>
  <c r="G154" i="1"/>
  <c r="J154" i="1" s="1"/>
  <c r="M154" i="1" s="1"/>
  <c r="G153" i="1"/>
  <c r="J153" i="1" s="1"/>
  <c r="M153" i="1" s="1"/>
  <c r="G152" i="1"/>
  <c r="J152" i="1" s="1"/>
  <c r="M152" i="1" s="1"/>
  <c r="G151" i="1"/>
  <c r="J151" i="1" s="1"/>
  <c r="M151" i="1" s="1"/>
  <c r="G150" i="1"/>
  <c r="J150" i="1" s="1"/>
  <c r="M150" i="1" s="1"/>
  <c r="G149" i="1"/>
  <c r="J149" i="1" s="1"/>
  <c r="M149" i="1" s="1"/>
  <c r="G148" i="1"/>
  <c r="J148" i="1" s="1"/>
  <c r="M148" i="1" s="1"/>
  <c r="G147" i="1"/>
  <c r="J147" i="1" s="1"/>
  <c r="M147" i="1" s="1"/>
  <c r="G146" i="1"/>
  <c r="J146" i="1" s="1"/>
  <c r="M146" i="1" s="1"/>
  <c r="G145" i="1"/>
  <c r="J145" i="1" s="1"/>
  <c r="M145" i="1" s="1"/>
  <c r="G144" i="1"/>
  <c r="J144" i="1" s="1"/>
  <c r="M144" i="1" s="1"/>
  <c r="G142" i="1"/>
  <c r="J142" i="1" s="1"/>
  <c r="M142" i="1" s="1"/>
  <c r="G141" i="1"/>
  <c r="J141" i="1" s="1"/>
  <c r="M141" i="1" s="1"/>
  <c r="G140" i="1"/>
  <c r="J140" i="1" s="1"/>
  <c r="M140" i="1" s="1"/>
  <c r="G139" i="1"/>
  <c r="J139" i="1" s="1"/>
  <c r="M139" i="1" s="1"/>
  <c r="G138" i="1"/>
  <c r="J138" i="1" s="1"/>
  <c r="M138" i="1" s="1"/>
  <c r="G137" i="1"/>
  <c r="J137" i="1" s="1"/>
  <c r="M137" i="1" s="1"/>
  <c r="G136" i="1"/>
  <c r="J136" i="1" s="1"/>
  <c r="M136" i="1" s="1"/>
  <c r="G135" i="1"/>
  <c r="J135" i="1" s="1"/>
  <c r="M135" i="1" s="1"/>
  <c r="G134" i="1"/>
  <c r="J134" i="1" s="1"/>
  <c r="M134" i="1" s="1"/>
  <c r="G133" i="1"/>
  <c r="J133" i="1" s="1"/>
  <c r="M133" i="1" s="1"/>
  <c r="G132" i="1"/>
  <c r="J132" i="1" s="1"/>
  <c r="M132" i="1" s="1"/>
  <c r="G131" i="1"/>
  <c r="J131" i="1" s="1"/>
  <c r="M131" i="1" s="1"/>
  <c r="G130" i="1"/>
  <c r="J130" i="1" s="1"/>
  <c r="M130" i="1" s="1"/>
  <c r="G129" i="1"/>
  <c r="J129" i="1" s="1"/>
  <c r="M129" i="1" s="1"/>
  <c r="G128" i="1"/>
  <c r="J128" i="1" s="1"/>
  <c r="M128" i="1" s="1"/>
  <c r="G127" i="1"/>
  <c r="J127" i="1" s="1"/>
  <c r="M127" i="1" s="1"/>
  <c r="G126" i="1"/>
  <c r="J126" i="1" s="1"/>
  <c r="M126" i="1" s="1"/>
  <c r="G125" i="1"/>
  <c r="J125" i="1" s="1"/>
  <c r="M125" i="1" s="1"/>
  <c r="G124" i="1"/>
  <c r="J124" i="1" s="1"/>
  <c r="M124" i="1" s="1"/>
  <c r="G123" i="1"/>
  <c r="J123" i="1" s="1"/>
  <c r="M123" i="1" s="1"/>
  <c r="G122" i="1"/>
  <c r="J122" i="1" s="1"/>
  <c r="M122" i="1" s="1"/>
  <c r="G121" i="1"/>
  <c r="J121" i="1" s="1"/>
  <c r="M121" i="1" s="1"/>
  <c r="G120" i="1"/>
  <c r="J120" i="1" s="1"/>
  <c r="M120" i="1" s="1"/>
  <c r="G119" i="1"/>
  <c r="J119" i="1" s="1"/>
  <c r="M119" i="1" s="1"/>
  <c r="G118" i="1"/>
  <c r="J118" i="1" s="1"/>
  <c r="M118" i="1" s="1"/>
  <c r="G117" i="1"/>
  <c r="J117" i="1" s="1"/>
  <c r="M117" i="1" s="1"/>
  <c r="G116" i="1"/>
  <c r="J116" i="1" s="1"/>
  <c r="M116" i="1" s="1"/>
  <c r="G115" i="1"/>
  <c r="J115" i="1" s="1"/>
  <c r="M115" i="1" s="1"/>
  <c r="G114" i="1"/>
  <c r="J114" i="1" s="1"/>
  <c r="M114" i="1" s="1"/>
  <c r="G113" i="1"/>
  <c r="J113" i="1" s="1"/>
  <c r="M113" i="1" s="1"/>
  <c r="G112" i="1"/>
  <c r="J112" i="1" s="1"/>
  <c r="M112" i="1" s="1"/>
  <c r="G111" i="1"/>
  <c r="J111" i="1" s="1"/>
  <c r="M111" i="1" s="1"/>
  <c r="G110" i="1"/>
  <c r="J110" i="1" s="1"/>
  <c r="M110" i="1" s="1"/>
  <c r="G107" i="1"/>
  <c r="J107" i="1" s="1"/>
  <c r="M107" i="1" s="1"/>
  <c r="G106" i="1"/>
  <c r="J106" i="1" s="1"/>
  <c r="M106" i="1" s="1"/>
  <c r="G105" i="1"/>
  <c r="J105" i="1" s="1"/>
  <c r="M105" i="1" s="1"/>
  <c r="G104" i="1"/>
  <c r="J104" i="1" s="1"/>
  <c r="M104" i="1" s="1"/>
  <c r="G103" i="1"/>
  <c r="J103" i="1" s="1"/>
  <c r="M103" i="1" s="1"/>
  <c r="G102" i="1"/>
  <c r="J102" i="1" s="1"/>
  <c r="M102" i="1" s="1"/>
  <c r="G101" i="1"/>
  <c r="J101" i="1" s="1"/>
  <c r="M101" i="1" s="1"/>
  <c r="G100" i="1"/>
  <c r="J100" i="1" s="1"/>
  <c r="M100" i="1" s="1"/>
  <c r="G98" i="1"/>
  <c r="J98" i="1" s="1"/>
  <c r="M98" i="1" s="1"/>
  <c r="G97" i="1"/>
  <c r="J97" i="1" s="1"/>
  <c r="M97" i="1" s="1"/>
  <c r="G96" i="1"/>
  <c r="J96" i="1" s="1"/>
  <c r="M96" i="1" s="1"/>
  <c r="G95" i="1"/>
  <c r="J95" i="1" s="1"/>
  <c r="M95" i="1" s="1"/>
  <c r="G94" i="1"/>
  <c r="J94" i="1" s="1"/>
  <c r="M94" i="1" s="1"/>
  <c r="G93" i="1"/>
  <c r="J93" i="1" s="1"/>
  <c r="M93" i="1" s="1"/>
  <c r="G92" i="1"/>
  <c r="J92" i="1" s="1"/>
  <c r="M92" i="1" s="1"/>
  <c r="G91" i="1"/>
  <c r="J91" i="1" s="1"/>
  <c r="M91" i="1" s="1"/>
  <c r="G90" i="1"/>
  <c r="J90" i="1" s="1"/>
  <c r="M90" i="1" s="1"/>
  <c r="G89" i="1"/>
  <c r="J89" i="1" s="1"/>
  <c r="M89" i="1" s="1"/>
  <c r="G88" i="1"/>
  <c r="J88" i="1" s="1"/>
  <c r="M88" i="1" s="1"/>
  <c r="G87" i="1"/>
  <c r="J87" i="1" s="1"/>
  <c r="M87" i="1" s="1"/>
  <c r="G86" i="1"/>
  <c r="J86" i="1" s="1"/>
  <c r="M86" i="1" s="1"/>
  <c r="G85" i="1"/>
  <c r="J85" i="1" s="1"/>
  <c r="M85" i="1" s="1"/>
  <c r="G84" i="1"/>
  <c r="J84" i="1" s="1"/>
  <c r="M84" i="1" s="1"/>
  <c r="G83" i="1"/>
  <c r="J83" i="1" s="1"/>
  <c r="M83" i="1" s="1"/>
  <c r="G82" i="1"/>
  <c r="J82" i="1" s="1"/>
  <c r="M82" i="1" s="1"/>
  <c r="G81" i="1"/>
  <c r="J81" i="1" s="1"/>
  <c r="M81" i="1" s="1"/>
  <c r="G80" i="1"/>
  <c r="J80" i="1" s="1"/>
  <c r="M80" i="1" s="1"/>
  <c r="G79" i="1"/>
  <c r="J79" i="1" s="1"/>
  <c r="M79" i="1" s="1"/>
  <c r="G78" i="1"/>
  <c r="J78" i="1" s="1"/>
  <c r="M78" i="1" s="1"/>
  <c r="G77" i="1"/>
  <c r="J77" i="1" s="1"/>
  <c r="M77" i="1" s="1"/>
  <c r="G76" i="1"/>
  <c r="J76" i="1" s="1"/>
  <c r="M76" i="1" s="1"/>
  <c r="G75" i="1"/>
  <c r="J75" i="1" s="1"/>
  <c r="M75" i="1" s="1"/>
  <c r="G74" i="1"/>
  <c r="J74" i="1" s="1"/>
  <c r="M74" i="1" s="1"/>
  <c r="G73" i="1"/>
  <c r="J73" i="1" s="1"/>
  <c r="M73" i="1" s="1"/>
  <c r="G72" i="1"/>
  <c r="J72" i="1" s="1"/>
  <c r="M72" i="1" s="1"/>
  <c r="G71" i="1"/>
  <c r="J71" i="1" s="1"/>
  <c r="M71" i="1" s="1"/>
  <c r="G70" i="1"/>
  <c r="J70" i="1" s="1"/>
  <c r="M70" i="1" s="1"/>
  <c r="G69" i="1"/>
  <c r="J69" i="1" s="1"/>
  <c r="M69" i="1" s="1"/>
  <c r="G68" i="1"/>
  <c r="J68" i="1" s="1"/>
  <c r="M68" i="1" s="1"/>
  <c r="G67" i="1"/>
  <c r="J67" i="1" s="1"/>
  <c r="M67" i="1" s="1"/>
  <c r="G65" i="1"/>
  <c r="J65" i="1" s="1"/>
  <c r="M65" i="1" s="1"/>
  <c r="G64" i="1"/>
  <c r="J64" i="1" s="1"/>
  <c r="M64" i="1" s="1"/>
  <c r="G63" i="1"/>
  <c r="J63" i="1" s="1"/>
  <c r="M63" i="1" s="1"/>
  <c r="G61" i="1"/>
  <c r="J61" i="1" s="1"/>
  <c r="M61" i="1" s="1"/>
  <c r="G60" i="1"/>
  <c r="J60" i="1" s="1"/>
  <c r="M60" i="1" s="1"/>
  <c r="G59" i="1"/>
  <c r="J59" i="1" s="1"/>
  <c r="M59" i="1" s="1"/>
  <c r="G57" i="1"/>
  <c r="J57" i="1" s="1"/>
  <c r="M57" i="1" s="1"/>
  <c r="G56" i="1"/>
  <c r="J56" i="1" s="1"/>
  <c r="M56" i="1" s="1"/>
  <c r="G55" i="1"/>
  <c r="J55" i="1" s="1"/>
  <c r="M55" i="1" s="1"/>
  <c r="G54" i="1"/>
  <c r="J54" i="1" s="1"/>
  <c r="M54" i="1" s="1"/>
  <c r="G53" i="1"/>
  <c r="J53" i="1" s="1"/>
  <c r="M53" i="1" s="1"/>
  <c r="G52" i="1"/>
  <c r="J52" i="1" s="1"/>
  <c r="M52" i="1" s="1"/>
  <c r="G51" i="1"/>
  <c r="J51" i="1" s="1"/>
  <c r="M51" i="1" s="1"/>
  <c r="G50" i="1"/>
  <c r="J50" i="1" s="1"/>
  <c r="M50" i="1" s="1"/>
  <c r="G49" i="1"/>
  <c r="J49" i="1" s="1"/>
  <c r="M49" i="1" s="1"/>
  <c r="G48" i="1"/>
  <c r="J48" i="1" s="1"/>
  <c r="M48" i="1" s="1"/>
  <c r="G47" i="1"/>
  <c r="J47" i="1" s="1"/>
  <c r="M47" i="1" s="1"/>
  <c r="G46" i="1"/>
  <c r="J46" i="1" s="1"/>
  <c r="M46" i="1" s="1"/>
  <c r="G45" i="1"/>
  <c r="J45" i="1" s="1"/>
  <c r="M45" i="1" s="1"/>
  <c r="G44" i="1"/>
  <c r="J44" i="1" s="1"/>
  <c r="M44" i="1" s="1"/>
  <c r="G43" i="1"/>
  <c r="J43" i="1" s="1"/>
  <c r="M43" i="1" s="1"/>
  <c r="G41" i="1"/>
  <c r="J41" i="1" s="1"/>
  <c r="M41" i="1" s="1"/>
  <c r="G40" i="1"/>
  <c r="J40" i="1" s="1"/>
  <c r="M40" i="1" s="1"/>
  <c r="G39" i="1"/>
  <c r="J39" i="1" s="1"/>
  <c r="M39" i="1" s="1"/>
  <c r="G37" i="1"/>
  <c r="J37" i="1" s="1"/>
  <c r="M37" i="1" s="1"/>
  <c r="G35" i="1"/>
  <c r="J35" i="1" s="1"/>
  <c r="M35" i="1" s="1"/>
  <c r="G34" i="1"/>
  <c r="J34" i="1" s="1"/>
  <c r="M34" i="1" s="1"/>
  <c r="G33" i="1"/>
  <c r="J33" i="1" s="1"/>
  <c r="M33" i="1" s="1"/>
  <c r="G32" i="1"/>
  <c r="J32" i="1" s="1"/>
  <c r="M32" i="1" s="1"/>
  <c r="G31" i="1"/>
  <c r="J31" i="1" s="1"/>
  <c r="M31" i="1" s="1"/>
  <c r="G30" i="1"/>
  <c r="J30" i="1" s="1"/>
  <c r="M30" i="1" s="1"/>
  <c r="G29" i="1"/>
  <c r="J29" i="1" s="1"/>
  <c r="M29" i="1" s="1"/>
  <c r="G26" i="1"/>
  <c r="J26" i="1" s="1"/>
  <c r="M26" i="1" s="1"/>
  <c r="G25" i="1"/>
  <c r="J25" i="1" s="1"/>
  <c r="M25" i="1" s="1"/>
  <c r="G23" i="1"/>
  <c r="J23" i="1" s="1"/>
  <c r="M23" i="1" s="1"/>
  <c r="G22" i="1"/>
  <c r="J22" i="1" s="1"/>
  <c r="M22" i="1" s="1"/>
  <c r="G21" i="1"/>
  <c r="J21" i="1" s="1"/>
  <c r="M21" i="1" s="1"/>
  <c r="G20" i="1"/>
  <c r="J20" i="1" s="1"/>
  <c r="M20" i="1" s="1"/>
  <c r="G19" i="1"/>
  <c r="J19" i="1" s="1"/>
  <c r="M19" i="1" s="1"/>
  <c r="G18" i="1"/>
  <c r="J18" i="1" s="1"/>
  <c r="M18" i="1" s="1"/>
  <c r="G17" i="1"/>
  <c r="J17" i="1" s="1"/>
  <c r="M17" i="1" s="1"/>
  <c r="G15" i="1"/>
  <c r="J15" i="1" s="1"/>
  <c r="M15" i="1" s="1"/>
  <c r="G14" i="1"/>
  <c r="J14" i="1" s="1"/>
  <c r="M14" i="1" s="1"/>
  <c r="G12" i="1"/>
  <c r="J12" i="1" s="1"/>
  <c r="M12" i="1" s="1"/>
  <c r="G11" i="1"/>
  <c r="J11" i="1" s="1"/>
  <c r="M11" i="1" s="1"/>
  <c r="G10" i="1"/>
  <c r="J10" i="1" s="1"/>
  <c r="M10" i="1" s="1"/>
  <c r="G9" i="1"/>
  <c r="J9" i="1" s="1"/>
  <c r="M9" i="1" s="1"/>
  <c r="G8" i="1"/>
  <c r="M8" i="1" s="1"/>
  <c r="M441" i="1" l="1"/>
  <c r="M3" i="1" s="1"/>
</calcChain>
</file>

<file path=xl/sharedStrings.xml><?xml version="1.0" encoding="utf-8"?>
<sst xmlns="http://schemas.openxmlformats.org/spreadsheetml/2006/main" count="1424" uniqueCount="665">
  <si>
    <t>PEDIDO TOTAL</t>
  </si>
  <si>
    <t>Descrição</t>
  </si>
  <si>
    <t>Cód Prod.</t>
  </si>
  <si>
    <t>EAN</t>
  </si>
  <si>
    <t>Emb Embarque</t>
  </si>
  <si>
    <t xml:space="preserve"> Preço Lista</t>
  </si>
  <si>
    <t>CONDIÇÃO COMERCIAL</t>
  </si>
  <si>
    <t>Valor</t>
  </si>
  <si>
    <t>Quantidade</t>
  </si>
  <si>
    <t>Total</t>
  </si>
  <si>
    <t xml:space="preserve">LINHA CONFIRA </t>
  </si>
  <si>
    <t>Teste de Gravidez Confira Tira+Coletor c1 und.</t>
  </si>
  <si>
    <t>36 unid.</t>
  </si>
  <si>
    <t>+</t>
  </si>
  <si>
    <t>Teste de Gravidez Confira "PRATIC CANETA"</t>
  </si>
  <si>
    <t>24 unid.</t>
  </si>
  <si>
    <t>Teste de Gravidez Confira "SEMANAS"</t>
  </si>
  <si>
    <t xml:space="preserve">Teste de Gravidez Confira "FERTILIDADE" </t>
  </si>
  <si>
    <t>Teste de Gravidez Confira Tira+Coletor c/2 unds.</t>
  </si>
  <si>
    <t>LINHA CICATRISAN AGE</t>
  </si>
  <si>
    <t>Óleo A.G.E 100ml (Oléo de Girassol)</t>
  </si>
  <si>
    <t>Óleo A.G.E 200ml (Oléo de Girassol)</t>
  </si>
  <si>
    <t>12 unid.</t>
  </si>
  <si>
    <t>LINHA DOUTORSAN</t>
  </si>
  <si>
    <t>Sanaliv Aerosol 110ml</t>
  </si>
  <si>
    <t>Doutorsan Adesivo Febre P</t>
  </si>
  <si>
    <t>80 unid.</t>
  </si>
  <si>
    <t>Doutorsan Adesivo Febre G</t>
  </si>
  <si>
    <t>Adesivo para picada de insetos Doutorsan c/ 20 unidades</t>
  </si>
  <si>
    <t>120 unid.</t>
  </si>
  <si>
    <t>Adesivo para picada de insetos Kuradodoi c/20 unidades</t>
  </si>
  <si>
    <t>Doutorsan Adesivo para cólica</t>
  </si>
  <si>
    <t>50 unid.</t>
  </si>
  <si>
    <t>Doutorsan Adesivo para Herpes c/06 unidades</t>
  </si>
  <si>
    <t>LINHA DESPACK</t>
  </si>
  <si>
    <t>Coletor Perfuro Cortante  DESPACK 7 litros</t>
  </si>
  <si>
    <t>10 unid.</t>
  </si>
  <si>
    <t>DESCONTINUADO</t>
  </si>
  <si>
    <t>Coletor Perfuro Cortante  DESPACK 13 litros</t>
  </si>
  <si>
    <t>LINHA CICATRISAN</t>
  </si>
  <si>
    <t>Não Aderente Estéril</t>
  </si>
  <si>
    <t>Compressa não aderente Estéril -  c/40pct x 10 und.</t>
  </si>
  <si>
    <t>1 caixa</t>
  </si>
  <si>
    <t>Compressa não aderente Estéril -  c/100pct x 10 und.</t>
  </si>
  <si>
    <r>
      <t xml:space="preserve">Compressa EXTRA PROTETORA não aderente Estéril  - </t>
    </r>
    <r>
      <rPr>
        <b/>
        <sz val="16"/>
        <color indexed="8"/>
        <rFont val="Calibri"/>
        <family val="2"/>
      </rPr>
      <t>caixas. c/40x05 unid.</t>
    </r>
  </si>
  <si>
    <t>Compressa Cirurgica Algodonada 10cmx10cm env. c/ 05 unid. caixa c/10</t>
  </si>
  <si>
    <t>Compressa Cirurgica Algodonada 10cmx60cm env. c/ 01 unid. caixa c/10</t>
  </si>
  <si>
    <t>Kit  50 não aderente leve3 pague2 Estéril</t>
  </si>
  <si>
    <t>1 caixas c/50packs</t>
  </si>
  <si>
    <t>COMPRESSA NAO ADERENTE ESTERIL 25X02 KURADODOI</t>
  </si>
  <si>
    <t>60 caixinhas</t>
  </si>
  <si>
    <t>Não Aderente e Não Estéril</t>
  </si>
  <si>
    <t>Compressa não aderente caixas c/40pct x 10 und. NÃO ESTÉRIL</t>
  </si>
  <si>
    <t>Compressa de gaze 13 fios Estéril</t>
  </si>
  <si>
    <t>Compressa de gaze 13 fios caixas. c/ 240pct x 10 und. Estéril</t>
  </si>
  <si>
    <t>Compressa de gaze 13 fios caixas. c/40pct x 05 und. Estéril</t>
  </si>
  <si>
    <t>Compressa de gaze 13 fios caixas.c/40pct x 10 und. Estéril</t>
  </si>
  <si>
    <t>1 unid.</t>
  </si>
  <si>
    <t>Curativos</t>
  </si>
  <si>
    <t>Curativo Transparente caixas c/10 unidades</t>
  </si>
  <si>
    <t>Curativo Transparente caixas c/35 unidades</t>
  </si>
  <si>
    <t>40 unid.</t>
  </si>
  <si>
    <t>Curativo Cor da Pele caixas c/10 unidades</t>
  </si>
  <si>
    <t>Curativo Microporoso caixas c/10 unidades</t>
  </si>
  <si>
    <t>Curativo Infantil  KURADODÓI  caixas c/20 unidades</t>
  </si>
  <si>
    <t>Curativo Redondo  caixas c/20 unidades</t>
  </si>
  <si>
    <t>CURATIVO CICATRISAN EXTRA FLEXÍVEL TRADICIONAL C/10 UNID.</t>
  </si>
  <si>
    <t>CURATIVO CICATRISAN EXTRA FLEXÍVEL GRANDE C/10 UNID.</t>
  </si>
  <si>
    <t>20 unid.</t>
  </si>
  <si>
    <t>CURATIVO CICATRISAN A PROVA D ÁGUA VARIADOS 10 UNIDADES</t>
  </si>
  <si>
    <t>CURATIVO KURADODÓI SEM LÁTEX 10 UNID.</t>
  </si>
  <si>
    <t>CURATIVO PARA OS PÉS FORMATOS VARIADOS BOLHAS 06 UNIDADES</t>
  </si>
  <si>
    <t>CURATIVO CICATRISAN JOELHOS E COTOVELOS COM 06 UNIDADES</t>
  </si>
  <si>
    <t>CURATIVO CICATRISAN NOSSA GENTE 20 UNID. BEGE</t>
  </si>
  <si>
    <t>CURATIVO CICATRISAN NOSSA GENTE 20 UNID. MARROM CLARO</t>
  </si>
  <si>
    <t>CURATIVO CICATRISAN NOSSA GENTE 20 UNID. MARROM ESCURO</t>
  </si>
  <si>
    <t>ATADURA CREPE EMBALAGEM ESPECIAL</t>
  </si>
  <si>
    <t xml:space="preserve">Atadura P Larg. 08cm </t>
  </si>
  <si>
    <t xml:space="preserve">Atadura M Larg. 12cm </t>
  </si>
  <si>
    <t xml:space="preserve">Atadura G Larg. 15cm </t>
  </si>
  <si>
    <t>18 unid.</t>
  </si>
  <si>
    <t>SPRAY ANTISSÉPTICO</t>
  </si>
  <si>
    <r>
      <rPr>
        <b/>
        <sz val="18"/>
        <color indexed="8"/>
        <rFont val="Calibri"/>
        <family val="2"/>
      </rPr>
      <t xml:space="preserve">Cicatrisan Spray Antisséptico 45ml </t>
    </r>
    <r>
      <rPr>
        <b/>
        <sz val="16"/>
        <color indexed="8"/>
        <rFont val="Calibri"/>
        <family val="2"/>
      </rPr>
      <t>(clorexidina/confrei/própolis/melaleuca)</t>
    </r>
  </si>
  <si>
    <t>16 unid.</t>
  </si>
  <si>
    <t>SANIDERME DEXPANTENOL SPRAY 30ML</t>
  </si>
  <si>
    <t>72 unid.</t>
  </si>
  <si>
    <t>SANIDERME DEXPANTENOL POMADA 30G</t>
  </si>
  <si>
    <t>30 unid.</t>
  </si>
  <si>
    <t>LINHA SANCARE</t>
  </si>
  <si>
    <t xml:space="preserve">Algodão Bola 40g COLORIDO </t>
  </si>
  <si>
    <t>60 unid.</t>
  </si>
  <si>
    <t>Algodão Bola 40g</t>
  </si>
  <si>
    <t>55 unid.</t>
  </si>
  <si>
    <t>Algodão Bola 95g</t>
  </si>
  <si>
    <t>Algodão Caixa c/ 25g</t>
  </si>
  <si>
    <t>108 unid.</t>
  </si>
  <si>
    <t>Algodão Caixa c/ 50g</t>
  </si>
  <si>
    <t>52 unid.</t>
  </si>
  <si>
    <r>
      <t>Compressa Multi Uso - Embalagem c/40 pacotes x 10 unid.</t>
    </r>
    <r>
      <rPr>
        <b/>
        <sz val="14"/>
        <color indexed="8"/>
        <rFont val="Calibri"/>
        <family val="2"/>
      </rPr>
      <t xml:space="preserve"> (indicada para remoção de esmaltes  e maquiagem, pois absorve mais que algodão)</t>
    </r>
  </si>
  <si>
    <t>Multi Uso QUADRADINHO SANCARE c/ 50 unidades.</t>
  </si>
  <si>
    <t>16 caixas</t>
  </si>
  <si>
    <t>Curativo Hidrocolóide caixas c/24 adesivos -  (indicada para combate de acne, ajuda cicatrização, absorve secreções e auxiliar de maquiagem protegendo local afetado)</t>
  </si>
  <si>
    <t>40 unid</t>
  </si>
  <si>
    <t xml:space="preserve">Curativo Protetor para os pés caixas c/ 14 adesivos </t>
  </si>
  <si>
    <t>Procallo 05 unidades 45MM X 45MM</t>
  </si>
  <si>
    <t>Procallo 05 unidades tamanhos variados</t>
  </si>
  <si>
    <t>Dilatador Nasal Anatômico M caixa com 10 unidades</t>
  </si>
  <si>
    <t>Dilatador Nasal Anatômico G caixa com 10 unidades</t>
  </si>
  <si>
    <t>Dilatador Nasal Anatômico M caixa com 30 unidades</t>
  </si>
  <si>
    <t>Dilatador Nasal Anatômico G caixa com 30 unidades</t>
  </si>
  <si>
    <t>Hastes Flexíveis pote c/150 unidades</t>
  </si>
  <si>
    <t>84 unid.</t>
  </si>
  <si>
    <t>Hastes Flexíveis caixa c/75 unidades</t>
  </si>
  <si>
    <t>HASTES C/55 UNIDADES SANCARE BABY</t>
  </si>
  <si>
    <t xml:space="preserve">HASTES PARA MAQUIAGEM c/75 UNID SANCARE </t>
  </si>
  <si>
    <t>HASTES PARA MAQUIAGEM 75 UNID SANCARE PONTA ESPIRAL</t>
  </si>
  <si>
    <t xml:space="preserve">HASTES PARA MAQUIAGEM c/90 UNID SANCARE </t>
  </si>
  <si>
    <t>34 unid.</t>
  </si>
  <si>
    <t>HASTES C/75 UNIDADES COLORS</t>
  </si>
  <si>
    <r>
      <t xml:space="preserve">Protetor Anatômico Estéril - </t>
    </r>
    <r>
      <rPr>
        <b/>
        <sz val="14"/>
        <color rgb="FFFF0000"/>
        <rFont val="Calibri"/>
        <family val="2"/>
      </rPr>
      <t xml:space="preserve"> (Macio e alta absorção, indicado para Mamilos, calcanhar e olhos) - Embalagem c/40 pacotes x 1unid.</t>
    </r>
  </si>
  <si>
    <t>Absorvente para seios c/30 unidades</t>
  </si>
  <si>
    <t>Absorvente para seios c/12 unidades</t>
  </si>
  <si>
    <t>Protetor Ocular Estéril Infantil COLORIDO</t>
  </si>
  <si>
    <r>
      <t xml:space="preserve">Protetor Ocular Estéril G 12x10 - </t>
    </r>
    <r>
      <rPr>
        <b/>
        <sz val="14"/>
        <color indexed="8"/>
        <rFont val="Calibri"/>
        <family val="2"/>
      </rPr>
      <t>(Único estéril, embalado individualmente, formato anatômico e cor da pele)</t>
    </r>
  </si>
  <si>
    <r>
      <t xml:space="preserve">Protetor Ocular Estéril M 12x10  - </t>
    </r>
    <r>
      <rPr>
        <b/>
        <sz val="14"/>
        <color indexed="8"/>
        <rFont val="Calibri"/>
        <family val="2"/>
      </rPr>
      <t>(Único estéril, embalado individualmente, formato anatômico e cor da pele)</t>
    </r>
  </si>
  <si>
    <r>
      <t xml:space="preserve">Protetor Ocular Estéril P 12x10  - </t>
    </r>
    <r>
      <rPr>
        <b/>
        <sz val="14"/>
        <color indexed="8"/>
        <rFont val="Calibri"/>
        <family val="2"/>
      </rPr>
      <t>(Único estéril, embalado individualmente, formato anatômico e cor da pele)</t>
    </r>
  </si>
  <si>
    <t>TOALHAS UMEDECIDAS C/ 100 UNIDADES SANCARE</t>
  </si>
  <si>
    <t>TOALHAS UMEDECIDAS C/ 40 UNIDADES SANCARE</t>
  </si>
  <si>
    <t xml:space="preserve">TOALHAS UMEDECIDAS 99% ÁGUA SANCARE BABY COM 25 UNIDADES </t>
  </si>
  <si>
    <t>SANCARE ELLA</t>
  </si>
  <si>
    <t>Algodão Discos 40 unidades Sancare Ella</t>
  </si>
  <si>
    <t>TOALHAS UMEDECIDAS ÍNTIMAS SANCARE ELLA C/20 UNIDADES</t>
  </si>
  <si>
    <t>TOALHAS UMEDECIDAS DEMAQUILANTES SANCARE ELLA C/20 UNIDADES</t>
  </si>
  <si>
    <t>SABONETE LIQUIDO 200ML – INTIMO SANCARE ELLA</t>
  </si>
  <si>
    <t>21 unid.</t>
  </si>
  <si>
    <t>SABONETE LIQUIDO 200ML – INTIMO FRESH SANCARE ELLA</t>
  </si>
  <si>
    <t>PROTETOR DIARIO S/ ABAS SANCARE ELLA LV40 PG30</t>
  </si>
  <si>
    <t>ABSORVENTE FEMININO PROTETOR DIARIO</t>
  </si>
  <si>
    <t>PROTETOR DIÁRIO ULTRA FINO C/ 20 UNID. SANCARE ELLA</t>
  </si>
  <si>
    <t>LINHA SANFARMA</t>
  </si>
  <si>
    <t>Esparadrapos e Fitas</t>
  </si>
  <si>
    <t>cod.</t>
  </si>
  <si>
    <t>cx. Embarque</t>
  </si>
  <si>
    <t>Esparadrapo Impermeável 25mm x 0,9m</t>
  </si>
  <si>
    <t>168 unid.</t>
  </si>
  <si>
    <t>Esparadrapo Impermeável 12mm x 4,5m</t>
  </si>
  <si>
    <t>96 unid.</t>
  </si>
  <si>
    <t>Esparadrapo Impermeável 25mm x 4,5m</t>
  </si>
  <si>
    <t>Esparadarpo Impermeável 50mm x 4,5m</t>
  </si>
  <si>
    <t>Esparadrapo impermeável 100mm x 4,5m</t>
  </si>
  <si>
    <t>Esparadrapo Tecido de Seda 25mm x 4,5m - Branco</t>
  </si>
  <si>
    <t>48 unid.</t>
  </si>
  <si>
    <t>Esparadrapo Tecido de Seda 50mm x 4,5m - Branco</t>
  </si>
  <si>
    <t>Esparadrapo Hipoalergenico 25mm x 4,5m - S/ Latex</t>
  </si>
  <si>
    <t>Esparadrapo Hipoalergenico 50mm x 4,5m - S/ Latex</t>
  </si>
  <si>
    <t>Esparadrapo Impermeável 25mm x 4,5m - Bege</t>
  </si>
  <si>
    <t>Esparadarpo Impermeável 50mm x 4,5m - Bege</t>
  </si>
  <si>
    <t>ESP. HIPOALERGICO S/ LATEX 25MM X 3M</t>
  </si>
  <si>
    <t>ESP. HIPOALERGICO S/ LATEX 50MM X 3M</t>
  </si>
  <si>
    <t>ESP. IMPERMEAVEL 12MM X 3M BEGE</t>
  </si>
  <si>
    <t>2138</t>
  </si>
  <si>
    <t>75 unid.</t>
  </si>
  <si>
    <t>ESP. IMPERMEAVEL 12MM X 3M BRANCO</t>
  </si>
  <si>
    <t>2019</t>
  </si>
  <si>
    <t>ESP. IMPERMEAVEL 25MM X 3M BEGE</t>
  </si>
  <si>
    <t>ESP. IMPERMEAVEL 25MM X 3M BRANCO</t>
  </si>
  <si>
    <t>ESP. IMPERMEAVEL 50MM X 3M BEGE</t>
  </si>
  <si>
    <t>ESP. IMPERMEAVEL 50MM X 3M BRANCO</t>
  </si>
  <si>
    <t>ESP. TECIDO DE SEDA 12MM X 3M BEGE</t>
  </si>
  <si>
    <t>2132</t>
  </si>
  <si>
    <t>ESP. TECIDO DE SEDA 12MM X 3M BRANCO</t>
  </si>
  <si>
    <t>2135</t>
  </si>
  <si>
    <t>ESP. TECIDO DE SEDA 25MM X 3M BEGE</t>
  </si>
  <si>
    <t>2133</t>
  </si>
  <si>
    <t>ESP. TECIDO DE SEDA 25MM X 3M BRANCO</t>
  </si>
  <si>
    <t>2136</t>
  </si>
  <si>
    <t>ESP. TECIDO DE SEDA 50MM X 3M BEGE</t>
  </si>
  <si>
    <t>2134</t>
  </si>
  <si>
    <t>ESP. TECIDO DE SEDA 50MM X 3M BRANCO</t>
  </si>
  <si>
    <t>2137</t>
  </si>
  <si>
    <t>Fita Microporosa 25mm x 0,9m</t>
  </si>
  <si>
    <t>Fita Microporosa 12mm x 4,5m</t>
  </si>
  <si>
    <t>Fita Microporosa 25mm x 4,5m</t>
  </si>
  <si>
    <t>Fita Microporosa 50mm x 4,5m</t>
  </si>
  <si>
    <t>Fita Microporosa 12mm x 4,5m - Bege</t>
  </si>
  <si>
    <t>Fita Microporosa 25mm x 4,5m - Bege</t>
  </si>
  <si>
    <t>Fita Trasparente Microperfurada 12mm x 4,5m</t>
  </si>
  <si>
    <t>Fita Trasparente Microperfurada 25mm x 4,5m</t>
  </si>
  <si>
    <t>Atadura</t>
  </si>
  <si>
    <t xml:space="preserve">Atadura de crepe Larg. 6cm x 1,8m </t>
  </si>
  <si>
    <t>240 unid.</t>
  </si>
  <si>
    <t xml:space="preserve">Atadura de crepe Larg. 8cm x 1,8m </t>
  </si>
  <si>
    <t>216 unid.</t>
  </si>
  <si>
    <t xml:space="preserve">Atadura de crepe Larg. 10cm x 1,8m </t>
  </si>
  <si>
    <t xml:space="preserve">Atadura de crepe Larg. 12cm x 1,8m </t>
  </si>
  <si>
    <t>144 unid.</t>
  </si>
  <si>
    <t xml:space="preserve">Atadura de crepe Larg. 15cm x 1,8m </t>
  </si>
  <si>
    <t xml:space="preserve">Atadura de crepe Larg. 20cm x 1,8m </t>
  </si>
  <si>
    <t>Atadura elástica 10cm x 1,2m</t>
  </si>
  <si>
    <t>ATADURA AUTOADESIVA SEM LATEX BIODEGRADAVEL 2,5CM X 3,6M</t>
  </si>
  <si>
    <t>ATADURA AUTOADESIVA SEM LATEX BIODEGRADAVEL 7,5CM X 3,6M</t>
  </si>
  <si>
    <t>ATADURA AUTOADESIVA SEM LATEX 2,5CM X 3,6M</t>
  </si>
  <si>
    <t>ATADURA AUTOADESIVA SEM LATEX 7,5CM X 3,6M</t>
  </si>
  <si>
    <t>Munhequeira e Tala para punho</t>
  </si>
  <si>
    <t xml:space="preserve">Munhuqueira Sanfarma </t>
  </si>
  <si>
    <t>16 unidades</t>
  </si>
  <si>
    <t xml:space="preserve">Tala p/ punho Bilateral Tam: P </t>
  </si>
  <si>
    <t>8 unidades</t>
  </si>
  <si>
    <t xml:space="preserve">Tala p/ punho Bilateral Tam: M </t>
  </si>
  <si>
    <t xml:space="preserve">Tala p/ punho Bilateral Tam: G </t>
  </si>
  <si>
    <t xml:space="preserve">Tala p/ punho Bilateral Tam: GG </t>
  </si>
  <si>
    <t>Coletor</t>
  </si>
  <si>
    <t>Coletor Universal  70ML sem caixa</t>
  </si>
  <si>
    <t>5 pacotes de 100 unidades</t>
  </si>
  <si>
    <t>Coletor Universal - 70ml com caixa</t>
  </si>
  <si>
    <t>100 unid.</t>
  </si>
  <si>
    <t>Coletor Universal ESTÉRIL - 80ml com caixa</t>
  </si>
  <si>
    <t>Compressa de gaze 11 fios Estéril</t>
  </si>
  <si>
    <t>Compressa de gaze 11 fios caixas. 300pct x 10 und. Estéril</t>
  </si>
  <si>
    <t>Compressa de gaze 11 fios caixas. 350pct x 10 und. Estéril SANCARE</t>
  </si>
  <si>
    <t>Compressa de gaze 11 fios caixas. 480pct x 5 und. Estéril</t>
  </si>
  <si>
    <t>Compressa de gaze 11 fios caixas. 120 x 10 und. Estéril</t>
  </si>
  <si>
    <t>Compressa de gaze  11 fios caixas. 80 x 10 und. Estéril</t>
  </si>
  <si>
    <t>Compressa de gaze 11 fios caixas. 30 x 10 11 und. Estéril</t>
  </si>
  <si>
    <t>20 caixas</t>
  </si>
  <si>
    <t>Compressa de gaze 11 fios caixas. 40 x 05 und. Estéril</t>
  </si>
  <si>
    <t>Compressa de gaze 11 fios caixas. 160 x 05 und. Estéril</t>
  </si>
  <si>
    <t>Compressa de gaze não Estéril</t>
  </si>
  <si>
    <r>
      <t xml:space="preserve">Compressa de gaze 11 fios -Display 40pct x 05 und. </t>
    </r>
    <r>
      <rPr>
        <b/>
        <sz val="18"/>
        <color theme="1"/>
        <rFont val="Calibri"/>
        <family val="2"/>
      </rPr>
      <t>NÃO ESTÉRIL</t>
    </r>
  </si>
  <si>
    <t>10 und.</t>
  </si>
  <si>
    <r>
      <t xml:space="preserve">Compressa de gaze   9 fios  - Pacote de gaze com 500 unid. </t>
    </r>
    <r>
      <rPr>
        <b/>
        <sz val="18"/>
        <color theme="1"/>
        <rFont val="Calibri"/>
        <family val="2"/>
      </rPr>
      <t>NÃO ESTÉRIL</t>
    </r>
  </si>
  <si>
    <t>12 pacotes</t>
  </si>
  <si>
    <r>
      <t>Compressa de gaze  11 fios  - Pacote de gaze com 500 unid.</t>
    </r>
    <r>
      <rPr>
        <b/>
        <sz val="18"/>
        <color theme="1"/>
        <rFont val="Calibri"/>
        <family val="2"/>
      </rPr>
      <t xml:space="preserve"> NÃO ESTÉRIL</t>
    </r>
  </si>
  <si>
    <t>9 pacotes</t>
  </si>
  <si>
    <t>Compressa de gaze  13 fios  - Pacote de gaze com 500 unid. NÃO ESTÉRIL</t>
  </si>
  <si>
    <t>LINHA DISNEY</t>
  </si>
  <si>
    <t xml:space="preserve"> ADESIVO FEBRE G OLAF</t>
  </si>
  <si>
    <t xml:space="preserve"> ADESIVO FEBRE P OLAF</t>
  </si>
  <si>
    <t>ALGODAO DISCO 40 UNIDADES MICKEY</t>
  </si>
  <si>
    <t>ALGODAO HIDROFILO 25G MICKEY</t>
  </si>
  <si>
    <t>ALGODAO HIDROFILO 25G POOH</t>
  </si>
  <si>
    <t>ALGODAO HIDROFILO 40G BOLINHA COLORIDO DIVERTIDAMENTE</t>
  </si>
  <si>
    <t>ALGODAO HIDROFILO 40G BOLINHA COLORIDO PRINCESAS</t>
  </si>
  <si>
    <t>ALGODAO HIDROFILO 40G BOLINHA COLORIDO MICKEY</t>
  </si>
  <si>
    <t>ALGODAO HIDROFILO 40G BOLINHA COLORIDO POOH</t>
  </si>
  <si>
    <t>ALGODAO HIDROFILO 40G BOLINHA MICKEY</t>
  </si>
  <si>
    <t>ALGODAO HIDROFILO 95G BOLINHA MICKEY</t>
  </si>
  <si>
    <t>ATADURA DE CREPE 06CM MICKEY</t>
  </si>
  <si>
    <t>ATADURA DE CREPE 08CM MICKEY</t>
  </si>
  <si>
    <t>ATADURA DE CREPE 10CM MICKEY</t>
  </si>
  <si>
    <t>ATADURA DE CREPE 12CM MICKEY</t>
  </si>
  <si>
    <t>ATADURA DE CREPE 15CM MICKEY</t>
  </si>
  <si>
    <t>ATADURA DE CREPE 20CM MICKEY</t>
  </si>
  <si>
    <t>COMP. NÃO ADERENTE ESTÉRIL 40X10 MICKEY</t>
  </si>
  <si>
    <t>COMP. NÃO ADERENTE ESTÉRIL 40X10 POOH</t>
  </si>
  <si>
    <t>COMP. NÃO ADERENTE PACOTE COM 100 UNIDADES POOH</t>
  </si>
  <si>
    <t>15 unid.</t>
  </si>
  <si>
    <t>COMPRESSA DE GAZE ESTERIL 300X10 11 FIOS MICKEY</t>
  </si>
  <si>
    <t>CURATIVO A PROVA D AGUA C/10 UNIDADES ARIEL</t>
  </si>
  <si>
    <t>CURATIVO A PROVA D AGUA C/10 UNIDADES NEMO</t>
  </si>
  <si>
    <t>CURATIVO C/ 10 UNIDADES MICKEY E AMIGOS</t>
  </si>
  <si>
    <t>CURATIVO C/ 10 UNIDADES MICKEY E MINNIE</t>
  </si>
  <si>
    <t>CURATIVO C/ 10 UNIDADES POOH SEM LATEX</t>
  </si>
  <si>
    <t>CURATIVO C/ 15 UNIDADES COLORIDO DIVERTIDAMENTE</t>
  </si>
  <si>
    <t>CURATIVO C/ 15 UNIDADES PERSONAGENS DIVERTIDAMENTE</t>
  </si>
  <si>
    <t>CURATIVO C/ 15 UNIDADES POOH</t>
  </si>
  <si>
    <t>CURATIVO C/ 15 UNIDADES PRINCESAS</t>
  </si>
  <si>
    <t xml:space="preserve">CURATIVO C/ 20 UNIDADES MICKEY E AMIGOS </t>
  </si>
  <si>
    <t>CURATIVO C/ 20 UNIDADES MICKEY E MINNIE</t>
  </si>
  <si>
    <t>CURATIVO HIDROCOLOIDE DIVERTIDAMENTE Leve 35 Pague 24</t>
  </si>
  <si>
    <t>Aguardar</t>
  </si>
  <si>
    <t>CURATIVO HIDROCOLOIDE PRINCESAS C/24   Leve 35 Pague 24</t>
  </si>
  <si>
    <t>CURATIVO PROTETOR PARA OS PES C/04 UNIDADES CINDERELA</t>
  </si>
  <si>
    <t>ESP. SEDA 25MM X 3 M ALEGRIA</t>
  </si>
  <si>
    <t>ESP. SEDA 25MM X 3 M PATO DONALD</t>
  </si>
  <si>
    <t>ESP. SEDA 25MM X 3 M PLUTO</t>
  </si>
  <si>
    <t>ESP. SEDA 50MM X 3 M MICKEY</t>
  </si>
  <si>
    <t>ESP. SEDA 50MM X 3 M MINNIE</t>
  </si>
  <si>
    <t>ESP. SEDA 50MM X 3 M PATETA</t>
  </si>
  <si>
    <t>ESP. SEDA 25MM X 4,5M BELA</t>
  </si>
  <si>
    <t>ESP. SEDA 25MM X 3 M MOANA</t>
  </si>
  <si>
    <t>ESP. SEDA 25MM X 3 M RAPUNZEL</t>
  </si>
  <si>
    <t>FITA MICROPOROSA 25MM X 4,5M BRANCA DE NEVE</t>
  </si>
  <si>
    <t>FITA MICROPOROSA 25MM X 4,5M MARGARIDA</t>
  </si>
  <si>
    <t>FITA MICROPOROSA 25MM X 4,5M PATO DONALD</t>
  </si>
  <si>
    <t>FITA MICROPOROSA 25MM X 4,5M POOH</t>
  </si>
  <si>
    <t>HASTES C/55 UNIDADES POOH BABY</t>
  </si>
  <si>
    <t>HASTES C/75 UNIDADES ALEGRIA</t>
  </si>
  <si>
    <t>HASTES C/75 UNIDADES DIVERTIDAMENTE</t>
  </si>
  <si>
    <t>HASTES C/75 UNIDADES MICKEY E AMIGOS</t>
  </si>
  <si>
    <t>HASTES C/75 UNIDADES MICKEY E MINNIE</t>
  </si>
  <si>
    <t>HASTES C/75 UNIDADES POOH</t>
  </si>
  <si>
    <t>HASTES C/75 UNIDADES PRINCESAS</t>
  </si>
  <si>
    <t>PROTETOR OCULAR COLORIDO DIVERTIDAMENTE COM 10 UN.</t>
  </si>
  <si>
    <t>PROTETOR OCULAR INFANTIL ELIO COM 10 UN.</t>
  </si>
  <si>
    <t>PROTETOR OCULAR INFANTIL MICKEY E AMIGOS COM 10 UN.</t>
  </si>
  <si>
    <t>PROTETOR OCULAR INFANTIL MICKEY E MINNIE COM 10 UN.</t>
  </si>
  <si>
    <t>PROTETOR OCULAR PERSONAGENS DIVERTIDAMENTE COM 10 UN.</t>
  </si>
  <si>
    <t>QUADRADINHO 40X10 MINNIE</t>
  </si>
  <si>
    <t>QUADRADINHO 40X10 POOH</t>
  </si>
  <si>
    <t>QUADRADINHO COM 50 UNIDADES PRINCESAS</t>
  </si>
  <si>
    <t>LINHA POCOYO</t>
  </si>
  <si>
    <t>ALGODAO HIDROFILO 40G BOLINHA COLORIDO POCOYO</t>
  </si>
  <si>
    <t>HASTES C/75 UNIDADES POCOYO</t>
  </si>
  <si>
    <t>TOALHA UMEDECIDA 90 UNIDADES POCOYO</t>
  </si>
  <si>
    <t>LINHA TURMA DA MONICA</t>
  </si>
  <si>
    <t>ALGODÃO QUADRADO 50UNID. TURMA DA MÔNICA BABY</t>
  </si>
  <si>
    <t>ALGODÃO QUADRADO 100UNID. TURMA DA MÔNICA BABY</t>
  </si>
  <si>
    <t>COMP. NÃO ADERENTE ESTÉRIL COM 25x2 UNIDADES TURMA DA MONICA BABY</t>
  </si>
  <si>
    <t>COMPRESSA NÃO ADERENTE 100 UNID. TURMA DA MÔNICA BABY</t>
  </si>
  <si>
    <t>35 unid.</t>
  </si>
  <si>
    <t>HASTES C/55 UNIDADES TURMA DA MONICA BABY</t>
  </si>
  <si>
    <t>SHAMPOO 200ML TURMA DA MONICA BABY</t>
  </si>
  <si>
    <t>CONDICIONADOR 200ML TURMA DA MONICA BABY</t>
  </si>
  <si>
    <t>SABONETE LIQUIDO 200ML TURMA DA MONICA BABY</t>
  </si>
  <si>
    <t>COLÔNIA 100ML MONICA TURMA DA MONICA BABY</t>
  </si>
  <si>
    <t>COLÔNIA 100ML CEBOLINHA TURMA DA MONICA BABY</t>
  </si>
  <si>
    <t>CREME DE ASSADURAS 45G TURMA DA MONICA BABY</t>
  </si>
  <si>
    <t>CREME HIDRATANTE 30G TURMA DA MONICA BABY</t>
  </si>
  <si>
    <t>TOALHA UMEDECIDA 40 UNIDADES TURMA DA MONICA BABY</t>
  </si>
  <si>
    <t>28 unid.</t>
  </si>
  <si>
    <t>TOALHA UMEDECIDA 90 UNIDADES TURMA DA MONICA BABY</t>
  </si>
  <si>
    <t>TOALHA UMEDECIDAS 99% ÁGUA 25 UNID TURMA DA MÔNICA BABY</t>
  </si>
  <si>
    <t>ADESIVO FEBRE P TURMA DA MONICA</t>
  </si>
  <si>
    <t>ADESIVO FEBRE G TURMA DA MONICA</t>
  </si>
  <si>
    <t>PICADA DE INSETO C/20 UNIDADES TURMA DA MONICA</t>
  </si>
  <si>
    <t>CURATIVO REDONDO C/20 UNIDADES TURMA DA MONICA</t>
  </si>
  <si>
    <t>CURATIVO C/ 10 UNIDADES TURMA DA MONICA</t>
  </si>
  <si>
    <t>CURATIVO VARIADOS C/ 10 UNIDADES TURMA DA MONICA</t>
  </si>
  <si>
    <t>ALGODÃO DISCO 100UNID. TURMA DA MÔNICA</t>
  </si>
  <si>
    <t>ESP. ROSA 50MM X 3M TURMA DA MONICA</t>
  </si>
  <si>
    <t>ESP. SEDA BEGE 25MM X 3M TURMA DA MONICA</t>
  </si>
  <si>
    <t>ESP. AZUL 50MM X 3M TURMA DA MONICA</t>
  </si>
  <si>
    <t>ESP. SEDA BRANCO 25MM X 3M TURMA DA MONICA</t>
  </si>
  <si>
    <t>HASTES PARA MAQUIAGEM 75 UNID TURMA DA MONICA</t>
  </si>
  <si>
    <t>HASTES PARA MAQUIAGEM 90 UNID TURMA DA MONICA</t>
  </si>
  <si>
    <t>HASTES COLORIDAS C/ 75 UNID TURMA DA MONICA</t>
  </si>
  <si>
    <t>QUADRADINHO 40X10 TURMA DA MONICA</t>
  </si>
  <si>
    <t>ATADURA ELASTICA AUTO ADESIVA VERDE TURMA DA MONICA</t>
  </si>
  <si>
    <t>ATADURA ELASTICA AUTO ADESIVA VERMELHA TURMA DA MONICA</t>
  </si>
  <si>
    <t>PROTETOR OCULAR ESTÉRIL 12 UNIDADES TURMA DA MÔNICA</t>
  </si>
  <si>
    <t>TOALHAS UMEDECIDAS 99% AGUA CASCÃO TURMA DA MONICA</t>
  </si>
  <si>
    <t>TOALHAS UMEDECIDAS PARA AS MÃOS TURMA DA MONICA</t>
  </si>
  <si>
    <t>TOALHAS UMEDECIDAS DEMAQUILANTE C/20 UNIDADES TURMA DA MONICA</t>
  </si>
  <si>
    <t>TOALHA UMEDECIDA 40 UNIDADES TURMA DA MONICA</t>
  </si>
  <si>
    <t>LINHA BOB ESPONJA</t>
  </si>
  <si>
    <t xml:space="preserve"> ADESIVO FEBRE P BOB ESPONJA</t>
  </si>
  <si>
    <t>1323</t>
  </si>
  <si>
    <t>ADESIVO PICADA DE INSETO C/20 UNIDADES BOB ESPONJA</t>
  </si>
  <si>
    <t>1322</t>
  </si>
  <si>
    <t>ALGODAO BOLINHAS 40G BOB ESPONJA BABY</t>
  </si>
  <si>
    <t>1331</t>
  </si>
  <si>
    <t>55 unidades</t>
  </si>
  <si>
    <t>ALGODAO BOLINHAS 95G BOB ESPONJA</t>
  </si>
  <si>
    <t>1332</t>
  </si>
  <si>
    <t>ALGODAO HIDROFILO 50G BOB ESPONJA</t>
  </si>
  <si>
    <t>1317</t>
  </si>
  <si>
    <t>52 unidades</t>
  </si>
  <si>
    <t>ALGODAO QUADRADO 50 UNIDADES BOB ESPONJA</t>
  </si>
  <si>
    <t>1318</t>
  </si>
  <si>
    <t>ATADURA ELASTICA AUTO ADESIVA BOB ESPONJA</t>
  </si>
  <si>
    <t>1328</t>
  </si>
  <si>
    <t>BALM LABIAL 10G SABOR ABACAXI BOB ESPONJA</t>
  </si>
  <si>
    <t>1972</t>
  </si>
  <si>
    <t>BALM LABIAL 10G SABOR MELANCIA PATRICK ESTRELA</t>
  </si>
  <si>
    <t>1971</t>
  </si>
  <si>
    <t>COLÔNIA 100ML – BOB ESPONJA BABY</t>
  </si>
  <si>
    <t>1888</t>
  </si>
  <si>
    <t>12 unidades</t>
  </si>
  <si>
    <t>COMPRESSA NÃO ADERENTE ESTÉRIL C/40x10 UNIDADES - BOB ESPONJA</t>
  </si>
  <si>
    <t>1320</t>
  </si>
  <si>
    <t>COMPRESSA NÃO ADERENTE ESTÉRIL 25 ENV. C/02 UNIDADES - BOB ESPONJA</t>
  </si>
  <si>
    <t>1319</t>
  </si>
  <si>
    <t>COMPRESSA QUADRADINHO - BOB ESPONJA BABY</t>
  </si>
  <si>
    <t>1333</t>
  </si>
  <si>
    <t>CONDICIONADOR 200ML BOB ESPONJA BABY</t>
  </si>
  <si>
    <t>1891</t>
  </si>
  <si>
    <t>CREME DE ASSADURAS 45G BOB ESPONJA BABY</t>
  </si>
  <si>
    <t>1887</t>
  </si>
  <si>
    <t>CURATIVO ANATOMICO C/ 15 UNIDADES BOB ESPONJA</t>
  </si>
  <si>
    <t>1326</t>
  </si>
  <si>
    <t>40 unidades</t>
  </si>
  <si>
    <t>CURATIVO C/ 20 UNIDADES BOB ESPONJA</t>
  </si>
  <si>
    <t>1325</t>
  </si>
  <si>
    <t>CURATIVO PROTETOR C/ 15 UNIDADES VARIADOS BOB ESPONJA</t>
  </si>
  <si>
    <t>1327</t>
  </si>
  <si>
    <t>ESP. SEDA 25MM X 3,00M BOB ESPONJA</t>
  </si>
  <si>
    <t>1324</t>
  </si>
  <si>
    <t>ESP. SEDA 50MM X 3M PATRICK</t>
  </si>
  <si>
    <t>1945</t>
  </si>
  <si>
    <t>HASTES C/150 UNIDADES BOB ESPONJA</t>
  </si>
  <si>
    <t>1321</t>
  </si>
  <si>
    <t>HASTES C/55 UNIDADES BOB ESPONJA BABY</t>
  </si>
  <si>
    <t>1329</t>
  </si>
  <si>
    <t>24 unidades</t>
  </si>
  <si>
    <t>ÓLEO CORPORAL DE AMÊNDOA 100ML - BOB ESPONJA BABY</t>
  </si>
  <si>
    <t>1886</t>
  </si>
  <si>
    <t xml:space="preserve">PROTETOR LABIAL STICK FPS50 BOB ESPONJA </t>
  </si>
  <si>
    <t>1889</t>
  </si>
  <si>
    <t>SABONETE LIQUIDO 200ML – BOB ESPONJA BABY</t>
  </si>
  <si>
    <t>1893</t>
  </si>
  <si>
    <t>SHAMPOO 200ML – BOB ESPONJA BABY</t>
  </si>
  <si>
    <t>1890</t>
  </si>
  <si>
    <t>TALCO VEGETAL 100GR BOB ESPONJA BABY</t>
  </si>
  <si>
    <t>1892</t>
  </si>
  <si>
    <t>TOALHA UMEDECIDA 40 UNIDADES BOB ESPONJA</t>
  </si>
  <si>
    <t>1315</t>
  </si>
  <si>
    <t>28 unidades</t>
  </si>
  <si>
    <t>TOALHA UMEDECIDA 90 UNIDADES BOB ESPONJA BABY</t>
  </si>
  <si>
    <t>1316</t>
  </si>
  <si>
    <t>LINHA EMILY IN PARIS</t>
  </si>
  <si>
    <t>BALM LABIAL 10G SABOR BAUNILHA EMILY IN PARIS</t>
  </si>
  <si>
    <t>1967</t>
  </si>
  <si>
    <t>BALM LABIAL 10G SABOR CEREJA EMILY IN PARIS</t>
  </si>
  <si>
    <t>1968</t>
  </si>
  <si>
    <t>BALM LABIAL 10G SABOR MORANGO EMILY IN PARIS</t>
  </si>
  <si>
    <t>1969</t>
  </si>
  <si>
    <t>BALM LABIAL 10G SABOR TUTTI FRUTTI EMILY IN PARIS</t>
  </si>
  <si>
    <t>1966</t>
  </si>
  <si>
    <t xml:space="preserve">CURATIVO HIDROCOLOIDE FORMATO CORAÇÃO COM 30 UNIDADES EMILY </t>
  </si>
  <si>
    <t>1918</t>
  </si>
  <si>
    <t>32 unid.</t>
  </si>
  <si>
    <t xml:space="preserve">CURATIVO HIDROCOLOIDE TRANSPARENTE COM 35 UNIDADES EMILY  </t>
  </si>
  <si>
    <t>1895</t>
  </si>
  <si>
    <t>CURATIVO HIDROCOLOIDE PARA OS PES C/04 UNIDADES EMILY IN PARIS</t>
  </si>
  <si>
    <t>1977</t>
  </si>
  <si>
    <t xml:space="preserve">DISCO DE ALGODÃO 40 UNID. EMILY </t>
  </si>
  <si>
    <t>1944</t>
  </si>
  <si>
    <t>HASTE PARA MAQUIAGEM C/90 UNIDADES EMILY</t>
  </si>
  <si>
    <t>1941</t>
  </si>
  <si>
    <t>HIDRATANTE LABIAL 3,5G SABOR BAUNILHA EMILY IN PARIS</t>
  </si>
  <si>
    <t>1976</t>
  </si>
  <si>
    <t>HIDRATANTE LABIAL 3,5G SABOR CEREJA EMILY IN PARIS</t>
  </si>
  <si>
    <t>1975</t>
  </si>
  <si>
    <t>HIDRATANTE LABIAL 3,5G SABOR MELANCIA EMILY IN PARIS</t>
  </si>
  <si>
    <t>1974</t>
  </si>
  <si>
    <t>HIDRATANTE LABIAL 3,5G SABOR MORANGO EMILY IN PARIS</t>
  </si>
  <si>
    <t>1973</t>
  </si>
  <si>
    <t xml:space="preserve">TOALHAS PARA AS MÃOS C/20 UNIDADES EMILY </t>
  </si>
  <si>
    <t>1943</t>
  </si>
  <si>
    <t>TOALHAS UMEDECIDAS DEMAQUILANTE C/20 UNIDADES EMILY</t>
  </si>
  <si>
    <t>1942</t>
  </si>
  <si>
    <t>LINHA BRASIL</t>
  </si>
  <si>
    <t>CURATIVO CICATRISAN BRASIL C/07 UNID.</t>
  </si>
  <si>
    <t>CURATIVO CICATRISAN BRASIL C/21 UNID.</t>
  </si>
  <si>
    <t>BRASIL ATADURA DE CREPE 12CM C/ 2 UNIDADES</t>
  </si>
  <si>
    <t>LINHA TIMES</t>
  </si>
  <si>
    <t>ATLETICO MINEIRO ATADURA DE CREPE 12CM C/ 2 UNIDADES</t>
  </si>
  <si>
    <t>ATLETICO MINEIRO ATADURA ELASTICA AUTO ADESIVA</t>
  </si>
  <si>
    <t>ATLETICO MINEIRO DILATADOR NASAL TAM. G C/10 UNIDADES</t>
  </si>
  <si>
    <t>ATLETICO MINEIRO HASTES C/75 UNIDADES</t>
  </si>
  <si>
    <t>ATLETICO MINEIRO TOALHAS UMEDECIDAS C/ 90 UNIDADES</t>
  </si>
  <si>
    <t>BAHIA ATADURA DE CREPE 12CM C/ 2 UNIDADES</t>
  </si>
  <si>
    <t>1670</t>
  </si>
  <si>
    <t>BAHIA ATADURA ELASTICA AUTO ADESIVA</t>
  </si>
  <si>
    <t>1668</t>
  </si>
  <si>
    <t>BAHIA DILATADOR NASAL TAM. G C/10 UNIDADES</t>
  </si>
  <si>
    <t>1666</t>
  </si>
  <si>
    <t>BAHIA HASTES C/75 UNIDADES</t>
  </si>
  <si>
    <t>1662</t>
  </si>
  <si>
    <t>BAHIA TOALHAS UMEDECIDAS C/ 90 UNIDADES</t>
  </si>
  <si>
    <t>1664</t>
  </si>
  <si>
    <t>BOTAFOGO ATADURA DE CREPE 12CM C/ 2 UNIDADES</t>
  </si>
  <si>
    <t>1755</t>
  </si>
  <si>
    <t>BOTAFOGO ATADURA ELASTICA AUTO ADESIVA</t>
  </si>
  <si>
    <t>1737</t>
  </si>
  <si>
    <t>BOTAFOGO DILATADOR NASAL TAM. G C/10 UNIDADES</t>
  </si>
  <si>
    <t>1696</t>
  </si>
  <si>
    <t>BOTAFOGO HASTES C/75 UNIDADES</t>
  </si>
  <si>
    <t>1708</t>
  </si>
  <si>
    <t xml:space="preserve">7898108644133          </t>
  </si>
  <si>
    <t>BOTAFOGO TOALHAS UMEDECIDAS C/ 90 UNIDADES</t>
  </si>
  <si>
    <t>1675</t>
  </si>
  <si>
    <t>CEARA ATADURA DE CREPE 12CM C/ 2 UNIDADES</t>
  </si>
  <si>
    <t>1758</t>
  </si>
  <si>
    <t>CEARA ATADURA ELASTICA AUTO ADESIVA</t>
  </si>
  <si>
    <t>1740</t>
  </si>
  <si>
    <t>CEARA DILATADOR NASAL TAM. G C/10 UNIDADES</t>
  </si>
  <si>
    <t>1721</t>
  </si>
  <si>
    <t>CEARA HASTES C/75 UNIDADES</t>
  </si>
  <si>
    <t>1711</t>
  </si>
  <si>
    <t>CEARA TOALHAS UMEDECIDAS C/ 90 UNIDADES</t>
  </si>
  <si>
    <t>1674</t>
  </si>
  <si>
    <t>CORINTHIANS ATADURA DE CREPE 12CM C/ 2 UNIDADES</t>
  </si>
  <si>
    <t>1750</t>
  </si>
  <si>
    <t>CORINTHIANS ATADURA ELASTICA AUTO ADESIVA</t>
  </si>
  <si>
    <t>1732</t>
  </si>
  <si>
    <t>CORINTHIANS DILATADOR NASAL TAM. G C/10 UNIDADES</t>
  </si>
  <si>
    <t>1691</t>
  </si>
  <si>
    <t>CORINTHIANS HASTES C/75 UNIDADES</t>
  </si>
  <si>
    <t>1703</t>
  </si>
  <si>
    <t>CORINTHIANS TOALHAS UMEDECIDAS C/ 90 UNIDADES</t>
  </si>
  <si>
    <t>1687</t>
  </si>
  <si>
    <t>CRUZEIRO ATADURA DE CREPE 12CM C/ 2 UNIDADES</t>
  </si>
  <si>
    <t>1765</t>
  </si>
  <si>
    <t>CRUZEIRO ATADURA ELASTICA AUTO ADESIVA</t>
  </si>
  <si>
    <t>1747</t>
  </si>
  <si>
    <t>CRUZEIRO DILATADOR NASAL TAM. G C/10 UNIDADES</t>
  </si>
  <si>
    <t>1729</t>
  </si>
  <si>
    <t>CRUZEIRO HASTES C/75 UNIDADES</t>
  </si>
  <si>
    <t>1718</t>
  </si>
  <si>
    <t>7898108643549</t>
  </si>
  <si>
    <t>CRUZEIRO TOALHAS UMEDECIDAS C/ 90 UNIDADES</t>
  </si>
  <si>
    <t>1676</t>
  </si>
  <si>
    <t>FLAMENGO ATADURA DE CREPE 12CM C/ 2 UNIDADES</t>
  </si>
  <si>
    <t>1754</t>
  </si>
  <si>
    <t>FLAMENGO ATADURA ELASTICA AUTO ADESIVA</t>
  </si>
  <si>
    <t>1736</t>
  </si>
  <si>
    <t>FLAMENGO DILATADOR NASAL TAM. G C/10 UNIDADES</t>
  </si>
  <si>
    <t>1695</t>
  </si>
  <si>
    <t>FLAMENGO HASTES C/75 UNIDADES</t>
  </si>
  <si>
    <t>1707</t>
  </si>
  <si>
    <t>FLAMENGO TOALHAS UMEDECIDAS C/ 90 UNIDADES</t>
  </si>
  <si>
    <t>1688</t>
  </si>
  <si>
    <t>FLUMINENSE ATADURA DE CREPE 12CM C/ 2 UNIDADES</t>
  </si>
  <si>
    <t>1753</t>
  </si>
  <si>
    <t>FLUMINENSE ATADURA ELASTICA AUTO ADESIVA</t>
  </si>
  <si>
    <t>1735</t>
  </si>
  <si>
    <t>FLUMINENSE DILATADOR NASAL TAM. G C/10 UNIDADES</t>
  </si>
  <si>
    <t>1694</t>
  </si>
  <si>
    <t>FLUMINENSE HASTES C/75 UNIDADES</t>
  </si>
  <si>
    <t>1706</t>
  </si>
  <si>
    <t>FLUMINENSE TOALHAS UMEDECIDAS C/ 90 UNIDADES</t>
  </si>
  <si>
    <t>1677</t>
  </si>
  <si>
    <t>FORTALEZA ATADURA DE CREPE 12CM C/ 2 UNIDADES</t>
  </si>
  <si>
    <t>1757</t>
  </si>
  <si>
    <t>FORTALEZA ATADURA ELASTICA AUTO ADESIVA</t>
  </si>
  <si>
    <t>1739</t>
  </si>
  <si>
    <t>FORTALEZA DILATADOR NASAL TAM. G C/10 UNIDADES</t>
  </si>
  <si>
    <t>1720</t>
  </si>
  <si>
    <t>FORTALEZA HASTES C/75 UNIDADES</t>
  </si>
  <si>
    <t>1710</t>
  </si>
  <si>
    <t>7898108643754</t>
  </si>
  <si>
    <t>FORTALEZA TOALHAS UMEDECIDAS C/ 90 UNIDADES</t>
  </si>
  <si>
    <t>1678</t>
  </si>
  <si>
    <t>GREMIO ATADURA DE CREPE 12CM C/ 2 UNIDADES</t>
  </si>
  <si>
    <t>1763</t>
  </si>
  <si>
    <t>GREMIO ATADURA ELASTICA AUTO ADESIVA</t>
  </si>
  <si>
    <t>1745</t>
  </si>
  <si>
    <t>GREMIO DILATADOR NASAL TAM. G C/10 UNIDADES</t>
  </si>
  <si>
    <t>1727</t>
  </si>
  <si>
    <t>GREMIO HASTES C/75 UNIDADES</t>
  </si>
  <si>
    <t>1716</t>
  </si>
  <si>
    <t>7898108643556</t>
  </si>
  <si>
    <t>GREMIO TOALHAS UMEDECIDAS C/ 90 UNIDADES</t>
  </si>
  <si>
    <t>1672</t>
  </si>
  <si>
    <t>INTERNACIONAL ATADURA DE CREPE 12CM C/ 2 UNIDADES</t>
  </si>
  <si>
    <t>1762</t>
  </si>
  <si>
    <t>INTERNACIONAL ATADURA ELASTICA AUTO ADESIVA</t>
  </si>
  <si>
    <t>1744</t>
  </si>
  <si>
    <t>INTERNACIONAL DILATADOR NASAL TAM. G C/10 UNIDADES</t>
  </si>
  <si>
    <t>1726</t>
  </si>
  <si>
    <t>INTERNACIONAL HASTES C/75 UNIDADES</t>
  </si>
  <si>
    <t>1715</t>
  </si>
  <si>
    <t>7898108643563</t>
  </si>
  <si>
    <t>INTERNACIONAL TOALHAS UMEDECIDAS C/ 90 UNIDADES</t>
  </si>
  <si>
    <t>1673</t>
  </si>
  <si>
    <t>NAUTICO ATADURA DE CREPE 12CM C/ 2 UNIDADES</t>
  </si>
  <si>
    <t>1761</t>
  </si>
  <si>
    <t>NAUTICO ATADURA ELASTICA AUTO ADESIVA</t>
  </si>
  <si>
    <t>1743</t>
  </si>
  <si>
    <t>NAUTICO DILATADOR NASAL TAM. G C/10 UNIDADES</t>
  </si>
  <si>
    <t>1725</t>
  </si>
  <si>
    <t>NAUTICO HASTES C/75 UNIDADES</t>
  </si>
  <si>
    <t>1714</t>
  </si>
  <si>
    <t>7898108643778</t>
  </si>
  <si>
    <t>NAUTICO TOALHAS UMEDECIDAS C/ 90 UNIDADES</t>
  </si>
  <si>
    <t>1679</t>
  </si>
  <si>
    <t>PALMEIRAS ATADURA DE CREPE 12CM C/ 2 UNIDADES</t>
  </si>
  <si>
    <t>1749</t>
  </si>
  <si>
    <t>PALMEIRAS ATADURA ELASTICA AUTO ADESIVA</t>
  </si>
  <si>
    <t>1731</t>
  </si>
  <si>
    <t>PALMEIRAS DILATADOR NASAL TAM. G C/10 UNIDADES</t>
  </si>
  <si>
    <t>1690</t>
  </si>
  <si>
    <t>PALMEIRAS HASTES C/75 UNIDADES</t>
  </si>
  <si>
    <t>1702</t>
  </si>
  <si>
    <t>PALMEIRAS TOALHAS UMEDECIDAS C/ 90 UNIDADES</t>
  </si>
  <si>
    <t>1680</t>
  </si>
  <si>
    <t>PAYSANDU ATADURA DE CREPE 12CM C/ 2 UNIDADES</t>
  </si>
  <si>
    <t>1764</t>
  </si>
  <si>
    <t>PAYSANDU ATADURA ELASTICA AUTO ADESIVA</t>
  </si>
  <si>
    <t>1746</t>
  </si>
  <si>
    <t>PAYSANDU DILATADOR NASAL TAM. G C/10 UNIDADES</t>
  </si>
  <si>
    <t>1728</t>
  </si>
  <si>
    <t>PAYSANDU HASTES C/75 UNIDADES</t>
  </si>
  <si>
    <t>1717</t>
  </si>
  <si>
    <t>7898108643785</t>
  </si>
  <si>
    <t>PAYSANDU TOALHAS UMEDECIDAS C/ 90 UNIDADES</t>
  </si>
  <si>
    <t>1689</t>
  </si>
  <si>
    <t>REMO ATADURA DE CREPE 12CM C/ 2 UNIDADES</t>
  </si>
  <si>
    <t>1766</t>
  </si>
  <si>
    <t>REMO ATADURA ELASTICA AUTO ADESIVA</t>
  </si>
  <si>
    <t>1748</t>
  </si>
  <si>
    <t>REMO DILATADOR NASAL TAM. G C/10 UNIDADES</t>
  </si>
  <si>
    <t>1730</t>
  </si>
  <si>
    <t>REMO HASTES C/75 UNIDADES</t>
  </si>
  <si>
    <t>1719</t>
  </si>
  <si>
    <t>7898108643570</t>
  </si>
  <si>
    <t>REMO TOALHAS UMEDECIDAS C/ 90 UNIDADES</t>
  </si>
  <si>
    <t>1681</t>
  </si>
  <si>
    <t>SANTA CRUZ ATADURA DE CREPE 12CM C/ 2 UNIDADES</t>
  </si>
  <si>
    <t>1759</t>
  </si>
  <si>
    <t>SANTA CRUZ ATADURA ELASTICA AUTO ADESIVA</t>
  </si>
  <si>
    <t>1741</t>
  </si>
  <si>
    <t>SANTA CRUZ DILATADOR NASAL TAM. G C/10 UNIDADES</t>
  </si>
  <si>
    <t>1722</t>
  </si>
  <si>
    <t>SANTA CRUZ HASTES C/75 UNIDADES</t>
  </si>
  <si>
    <t>1712</t>
  </si>
  <si>
    <t>7898108643792</t>
  </si>
  <si>
    <t>SANTA CRUZ TOALHAS UMEDECIDAS C/ 90 UNIDADES</t>
  </si>
  <si>
    <t>1682</t>
  </si>
  <si>
    <t>SANTOS ATADURA DE CREPE 12CM C/ 2 UNIDADES</t>
  </si>
  <si>
    <t>1751</t>
  </si>
  <si>
    <t>SANTOS ATADURA ELASTICA AUTO ADESIVA</t>
  </si>
  <si>
    <t>1733</t>
  </si>
  <si>
    <t>SANTOS DILATADOR NASAL TAM. G C/10 UNIDADES</t>
  </si>
  <si>
    <t>1692</t>
  </si>
  <si>
    <t>SANTOS HASTES C/75 UNIDADES</t>
  </si>
  <si>
    <t>1704</t>
  </si>
  <si>
    <t>SANTOS TOALHAS UMEDECIDAS C/ 90 UNIDADES</t>
  </si>
  <si>
    <t>1683</t>
  </si>
  <si>
    <t>SÃO PAULO ATADURA DE CREPE 12CM C/ 2 UNIDADES</t>
  </si>
  <si>
    <t>1752</t>
  </si>
  <si>
    <t>SÃO PAULO ATADURA ELASTICA AUTO ADESIVA</t>
  </si>
  <si>
    <t>1734</t>
  </si>
  <si>
    <t>12 ades.</t>
  </si>
  <si>
    <t>SAO PAULO DILATADOR NASAL TAM. G C/10 UNIDADES</t>
  </si>
  <si>
    <t>1693</t>
  </si>
  <si>
    <t>SAO PAULO HASTES C/75 UNIDADES</t>
  </si>
  <si>
    <t>1705</t>
  </si>
  <si>
    <t>SAO PAULO TOALHAS UMEDECIDAS C/ 90 UNIDADES</t>
  </si>
  <si>
    <t>1684</t>
  </si>
  <si>
    <t>SPORT ATADURA DE CREPE 12CM C/ 2 UNIDADES</t>
  </si>
  <si>
    <t>1760</t>
  </si>
  <si>
    <t>SPORT ATADURA ELASTICA AUTO ADESIVA</t>
  </si>
  <si>
    <t>1742</t>
  </si>
  <si>
    <t>SPORT DILATADOR NASAL TAM. G C/10 UNIDADES</t>
  </si>
  <si>
    <t>1724</t>
  </si>
  <si>
    <t>SPORT HASTES C/75 UNIDADES</t>
  </si>
  <si>
    <t>1713</t>
  </si>
  <si>
    <t>7898108643761</t>
  </si>
  <si>
    <t>SPORT TOALHAS UMEDECIDAS C/ 90 UNIDADES</t>
  </si>
  <si>
    <t>1685</t>
  </si>
  <si>
    <t>VASCO DA GAMA ATADURA DE CREPE 12CM C/ 2 UNIDADES</t>
  </si>
  <si>
    <t>1756</t>
  </si>
  <si>
    <t>VASCO DA GAMA ATADURA ELASTICA AUTO ADESIVA</t>
  </si>
  <si>
    <t>1738</t>
  </si>
  <si>
    <t>VASCO DA GAMA DILATADOR NASAL TAM. G C/10 UNIDADES</t>
  </si>
  <si>
    <t>1697</t>
  </si>
  <si>
    <t>VASCO DA GAMA TOALHAS UMEDECIDAS C/ 90 UNIDADES</t>
  </si>
  <si>
    <t>1686</t>
  </si>
  <si>
    <t>VASCO HASTES C/75 UNIDADES</t>
  </si>
  <si>
    <t>1709</t>
  </si>
  <si>
    <t>VITORIA ATADURA DE CREPE 12CM C/ 2 UNIDADES</t>
  </si>
  <si>
    <t>1671</t>
  </si>
  <si>
    <t>VITORIA ATADURA ELASTICA AUTO ADESIVA</t>
  </si>
  <si>
    <t>1669</t>
  </si>
  <si>
    <t>VITORIA DILATADOR NASAL TAM. G C/10 UNIDADES</t>
  </si>
  <si>
    <t>1667</t>
  </si>
  <si>
    <t>VITORIA HASTES C/75 UNIDADES</t>
  </si>
  <si>
    <t>1663</t>
  </si>
  <si>
    <t>VITORIA TOALHAS UMEDECIDAS C/ 90 UNIDADES</t>
  </si>
  <si>
    <t>1665</t>
  </si>
  <si>
    <t>TOTAL</t>
  </si>
  <si>
    <t>Valor unitário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</si>
</sst>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0.0%"/>
  </numFmts>
  <fonts count="23" x14ac:knownFonts="1">
    <font>
      <sz val="11"/>
      <color theme="1"/>
      <name val="Aptos Narrow"/>
      <family val="2"/>
      <scheme val="minor"/>
    </font>
    <font>
      <sz val="12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b/>
      <sz val="18"/>
      <color indexed="8"/>
      <name val="Calibri"/>
      <family val="2"/>
    </font>
    <font>
      <b/>
      <i/>
      <sz val="24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36"/>
      <name val="Calibri"/>
      <family val="2"/>
    </font>
    <font>
      <b/>
      <sz val="18"/>
      <color theme="1"/>
      <name val="Calibri"/>
      <family val="2"/>
    </font>
    <font>
      <b/>
      <sz val="12"/>
      <color indexed="8"/>
      <name val="Times New Roman"/>
      <family val="1"/>
    </font>
    <font>
      <b/>
      <sz val="18"/>
      <color rgb="FF000000"/>
      <name val="Calibri"/>
      <family val="2"/>
    </font>
    <font>
      <b/>
      <sz val="18"/>
      <name val="Calibri"/>
      <family val="2"/>
    </font>
    <font>
      <sz val="10"/>
      <name val="Arial"/>
      <family val="2"/>
    </font>
    <font>
      <b/>
      <sz val="18"/>
      <color rgb="FFFF0000"/>
      <name val="Calibri"/>
      <family val="2"/>
    </font>
    <font>
      <b/>
      <sz val="12"/>
      <color rgb="FFFF0000"/>
      <name val="Times New Roman"/>
      <family val="1"/>
    </font>
    <font>
      <b/>
      <sz val="14"/>
      <name val="Calibri"/>
      <family val="2"/>
    </font>
    <font>
      <b/>
      <sz val="18"/>
      <color theme="1"/>
      <name val="Aptos Narrow"/>
      <family val="2"/>
      <scheme val="minor"/>
    </font>
    <font>
      <b/>
      <sz val="14"/>
      <color indexed="8"/>
      <name val="Calibri"/>
      <family val="2"/>
    </font>
    <font>
      <b/>
      <sz val="14"/>
      <color rgb="FFFF0000"/>
      <name val="Calibri"/>
      <family val="2"/>
    </font>
    <font>
      <sz val="16"/>
      <color indexed="8"/>
      <name val="Calibri"/>
      <family val="2"/>
    </font>
    <font>
      <b/>
      <sz val="16"/>
      <color indexed="8"/>
      <name val="Times New Roman"/>
      <family val="1"/>
    </font>
    <font>
      <b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3" fillId="0" borderId="0"/>
    <xf numFmtId="164" fontId="2" fillId="0" borderId="0" applyFont="0" applyFill="0" applyBorder="0" applyAlignment="0" applyProtection="0"/>
  </cellStyleXfs>
  <cellXfs count="191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164" fontId="1" fillId="2" borderId="0" xfId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/>
    <xf numFmtId="164" fontId="4" fillId="2" borderId="0" xfId="1" applyFont="1" applyFill="1" applyBorder="1" applyAlignment="1"/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164" fontId="5" fillId="3" borderId="0" xfId="1" applyFont="1" applyFill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164" fontId="5" fillId="3" borderId="7" xfId="1" applyFont="1" applyFill="1" applyBorder="1" applyAlignment="1">
      <alignment horizontal="center" vertical="center"/>
    </xf>
    <xf numFmtId="0" fontId="5" fillId="3" borderId="9" xfId="0" applyFont="1" applyFill="1" applyBorder="1" applyAlignment="1">
      <alignment vertical="center"/>
    </xf>
    <xf numFmtId="0" fontId="6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 wrapText="1"/>
    </xf>
    <xf numFmtId="164" fontId="7" fillId="3" borderId="12" xfId="1" applyFont="1" applyFill="1" applyBorder="1" applyAlignment="1" applyProtection="1">
      <alignment horizontal="center" vertical="center" wrapText="1"/>
    </xf>
    <xf numFmtId="1" fontId="7" fillId="3" borderId="11" xfId="1" applyNumberFormat="1" applyFont="1" applyFill="1" applyBorder="1" applyAlignment="1" applyProtection="1">
      <alignment vertical="center" wrapText="1"/>
    </xf>
    <xf numFmtId="164" fontId="7" fillId="3" borderId="11" xfId="1" applyFont="1" applyFill="1" applyBorder="1" applyAlignment="1" applyProtection="1">
      <alignment horizontal="center" vertical="center" wrapText="1"/>
    </xf>
    <xf numFmtId="164" fontId="7" fillId="3" borderId="10" xfId="1" applyFont="1" applyFill="1" applyBorder="1" applyAlignment="1" applyProtection="1">
      <alignment horizontal="center" vertical="center" wrapText="1"/>
    </xf>
    <xf numFmtId="164" fontId="7" fillId="3" borderId="13" xfId="1" applyFont="1" applyFill="1" applyBorder="1" applyAlignment="1" applyProtection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vertical="center" wrapText="1"/>
    </xf>
    <xf numFmtId="0" fontId="8" fillId="3" borderId="14" xfId="0" applyFont="1" applyFill="1" applyBorder="1" applyAlignment="1">
      <alignment vertical="center" wrapText="1"/>
    </xf>
    <xf numFmtId="164" fontId="8" fillId="3" borderId="14" xfId="1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center"/>
    </xf>
    <xf numFmtId="1" fontId="9" fillId="4" borderId="10" xfId="0" applyNumberFormat="1" applyFont="1" applyFill="1" applyBorder="1" applyAlignment="1">
      <alignment horizontal="center"/>
    </xf>
    <xf numFmtId="164" fontId="4" fillId="2" borderId="12" xfId="1" applyFont="1" applyFill="1" applyBorder="1" applyAlignment="1" applyProtection="1">
      <alignment horizontal="center"/>
    </xf>
    <xf numFmtId="9" fontId="4" fillId="5" borderId="11" xfId="2" applyFont="1" applyFill="1" applyBorder="1" applyAlignment="1" applyProtection="1">
      <alignment horizontal="center"/>
    </xf>
    <xf numFmtId="164" fontId="4" fillId="5" borderId="11" xfId="1" applyFont="1" applyFill="1" applyBorder="1" applyAlignment="1" applyProtection="1">
      <alignment horizontal="center"/>
    </xf>
    <xf numFmtId="43" fontId="4" fillId="5" borderId="11" xfId="2" applyNumberFormat="1" applyFont="1" applyFill="1" applyBorder="1" applyAlignment="1" applyProtection="1">
      <alignment horizontal="center"/>
    </xf>
    <xf numFmtId="9" fontId="4" fillId="5" borderId="11" xfId="2" applyFont="1" applyFill="1" applyBorder="1" applyAlignment="1" applyProtection="1">
      <alignment horizontal="center"/>
      <protection locked="0"/>
    </xf>
    <xf numFmtId="164" fontId="4" fillId="2" borderId="11" xfId="1" applyFont="1" applyFill="1" applyBorder="1" applyAlignment="1" applyProtection="1">
      <alignment horizontal="center"/>
    </xf>
    <xf numFmtId="1" fontId="10" fillId="2" borderId="10" xfId="2" applyNumberFormat="1" applyFont="1" applyFill="1" applyBorder="1" applyAlignment="1" applyProtection="1">
      <alignment horizontal="center"/>
    </xf>
    <xf numFmtId="43" fontId="10" fillId="2" borderId="13" xfId="0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1" fontId="11" fillId="4" borderId="11" xfId="0" applyNumberFormat="1" applyFont="1" applyFill="1" applyBorder="1" applyAlignment="1">
      <alignment horizontal="center" vertical="center"/>
    </xf>
    <xf numFmtId="1" fontId="9" fillId="4" borderId="15" xfId="3" applyNumberFormat="1" applyFont="1" applyFill="1" applyBorder="1" applyAlignment="1">
      <alignment horizontal="center" vertical="center"/>
    </xf>
    <xf numFmtId="9" fontId="4" fillId="5" borderId="11" xfId="4" applyFont="1" applyFill="1" applyBorder="1" applyAlignment="1" applyProtection="1">
      <alignment horizontal="center"/>
    </xf>
    <xf numFmtId="43" fontId="4" fillId="5" borderId="11" xfId="4" applyNumberFormat="1" applyFont="1" applyFill="1" applyBorder="1" applyAlignment="1" applyProtection="1">
      <alignment horizontal="center"/>
    </xf>
    <xf numFmtId="1" fontId="10" fillId="2" borderId="14" xfId="4" applyNumberFormat="1" applyFont="1" applyFill="1" applyBorder="1" applyAlignment="1" applyProtection="1">
      <alignment horizontal="center"/>
    </xf>
    <xf numFmtId="1" fontId="11" fillId="4" borderId="15" xfId="0" applyNumberFormat="1" applyFont="1" applyFill="1" applyBorder="1" applyAlignment="1">
      <alignment horizontal="center" vertical="center"/>
    </xf>
    <xf numFmtId="1" fontId="9" fillId="4" borderId="11" xfId="3" applyNumberFormat="1" applyFont="1" applyFill="1" applyBorder="1" applyAlignment="1">
      <alignment horizontal="center" vertical="center"/>
    </xf>
    <xf numFmtId="1" fontId="12" fillId="3" borderId="11" xfId="0" applyNumberFormat="1" applyFont="1" applyFill="1" applyBorder="1" applyAlignment="1">
      <alignment vertical="center" wrapText="1"/>
    </xf>
    <xf numFmtId="1" fontId="9" fillId="4" borderId="16" xfId="3" applyNumberFormat="1" applyFont="1" applyFill="1" applyBorder="1" applyAlignment="1">
      <alignment horizontal="center" vertical="center"/>
    </xf>
    <xf numFmtId="1" fontId="9" fillId="4" borderId="11" xfId="5" applyNumberFormat="1" applyFont="1" applyFill="1" applyBorder="1" applyAlignment="1">
      <alignment horizontal="center"/>
    </xf>
    <xf numFmtId="164" fontId="4" fillId="2" borderId="14" xfId="1" applyFont="1" applyFill="1" applyBorder="1" applyAlignment="1" applyProtection="1">
      <alignment horizontal="center"/>
    </xf>
    <xf numFmtId="1" fontId="10" fillId="2" borderId="14" xfId="2" applyNumberFormat="1" applyFont="1" applyFill="1" applyBorder="1" applyAlignment="1" applyProtection="1">
      <alignment horizontal="center"/>
    </xf>
    <xf numFmtId="0" fontId="15" fillId="2" borderId="0" xfId="0" applyFont="1" applyFill="1" applyAlignment="1">
      <alignment horizontal="center"/>
    </xf>
    <xf numFmtId="0" fontId="14" fillId="2" borderId="10" xfId="0" applyFont="1" applyFill="1" applyBorder="1" applyAlignment="1">
      <alignment horizontal="left"/>
    </xf>
    <xf numFmtId="0" fontId="14" fillId="2" borderId="11" xfId="0" applyFont="1" applyFill="1" applyBorder="1" applyAlignment="1">
      <alignment horizontal="center"/>
    </xf>
    <xf numFmtId="9" fontId="14" fillId="5" borderId="11" xfId="2" applyFont="1" applyFill="1" applyBorder="1" applyAlignment="1" applyProtection="1">
      <alignment horizontal="center"/>
      <protection locked="0"/>
    </xf>
    <xf numFmtId="164" fontId="14" fillId="2" borderId="11" xfId="1" applyFont="1" applyFill="1" applyBorder="1" applyAlignment="1" applyProtection="1">
      <alignment horizontal="center"/>
    </xf>
    <xf numFmtId="43" fontId="15" fillId="2" borderId="13" xfId="0" applyNumberFormat="1" applyFont="1" applyFill="1" applyBorder="1" applyAlignment="1">
      <alignment horizontal="center"/>
    </xf>
    <xf numFmtId="0" fontId="16" fillId="6" borderId="10" xfId="0" applyFont="1" applyFill="1" applyBorder="1" applyAlignment="1">
      <alignment horizontal="center"/>
    </xf>
    <xf numFmtId="0" fontId="16" fillId="6" borderId="11" xfId="0" applyFont="1" applyFill="1" applyBorder="1" applyAlignment="1">
      <alignment horizontal="center"/>
    </xf>
    <xf numFmtId="0" fontId="16" fillId="6" borderId="11" xfId="0" applyFont="1" applyFill="1" applyBorder="1"/>
    <xf numFmtId="0" fontId="16" fillId="6" borderId="14" xfId="0" applyFont="1" applyFill="1" applyBorder="1"/>
    <xf numFmtId="164" fontId="16" fillId="6" borderId="14" xfId="1" applyFont="1" applyFill="1" applyBorder="1" applyAlignment="1">
      <alignment horizontal="center"/>
    </xf>
    <xf numFmtId="0" fontId="16" fillId="6" borderId="13" xfId="0" applyFont="1" applyFill="1" applyBorder="1"/>
    <xf numFmtId="1" fontId="4" fillId="2" borderId="11" xfId="0" applyNumberFormat="1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 wrapText="1"/>
    </xf>
    <xf numFmtId="1" fontId="4" fillId="4" borderId="11" xfId="0" applyNumberFormat="1" applyFont="1" applyFill="1" applyBorder="1" applyAlignment="1">
      <alignment horizontal="center"/>
    </xf>
    <xf numFmtId="1" fontId="12" fillId="6" borderId="11" xfId="0" applyNumberFormat="1" applyFont="1" applyFill="1" applyBorder="1"/>
    <xf numFmtId="0" fontId="4" fillId="0" borderId="10" xfId="0" applyFont="1" applyBorder="1" applyAlignment="1">
      <alignment horizontal="left"/>
    </xf>
    <xf numFmtId="1" fontId="17" fillId="4" borderId="6" xfId="0" applyNumberFormat="1" applyFont="1" applyFill="1" applyBorder="1" applyAlignment="1">
      <alignment horizontal="center"/>
    </xf>
    <xf numFmtId="0" fontId="9" fillId="0" borderId="10" xfId="0" applyFont="1" applyBorder="1" applyAlignment="1">
      <alignment horizontal="left"/>
    </xf>
    <xf numFmtId="1" fontId="17" fillId="4" borderId="10" xfId="0" applyNumberFormat="1" applyFont="1" applyFill="1" applyBorder="1" applyAlignment="1">
      <alignment horizontal="center"/>
    </xf>
    <xf numFmtId="1" fontId="10" fillId="2" borderId="10" xfId="4" applyNumberFormat="1" applyFont="1" applyFill="1" applyBorder="1" applyAlignment="1" applyProtection="1">
      <alignment horizontal="center"/>
    </xf>
    <xf numFmtId="0" fontId="7" fillId="2" borderId="10" xfId="0" applyFont="1" applyFill="1" applyBorder="1" applyAlignment="1">
      <alignment horizontal="left"/>
    </xf>
    <xf numFmtId="2" fontId="8" fillId="3" borderId="11" xfId="0" applyNumberFormat="1" applyFont="1" applyFill="1" applyBorder="1" applyAlignment="1">
      <alignment horizontal="center" vertical="center" wrapText="1"/>
    </xf>
    <xf numFmtId="2" fontId="8" fillId="3" borderId="11" xfId="0" applyNumberFormat="1" applyFont="1" applyFill="1" applyBorder="1" applyAlignment="1">
      <alignment vertical="center" wrapText="1"/>
    </xf>
    <xf numFmtId="2" fontId="8" fillId="3" borderId="14" xfId="0" applyNumberFormat="1" applyFont="1" applyFill="1" applyBorder="1" applyAlignment="1">
      <alignment vertical="center" wrapText="1"/>
    </xf>
    <xf numFmtId="2" fontId="8" fillId="3" borderId="13" xfId="0" applyNumberFormat="1" applyFont="1" applyFill="1" applyBorder="1" applyAlignment="1">
      <alignment vertical="center" wrapText="1"/>
    </xf>
    <xf numFmtId="1" fontId="9" fillId="4" borderId="11" xfId="0" applyNumberFormat="1" applyFont="1" applyFill="1" applyBorder="1" applyAlignment="1">
      <alignment horizontal="center"/>
    </xf>
    <xf numFmtId="1" fontId="9" fillId="4" borderId="0" xfId="0" applyNumberFormat="1" applyFont="1" applyFill="1" applyAlignment="1">
      <alignment horizontal="center"/>
    </xf>
    <xf numFmtId="0" fontId="7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center" vertical="center"/>
    </xf>
    <xf numFmtId="1" fontId="4" fillId="2" borderId="11" xfId="0" applyNumberFormat="1" applyFont="1" applyFill="1" applyBorder="1" applyAlignment="1">
      <alignment horizontal="center" vertical="center"/>
    </xf>
    <xf numFmtId="164" fontId="4" fillId="2" borderId="12" xfId="1" applyFont="1" applyFill="1" applyBorder="1" applyAlignment="1" applyProtection="1">
      <alignment horizontal="center" vertical="center"/>
    </xf>
    <xf numFmtId="9" fontId="4" fillId="5" borderId="11" xfId="2" applyFont="1" applyFill="1" applyBorder="1" applyAlignment="1" applyProtection="1">
      <alignment horizontal="center" vertical="center"/>
    </xf>
    <xf numFmtId="164" fontId="4" fillId="5" borderId="11" xfId="1" applyFont="1" applyFill="1" applyBorder="1" applyAlignment="1" applyProtection="1">
      <alignment horizontal="center" vertical="center"/>
    </xf>
    <xf numFmtId="43" fontId="4" fillId="5" borderId="11" xfId="2" applyNumberFormat="1" applyFont="1" applyFill="1" applyBorder="1" applyAlignment="1" applyProtection="1">
      <alignment horizontal="center" vertical="center"/>
    </xf>
    <xf numFmtId="164" fontId="4" fillId="2" borderId="11" xfId="1" applyFont="1" applyFill="1" applyBorder="1" applyAlignment="1" applyProtection="1">
      <alignment horizontal="center" vertical="center"/>
    </xf>
    <xf numFmtId="1" fontId="10" fillId="2" borderId="10" xfId="2" applyNumberFormat="1" applyFont="1" applyFill="1" applyBorder="1" applyAlignment="1" applyProtection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0" fontId="4" fillId="2" borderId="11" xfId="0" applyFont="1" applyFill="1" applyBorder="1" applyAlignment="1">
      <alignment horizontal="center" vertical="center" wrapText="1"/>
    </xf>
    <xf numFmtId="1" fontId="9" fillId="4" borderId="6" xfId="0" applyNumberFormat="1" applyFont="1" applyFill="1" applyBorder="1" applyAlignment="1">
      <alignment horizontal="center"/>
    </xf>
    <xf numFmtId="0" fontId="14" fillId="0" borderId="10" xfId="0" applyFont="1" applyBorder="1" applyAlignment="1">
      <alignment horizontal="left" wrapText="1"/>
    </xf>
    <xf numFmtId="1" fontId="14" fillId="4" borderId="11" xfId="0" applyNumberFormat="1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 wrapText="1"/>
    </xf>
    <xf numFmtId="164" fontId="14" fillId="2" borderId="12" xfId="1" applyFont="1" applyFill="1" applyBorder="1" applyAlignment="1" applyProtection="1">
      <alignment horizontal="center"/>
    </xf>
    <xf numFmtId="9" fontId="14" fillId="5" borderId="11" xfId="2" applyFont="1" applyFill="1" applyBorder="1" applyAlignment="1" applyProtection="1">
      <alignment horizontal="center"/>
    </xf>
    <xf numFmtId="164" fontId="14" fillId="5" borderId="11" xfId="1" applyFont="1" applyFill="1" applyBorder="1" applyAlignment="1" applyProtection="1">
      <alignment horizontal="center"/>
    </xf>
    <xf numFmtId="43" fontId="14" fillId="5" borderId="11" xfId="2" applyNumberFormat="1" applyFont="1" applyFill="1" applyBorder="1" applyAlignment="1" applyProtection="1">
      <alignment horizontal="center"/>
    </xf>
    <xf numFmtId="1" fontId="15" fillId="2" borderId="10" xfId="2" applyNumberFormat="1" applyFont="1" applyFill="1" applyBorder="1" applyAlignment="1" applyProtection="1">
      <alignment horizontal="center"/>
    </xf>
    <xf numFmtId="0" fontId="15" fillId="2" borderId="0" xfId="0" applyFont="1" applyFill="1" applyAlignment="1">
      <alignment horizontal="center" vertical="center"/>
    </xf>
    <xf numFmtId="0" fontId="4" fillId="0" borderId="10" xfId="0" applyFont="1" applyBorder="1" applyAlignment="1">
      <alignment horizontal="left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4" fillId="0" borderId="10" xfId="0" applyFont="1" applyBorder="1" applyAlignment="1">
      <alignment wrapText="1"/>
    </xf>
    <xf numFmtId="1" fontId="4" fillId="4" borderId="11" xfId="0" applyNumberFormat="1" applyFont="1" applyFill="1" applyBorder="1"/>
    <xf numFmtId="164" fontId="4" fillId="2" borderId="12" xfId="1" applyFont="1" applyFill="1" applyBorder="1" applyAlignment="1" applyProtection="1"/>
    <xf numFmtId="164" fontId="4" fillId="5" borderId="11" xfId="1" applyFont="1" applyFill="1" applyBorder="1" applyAlignment="1" applyProtection="1"/>
    <xf numFmtId="43" fontId="4" fillId="5" borderId="11" xfId="2" applyNumberFormat="1" applyFont="1" applyFill="1" applyBorder="1" applyAlignment="1" applyProtection="1"/>
    <xf numFmtId="1" fontId="10" fillId="2" borderId="10" xfId="2" applyNumberFormat="1" applyFont="1" applyFill="1" applyBorder="1" applyAlignment="1" applyProtection="1"/>
    <xf numFmtId="43" fontId="10" fillId="2" borderId="13" xfId="0" applyNumberFormat="1" applyFont="1" applyFill="1" applyBorder="1"/>
    <xf numFmtId="0" fontId="10" fillId="2" borderId="0" xfId="0" applyFont="1" applyFill="1"/>
    <xf numFmtId="164" fontId="4" fillId="2" borderId="12" xfId="6" applyFont="1" applyFill="1" applyBorder="1" applyAlignment="1" applyProtection="1">
      <alignment horizontal="center"/>
    </xf>
    <xf numFmtId="164" fontId="4" fillId="5" borderId="11" xfId="6" applyFont="1" applyFill="1" applyBorder="1" applyAlignment="1" applyProtection="1">
      <alignment horizontal="center"/>
    </xf>
    <xf numFmtId="164" fontId="4" fillId="2" borderId="12" xfId="6" applyFont="1" applyFill="1" applyBorder="1" applyAlignment="1" applyProtection="1"/>
    <xf numFmtId="164" fontId="4" fillId="5" borderId="11" xfId="6" applyFont="1" applyFill="1" applyBorder="1" applyAlignment="1" applyProtection="1"/>
    <xf numFmtId="43" fontId="4" fillId="5" borderId="11" xfId="4" applyNumberFormat="1" applyFont="1" applyFill="1" applyBorder="1" applyAlignment="1" applyProtection="1"/>
    <xf numFmtId="1" fontId="10" fillId="2" borderId="10" xfId="4" applyNumberFormat="1" applyFont="1" applyFill="1" applyBorder="1" applyAlignment="1" applyProtection="1"/>
    <xf numFmtId="1" fontId="9" fillId="4" borderId="11" xfId="0" applyNumberFormat="1" applyFont="1" applyFill="1" applyBorder="1"/>
    <xf numFmtId="9" fontId="4" fillId="7" borderId="11" xfId="2" applyFont="1" applyFill="1" applyBorder="1" applyAlignment="1" applyProtection="1">
      <alignment horizontal="center"/>
    </xf>
    <xf numFmtId="164" fontId="4" fillId="7" borderId="11" xfId="1" applyFont="1" applyFill="1" applyBorder="1" applyAlignment="1" applyProtection="1">
      <alignment horizontal="center" vertical="center"/>
    </xf>
    <xf numFmtId="43" fontId="4" fillId="7" borderId="11" xfId="2" applyNumberFormat="1" applyFont="1" applyFill="1" applyBorder="1" applyAlignment="1" applyProtection="1">
      <alignment horizontal="center"/>
    </xf>
    <xf numFmtId="0" fontId="4" fillId="0" borderId="11" xfId="0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164" fontId="4" fillId="0" borderId="12" xfId="1" applyFont="1" applyFill="1" applyBorder="1" applyAlignment="1" applyProtection="1">
      <alignment horizontal="center"/>
    </xf>
    <xf numFmtId="164" fontId="4" fillId="0" borderId="11" xfId="1" applyFont="1" applyFill="1" applyBorder="1" applyAlignment="1" applyProtection="1">
      <alignment horizontal="center"/>
    </xf>
    <xf numFmtId="1" fontId="10" fillId="0" borderId="10" xfId="2" applyNumberFormat="1" applyFont="1" applyFill="1" applyBorder="1" applyAlignment="1" applyProtection="1">
      <alignment horizontal="center"/>
    </xf>
    <xf numFmtId="1" fontId="11" fillId="4" borderId="11" xfId="0" applyNumberFormat="1" applyFont="1" applyFill="1" applyBorder="1" applyAlignment="1">
      <alignment horizontal="center"/>
    </xf>
    <xf numFmtId="1" fontId="9" fillId="4" borderId="15" xfId="5" applyNumberFormat="1" applyFont="1" applyFill="1" applyBorder="1" applyAlignment="1">
      <alignment horizontal="center"/>
    </xf>
    <xf numFmtId="0" fontId="16" fillId="6" borderId="7" xfId="0" applyFont="1" applyFill="1" applyBorder="1"/>
    <xf numFmtId="0" fontId="16" fillId="6" borderId="9" xfId="0" applyFont="1" applyFill="1" applyBorder="1"/>
    <xf numFmtId="0" fontId="4" fillId="0" borderId="10" xfId="0" applyFont="1" applyBorder="1" applyAlignment="1">
      <alignment horizontal="left" vertical="center" wrapText="1"/>
    </xf>
    <xf numFmtId="0" fontId="7" fillId="2" borderId="11" xfId="0" applyFont="1" applyFill="1" applyBorder="1" applyAlignment="1">
      <alignment horizontal="center" vertical="center" wrapText="1"/>
    </xf>
    <xf numFmtId="164" fontId="4" fillId="2" borderId="12" xfId="1" applyFont="1" applyFill="1" applyBorder="1" applyAlignment="1" applyProtection="1">
      <alignment horizontal="center" vertical="center" wrapText="1"/>
    </xf>
    <xf numFmtId="9" fontId="4" fillId="5" borderId="11" xfId="2" applyFont="1" applyFill="1" applyBorder="1" applyAlignment="1" applyProtection="1">
      <alignment horizontal="center" vertical="center" wrapText="1"/>
    </xf>
    <xf numFmtId="164" fontId="4" fillId="5" borderId="11" xfId="1" applyFont="1" applyFill="1" applyBorder="1" applyAlignment="1" applyProtection="1">
      <alignment horizontal="center" vertical="center" wrapText="1"/>
    </xf>
    <xf numFmtId="43" fontId="4" fillId="5" borderId="11" xfId="2" applyNumberFormat="1" applyFont="1" applyFill="1" applyBorder="1" applyAlignment="1" applyProtection="1">
      <alignment horizontal="center" vertical="center" wrapText="1"/>
    </xf>
    <xf numFmtId="164" fontId="4" fillId="2" borderId="11" xfId="1" applyFont="1" applyFill="1" applyBorder="1" applyAlignment="1" applyProtection="1">
      <alignment horizontal="center" vertical="center" wrapText="1"/>
    </xf>
    <xf numFmtId="1" fontId="10" fillId="2" borderId="10" xfId="2" applyNumberFormat="1" applyFont="1" applyFill="1" applyBorder="1" applyAlignment="1" applyProtection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1" fontId="14" fillId="4" borderId="11" xfId="5" applyNumberFormat="1" applyFont="1" applyFill="1" applyBorder="1" applyAlignment="1">
      <alignment horizontal="center"/>
    </xf>
    <xf numFmtId="1" fontId="10" fillId="2" borderId="2" xfId="2" applyNumberFormat="1" applyFont="1" applyFill="1" applyBorder="1" applyAlignment="1" applyProtection="1">
      <alignment horizontal="center"/>
    </xf>
    <xf numFmtId="164" fontId="8" fillId="3" borderId="11" xfId="1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1" fontId="7" fillId="7" borderId="11" xfId="1" applyNumberFormat="1" applyFont="1" applyFill="1" applyBorder="1" applyAlignment="1" applyProtection="1">
      <alignment horizontal="center"/>
    </xf>
    <xf numFmtId="164" fontId="4" fillId="7" borderId="14" xfId="1" applyFont="1" applyFill="1" applyBorder="1" applyAlignment="1" applyProtection="1">
      <alignment horizontal="center"/>
    </xf>
    <xf numFmtId="9" fontId="4" fillId="7" borderId="11" xfId="4" applyFont="1" applyFill="1" applyBorder="1" applyAlignment="1" applyProtection="1">
      <alignment horizontal="center"/>
    </xf>
    <xf numFmtId="165" fontId="10" fillId="2" borderId="11" xfId="2" applyNumberFormat="1" applyFont="1" applyFill="1" applyBorder="1" applyAlignment="1" applyProtection="1">
      <alignment horizontal="center"/>
    </xf>
    <xf numFmtId="9" fontId="7" fillId="7" borderId="11" xfId="2" applyFont="1" applyFill="1" applyBorder="1" applyAlignment="1" applyProtection="1">
      <alignment horizontal="center"/>
    </xf>
    <xf numFmtId="1" fontId="20" fillId="7" borderId="11" xfId="1" applyNumberFormat="1" applyFont="1" applyFill="1" applyBorder="1" applyAlignment="1" applyProtection="1">
      <alignment horizontal="center"/>
    </xf>
    <xf numFmtId="165" fontId="3" fillId="2" borderId="11" xfId="2" applyNumberFormat="1" applyFont="1" applyFill="1" applyBorder="1" applyAlignment="1" applyProtection="1">
      <alignment horizontal="center"/>
    </xf>
    <xf numFmtId="1" fontId="12" fillId="4" borderId="11" xfId="0" applyNumberFormat="1" applyFont="1" applyFill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9" fillId="2" borderId="10" xfId="0" applyFont="1" applyFill="1" applyBorder="1" applyAlignment="1">
      <alignment horizontal="left"/>
    </xf>
    <xf numFmtId="1" fontId="9" fillId="4" borderId="6" xfId="3" applyNumberFormat="1" applyFont="1" applyFill="1" applyBorder="1" applyAlignment="1">
      <alignment horizontal="center" vertical="center"/>
    </xf>
    <xf numFmtId="1" fontId="4" fillId="4" borderId="11" xfId="0" applyNumberFormat="1" applyFont="1" applyFill="1" applyBorder="1" applyAlignment="1">
      <alignment vertical="center"/>
    </xf>
    <xf numFmtId="1" fontId="9" fillId="4" borderId="11" xfId="0" applyNumberFormat="1" applyFont="1" applyFill="1" applyBorder="1" applyAlignment="1">
      <alignment vertical="center"/>
    </xf>
    <xf numFmtId="1" fontId="9" fillId="4" borderId="11" xfId="3" applyNumberFormat="1" applyFont="1" applyFill="1" applyBorder="1" applyAlignment="1">
      <alignment vertical="center"/>
    </xf>
    <xf numFmtId="0" fontId="1" fillId="2" borderId="0" xfId="0" applyFont="1" applyFill="1" applyAlignment="1">
      <alignment horizontal="left"/>
    </xf>
    <xf numFmtId="0" fontId="20" fillId="2" borderId="0" xfId="0" applyFont="1" applyFill="1" applyAlignment="1">
      <alignment horizontal="center"/>
    </xf>
    <xf numFmtId="164" fontId="20" fillId="2" borderId="0" xfId="1" applyFont="1" applyFill="1" applyBorder="1" applyAlignment="1" applyProtection="1">
      <alignment horizontal="center"/>
    </xf>
    <xf numFmtId="1" fontId="20" fillId="2" borderId="0" xfId="1" applyNumberFormat="1" applyFont="1" applyFill="1" applyBorder="1" applyAlignment="1" applyProtection="1">
      <alignment horizontal="center"/>
    </xf>
    <xf numFmtId="165" fontId="21" fillId="2" borderId="11" xfId="2" applyNumberFormat="1" applyFont="1" applyFill="1" applyBorder="1" applyAlignment="1" applyProtection="1">
      <alignment horizontal="center"/>
    </xf>
    <xf numFmtId="43" fontId="21" fillId="2" borderId="11" xfId="0" applyNumberFormat="1" applyFont="1" applyFill="1" applyBorder="1" applyAlignment="1">
      <alignment horizontal="center"/>
    </xf>
    <xf numFmtId="165" fontId="3" fillId="2" borderId="0" xfId="2" applyNumberFormat="1" applyFont="1" applyFill="1" applyBorder="1" applyAlignment="1" applyProtection="1">
      <alignment horizontal="center"/>
    </xf>
    <xf numFmtId="0" fontId="22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12" fillId="2" borderId="11" xfId="0" applyFont="1" applyFill="1" applyBorder="1" applyAlignment="1">
      <alignment horizontal="center"/>
    </xf>
    <xf numFmtId="1" fontId="12" fillId="4" borderId="11" xfId="3" applyNumberFormat="1" applyFont="1" applyFill="1" applyBorder="1" applyAlignment="1">
      <alignment horizontal="center" vertical="center"/>
    </xf>
    <xf numFmtId="164" fontId="12" fillId="2" borderId="12" xfId="6" applyFont="1" applyFill="1" applyBorder="1" applyAlignment="1" applyProtection="1">
      <alignment horizontal="center"/>
    </xf>
    <xf numFmtId="9" fontId="12" fillId="5" borderId="11" xfId="4" applyFont="1" applyFill="1" applyBorder="1" applyAlignment="1" applyProtection="1">
      <alignment horizontal="center"/>
    </xf>
    <xf numFmtId="164" fontId="12" fillId="5" borderId="11" xfId="6" applyFont="1" applyFill="1" applyBorder="1" applyAlignment="1" applyProtection="1">
      <alignment horizontal="center"/>
    </xf>
    <xf numFmtId="43" fontId="12" fillId="5" borderId="11" xfId="4" applyNumberFormat="1" applyFont="1" applyFill="1" applyBorder="1" applyAlignment="1" applyProtection="1">
      <alignment horizontal="center"/>
    </xf>
    <xf numFmtId="9" fontId="12" fillId="5" borderId="11" xfId="2" applyFont="1" applyFill="1" applyBorder="1" applyAlignment="1" applyProtection="1">
      <alignment horizontal="center"/>
      <protection locked="0"/>
    </xf>
    <xf numFmtId="164" fontId="12" fillId="2" borderId="11" xfId="1" applyFont="1" applyFill="1" applyBorder="1" applyAlignment="1" applyProtection="1">
      <alignment horizontal="center"/>
    </xf>
    <xf numFmtId="1" fontId="22" fillId="2" borderId="10" xfId="4" applyNumberFormat="1" applyFont="1" applyFill="1" applyBorder="1" applyAlignment="1" applyProtection="1">
      <alignment horizontal="center"/>
    </xf>
    <xf numFmtId="43" fontId="22" fillId="2" borderId="13" xfId="0" applyNumberFormat="1" applyFont="1" applyFill="1" applyBorder="1" applyAlignment="1">
      <alignment horizontal="center"/>
    </xf>
    <xf numFmtId="1" fontId="12" fillId="4" borderId="11" xfId="0" applyNumberFormat="1" applyFont="1" applyFill="1" applyBorder="1" applyAlignment="1">
      <alignment horizontal="center" vertical="center"/>
    </xf>
    <xf numFmtId="164" fontId="4" fillId="2" borderId="10" xfId="1" applyFont="1" applyFill="1" applyBorder="1" applyAlignment="1" applyProtection="1">
      <alignment horizontal="center"/>
    </xf>
    <xf numFmtId="164" fontId="12" fillId="2" borderId="10" xfId="1" applyFont="1" applyFill="1" applyBorder="1" applyAlignment="1" applyProtection="1">
      <alignment horizontal="center"/>
    </xf>
    <xf numFmtId="164" fontId="4" fillId="2" borderId="10" xfId="1" applyFont="1" applyFill="1" applyBorder="1" applyAlignment="1" applyProtection="1">
      <alignment horizontal="center" vertical="center"/>
    </xf>
    <xf numFmtId="164" fontId="14" fillId="2" borderId="10" xfId="1" applyFont="1" applyFill="1" applyBorder="1" applyAlignment="1" applyProtection="1">
      <alignment horizontal="center"/>
    </xf>
    <xf numFmtId="164" fontId="4" fillId="0" borderId="10" xfId="1" applyFont="1" applyFill="1" applyBorder="1" applyAlignment="1" applyProtection="1">
      <alignment horizontal="center"/>
    </xf>
    <xf numFmtId="164" fontId="16" fillId="6" borderId="7" xfId="1" applyFont="1" applyFill="1" applyBorder="1" applyAlignment="1">
      <alignment horizontal="center"/>
    </xf>
    <xf numFmtId="164" fontId="4" fillId="2" borderId="10" xfId="1" applyFont="1" applyFill="1" applyBorder="1" applyAlignment="1" applyProtection="1">
      <alignment horizontal="center" vertical="center" wrapText="1"/>
    </xf>
    <xf numFmtId="164" fontId="4" fillId="2" borderId="2" xfId="1" applyFont="1" applyFill="1" applyBorder="1" applyAlignment="1" applyProtection="1">
      <alignment horizontal="center"/>
    </xf>
  </cellXfs>
  <cellStyles count="7">
    <cellStyle name="Moeda" xfId="1" builtinId="4"/>
    <cellStyle name="Moeda 2" xfId="6" xr:uid="{5161438E-2D0B-47CE-87F0-7A10342BFDC8}"/>
    <cellStyle name="Normal" xfId="0" builtinId="0"/>
    <cellStyle name="Normal 3" xfId="5" xr:uid="{71ABA4A4-805D-409D-BCE4-E36BB58045D9}"/>
    <cellStyle name="Normal_Plan1" xfId="3" xr:uid="{599E89E9-8033-4EC2-95F2-DDB69B5A7142}"/>
    <cellStyle name="Porcentagem" xfId="2" builtinId="5"/>
    <cellStyle name="Porcentagem 2" xfId="4" xr:uid="{BF1B7DC1-FFE8-4362-8321-8106B102F2E8}"/>
  </cellStyles>
  <dxfs count="20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2060440</xdr:colOff>
      <xdr:row>0</xdr:row>
      <xdr:rowOff>0</xdr:rowOff>
    </xdr:from>
    <xdr:to>
      <xdr:col>0</xdr:col>
      <xdr:colOff>6061363</xdr:colOff>
      <xdr:row>2</xdr:row>
      <xdr:rowOff>569460</xdr:rowOff>
    </xdr:to>
    <xdr:pic>
      <xdr:nvPicPr>
        <xdr:cNvPr id="2" name="Imagem 6" descr="sanfarma CURVAS.jpg">
          <a:extLst>
            <a:ext uri="{FF2B5EF4-FFF2-40B4-BE49-F238E27FC236}">
              <a16:creationId xmlns:a16="http://schemas.microsoft.com/office/drawing/2014/main" id="{94A9DEAB-182A-4076-AFD9-376AFDFED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0440" y="0"/>
          <a:ext cx="4000923" cy="111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5727701</xdr:colOff>
      <xdr:row>6</xdr:row>
      <xdr:rowOff>44450</xdr:rowOff>
    </xdr:from>
    <xdr:to>
      <xdr:col>0</xdr:col>
      <xdr:colOff>7044802</xdr:colOff>
      <xdr:row>6</xdr:row>
      <xdr:rowOff>533400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7862206-D563-4F2C-9825-ABBC0F3CE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27701" y="2391410"/>
          <a:ext cx="1317101" cy="488950"/>
        </a:xfrm>
        <a:prstGeom prst="rect">
          <a:avLst/>
        </a:prstGeom>
      </xdr:spPr>
    </xdr:pic>
    <xdr:clientData/>
  </xdr:twoCellAnchor>
  <xdr:twoCellAnchor editAs="oneCell">
    <xdr:from>
      <xdr:col>0</xdr:col>
      <xdr:colOff>5755341</xdr:colOff>
      <xdr:row>12</xdr:row>
      <xdr:rowOff>24882</xdr:rowOff>
    </xdr:from>
    <xdr:to>
      <xdr:col>0</xdr:col>
      <xdr:colOff>7065818</xdr:colOff>
      <xdr:row>23</xdr:row>
      <xdr:rowOff>529300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66AA04-F8F4-41AC-AC42-6FD480543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55341" y="4299702"/>
          <a:ext cx="1310477" cy="523758"/>
        </a:xfrm>
        <a:prstGeom prst="rect">
          <a:avLst/>
        </a:prstGeom>
      </xdr:spPr>
    </xdr:pic>
    <xdr:clientData/>
  </xdr:twoCellAnchor>
  <xdr:twoCellAnchor editAs="oneCell">
    <xdr:from>
      <xdr:col>0</xdr:col>
      <xdr:colOff>5695950</xdr:colOff>
      <xdr:row>15</xdr:row>
      <xdr:rowOff>28575</xdr:rowOff>
    </xdr:from>
    <xdr:to>
      <xdr:col>0</xdr:col>
      <xdr:colOff>7057674</xdr:colOff>
      <xdr:row>23</xdr:row>
      <xdr:rowOff>498101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015590C-7DC2-43E6-90F8-6B3371FFD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95950" y="5400675"/>
          <a:ext cx="1361724" cy="498101"/>
        </a:xfrm>
        <a:prstGeom prst="rect">
          <a:avLst/>
        </a:prstGeom>
      </xdr:spPr>
    </xdr:pic>
    <xdr:clientData/>
  </xdr:twoCellAnchor>
  <xdr:twoCellAnchor editAs="oneCell">
    <xdr:from>
      <xdr:col>0</xdr:col>
      <xdr:colOff>5672418</xdr:colOff>
      <xdr:row>26</xdr:row>
      <xdr:rowOff>0</xdr:rowOff>
    </xdr:from>
    <xdr:to>
      <xdr:col>0</xdr:col>
      <xdr:colOff>7044018</xdr:colOff>
      <xdr:row>27</xdr:row>
      <xdr:rowOff>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6E09E68-9BC9-4C73-80D3-2543DFFE1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72418" y="8976360"/>
          <a:ext cx="1371600" cy="518160"/>
        </a:xfrm>
        <a:prstGeom prst="rect">
          <a:avLst/>
        </a:prstGeom>
      </xdr:spPr>
    </xdr:pic>
    <xdr:clientData/>
  </xdr:twoCellAnchor>
  <xdr:twoCellAnchor editAs="oneCell">
    <xdr:from>
      <xdr:col>0</xdr:col>
      <xdr:colOff>5615268</xdr:colOff>
      <xdr:row>26</xdr:row>
      <xdr:rowOff>34738</xdr:rowOff>
    </xdr:from>
    <xdr:to>
      <xdr:col>0</xdr:col>
      <xdr:colOff>7065818</xdr:colOff>
      <xdr:row>26</xdr:row>
      <xdr:rowOff>482413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4D287BF-E33F-469D-83E9-1826160ED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15268" y="9011098"/>
          <a:ext cx="1450550" cy="447675"/>
        </a:xfrm>
        <a:prstGeom prst="rect">
          <a:avLst/>
        </a:prstGeom>
      </xdr:spPr>
    </xdr:pic>
    <xdr:clientData/>
  </xdr:twoCellAnchor>
  <xdr:twoCellAnchor editAs="oneCell">
    <xdr:from>
      <xdr:col>0</xdr:col>
      <xdr:colOff>5527862</xdr:colOff>
      <xdr:row>65</xdr:row>
      <xdr:rowOff>19051</xdr:rowOff>
    </xdr:from>
    <xdr:to>
      <xdr:col>0</xdr:col>
      <xdr:colOff>7051862</xdr:colOff>
      <xdr:row>65</xdr:row>
      <xdr:rowOff>515470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66184653-4034-41CC-95B2-98CE19F21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7862" y="20326351"/>
          <a:ext cx="1524000" cy="496419"/>
        </a:xfrm>
        <a:prstGeom prst="rect">
          <a:avLst/>
        </a:prstGeom>
      </xdr:spPr>
    </xdr:pic>
    <xdr:clientData/>
  </xdr:twoCellAnchor>
  <xdr:twoCellAnchor editAs="oneCell">
    <xdr:from>
      <xdr:col>0</xdr:col>
      <xdr:colOff>5523381</xdr:colOff>
      <xdr:row>107</xdr:row>
      <xdr:rowOff>38101</xdr:rowOff>
    </xdr:from>
    <xdr:to>
      <xdr:col>0</xdr:col>
      <xdr:colOff>7047381</xdr:colOff>
      <xdr:row>107</xdr:row>
      <xdr:rowOff>548367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8CBC3DA-E2DC-4D09-A79A-9BC923B75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3381" y="34671001"/>
          <a:ext cx="1524000" cy="510266"/>
        </a:xfrm>
        <a:prstGeom prst="rect">
          <a:avLst/>
        </a:prstGeom>
      </xdr:spPr>
    </xdr:pic>
    <xdr:clientData/>
  </xdr:twoCellAnchor>
  <xdr:twoCellAnchor editAs="oneCell">
    <xdr:from>
      <xdr:col>0</xdr:col>
      <xdr:colOff>5672418</xdr:colOff>
      <xdr:row>23</xdr:row>
      <xdr:rowOff>57150</xdr:rowOff>
    </xdr:from>
    <xdr:to>
      <xdr:col>0</xdr:col>
      <xdr:colOff>7044018</xdr:colOff>
      <xdr:row>23</xdr:row>
      <xdr:rowOff>569768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3B22E61B-D3F5-4023-A016-4C7A8610F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72418" y="7898130"/>
          <a:ext cx="1371600" cy="512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83B70-FF91-4AA6-A611-745DF93C59B1}">
  <sheetPr>
    <pageSetUpPr fitToPage="1"/>
  </sheetPr>
  <dimension ref="A1:N441"/>
  <sheetViews>
    <sheetView tabSelected="1" zoomScale="55" zoomScaleNormal="55" workbookViewId="0">
      <selection activeCell="K203" sqref="K203"/>
    </sheetView>
  </sheetViews>
  <sheetFormatPr defaultColWidth="9.109375" defaultRowHeight="21.75" customHeight="1" x14ac:dyDescent="0.4"/>
  <cols>
    <col min="1" max="1" width="109" style="163" bestFit="1" customWidth="1"/>
    <col min="2" max="2" width="13.6640625" style="164" customWidth="1"/>
    <col min="3" max="3" width="25.77734375" style="164" bestFit="1" customWidth="1"/>
    <col min="4" max="4" width="21.88671875" style="164" customWidth="1"/>
    <col min="5" max="5" width="18.33203125" style="165" bestFit="1" customWidth="1"/>
    <col min="6" max="6" width="16.6640625" style="166" bestFit="1" customWidth="1"/>
    <col min="7" max="7" width="19.109375" style="165" customWidth="1"/>
    <col min="8" max="8" width="3.6640625" style="166" customWidth="1"/>
    <col min="9" max="9" width="9.44140625" style="165" customWidth="1"/>
    <col min="10" max="10" width="22" style="165" customWidth="1"/>
    <col min="11" max="11" width="18.77734375" style="165" customWidth="1"/>
    <col min="12" max="12" width="23.109375" style="169" customWidth="1"/>
    <col min="13" max="13" width="32.109375" style="4" customWidth="1"/>
    <col min="14" max="14" width="25.109375" style="4" hidden="1" customWidth="1"/>
    <col min="15" max="16384" width="9.109375" style="4"/>
  </cols>
  <sheetData>
    <row r="1" spans="1:13" ht="21.75" customHeight="1" x14ac:dyDescent="0.3">
      <c r="A1" s="1"/>
      <c r="B1" s="2"/>
      <c r="C1" s="2"/>
      <c r="D1" s="2"/>
      <c r="E1" s="2"/>
      <c r="F1" s="2"/>
      <c r="G1" s="2"/>
      <c r="H1" s="2"/>
      <c r="I1" s="2"/>
      <c r="J1" s="3"/>
      <c r="K1" s="3"/>
      <c r="L1" s="2"/>
      <c r="M1" s="2"/>
    </row>
    <row r="2" spans="1:13" ht="21.75" customHeight="1" x14ac:dyDescent="0.3">
      <c r="A2" s="1"/>
      <c r="B2" s="2"/>
      <c r="C2" s="2"/>
      <c r="D2" s="2"/>
      <c r="E2" s="2"/>
      <c r="F2" s="2"/>
      <c r="G2" s="2"/>
      <c r="H2" s="2"/>
      <c r="I2" s="2"/>
      <c r="J2" s="3"/>
      <c r="K2" s="3"/>
      <c r="L2" s="2"/>
      <c r="M2" s="2"/>
    </row>
    <row r="3" spans="1:13" ht="56.25" customHeight="1" thickBot="1" x14ac:dyDescent="0.5">
      <c r="A3" s="1"/>
      <c r="B3" s="2"/>
      <c r="C3" s="2"/>
      <c r="D3" s="2"/>
      <c r="E3" s="2"/>
      <c r="F3" s="2"/>
      <c r="G3" s="2"/>
      <c r="H3" s="2"/>
      <c r="I3" s="2"/>
      <c r="J3" s="3"/>
      <c r="K3" s="3"/>
      <c r="L3" s="5" t="s">
        <v>0</v>
      </c>
      <c r="M3" s="6">
        <f>M441</f>
        <v>0</v>
      </c>
    </row>
    <row r="4" spans="1:13" ht="21.75" customHeight="1" x14ac:dyDescent="0.3">
      <c r="A4" s="7"/>
      <c r="B4" s="8"/>
      <c r="C4" s="9"/>
      <c r="D4" s="10"/>
      <c r="E4" s="11"/>
      <c r="F4" s="11"/>
      <c r="G4" s="11"/>
      <c r="H4" s="11"/>
      <c r="I4" s="11"/>
      <c r="J4" s="12"/>
      <c r="K4" s="12"/>
      <c r="L4" s="11"/>
      <c r="M4" s="13"/>
    </row>
    <row r="5" spans="1:13" ht="15" customHeight="1" x14ac:dyDescent="0.3">
      <c r="A5" s="14"/>
      <c r="B5" s="15"/>
      <c r="C5" s="16"/>
      <c r="D5" s="17"/>
      <c r="E5" s="16"/>
      <c r="F5" s="16"/>
      <c r="G5" s="16"/>
      <c r="H5" s="16"/>
      <c r="I5" s="16"/>
      <c r="J5" s="18"/>
      <c r="K5" s="18"/>
      <c r="L5" s="16"/>
      <c r="M5" s="19"/>
    </row>
    <row r="6" spans="1:13" ht="49.5" customHeight="1" x14ac:dyDescent="0.3">
      <c r="A6" s="20" t="s">
        <v>1</v>
      </c>
      <c r="B6" s="21" t="s">
        <v>2</v>
      </c>
      <c r="C6" s="21" t="s">
        <v>3</v>
      </c>
      <c r="D6" s="21" t="s">
        <v>4</v>
      </c>
      <c r="E6" s="22" t="s">
        <v>5</v>
      </c>
      <c r="F6" s="23" t="s">
        <v>6</v>
      </c>
      <c r="G6" s="23"/>
      <c r="H6" s="23"/>
      <c r="I6" s="23"/>
      <c r="J6" s="24" t="s">
        <v>7</v>
      </c>
      <c r="K6" s="25" t="s">
        <v>664</v>
      </c>
      <c r="L6" s="25" t="s">
        <v>8</v>
      </c>
      <c r="M6" s="26" t="s">
        <v>9</v>
      </c>
    </row>
    <row r="7" spans="1:13" ht="44.25" customHeight="1" x14ac:dyDescent="0.3">
      <c r="A7" s="27" t="s">
        <v>10</v>
      </c>
      <c r="B7" s="28"/>
      <c r="C7" s="29"/>
      <c r="D7" s="29"/>
      <c r="E7" s="30"/>
      <c r="F7" s="30"/>
      <c r="G7" s="30"/>
      <c r="H7" s="30"/>
      <c r="I7" s="30"/>
      <c r="J7" s="31"/>
      <c r="K7" s="31"/>
      <c r="L7" s="30"/>
      <c r="M7" s="32"/>
    </row>
    <row r="8" spans="1:13" s="44" customFormat="1" ht="21.75" customHeight="1" x14ac:dyDescent="0.45">
      <c r="A8" s="33" t="s">
        <v>11</v>
      </c>
      <c r="B8" s="34">
        <v>144</v>
      </c>
      <c r="C8" s="35">
        <v>7898108640609</v>
      </c>
      <c r="D8" s="34" t="s">
        <v>12</v>
      </c>
      <c r="E8" s="36">
        <v>11.477</v>
      </c>
      <c r="F8" s="37">
        <v>0.78</v>
      </c>
      <c r="G8" s="38">
        <f>E8-(E8*F8)</f>
        <v>2.5249399999999991</v>
      </c>
      <c r="H8" s="39" t="s">
        <v>13</v>
      </c>
      <c r="I8" s="40">
        <v>0.35</v>
      </c>
      <c r="J8" s="41">
        <v>1.0900000000000001</v>
      </c>
      <c r="K8" s="183"/>
      <c r="L8" s="42"/>
      <c r="M8" s="43">
        <f>L8*J8</f>
        <v>0</v>
      </c>
    </row>
    <row r="9" spans="1:13" s="44" customFormat="1" ht="21.75" customHeight="1" x14ac:dyDescent="0.45">
      <c r="A9" s="33" t="s">
        <v>14</v>
      </c>
      <c r="B9" s="34">
        <v>148</v>
      </c>
      <c r="C9" s="45">
        <v>7898108640616</v>
      </c>
      <c r="D9" s="34" t="s">
        <v>15</v>
      </c>
      <c r="E9" s="36">
        <v>14.276272500000001</v>
      </c>
      <c r="F9" s="37">
        <v>0.5</v>
      </c>
      <c r="G9" s="38">
        <f>E9-(E9*F9)</f>
        <v>7.1381362500000005</v>
      </c>
      <c r="H9" s="39" t="s">
        <v>13</v>
      </c>
      <c r="I9" s="40">
        <v>0.35</v>
      </c>
      <c r="J9" s="41">
        <f>G9-(G9*I9)</f>
        <v>4.6397885625000006</v>
      </c>
      <c r="K9" s="183"/>
      <c r="L9" s="42"/>
      <c r="M9" s="43">
        <f>L9*J9</f>
        <v>0</v>
      </c>
    </row>
    <row r="10" spans="1:13" s="44" customFormat="1" ht="21.75" customHeight="1" x14ac:dyDescent="0.45">
      <c r="A10" s="33" t="s">
        <v>16</v>
      </c>
      <c r="B10" s="34">
        <v>150</v>
      </c>
      <c r="C10" s="46">
        <v>7898108640258</v>
      </c>
      <c r="D10" s="34" t="s">
        <v>15</v>
      </c>
      <c r="E10" s="36">
        <v>38.010892499999997</v>
      </c>
      <c r="F10" s="47">
        <v>0.5</v>
      </c>
      <c r="G10" s="38">
        <f>E10-(E10*F10)</f>
        <v>19.005446249999999</v>
      </c>
      <c r="H10" s="48" t="s">
        <v>13</v>
      </c>
      <c r="I10" s="40">
        <v>0.35</v>
      </c>
      <c r="J10" s="41">
        <f>G10-(G10*I10)</f>
        <v>12.353540062499999</v>
      </c>
      <c r="K10" s="55"/>
      <c r="L10" s="49"/>
      <c r="M10" s="43">
        <f>L10*J10</f>
        <v>0</v>
      </c>
    </row>
    <row r="11" spans="1:13" s="44" customFormat="1" ht="21.75" customHeight="1" x14ac:dyDescent="0.45">
      <c r="A11" s="33" t="s">
        <v>17</v>
      </c>
      <c r="B11" s="34">
        <v>152</v>
      </c>
      <c r="C11" s="50">
        <v>7898108641712</v>
      </c>
      <c r="D11" s="34" t="s">
        <v>15</v>
      </c>
      <c r="E11" s="36">
        <v>42.854174999999998</v>
      </c>
      <c r="F11" s="47">
        <v>0.5</v>
      </c>
      <c r="G11" s="38">
        <f t="shared" ref="G11:G12" si="0">E11-(E11*F11)</f>
        <v>21.427087499999999</v>
      </c>
      <c r="H11" s="48" t="s">
        <v>13</v>
      </c>
      <c r="I11" s="40">
        <v>0.35</v>
      </c>
      <c r="J11" s="41">
        <f t="shared" ref="J11:J12" si="1">G11-(G11*I11)</f>
        <v>13.927606874999999</v>
      </c>
      <c r="K11" s="55"/>
      <c r="L11" s="49"/>
      <c r="M11" s="43">
        <f t="shared" ref="M11:M12" si="2">L11*J11</f>
        <v>0</v>
      </c>
    </row>
    <row r="12" spans="1:13" s="44" customFormat="1" ht="21.75" hidden="1" customHeight="1" x14ac:dyDescent="0.45">
      <c r="A12" s="33" t="s">
        <v>18</v>
      </c>
      <c r="B12" s="34">
        <v>1442</v>
      </c>
      <c r="C12" s="51">
        <v>7898108641705</v>
      </c>
      <c r="D12" s="34" t="s">
        <v>15</v>
      </c>
      <c r="E12" s="36">
        <v>18.100425000000001</v>
      </c>
      <c r="F12" s="47">
        <v>0.78</v>
      </c>
      <c r="G12" s="38">
        <f t="shared" si="0"/>
        <v>3.9820934999999995</v>
      </c>
      <c r="H12" s="48" t="s">
        <v>13</v>
      </c>
      <c r="I12" s="40">
        <v>0.35</v>
      </c>
      <c r="J12" s="41">
        <f t="shared" si="1"/>
        <v>2.5883607749999999</v>
      </c>
      <c r="K12" s="55"/>
      <c r="L12" s="49"/>
      <c r="M12" s="43">
        <f t="shared" si="2"/>
        <v>0</v>
      </c>
    </row>
    <row r="13" spans="1:13" s="44" customFormat="1" ht="43.5" hidden="1" customHeight="1" x14ac:dyDescent="0.3">
      <c r="A13" s="27" t="s">
        <v>19</v>
      </c>
      <c r="B13" s="28"/>
      <c r="C13" s="52"/>
      <c r="D13" s="29"/>
      <c r="E13" s="30"/>
      <c r="F13" s="30"/>
      <c r="G13" s="30"/>
      <c r="H13" s="30"/>
      <c r="I13" s="30"/>
      <c r="J13" s="31"/>
      <c r="K13" s="31"/>
      <c r="L13" s="30"/>
      <c r="M13" s="32"/>
    </row>
    <row r="14" spans="1:13" s="44" customFormat="1" ht="21.75" hidden="1" customHeight="1" x14ac:dyDescent="0.45">
      <c r="A14" s="33" t="s">
        <v>20</v>
      </c>
      <c r="B14" s="34">
        <v>833</v>
      </c>
      <c r="C14" s="51">
        <v>7898108641590</v>
      </c>
      <c r="D14" s="34" t="s">
        <v>15</v>
      </c>
      <c r="E14" s="36">
        <v>23.143068829125006</v>
      </c>
      <c r="F14" s="37">
        <v>0.4</v>
      </c>
      <c r="G14" s="38">
        <f>E14-(E14*F14)</f>
        <v>13.885841297475004</v>
      </c>
      <c r="H14" s="39" t="s">
        <v>13</v>
      </c>
      <c r="I14" s="40">
        <v>0.35</v>
      </c>
      <c r="J14" s="41">
        <f>G14-(G14*I14)</f>
        <v>9.0257968433587532</v>
      </c>
      <c r="K14" s="183"/>
      <c r="L14" s="42"/>
      <c r="M14" s="43">
        <f t="shared" ref="M14:M23" si="3">L14*J14</f>
        <v>0</v>
      </c>
    </row>
    <row r="15" spans="1:13" s="44" customFormat="1" ht="21.75" hidden="1" customHeight="1" x14ac:dyDescent="0.45">
      <c r="A15" s="33" t="s">
        <v>21</v>
      </c>
      <c r="B15" s="34">
        <v>834</v>
      </c>
      <c r="C15" s="53">
        <v>7898108641606</v>
      </c>
      <c r="D15" s="34" t="s">
        <v>22</v>
      </c>
      <c r="E15" s="36">
        <v>37.976514727154068</v>
      </c>
      <c r="F15" s="37">
        <v>0.4</v>
      </c>
      <c r="G15" s="38">
        <f>E15-(E15*F15)</f>
        <v>22.785908836292442</v>
      </c>
      <c r="H15" s="39" t="s">
        <v>13</v>
      </c>
      <c r="I15" s="40">
        <v>0.35</v>
      </c>
      <c r="J15" s="41">
        <f>G15-(G15*I15)</f>
        <v>14.810840743590088</v>
      </c>
      <c r="K15" s="183"/>
      <c r="L15" s="42"/>
      <c r="M15" s="43">
        <f t="shared" si="3"/>
        <v>0</v>
      </c>
    </row>
    <row r="16" spans="1:13" s="44" customFormat="1" ht="43.5" hidden="1" customHeight="1" x14ac:dyDescent="0.3">
      <c r="A16" s="27" t="s">
        <v>23</v>
      </c>
      <c r="B16" s="28"/>
      <c r="C16" s="52"/>
      <c r="D16" s="29"/>
      <c r="E16" s="30"/>
      <c r="F16" s="30"/>
      <c r="G16" s="30"/>
      <c r="H16" s="30"/>
      <c r="I16" s="30"/>
      <c r="J16" s="31"/>
      <c r="K16" s="31"/>
      <c r="L16" s="30"/>
      <c r="M16" s="32"/>
    </row>
    <row r="17" spans="1:14" s="44" customFormat="1" ht="21.75" hidden="1" customHeight="1" x14ac:dyDescent="0.45">
      <c r="A17" s="33" t="s">
        <v>24</v>
      </c>
      <c r="B17" s="34">
        <v>293</v>
      </c>
      <c r="C17" s="54">
        <v>7898108641484</v>
      </c>
      <c r="D17" s="34" t="s">
        <v>15</v>
      </c>
      <c r="E17" s="36">
        <v>30.599509341294148</v>
      </c>
      <c r="F17" s="37">
        <v>0.4</v>
      </c>
      <c r="G17" s="38">
        <f>E17-(E17*F17)</f>
        <v>18.359705604776487</v>
      </c>
      <c r="H17" s="39" t="s">
        <v>13</v>
      </c>
      <c r="I17" s="40">
        <v>0.35</v>
      </c>
      <c r="J17" s="41">
        <f>G17-(G17*I17)</f>
        <v>11.933808643104717</v>
      </c>
      <c r="K17" s="183"/>
      <c r="L17" s="42"/>
      <c r="M17" s="43">
        <f t="shared" si="3"/>
        <v>0</v>
      </c>
    </row>
    <row r="18" spans="1:14" s="44" customFormat="1" ht="21.75" hidden="1" customHeight="1" x14ac:dyDescent="0.45">
      <c r="A18" s="33" t="s">
        <v>25</v>
      </c>
      <c r="B18" s="34">
        <v>1209</v>
      </c>
      <c r="C18" s="51">
        <v>7898108642184</v>
      </c>
      <c r="D18" s="34" t="s">
        <v>26</v>
      </c>
      <c r="E18" s="55">
        <v>13.463625</v>
      </c>
      <c r="F18" s="37">
        <v>0.35</v>
      </c>
      <c r="G18" s="38">
        <f t="shared" ref="G18:G23" si="4">E18-(E18*F18)</f>
        <v>8.7513562500000006</v>
      </c>
      <c r="H18" s="39" t="s">
        <v>13</v>
      </c>
      <c r="I18" s="40">
        <v>0.35</v>
      </c>
      <c r="J18" s="41">
        <f t="shared" ref="J18:J23" si="5">G18-(G18*I18)</f>
        <v>5.6883815625</v>
      </c>
      <c r="K18" s="183"/>
      <c r="L18" s="42"/>
      <c r="M18" s="43">
        <f t="shared" si="3"/>
        <v>0</v>
      </c>
    </row>
    <row r="19" spans="1:14" s="44" customFormat="1" ht="21.75" hidden="1" customHeight="1" x14ac:dyDescent="0.45">
      <c r="A19" s="33" t="s">
        <v>27</v>
      </c>
      <c r="B19" s="34">
        <v>1210</v>
      </c>
      <c r="C19" s="51">
        <v>7898108642191</v>
      </c>
      <c r="D19" s="34" t="s">
        <v>26</v>
      </c>
      <c r="E19" s="55">
        <v>17.641575</v>
      </c>
      <c r="F19" s="37">
        <v>0.35</v>
      </c>
      <c r="G19" s="38">
        <f t="shared" si="4"/>
        <v>11.467023749999999</v>
      </c>
      <c r="H19" s="39" t="s">
        <v>13</v>
      </c>
      <c r="I19" s="40">
        <v>0.35</v>
      </c>
      <c r="J19" s="41">
        <f t="shared" si="5"/>
        <v>7.4535654375</v>
      </c>
      <c r="K19" s="183"/>
      <c r="L19" s="42"/>
      <c r="M19" s="43">
        <f t="shared" si="3"/>
        <v>0</v>
      </c>
    </row>
    <row r="20" spans="1:14" s="44" customFormat="1" ht="21.75" hidden="1" customHeight="1" x14ac:dyDescent="0.45">
      <c r="A20" s="33" t="s">
        <v>28</v>
      </c>
      <c r="B20" s="34">
        <v>1217</v>
      </c>
      <c r="C20" s="51">
        <v>7898108642221</v>
      </c>
      <c r="D20" s="34" t="s">
        <v>29</v>
      </c>
      <c r="E20" s="55">
        <v>30.259949999999996</v>
      </c>
      <c r="F20" s="37">
        <v>0.35</v>
      </c>
      <c r="G20" s="38">
        <f t="shared" si="4"/>
        <v>19.668967500000001</v>
      </c>
      <c r="H20" s="39" t="s">
        <v>13</v>
      </c>
      <c r="I20" s="40">
        <v>0.35</v>
      </c>
      <c r="J20" s="41">
        <f t="shared" si="5"/>
        <v>12.784828875000001</v>
      </c>
      <c r="K20" s="183"/>
      <c r="L20" s="42"/>
      <c r="M20" s="43">
        <f t="shared" si="3"/>
        <v>0</v>
      </c>
    </row>
    <row r="21" spans="1:14" s="44" customFormat="1" ht="21.75" hidden="1" customHeight="1" x14ac:dyDescent="0.45">
      <c r="A21" s="33" t="s">
        <v>30</v>
      </c>
      <c r="B21" s="34">
        <v>1219</v>
      </c>
      <c r="C21" s="51">
        <v>7898108642313</v>
      </c>
      <c r="D21" s="34" t="s">
        <v>29</v>
      </c>
      <c r="E21" s="55">
        <v>33.979050000000001</v>
      </c>
      <c r="F21" s="37">
        <v>0.35</v>
      </c>
      <c r="G21" s="38">
        <f t="shared" si="4"/>
        <v>22.086382499999999</v>
      </c>
      <c r="H21" s="39" t="s">
        <v>13</v>
      </c>
      <c r="I21" s="40">
        <v>0.35</v>
      </c>
      <c r="J21" s="41">
        <f t="shared" si="5"/>
        <v>14.356148624999999</v>
      </c>
      <c r="K21" s="183"/>
      <c r="L21" s="42"/>
      <c r="M21" s="43">
        <f t="shared" si="3"/>
        <v>0</v>
      </c>
    </row>
    <row r="22" spans="1:14" s="44" customFormat="1" ht="21.75" hidden="1" customHeight="1" x14ac:dyDescent="0.45">
      <c r="A22" s="33" t="s">
        <v>31</v>
      </c>
      <c r="B22" s="34">
        <v>1211</v>
      </c>
      <c r="C22" s="51">
        <v>7898108642207</v>
      </c>
      <c r="D22" s="34" t="s">
        <v>32</v>
      </c>
      <c r="E22" s="55">
        <v>18.184950000000001</v>
      </c>
      <c r="F22" s="37">
        <v>0.35</v>
      </c>
      <c r="G22" s="38">
        <f t="shared" si="4"/>
        <v>11.820217500000002</v>
      </c>
      <c r="H22" s="39" t="s">
        <v>13</v>
      </c>
      <c r="I22" s="40">
        <v>0.35</v>
      </c>
      <c r="J22" s="41">
        <f t="shared" si="5"/>
        <v>7.6831413750000017</v>
      </c>
      <c r="K22" s="183"/>
      <c r="L22" s="42"/>
      <c r="M22" s="43">
        <f t="shared" si="3"/>
        <v>0</v>
      </c>
    </row>
    <row r="23" spans="1:14" s="44" customFormat="1" ht="21.75" hidden="1" customHeight="1" x14ac:dyDescent="0.45">
      <c r="A23" s="33" t="s">
        <v>33</v>
      </c>
      <c r="B23" s="34">
        <v>1218</v>
      </c>
      <c r="C23" s="51">
        <v>7898108642238</v>
      </c>
      <c r="D23" s="34" t="s">
        <v>29</v>
      </c>
      <c r="E23" s="55">
        <v>23.570399999999996</v>
      </c>
      <c r="F23" s="37">
        <v>0.35</v>
      </c>
      <c r="G23" s="38">
        <f t="shared" si="4"/>
        <v>15.320759999999998</v>
      </c>
      <c r="H23" s="39" t="s">
        <v>13</v>
      </c>
      <c r="I23" s="40">
        <v>0.35</v>
      </c>
      <c r="J23" s="41">
        <f t="shared" si="5"/>
        <v>9.9584939999999982</v>
      </c>
      <c r="K23" s="55"/>
      <c r="L23" s="56"/>
      <c r="M23" s="43">
        <f t="shared" si="3"/>
        <v>0</v>
      </c>
    </row>
    <row r="24" spans="1:14" s="170" customFormat="1" ht="46.2" x14ac:dyDescent="0.3">
      <c r="A24" s="27" t="s">
        <v>34</v>
      </c>
      <c r="B24" s="28"/>
      <c r="C24" s="52"/>
      <c r="D24" s="29"/>
      <c r="E24" s="30"/>
      <c r="F24" s="30"/>
      <c r="G24" s="30"/>
      <c r="H24" s="30"/>
      <c r="I24" s="30"/>
      <c r="J24" s="31"/>
      <c r="K24" s="31"/>
      <c r="L24" s="30"/>
      <c r="M24" s="32"/>
    </row>
    <row r="25" spans="1:14" s="170" customFormat="1" ht="21.75" customHeight="1" x14ac:dyDescent="0.45">
      <c r="A25" s="171" t="s">
        <v>35</v>
      </c>
      <c r="B25" s="172">
        <v>47</v>
      </c>
      <c r="C25" s="173">
        <v>7898108641491</v>
      </c>
      <c r="D25" s="172" t="s">
        <v>36</v>
      </c>
      <c r="E25" s="174">
        <v>13.779364339125008</v>
      </c>
      <c r="F25" s="175">
        <v>0</v>
      </c>
      <c r="G25" s="176">
        <f>E25-(E25*F25)</f>
        <v>13.779364339125008</v>
      </c>
      <c r="H25" s="177" t="s">
        <v>13</v>
      </c>
      <c r="I25" s="178">
        <v>0.35</v>
      </c>
      <c r="J25" s="179">
        <f>G25-(G25*I25)</f>
        <v>8.9565868204312551</v>
      </c>
      <c r="K25" s="184"/>
      <c r="L25" s="180"/>
      <c r="M25" s="181">
        <f t="shared" ref="M25:M26" si="6">L25*J25</f>
        <v>0</v>
      </c>
      <c r="N25" s="170" t="s">
        <v>37</v>
      </c>
    </row>
    <row r="26" spans="1:14" s="170" customFormat="1" ht="21.75" customHeight="1" x14ac:dyDescent="0.45">
      <c r="A26" s="171" t="s">
        <v>38</v>
      </c>
      <c r="B26" s="172">
        <v>46</v>
      </c>
      <c r="C26" s="182">
        <v>7898108641125</v>
      </c>
      <c r="D26" s="172" t="s">
        <v>36</v>
      </c>
      <c r="E26" s="174">
        <v>16.762350961125009</v>
      </c>
      <c r="F26" s="175">
        <v>0</v>
      </c>
      <c r="G26" s="176">
        <f>E26-(E26*F26)</f>
        <v>16.762350961125009</v>
      </c>
      <c r="H26" s="177" t="s">
        <v>13</v>
      </c>
      <c r="I26" s="178">
        <v>0.35</v>
      </c>
      <c r="J26" s="179">
        <f>G26-(G26*I26)</f>
        <v>10.895528124731257</v>
      </c>
      <c r="K26" s="184"/>
      <c r="L26" s="180"/>
      <c r="M26" s="181">
        <f t="shared" si="6"/>
        <v>0</v>
      </c>
      <c r="N26" s="170" t="s">
        <v>37</v>
      </c>
    </row>
    <row r="27" spans="1:14" s="44" customFormat="1" ht="41.25" customHeight="1" x14ac:dyDescent="0.3">
      <c r="A27" s="27" t="s">
        <v>39</v>
      </c>
      <c r="B27" s="28"/>
      <c r="C27" s="29"/>
      <c r="D27" s="29"/>
      <c r="E27" s="30"/>
      <c r="F27" s="30"/>
      <c r="G27" s="30"/>
      <c r="H27" s="30"/>
      <c r="I27" s="30"/>
      <c r="J27" s="31"/>
      <c r="K27" s="31"/>
      <c r="L27" s="30"/>
      <c r="M27" s="32"/>
    </row>
    <row r="28" spans="1:14" s="44" customFormat="1" ht="21.75" customHeight="1" x14ac:dyDescent="0.35">
      <c r="A28" s="63" t="s">
        <v>40</v>
      </c>
      <c r="B28" s="64"/>
      <c r="C28" s="65"/>
      <c r="D28" s="65"/>
      <c r="E28" s="66"/>
      <c r="F28" s="66"/>
      <c r="G28" s="66"/>
      <c r="H28" s="66"/>
      <c r="I28" s="66"/>
      <c r="J28" s="67"/>
      <c r="K28" s="67"/>
      <c r="L28" s="66"/>
      <c r="M28" s="68"/>
    </row>
    <row r="29" spans="1:14" s="44" customFormat="1" ht="21.75" customHeight="1" x14ac:dyDescent="0.45">
      <c r="A29" s="33" t="s">
        <v>41</v>
      </c>
      <c r="B29" s="34">
        <v>125</v>
      </c>
      <c r="C29" s="69">
        <v>7898108640838</v>
      </c>
      <c r="D29" s="70" t="s">
        <v>42</v>
      </c>
      <c r="E29" s="36">
        <v>165.04095798265104</v>
      </c>
      <c r="F29" s="37">
        <v>0.45</v>
      </c>
      <c r="G29" s="38">
        <f t="shared" ref="G29:G65" si="7">E29-(E29*F29)</f>
        <v>90.772526890458067</v>
      </c>
      <c r="H29" s="39" t="s">
        <v>13</v>
      </c>
      <c r="I29" s="40">
        <v>0.35</v>
      </c>
      <c r="J29" s="41">
        <f>G29-(G29*I29)</f>
        <v>59.002142478797751</v>
      </c>
      <c r="K29" s="183">
        <v>1.48</v>
      </c>
      <c r="L29" s="42"/>
      <c r="M29" s="43">
        <f t="shared" ref="M29:M35" si="8">L29*J29</f>
        <v>0</v>
      </c>
    </row>
    <row r="30" spans="1:14" s="44" customFormat="1" ht="21.75" hidden="1" customHeight="1" x14ac:dyDescent="0.45">
      <c r="A30" s="33" t="s">
        <v>43</v>
      </c>
      <c r="B30" s="34">
        <v>377</v>
      </c>
      <c r="C30" s="51">
        <v>7898108640838</v>
      </c>
      <c r="D30" s="70" t="s">
        <v>42</v>
      </c>
      <c r="E30" s="36">
        <v>407.20086532125009</v>
      </c>
      <c r="F30" s="37">
        <v>0.45</v>
      </c>
      <c r="G30" s="38">
        <f t="shared" si="7"/>
        <v>223.96047592668754</v>
      </c>
      <c r="H30" s="39"/>
      <c r="I30" s="40">
        <v>0.35</v>
      </c>
      <c r="J30" s="41">
        <f>G30-(G30*I30)</f>
        <v>145.57430935234692</v>
      </c>
      <c r="K30" s="183"/>
      <c r="L30" s="42"/>
      <c r="M30" s="43">
        <f t="shared" si="8"/>
        <v>0</v>
      </c>
    </row>
    <row r="31" spans="1:14" s="44" customFormat="1" ht="21.75" customHeight="1" x14ac:dyDescent="0.45">
      <c r="A31" s="33" t="s">
        <v>44</v>
      </c>
      <c r="B31" s="34">
        <v>620</v>
      </c>
      <c r="C31" s="71">
        <v>7898108641057</v>
      </c>
      <c r="D31" s="70" t="s">
        <v>42</v>
      </c>
      <c r="E31" s="36">
        <v>165.04095798265104</v>
      </c>
      <c r="F31" s="37">
        <v>0.45</v>
      </c>
      <c r="G31" s="38">
        <f>E31-(E31*F31)</f>
        <v>90.772526890458067</v>
      </c>
      <c r="H31" s="39" t="s">
        <v>13</v>
      </c>
      <c r="I31" s="40">
        <v>0.35</v>
      </c>
      <c r="J31" s="41">
        <f>G31-(G31*I31)</f>
        <v>59.002142478797751</v>
      </c>
      <c r="K31" s="183">
        <v>1.48</v>
      </c>
      <c r="L31" s="42"/>
      <c r="M31" s="43">
        <f t="shared" si="8"/>
        <v>0</v>
      </c>
    </row>
    <row r="32" spans="1:14" s="44" customFormat="1" ht="21.75" hidden="1" customHeight="1" x14ac:dyDescent="0.45">
      <c r="A32" s="33" t="s">
        <v>45</v>
      </c>
      <c r="B32" s="34">
        <v>1012</v>
      </c>
      <c r="C32" s="51">
        <v>7898108612057</v>
      </c>
      <c r="D32" s="70" t="s">
        <v>42</v>
      </c>
      <c r="E32" s="36">
        <v>89.132603499278517</v>
      </c>
      <c r="F32" s="37">
        <v>0.45</v>
      </c>
      <c r="G32" s="38">
        <f t="shared" ref="G32:G33" si="9">E32-(E32*F32)</f>
        <v>49.022931924603185</v>
      </c>
      <c r="H32" s="39" t="s">
        <v>13</v>
      </c>
      <c r="I32" s="40">
        <v>0.35</v>
      </c>
      <c r="J32" s="41">
        <f t="shared" ref="J32:J33" si="10">G32-(G32*I32)</f>
        <v>31.864905750992072</v>
      </c>
      <c r="K32" s="183"/>
      <c r="L32" s="42"/>
      <c r="M32" s="43">
        <f t="shared" si="8"/>
        <v>0</v>
      </c>
    </row>
    <row r="33" spans="1:13" s="44" customFormat="1" ht="21.75" hidden="1" customHeight="1" x14ac:dyDescent="0.45">
      <c r="A33" s="33" t="s">
        <v>46</v>
      </c>
      <c r="B33" s="34">
        <v>1011</v>
      </c>
      <c r="C33" s="51">
        <v>7898108612040</v>
      </c>
      <c r="D33" s="70" t="s">
        <v>42</v>
      </c>
      <c r="E33" s="36">
        <v>119.23184868966671</v>
      </c>
      <c r="F33" s="37">
        <v>0.45</v>
      </c>
      <c r="G33" s="38">
        <f t="shared" si="9"/>
        <v>65.577516779316682</v>
      </c>
      <c r="H33" s="39" t="s">
        <v>13</v>
      </c>
      <c r="I33" s="40">
        <v>0.35</v>
      </c>
      <c r="J33" s="41">
        <f t="shared" si="10"/>
        <v>42.625385906555849</v>
      </c>
      <c r="K33" s="183"/>
      <c r="L33" s="42"/>
      <c r="M33" s="43">
        <f t="shared" si="8"/>
        <v>0</v>
      </c>
    </row>
    <row r="34" spans="1:13" s="44" customFormat="1" ht="21.75" hidden="1" customHeight="1" x14ac:dyDescent="0.45">
      <c r="A34" s="33" t="s">
        <v>47</v>
      </c>
      <c r="B34" s="34">
        <v>799</v>
      </c>
      <c r="C34" s="71">
        <v>7898108641156</v>
      </c>
      <c r="D34" s="70" t="s">
        <v>48</v>
      </c>
      <c r="E34" s="36">
        <v>582.5466170751323</v>
      </c>
      <c r="F34" s="37">
        <v>0.45</v>
      </c>
      <c r="G34" s="38">
        <f t="shared" si="7"/>
        <v>320.40063939132278</v>
      </c>
      <c r="H34" s="39" t="s">
        <v>13</v>
      </c>
      <c r="I34" s="40">
        <v>0.35</v>
      </c>
      <c r="J34" s="41">
        <f>G34-(G34*I34)</f>
        <v>208.26041560435982</v>
      </c>
      <c r="K34" s="183"/>
      <c r="L34" s="42"/>
      <c r="M34" s="43">
        <f t="shared" si="8"/>
        <v>0</v>
      </c>
    </row>
    <row r="35" spans="1:13" s="44" customFormat="1" ht="21.75" hidden="1" customHeight="1" x14ac:dyDescent="0.45">
      <c r="A35" s="33" t="s">
        <v>49</v>
      </c>
      <c r="B35" s="34">
        <v>1958</v>
      </c>
      <c r="C35" s="71">
        <v>7898108643389</v>
      </c>
      <c r="D35" s="70" t="s">
        <v>50</v>
      </c>
      <c r="E35" s="36">
        <v>22.977</v>
      </c>
      <c r="F35" s="37">
        <v>0.45</v>
      </c>
      <c r="G35" s="38">
        <f t="shared" si="7"/>
        <v>12.63735</v>
      </c>
      <c r="H35" s="39" t="s">
        <v>13</v>
      </c>
      <c r="I35" s="40">
        <v>0.35</v>
      </c>
      <c r="J35" s="41">
        <f>G35-(G35*I35)</f>
        <v>8.2142774999999997</v>
      </c>
      <c r="K35" s="183"/>
      <c r="L35" s="42"/>
      <c r="M35" s="43">
        <f t="shared" si="8"/>
        <v>0</v>
      </c>
    </row>
    <row r="36" spans="1:13" s="44" customFormat="1" ht="21.75" customHeight="1" x14ac:dyDescent="0.45">
      <c r="A36" s="63" t="s">
        <v>51</v>
      </c>
      <c r="B36" s="64"/>
      <c r="C36" s="72"/>
      <c r="D36" s="65"/>
      <c r="E36" s="66"/>
      <c r="F36" s="66"/>
      <c r="G36" s="66"/>
      <c r="H36" s="66"/>
      <c r="I36" s="66"/>
      <c r="J36" s="67"/>
      <c r="K36" s="67"/>
      <c r="L36" s="66"/>
      <c r="M36" s="68"/>
    </row>
    <row r="37" spans="1:13" s="44" customFormat="1" ht="21.75" customHeight="1" x14ac:dyDescent="0.45">
      <c r="A37" s="33" t="s">
        <v>52</v>
      </c>
      <c r="B37" s="34">
        <v>127</v>
      </c>
      <c r="C37" s="69">
        <v>7898108640852</v>
      </c>
      <c r="D37" s="70" t="s">
        <v>42</v>
      </c>
      <c r="E37" s="36">
        <v>135.91265618550119</v>
      </c>
      <c r="F37" s="37">
        <v>0.45</v>
      </c>
      <c r="G37" s="38">
        <f t="shared" si="7"/>
        <v>74.751960902025644</v>
      </c>
      <c r="H37" s="39" t="s">
        <v>13</v>
      </c>
      <c r="I37" s="40">
        <v>0.35</v>
      </c>
      <c r="J37" s="41">
        <f>G37-(G37*I37)</f>
        <v>48.588774586316674</v>
      </c>
      <c r="K37" s="183">
        <v>1.21</v>
      </c>
      <c r="L37" s="42"/>
      <c r="M37" s="43">
        <f t="shared" ref="M37" si="11">L37*J37</f>
        <v>0</v>
      </c>
    </row>
    <row r="38" spans="1:13" s="44" customFormat="1" ht="21.75" customHeight="1" x14ac:dyDescent="0.45">
      <c r="A38" s="63" t="s">
        <v>53</v>
      </c>
      <c r="B38" s="64"/>
      <c r="C38" s="72"/>
      <c r="D38" s="65"/>
      <c r="E38" s="66"/>
      <c r="F38" s="66"/>
      <c r="G38" s="66"/>
      <c r="H38" s="66"/>
      <c r="I38" s="66"/>
      <c r="J38" s="67"/>
      <c r="K38" s="67"/>
      <c r="L38" s="66"/>
      <c r="M38" s="68"/>
    </row>
    <row r="39" spans="1:13" s="44" customFormat="1" ht="21.75" customHeight="1" x14ac:dyDescent="0.45">
      <c r="A39" s="33" t="s">
        <v>54</v>
      </c>
      <c r="B39" s="34">
        <v>37</v>
      </c>
      <c r="C39" s="71">
        <v>7898108640111</v>
      </c>
      <c r="D39" s="34" t="s">
        <v>42</v>
      </c>
      <c r="E39" s="36">
        <v>750.48667387103296</v>
      </c>
      <c r="F39" s="37">
        <v>0.45</v>
      </c>
      <c r="G39" s="38">
        <f t="shared" si="7"/>
        <v>412.76767062906811</v>
      </c>
      <c r="H39" s="39" t="s">
        <v>13</v>
      </c>
      <c r="I39" s="40">
        <v>0.35</v>
      </c>
      <c r="J39" s="41">
        <f>G39-(G39*I39)</f>
        <v>268.29898590889428</v>
      </c>
      <c r="K39" s="183">
        <v>1.1200000000000001</v>
      </c>
      <c r="L39" s="42"/>
      <c r="M39" s="43">
        <f t="shared" ref="M39:M41" si="12">L39*J39</f>
        <v>0</v>
      </c>
    </row>
    <row r="40" spans="1:13" s="44" customFormat="1" ht="21.75" customHeight="1" x14ac:dyDescent="0.45">
      <c r="A40" s="33" t="s">
        <v>55</v>
      </c>
      <c r="B40" s="34">
        <v>454</v>
      </c>
      <c r="C40" s="54">
        <v>7898108641781</v>
      </c>
      <c r="D40" s="34" t="s">
        <v>42</v>
      </c>
      <c r="E40" s="36">
        <v>104.90693324479638</v>
      </c>
      <c r="F40" s="37">
        <v>0.45</v>
      </c>
      <c r="G40" s="38">
        <f t="shared" si="7"/>
        <v>57.698813284638007</v>
      </c>
      <c r="H40" s="39" t="s">
        <v>13</v>
      </c>
      <c r="I40" s="40">
        <v>0.35</v>
      </c>
      <c r="J40" s="41">
        <f>G40-(G40*I40)</f>
        <v>37.504228635014705</v>
      </c>
      <c r="K40" s="183">
        <v>0.94</v>
      </c>
      <c r="L40" s="42"/>
      <c r="M40" s="43">
        <f t="shared" si="12"/>
        <v>0</v>
      </c>
    </row>
    <row r="41" spans="1:13" s="44" customFormat="1" ht="21.75" hidden="1" customHeight="1" x14ac:dyDescent="0.45">
      <c r="A41" s="33" t="s">
        <v>56</v>
      </c>
      <c r="B41" s="34">
        <v>455</v>
      </c>
      <c r="C41" s="51">
        <v>7898108640111</v>
      </c>
      <c r="D41" s="70" t="s">
        <v>57</v>
      </c>
      <c r="E41" s="36">
        <v>131.15465244000004</v>
      </c>
      <c r="F41" s="37">
        <v>0.45</v>
      </c>
      <c r="G41" s="38">
        <f t="shared" si="7"/>
        <v>72.135058842000021</v>
      </c>
      <c r="H41" s="39" t="s">
        <v>13</v>
      </c>
      <c r="I41" s="40">
        <v>0.35</v>
      </c>
      <c r="J41" s="41">
        <f>G41-(G41*I41)</f>
        <v>46.887788247300016</v>
      </c>
      <c r="K41" s="183"/>
      <c r="L41" s="42"/>
      <c r="M41" s="43">
        <f t="shared" si="12"/>
        <v>0</v>
      </c>
    </row>
    <row r="42" spans="1:13" s="44" customFormat="1" ht="21.75" customHeight="1" x14ac:dyDescent="0.45">
      <c r="A42" s="63" t="s">
        <v>58</v>
      </c>
      <c r="B42" s="64"/>
      <c r="C42" s="72"/>
      <c r="D42" s="65"/>
      <c r="E42" s="66"/>
      <c r="F42" s="66"/>
      <c r="G42" s="66"/>
      <c r="H42" s="66"/>
      <c r="I42" s="66"/>
      <c r="J42" s="67"/>
      <c r="K42" s="67"/>
      <c r="L42" s="66"/>
      <c r="M42" s="68"/>
    </row>
    <row r="43" spans="1:13" s="44" customFormat="1" ht="21.75" customHeight="1" x14ac:dyDescent="0.45">
      <c r="A43" s="73" t="s">
        <v>59</v>
      </c>
      <c r="B43" s="34">
        <v>88</v>
      </c>
      <c r="C43" s="45">
        <v>7898108640661</v>
      </c>
      <c r="D43" s="34" t="s">
        <v>26</v>
      </c>
      <c r="E43" s="36">
        <v>4.7672100000000004</v>
      </c>
      <c r="F43" s="37">
        <v>0.45</v>
      </c>
      <c r="G43" s="38">
        <f t="shared" si="7"/>
        <v>2.6219654999999999</v>
      </c>
      <c r="H43" s="39" t="s">
        <v>13</v>
      </c>
      <c r="I43" s="40">
        <v>0.35</v>
      </c>
      <c r="J43" s="41">
        <f t="shared" ref="J43:J57" si="13">G43-(G43*I43)</f>
        <v>1.7042775749999999</v>
      </c>
      <c r="K43" s="183"/>
      <c r="L43" s="42"/>
      <c r="M43" s="43">
        <f t="shared" ref="M43:M57" si="14">L43*J43</f>
        <v>0</v>
      </c>
    </row>
    <row r="44" spans="1:13" s="44" customFormat="1" ht="21.75" customHeight="1" x14ac:dyDescent="0.45">
      <c r="A44" s="73" t="s">
        <v>60</v>
      </c>
      <c r="B44" s="34">
        <v>89</v>
      </c>
      <c r="C44" s="74">
        <v>7898108640739</v>
      </c>
      <c r="D44" s="34" t="s">
        <v>61</v>
      </c>
      <c r="E44" s="36">
        <v>11.816595</v>
      </c>
      <c r="F44" s="37">
        <v>0.45</v>
      </c>
      <c r="G44" s="38">
        <f>E44-(E44*F44)</f>
        <v>6.4991272499999999</v>
      </c>
      <c r="H44" s="39" t="s">
        <v>13</v>
      </c>
      <c r="I44" s="40">
        <v>0.35</v>
      </c>
      <c r="J44" s="41">
        <f t="shared" si="13"/>
        <v>4.2244327125000005</v>
      </c>
      <c r="K44" s="183"/>
      <c r="L44" s="42"/>
      <c r="M44" s="43">
        <f t="shared" si="14"/>
        <v>0</v>
      </c>
    </row>
    <row r="45" spans="1:13" s="44" customFormat="1" ht="21.75" customHeight="1" x14ac:dyDescent="0.45">
      <c r="A45" s="75" t="s">
        <v>62</v>
      </c>
      <c r="B45" s="34">
        <v>180</v>
      </c>
      <c r="C45" s="45">
        <v>7898108640685</v>
      </c>
      <c r="D45" s="34" t="s">
        <v>26</v>
      </c>
      <c r="E45" s="36">
        <v>4.7672100000000004</v>
      </c>
      <c r="F45" s="37">
        <v>0.45</v>
      </c>
      <c r="G45" s="38">
        <f t="shared" si="7"/>
        <v>2.6219654999999999</v>
      </c>
      <c r="H45" s="39" t="s">
        <v>13</v>
      </c>
      <c r="I45" s="40">
        <v>0.35</v>
      </c>
      <c r="J45" s="41">
        <f t="shared" si="13"/>
        <v>1.7042775749999999</v>
      </c>
      <c r="K45" s="183"/>
      <c r="L45" s="42"/>
      <c r="M45" s="43">
        <f t="shared" si="14"/>
        <v>0</v>
      </c>
    </row>
    <row r="46" spans="1:13" s="44" customFormat="1" ht="21.75" customHeight="1" x14ac:dyDescent="0.45">
      <c r="A46" s="73" t="s">
        <v>63</v>
      </c>
      <c r="B46" s="34">
        <v>179</v>
      </c>
      <c r="C46" s="45">
        <v>7898108640678</v>
      </c>
      <c r="D46" s="34" t="s">
        <v>26</v>
      </c>
      <c r="E46" s="36">
        <v>4.7672100000000004</v>
      </c>
      <c r="F46" s="37">
        <v>0.45</v>
      </c>
      <c r="G46" s="38">
        <f t="shared" si="7"/>
        <v>2.6219654999999999</v>
      </c>
      <c r="H46" s="39" t="s">
        <v>13</v>
      </c>
      <c r="I46" s="40">
        <v>0.35</v>
      </c>
      <c r="J46" s="41">
        <f t="shared" si="13"/>
        <v>1.7042775749999999</v>
      </c>
      <c r="K46" s="183"/>
      <c r="L46" s="42"/>
      <c r="M46" s="43">
        <f t="shared" si="14"/>
        <v>0</v>
      </c>
    </row>
    <row r="47" spans="1:13" s="44" customFormat="1" ht="23.4" x14ac:dyDescent="0.45">
      <c r="A47" s="73" t="s">
        <v>64</v>
      </c>
      <c r="B47" s="34">
        <v>343</v>
      </c>
      <c r="C47" s="76">
        <v>7898108640746</v>
      </c>
      <c r="D47" s="34" t="s">
        <v>61</v>
      </c>
      <c r="E47" s="36">
        <v>11.816595</v>
      </c>
      <c r="F47" s="37">
        <v>0.45</v>
      </c>
      <c r="G47" s="38">
        <f t="shared" si="7"/>
        <v>6.4991272499999999</v>
      </c>
      <c r="H47" s="39" t="s">
        <v>13</v>
      </c>
      <c r="I47" s="40">
        <v>0.35</v>
      </c>
      <c r="J47" s="41">
        <f t="shared" si="13"/>
        <v>4.2244327125000005</v>
      </c>
      <c r="K47" s="183"/>
      <c r="L47" s="42"/>
      <c r="M47" s="43">
        <f t="shared" si="14"/>
        <v>0</v>
      </c>
    </row>
    <row r="48" spans="1:13" s="44" customFormat="1" ht="23.4" x14ac:dyDescent="0.45">
      <c r="A48" s="73" t="s">
        <v>65</v>
      </c>
      <c r="B48" s="34">
        <v>570</v>
      </c>
      <c r="C48" s="74">
        <v>7898108640692</v>
      </c>
      <c r="D48" s="34" t="s">
        <v>61</v>
      </c>
      <c r="E48" s="36">
        <v>11.816595</v>
      </c>
      <c r="F48" s="37">
        <v>0.45</v>
      </c>
      <c r="G48" s="38">
        <f t="shared" si="7"/>
        <v>6.4991272499999999</v>
      </c>
      <c r="H48" s="39" t="s">
        <v>13</v>
      </c>
      <c r="I48" s="40">
        <v>0.35</v>
      </c>
      <c r="J48" s="41">
        <f t="shared" si="13"/>
        <v>4.2244327125000005</v>
      </c>
      <c r="K48" s="183"/>
      <c r="L48" s="42"/>
      <c r="M48" s="43">
        <f t="shared" si="14"/>
        <v>0</v>
      </c>
    </row>
    <row r="49" spans="1:13" s="44" customFormat="1" ht="23.4" hidden="1" x14ac:dyDescent="0.45">
      <c r="A49" s="73" t="s">
        <v>66</v>
      </c>
      <c r="B49" s="34">
        <v>1628</v>
      </c>
      <c r="C49" s="69">
        <v>7898108642993</v>
      </c>
      <c r="D49" s="34" t="s">
        <v>61</v>
      </c>
      <c r="E49" s="36">
        <v>10.844499999999998</v>
      </c>
      <c r="F49" s="47">
        <v>0.45</v>
      </c>
      <c r="G49" s="38">
        <f t="shared" si="7"/>
        <v>5.9644749999999993</v>
      </c>
      <c r="H49" s="48" t="s">
        <v>13</v>
      </c>
      <c r="I49" s="40">
        <v>0.35</v>
      </c>
      <c r="J49" s="41">
        <f t="shared" si="13"/>
        <v>3.8769087499999997</v>
      </c>
      <c r="K49" s="183"/>
      <c r="L49" s="77"/>
      <c r="M49" s="43">
        <f t="shared" si="14"/>
        <v>0</v>
      </c>
    </row>
    <row r="50" spans="1:13" s="44" customFormat="1" ht="23.4" hidden="1" x14ac:dyDescent="0.45">
      <c r="A50" s="73" t="s">
        <v>67</v>
      </c>
      <c r="B50" s="34">
        <v>1629</v>
      </c>
      <c r="C50" s="69">
        <v>7898108644843</v>
      </c>
      <c r="D50" s="34" t="s">
        <v>68</v>
      </c>
      <c r="E50" s="36">
        <v>18.802499999999998</v>
      </c>
      <c r="F50" s="47">
        <v>0.45</v>
      </c>
      <c r="G50" s="38">
        <f t="shared" si="7"/>
        <v>10.341374999999999</v>
      </c>
      <c r="H50" s="48" t="s">
        <v>13</v>
      </c>
      <c r="I50" s="40">
        <v>0.35</v>
      </c>
      <c r="J50" s="41">
        <f t="shared" si="13"/>
        <v>6.7218937499999996</v>
      </c>
      <c r="K50" s="183"/>
      <c r="L50" s="77"/>
      <c r="M50" s="43">
        <f t="shared" si="14"/>
        <v>0</v>
      </c>
    </row>
    <row r="51" spans="1:13" s="44" customFormat="1" ht="23.4" hidden="1" x14ac:dyDescent="0.45">
      <c r="A51" s="73" t="s">
        <v>69</v>
      </c>
      <c r="B51" s="34">
        <v>1631</v>
      </c>
      <c r="C51" s="69">
        <v>7898108642986</v>
      </c>
      <c r="D51" s="34" t="s">
        <v>61</v>
      </c>
      <c r="E51" s="36">
        <v>14.604999999999999</v>
      </c>
      <c r="F51" s="47">
        <v>0.45</v>
      </c>
      <c r="G51" s="38">
        <f t="shared" si="7"/>
        <v>8.0327500000000001</v>
      </c>
      <c r="H51" s="48" t="s">
        <v>13</v>
      </c>
      <c r="I51" s="40">
        <v>0.35</v>
      </c>
      <c r="J51" s="41">
        <f t="shared" si="13"/>
        <v>5.2212875000000007</v>
      </c>
      <c r="K51" s="183"/>
      <c r="L51" s="77"/>
      <c r="M51" s="43">
        <f t="shared" si="14"/>
        <v>0</v>
      </c>
    </row>
    <row r="52" spans="1:13" s="44" customFormat="1" ht="23.4" hidden="1" x14ac:dyDescent="0.45">
      <c r="A52" s="73" t="s">
        <v>70</v>
      </c>
      <c r="B52" s="34">
        <v>1632</v>
      </c>
      <c r="C52" s="69">
        <v>7898108643013</v>
      </c>
      <c r="D52" s="34" t="s">
        <v>61</v>
      </c>
      <c r="E52" s="36">
        <v>6.0374999999999996</v>
      </c>
      <c r="F52" s="47">
        <v>0.45</v>
      </c>
      <c r="G52" s="38">
        <f t="shared" si="7"/>
        <v>3.3206249999999997</v>
      </c>
      <c r="H52" s="48" t="s">
        <v>13</v>
      </c>
      <c r="I52" s="40">
        <v>0.35</v>
      </c>
      <c r="J52" s="41">
        <f t="shared" si="13"/>
        <v>2.1584062499999996</v>
      </c>
      <c r="K52" s="183"/>
      <c r="L52" s="77"/>
      <c r="M52" s="43">
        <f t="shared" si="14"/>
        <v>0</v>
      </c>
    </row>
    <row r="53" spans="1:13" s="44" customFormat="1" ht="23.4" hidden="1" x14ac:dyDescent="0.45">
      <c r="A53" s="73" t="s">
        <v>71</v>
      </c>
      <c r="B53" s="34">
        <v>1633</v>
      </c>
      <c r="C53" s="69">
        <v>7898108643006</v>
      </c>
      <c r="D53" s="34" t="s">
        <v>61</v>
      </c>
      <c r="E53" s="36">
        <v>22.977</v>
      </c>
      <c r="F53" s="47">
        <v>0.45</v>
      </c>
      <c r="G53" s="38">
        <f t="shared" si="7"/>
        <v>12.63735</v>
      </c>
      <c r="H53" s="48" t="s">
        <v>13</v>
      </c>
      <c r="I53" s="40">
        <v>0.35</v>
      </c>
      <c r="J53" s="41">
        <f t="shared" si="13"/>
        <v>8.2142774999999997</v>
      </c>
      <c r="K53" s="183"/>
      <c r="L53" s="77"/>
      <c r="M53" s="43">
        <f t="shared" si="14"/>
        <v>0</v>
      </c>
    </row>
    <row r="54" spans="1:13" s="44" customFormat="1" ht="23.4" hidden="1" x14ac:dyDescent="0.45">
      <c r="A54" s="73" t="s">
        <v>72</v>
      </c>
      <c r="B54" s="34">
        <v>1635</v>
      </c>
      <c r="C54" s="69">
        <v>7898108645192</v>
      </c>
      <c r="D54" s="34" t="s">
        <v>61</v>
      </c>
      <c r="E54" s="36">
        <v>16.697999999999997</v>
      </c>
      <c r="F54" s="47">
        <v>0.45</v>
      </c>
      <c r="G54" s="38">
        <f t="shared" si="7"/>
        <v>9.1838999999999977</v>
      </c>
      <c r="H54" s="48" t="s">
        <v>13</v>
      </c>
      <c r="I54" s="40">
        <v>0.35</v>
      </c>
      <c r="J54" s="41">
        <f t="shared" si="13"/>
        <v>5.9695349999999987</v>
      </c>
      <c r="K54" s="183"/>
      <c r="L54" s="77"/>
      <c r="M54" s="43">
        <f t="shared" si="14"/>
        <v>0</v>
      </c>
    </row>
    <row r="55" spans="1:13" s="44" customFormat="1" ht="23.4" hidden="1" x14ac:dyDescent="0.45">
      <c r="A55" s="73" t="s">
        <v>73</v>
      </c>
      <c r="B55" s="34">
        <v>2117</v>
      </c>
      <c r="C55" s="69">
        <v>7898108645215</v>
      </c>
      <c r="D55" s="34" t="s">
        <v>61</v>
      </c>
      <c r="E55" s="36">
        <v>11.816595</v>
      </c>
      <c r="F55" s="37">
        <v>0.45</v>
      </c>
      <c r="G55" s="38">
        <f t="shared" si="7"/>
        <v>6.4991272499999999</v>
      </c>
      <c r="H55" s="39" t="s">
        <v>13</v>
      </c>
      <c r="I55" s="40">
        <v>0.35</v>
      </c>
      <c r="J55" s="41">
        <f t="shared" si="13"/>
        <v>4.2244327125000005</v>
      </c>
      <c r="K55" s="55"/>
      <c r="L55" s="49"/>
      <c r="M55" s="43">
        <f t="shared" si="14"/>
        <v>0</v>
      </c>
    </row>
    <row r="56" spans="1:13" s="44" customFormat="1" ht="23.4" hidden="1" x14ac:dyDescent="0.45">
      <c r="A56" s="73" t="s">
        <v>74</v>
      </c>
      <c r="B56" s="34">
        <v>2118</v>
      </c>
      <c r="C56" s="69">
        <v>7898108645208</v>
      </c>
      <c r="D56" s="34" t="s">
        <v>61</v>
      </c>
      <c r="E56" s="36">
        <v>11.816595</v>
      </c>
      <c r="F56" s="37">
        <v>0.45</v>
      </c>
      <c r="G56" s="38">
        <f t="shared" si="7"/>
        <v>6.4991272499999999</v>
      </c>
      <c r="H56" s="39" t="s">
        <v>13</v>
      </c>
      <c r="I56" s="40">
        <v>0.35</v>
      </c>
      <c r="J56" s="41">
        <f t="shared" si="13"/>
        <v>4.2244327125000005</v>
      </c>
      <c r="K56" s="55"/>
      <c r="L56" s="49"/>
      <c r="M56" s="43">
        <f t="shared" si="14"/>
        <v>0</v>
      </c>
    </row>
    <row r="57" spans="1:13" s="44" customFormat="1" ht="23.4" hidden="1" x14ac:dyDescent="0.45">
      <c r="A57" s="73" t="s">
        <v>75</v>
      </c>
      <c r="B57" s="34">
        <v>2119</v>
      </c>
      <c r="C57" s="69">
        <v>7898108645222</v>
      </c>
      <c r="D57" s="34" t="s">
        <v>61</v>
      </c>
      <c r="E57" s="36">
        <v>11.816595</v>
      </c>
      <c r="F57" s="37">
        <v>0.45</v>
      </c>
      <c r="G57" s="38">
        <f t="shared" si="7"/>
        <v>6.4991272499999999</v>
      </c>
      <c r="H57" s="39" t="s">
        <v>13</v>
      </c>
      <c r="I57" s="40">
        <v>0.35</v>
      </c>
      <c r="J57" s="41">
        <f t="shared" si="13"/>
        <v>4.2244327125000005</v>
      </c>
      <c r="K57" s="55"/>
      <c r="L57" s="49"/>
      <c r="M57" s="43">
        <f t="shared" si="14"/>
        <v>0</v>
      </c>
    </row>
    <row r="58" spans="1:13" s="44" customFormat="1" ht="21.75" hidden="1" customHeight="1" x14ac:dyDescent="0.45">
      <c r="A58" s="63" t="s">
        <v>76</v>
      </c>
      <c r="B58" s="64"/>
      <c r="C58" s="72"/>
      <c r="D58" s="65"/>
      <c r="E58" s="66"/>
      <c r="F58" s="66"/>
      <c r="G58" s="66"/>
      <c r="H58" s="66"/>
      <c r="I58" s="66"/>
      <c r="J58" s="67"/>
      <c r="K58" s="67"/>
      <c r="L58" s="66"/>
      <c r="M58" s="68"/>
    </row>
    <row r="59" spans="1:13" s="44" customFormat="1" ht="23.4" hidden="1" x14ac:dyDescent="0.45">
      <c r="A59" s="33" t="s">
        <v>77</v>
      </c>
      <c r="B59" s="34">
        <v>315</v>
      </c>
      <c r="C59" s="35">
        <v>7898108640760</v>
      </c>
      <c r="D59" s="34" t="s">
        <v>12</v>
      </c>
      <c r="E59" s="36">
        <v>6.3565534324215012</v>
      </c>
      <c r="F59" s="37">
        <v>0.45</v>
      </c>
      <c r="G59" s="38">
        <f t="shared" si="7"/>
        <v>3.4961043878318256</v>
      </c>
      <c r="H59" s="39" t="s">
        <v>13</v>
      </c>
      <c r="I59" s="40">
        <v>0.35</v>
      </c>
      <c r="J59" s="41">
        <f>G59-(G59*I59)</f>
        <v>2.2724678520906867</v>
      </c>
      <c r="K59" s="183"/>
      <c r="L59" s="42"/>
      <c r="M59" s="43">
        <f t="shared" ref="M59:M61" si="15">L59*J59</f>
        <v>0</v>
      </c>
    </row>
    <row r="60" spans="1:13" s="44" customFormat="1" ht="23.4" hidden="1" x14ac:dyDescent="0.45">
      <c r="A60" s="33" t="s">
        <v>78</v>
      </c>
      <c r="B60" s="34">
        <v>314</v>
      </c>
      <c r="C60" s="35">
        <v>7898108640784</v>
      </c>
      <c r="D60" s="34" t="s">
        <v>15</v>
      </c>
      <c r="E60" s="36">
        <v>8.1727115559705013</v>
      </c>
      <c r="F60" s="37">
        <v>0.45</v>
      </c>
      <c r="G60" s="38">
        <f t="shared" si="7"/>
        <v>4.4949913557837755</v>
      </c>
      <c r="H60" s="39" t="s">
        <v>13</v>
      </c>
      <c r="I60" s="40">
        <v>0.35</v>
      </c>
      <c r="J60" s="41">
        <f>G60-(G60*I60)</f>
        <v>2.9217443812594541</v>
      </c>
      <c r="K60" s="183"/>
      <c r="L60" s="42"/>
      <c r="M60" s="43">
        <f t="shared" si="15"/>
        <v>0</v>
      </c>
    </row>
    <row r="61" spans="1:13" s="44" customFormat="1" ht="23.4" hidden="1" x14ac:dyDescent="0.45">
      <c r="A61" s="33" t="s">
        <v>79</v>
      </c>
      <c r="B61" s="34">
        <v>313</v>
      </c>
      <c r="C61" s="35">
        <v>7898108640807</v>
      </c>
      <c r="D61" s="34" t="s">
        <v>80</v>
      </c>
      <c r="E61" s="36">
        <v>8.8493194843515042</v>
      </c>
      <c r="F61" s="37">
        <v>0.45</v>
      </c>
      <c r="G61" s="38">
        <f t="shared" si="7"/>
        <v>4.8671257163933266</v>
      </c>
      <c r="H61" s="39" t="s">
        <v>13</v>
      </c>
      <c r="I61" s="40">
        <v>0.35</v>
      </c>
      <c r="J61" s="41">
        <f>G61-(G61*I61)</f>
        <v>3.1636317156556624</v>
      </c>
      <c r="K61" s="183"/>
      <c r="L61" s="42"/>
      <c r="M61" s="43">
        <f t="shared" si="15"/>
        <v>0</v>
      </c>
    </row>
    <row r="62" spans="1:13" s="44" customFormat="1" ht="21.75" hidden="1" customHeight="1" x14ac:dyDescent="0.45">
      <c r="A62" s="63" t="s">
        <v>81</v>
      </c>
      <c r="B62" s="64"/>
      <c r="C62" s="72"/>
      <c r="D62" s="65"/>
      <c r="E62" s="66"/>
      <c r="F62" s="66"/>
      <c r="G62" s="66"/>
      <c r="H62" s="66"/>
      <c r="I62" s="66"/>
      <c r="J62" s="67"/>
      <c r="K62" s="67"/>
      <c r="L62" s="66"/>
      <c r="M62" s="68"/>
    </row>
    <row r="63" spans="1:13" s="44" customFormat="1" ht="23.4" hidden="1" x14ac:dyDescent="0.45">
      <c r="A63" s="78" t="s">
        <v>82</v>
      </c>
      <c r="B63" s="34">
        <v>812</v>
      </c>
      <c r="C63" s="51">
        <v>7898108640814</v>
      </c>
      <c r="D63" s="34" t="s">
        <v>83</v>
      </c>
      <c r="E63" s="36">
        <v>15.93507726267188</v>
      </c>
      <c r="F63" s="37">
        <v>0.45</v>
      </c>
      <c r="G63" s="38">
        <f t="shared" si="7"/>
        <v>8.7642924944695331</v>
      </c>
      <c r="H63" s="39" t="s">
        <v>13</v>
      </c>
      <c r="I63" s="40">
        <v>0.35</v>
      </c>
      <c r="J63" s="41">
        <f>G63-(G63*I63)</f>
        <v>5.696790121405197</v>
      </c>
      <c r="K63" s="183"/>
      <c r="L63" s="42"/>
      <c r="M63" s="43">
        <f t="shared" ref="M63:M65" si="16">L63*J63</f>
        <v>0</v>
      </c>
    </row>
    <row r="64" spans="1:13" s="44" customFormat="1" ht="23.4" hidden="1" x14ac:dyDescent="0.45">
      <c r="A64" s="78" t="s">
        <v>84</v>
      </c>
      <c r="B64" s="34">
        <v>91</v>
      </c>
      <c r="C64" s="51">
        <v>7898108641651</v>
      </c>
      <c r="D64" s="34" t="s">
        <v>85</v>
      </c>
      <c r="E64" s="36">
        <v>23.034499999999998</v>
      </c>
      <c r="F64" s="37">
        <v>0.45</v>
      </c>
      <c r="G64" s="38">
        <f t="shared" si="7"/>
        <v>12.668974999999998</v>
      </c>
      <c r="H64" s="39" t="s">
        <v>13</v>
      </c>
      <c r="I64" s="40">
        <v>0.35</v>
      </c>
      <c r="J64" s="41">
        <f t="shared" ref="J64:J65" si="17">G64-(G64*I64)</f>
        <v>8.23483375</v>
      </c>
      <c r="K64" s="183"/>
      <c r="L64" s="42"/>
      <c r="M64" s="43">
        <f t="shared" si="16"/>
        <v>0</v>
      </c>
    </row>
    <row r="65" spans="1:13" s="44" customFormat="1" ht="23.4" hidden="1" x14ac:dyDescent="0.45">
      <c r="A65" s="78" t="s">
        <v>86</v>
      </c>
      <c r="B65" s="34">
        <v>92</v>
      </c>
      <c r="C65" s="51">
        <v>7898108641644</v>
      </c>
      <c r="D65" s="34" t="s">
        <v>87</v>
      </c>
      <c r="E65" s="36">
        <v>23.034499999999998</v>
      </c>
      <c r="F65" s="37">
        <v>0.45</v>
      </c>
      <c r="G65" s="38">
        <f t="shared" si="7"/>
        <v>12.668974999999998</v>
      </c>
      <c r="H65" s="39" t="s">
        <v>13</v>
      </c>
      <c r="I65" s="40">
        <v>0.35</v>
      </c>
      <c r="J65" s="41">
        <f t="shared" si="17"/>
        <v>8.23483375</v>
      </c>
      <c r="K65" s="183"/>
      <c r="L65" s="42"/>
      <c r="M65" s="43">
        <f t="shared" si="16"/>
        <v>0</v>
      </c>
    </row>
    <row r="66" spans="1:13" s="44" customFormat="1" ht="42" customHeight="1" x14ac:dyDescent="0.3">
      <c r="A66" s="27" t="s">
        <v>88</v>
      </c>
      <c r="B66" s="79"/>
      <c r="C66" s="80"/>
      <c r="D66" s="80"/>
      <c r="E66" s="81"/>
      <c r="F66" s="81"/>
      <c r="G66" s="81"/>
      <c r="H66" s="81"/>
      <c r="I66" s="81"/>
      <c r="J66" s="31"/>
      <c r="K66" s="31"/>
      <c r="L66" s="81"/>
      <c r="M66" s="82"/>
    </row>
    <row r="67" spans="1:13" s="44" customFormat="1" ht="23.4" x14ac:dyDescent="0.45">
      <c r="A67" s="33" t="s">
        <v>89</v>
      </c>
      <c r="B67" s="34">
        <v>847</v>
      </c>
      <c r="C67" s="83">
        <v>7898108640920</v>
      </c>
      <c r="D67" s="70" t="s">
        <v>90</v>
      </c>
      <c r="E67" s="36">
        <v>6.9191634153600026</v>
      </c>
      <c r="F67" s="37">
        <v>0.45</v>
      </c>
      <c r="G67" s="38">
        <f t="shared" ref="G67:G98" si="18">E67-(E67*F67)</f>
        <v>3.8055398784480015</v>
      </c>
      <c r="H67" s="39" t="s">
        <v>13</v>
      </c>
      <c r="I67" s="40">
        <v>0.35</v>
      </c>
      <c r="J67" s="41">
        <f t="shared" ref="J67:J98" si="19">G67-(G67*I67)</f>
        <v>2.4736009209912009</v>
      </c>
      <c r="K67" s="183"/>
      <c r="L67" s="42"/>
      <c r="M67" s="43">
        <f t="shared" ref="M67:M98" si="20">L67*J67</f>
        <v>0</v>
      </c>
    </row>
    <row r="68" spans="1:13" s="44" customFormat="1" ht="23.4" x14ac:dyDescent="0.45">
      <c r="A68" s="33" t="s">
        <v>91</v>
      </c>
      <c r="B68" s="34">
        <v>524</v>
      </c>
      <c r="C68" s="84">
        <v>7898108640593</v>
      </c>
      <c r="D68" s="34" t="s">
        <v>92</v>
      </c>
      <c r="E68" s="36">
        <v>6.9191634153600026</v>
      </c>
      <c r="F68" s="37">
        <v>0.45</v>
      </c>
      <c r="G68" s="38">
        <f t="shared" si="18"/>
        <v>3.8055398784480015</v>
      </c>
      <c r="H68" s="39" t="s">
        <v>13</v>
      </c>
      <c r="I68" s="40">
        <v>0.35</v>
      </c>
      <c r="J68" s="41">
        <f t="shared" si="19"/>
        <v>2.4736009209912009</v>
      </c>
      <c r="K68" s="183"/>
      <c r="L68" s="42"/>
      <c r="M68" s="43">
        <f t="shared" si="20"/>
        <v>0</v>
      </c>
    </row>
    <row r="69" spans="1:13" s="44" customFormat="1" ht="23.4" x14ac:dyDescent="0.45">
      <c r="A69" s="33" t="s">
        <v>93</v>
      </c>
      <c r="B69" s="34">
        <v>525</v>
      </c>
      <c r="C69" s="83">
        <v>7898108640913</v>
      </c>
      <c r="D69" s="34" t="s">
        <v>68</v>
      </c>
      <c r="E69" s="36">
        <v>15.089664895200002</v>
      </c>
      <c r="F69" s="37">
        <v>0.45</v>
      </c>
      <c r="G69" s="38">
        <f t="shared" si="18"/>
        <v>8.2993156923600004</v>
      </c>
      <c r="H69" s="39" t="s">
        <v>13</v>
      </c>
      <c r="I69" s="40">
        <v>0.35</v>
      </c>
      <c r="J69" s="41">
        <f t="shared" si="19"/>
        <v>5.3945552000340005</v>
      </c>
      <c r="K69" s="183"/>
      <c r="L69" s="42"/>
      <c r="M69" s="43">
        <f t="shared" si="20"/>
        <v>0</v>
      </c>
    </row>
    <row r="70" spans="1:13" s="44" customFormat="1" ht="23.4" x14ac:dyDescent="0.45">
      <c r="A70" s="33" t="s">
        <v>94</v>
      </c>
      <c r="B70" s="34">
        <v>523</v>
      </c>
      <c r="C70" s="83">
        <v>7898108640906</v>
      </c>
      <c r="D70" s="34" t="s">
        <v>95</v>
      </c>
      <c r="E70" s="36">
        <v>4.8434143907520006</v>
      </c>
      <c r="F70" s="37">
        <v>0.45</v>
      </c>
      <c r="G70" s="38">
        <f t="shared" si="18"/>
        <v>2.6638779149136003</v>
      </c>
      <c r="H70" s="39" t="s">
        <v>13</v>
      </c>
      <c r="I70" s="40">
        <v>0.35</v>
      </c>
      <c r="J70" s="41">
        <f t="shared" si="19"/>
        <v>1.7315206446938403</v>
      </c>
      <c r="K70" s="183"/>
      <c r="L70" s="42"/>
      <c r="M70" s="43">
        <f t="shared" si="20"/>
        <v>0</v>
      </c>
    </row>
    <row r="71" spans="1:13" s="44" customFormat="1" ht="23.4" x14ac:dyDescent="0.45">
      <c r="A71" s="33" t="s">
        <v>96</v>
      </c>
      <c r="B71" s="34">
        <v>1523</v>
      </c>
      <c r="C71" s="71">
        <v>7898108649930</v>
      </c>
      <c r="D71" s="34" t="s">
        <v>97</v>
      </c>
      <c r="E71" s="36">
        <v>9.8658000000000001</v>
      </c>
      <c r="F71" s="37">
        <v>0.45</v>
      </c>
      <c r="G71" s="38">
        <f t="shared" si="18"/>
        <v>5.4261900000000001</v>
      </c>
      <c r="H71" s="39" t="s">
        <v>13</v>
      </c>
      <c r="I71" s="40">
        <v>0.35</v>
      </c>
      <c r="J71" s="41">
        <f t="shared" si="19"/>
        <v>3.5270235000000003</v>
      </c>
      <c r="K71" s="183"/>
      <c r="L71" s="42"/>
      <c r="M71" s="43">
        <f t="shared" si="20"/>
        <v>0</v>
      </c>
    </row>
    <row r="72" spans="1:13" s="94" customFormat="1" ht="57" hidden="1" customHeight="1" x14ac:dyDescent="0.45">
      <c r="A72" s="85" t="s">
        <v>98</v>
      </c>
      <c r="B72" s="86">
        <v>182</v>
      </c>
      <c r="C72" s="87">
        <v>7898108640845</v>
      </c>
      <c r="D72" s="86" t="s">
        <v>42</v>
      </c>
      <c r="E72" s="88">
        <v>149.50537505203781</v>
      </c>
      <c r="F72" s="89">
        <v>0.45</v>
      </c>
      <c r="G72" s="90">
        <f t="shared" si="18"/>
        <v>82.227956278620795</v>
      </c>
      <c r="H72" s="91" t="s">
        <v>13</v>
      </c>
      <c r="I72" s="40">
        <v>0.35</v>
      </c>
      <c r="J72" s="92">
        <f t="shared" si="19"/>
        <v>53.448171581103523</v>
      </c>
      <c r="K72" s="185"/>
      <c r="L72" s="93"/>
      <c r="M72" s="43">
        <f t="shared" si="20"/>
        <v>0</v>
      </c>
    </row>
    <row r="73" spans="1:13" s="94" customFormat="1" ht="23.4" hidden="1" x14ac:dyDescent="0.45">
      <c r="A73" s="85" t="s">
        <v>99</v>
      </c>
      <c r="B73" s="86">
        <v>1018</v>
      </c>
      <c r="C73" s="87">
        <v>7898108640869</v>
      </c>
      <c r="D73" s="86" t="s">
        <v>100</v>
      </c>
      <c r="E73" s="88">
        <v>13.663788665329694</v>
      </c>
      <c r="F73" s="89">
        <v>0.45</v>
      </c>
      <c r="G73" s="90">
        <f t="shared" si="18"/>
        <v>7.5150837659313314</v>
      </c>
      <c r="H73" s="91" t="s">
        <v>13</v>
      </c>
      <c r="I73" s="40">
        <v>0.35</v>
      </c>
      <c r="J73" s="92">
        <f t="shared" si="19"/>
        <v>4.884804447855366</v>
      </c>
      <c r="K73" s="185"/>
      <c r="L73" s="93"/>
      <c r="M73" s="43">
        <f t="shared" si="20"/>
        <v>0</v>
      </c>
    </row>
    <row r="74" spans="1:13" s="44" customFormat="1" ht="63" hidden="1" customHeight="1" x14ac:dyDescent="0.45">
      <c r="A74" s="95" t="s">
        <v>101</v>
      </c>
      <c r="B74" s="86">
        <v>578</v>
      </c>
      <c r="C74" s="87">
        <v>7898108640791</v>
      </c>
      <c r="D74" s="96" t="s">
        <v>102</v>
      </c>
      <c r="E74" s="88">
        <v>37.451771669812494</v>
      </c>
      <c r="F74" s="89">
        <v>0.45</v>
      </c>
      <c r="G74" s="90">
        <f t="shared" si="18"/>
        <v>20.598474418396872</v>
      </c>
      <c r="H74" s="91" t="s">
        <v>13</v>
      </c>
      <c r="I74" s="40">
        <v>0.35</v>
      </c>
      <c r="J74" s="92">
        <f t="shared" si="19"/>
        <v>13.389008371957967</v>
      </c>
      <c r="K74" s="185"/>
      <c r="L74" s="93"/>
      <c r="M74" s="43">
        <f t="shared" si="20"/>
        <v>0</v>
      </c>
    </row>
    <row r="75" spans="1:13" s="44" customFormat="1" ht="21.75" hidden="1" customHeight="1" x14ac:dyDescent="0.45">
      <c r="A75" s="73" t="s">
        <v>103</v>
      </c>
      <c r="B75" s="34">
        <v>345</v>
      </c>
      <c r="C75" s="71">
        <v>7898108640777</v>
      </c>
      <c r="D75" s="34" t="s">
        <v>61</v>
      </c>
      <c r="E75" s="36">
        <v>10.269787499999998</v>
      </c>
      <c r="F75" s="37">
        <v>0.45</v>
      </c>
      <c r="G75" s="38">
        <f t="shared" si="18"/>
        <v>5.6483831249999987</v>
      </c>
      <c r="H75" s="39" t="s">
        <v>13</v>
      </c>
      <c r="I75" s="40">
        <v>0.35</v>
      </c>
      <c r="J75" s="41">
        <f t="shared" si="19"/>
        <v>3.671449031249999</v>
      </c>
      <c r="K75" s="183"/>
      <c r="L75" s="42"/>
      <c r="M75" s="43">
        <f t="shared" si="20"/>
        <v>0</v>
      </c>
    </row>
    <row r="76" spans="1:13" s="44" customFormat="1" ht="21.75" hidden="1" customHeight="1" x14ac:dyDescent="0.45">
      <c r="A76" s="73" t="s">
        <v>104</v>
      </c>
      <c r="B76" s="34">
        <v>984</v>
      </c>
      <c r="C76" s="97">
        <v>7898108642658</v>
      </c>
      <c r="D76" s="34" t="s">
        <v>87</v>
      </c>
      <c r="E76" s="36">
        <v>25.702500000000001</v>
      </c>
      <c r="F76" s="37">
        <v>0.45</v>
      </c>
      <c r="G76" s="38">
        <f t="shared" si="18"/>
        <v>14.136374999999999</v>
      </c>
      <c r="H76" s="39" t="s">
        <v>13</v>
      </c>
      <c r="I76" s="40">
        <v>0.35</v>
      </c>
      <c r="J76" s="41">
        <f t="shared" si="19"/>
        <v>9.1886437500000007</v>
      </c>
      <c r="K76" s="183"/>
      <c r="L76" s="42"/>
      <c r="M76" s="43">
        <f t="shared" si="20"/>
        <v>0</v>
      </c>
    </row>
    <row r="77" spans="1:13" s="44" customFormat="1" ht="21.75" hidden="1" customHeight="1" x14ac:dyDescent="0.45">
      <c r="A77" s="73" t="s">
        <v>105</v>
      </c>
      <c r="B77" s="34">
        <v>985</v>
      </c>
      <c r="C77" s="51">
        <v>7898108642665</v>
      </c>
      <c r="D77" s="34" t="s">
        <v>87</v>
      </c>
      <c r="E77" s="36">
        <v>22.482499999999998</v>
      </c>
      <c r="F77" s="37">
        <v>0.45</v>
      </c>
      <c r="G77" s="38">
        <f t="shared" si="18"/>
        <v>12.365374999999998</v>
      </c>
      <c r="H77" s="39" t="s">
        <v>13</v>
      </c>
      <c r="I77" s="40">
        <v>0.35</v>
      </c>
      <c r="J77" s="41">
        <f t="shared" si="19"/>
        <v>8.0374937499999994</v>
      </c>
      <c r="K77" s="183"/>
      <c r="L77" s="42"/>
      <c r="M77" s="43">
        <f t="shared" si="20"/>
        <v>0</v>
      </c>
    </row>
    <row r="78" spans="1:13" s="44" customFormat="1" ht="21.75" customHeight="1" x14ac:dyDescent="0.45">
      <c r="A78" s="73" t="s">
        <v>106</v>
      </c>
      <c r="B78" s="34">
        <v>574</v>
      </c>
      <c r="C78" s="51">
        <v>7898108640586</v>
      </c>
      <c r="D78" s="34" t="s">
        <v>15</v>
      </c>
      <c r="E78" s="36">
        <v>36.349976249999997</v>
      </c>
      <c r="F78" s="37">
        <v>0.4</v>
      </c>
      <c r="G78" s="38">
        <f t="shared" si="18"/>
        <v>21.809985749999996</v>
      </c>
      <c r="H78" s="39" t="s">
        <v>13</v>
      </c>
      <c r="I78" s="40">
        <v>0.35</v>
      </c>
      <c r="J78" s="41">
        <f t="shared" si="19"/>
        <v>14.176490737499996</v>
      </c>
      <c r="K78" s="183"/>
      <c r="L78" s="42"/>
      <c r="M78" s="43">
        <f t="shared" si="20"/>
        <v>0</v>
      </c>
    </row>
    <row r="79" spans="1:13" s="44" customFormat="1" ht="21.75" customHeight="1" x14ac:dyDescent="0.45">
      <c r="A79" s="73" t="s">
        <v>107</v>
      </c>
      <c r="B79" s="34">
        <v>576</v>
      </c>
      <c r="C79" s="35">
        <v>7898108640579</v>
      </c>
      <c r="D79" s="34" t="s">
        <v>15</v>
      </c>
      <c r="E79" s="36">
        <v>39.436949999999996</v>
      </c>
      <c r="F79" s="37">
        <v>0.4</v>
      </c>
      <c r="G79" s="38">
        <f t="shared" si="18"/>
        <v>23.662169999999996</v>
      </c>
      <c r="H79" s="39" t="s">
        <v>13</v>
      </c>
      <c r="I79" s="40">
        <v>0.35</v>
      </c>
      <c r="J79" s="41">
        <f t="shared" si="19"/>
        <v>15.380410499999998</v>
      </c>
      <c r="K79" s="183"/>
      <c r="L79" s="42"/>
      <c r="M79" s="43">
        <f t="shared" si="20"/>
        <v>0</v>
      </c>
    </row>
    <row r="80" spans="1:13" s="44" customFormat="1" ht="21.75" hidden="1" customHeight="1" x14ac:dyDescent="0.45">
      <c r="A80" s="73" t="s">
        <v>108</v>
      </c>
      <c r="B80" s="34">
        <v>5741</v>
      </c>
      <c r="C80" s="83">
        <v>7898108642153</v>
      </c>
      <c r="D80" s="34" t="s">
        <v>68</v>
      </c>
      <c r="E80" s="36">
        <v>72.691500000000005</v>
      </c>
      <c r="F80" s="37">
        <v>0.4</v>
      </c>
      <c r="G80" s="38">
        <f t="shared" si="18"/>
        <v>43.614900000000006</v>
      </c>
      <c r="H80" s="39" t="s">
        <v>13</v>
      </c>
      <c r="I80" s="40">
        <v>0.35</v>
      </c>
      <c r="J80" s="41">
        <f t="shared" si="19"/>
        <v>28.349685000000004</v>
      </c>
      <c r="K80" s="183"/>
      <c r="L80" s="42"/>
      <c r="M80" s="43">
        <f t="shared" si="20"/>
        <v>0</v>
      </c>
    </row>
    <row r="81" spans="1:14" s="44" customFormat="1" ht="21.75" hidden="1" customHeight="1" x14ac:dyDescent="0.45">
      <c r="A81" s="73" t="s">
        <v>109</v>
      </c>
      <c r="B81" s="34">
        <v>5761</v>
      </c>
      <c r="C81" s="83">
        <v>7898108642160</v>
      </c>
      <c r="D81" s="34" t="s">
        <v>68</v>
      </c>
      <c r="E81" s="36">
        <v>78.873899999999992</v>
      </c>
      <c r="F81" s="37">
        <v>0.4</v>
      </c>
      <c r="G81" s="38">
        <f t="shared" si="18"/>
        <v>47.324339999999992</v>
      </c>
      <c r="H81" s="39" t="s">
        <v>13</v>
      </c>
      <c r="I81" s="40">
        <v>0.35</v>
      </c>
      <c r="J81" s="41">
        <f t="shared" si="19"/>
        <v>30.760820999999996</v>
      </c>
      <c r="K81" s="183"/>
      <c r="L81" s="42"/>
      <c r="M81" s="43">
        <f t="shared" si="20"/>
        <v>0</v>
      </c>
    </row>
    <row r="82" spans="1:14" s="44" customFormat="1" ht="21.75" hidden="1" customHeight="1" x14ac:dyDescent="0.45">
      <c r="A82" s="73" t="s">
        <v>110</v>
      </c>
      <c r="B82" s="34">
        <v>1961</v>
      </c>
      <c r="C82" s="71">
        <v>7898108642764</v>
      </c>
      <c r="D82" s="34" t="s">
        <v>111</v>
      </c>
      <c r="E82" s="36">
        <v>11.1996</v>
      </c>
      <c r="F82" s="37">
        <v>0.45</v>
      </c>
      <c r="G82" s="38">
        <f t="shared" si="18"/>
        <v>6.1597799999999996</v>
      </c>
      <c r="H82" s="39" t="s">
        <v>13</v>
      </c>
      <c r="I82" s="40">
        <v>0.35</v>
      </c>
      <c r="J82" s="41">
        <f t="shared" si="19"/>
        <v>4.003857</v>
      </c>
      <c r="K82" s="183"/>
      <c r="L82" s="42"/>
      <c r="M82" s="43">
        <f t="shared" si="20"/>
        <v>0</v>
      </c>
    </row>
    <row r="83" spans="1:14" s="44" customFormat="1" ht="21.75" customHeight="1" x14ac:dyDescent="0.45">
      <c r="A83" s="73" t="s">
        <v>112</v>
      </c>
      <c r="B83" s="34">
        <v>50</v>
      </c>
      <c r="C83" s="35">
        <v>7898108640623</v>
      </c>
      <c r="D83" s="34" t="s">
        <v>90</v>
      </c>
      <c r="E83" s="36">
        <v>3.8898111470400005</v>
      </c>
      <c r="F83" s="37">
        <v>0.45</v>
      </c>
      <c r="G83" s="38">
        <f t="shared" si="18"/>
        <v>2.139396130872</v>
      </c>
      <c r="H83" s="39" t="s">
        <v>13</v>
      </c>
      <c r="I83" s="40">
        <v>0.35</v>
      </c>
      <c r="J83" s="41">
        <f t="shared" si="19"/>
        <v>1.3906074850668</v>
      </c>
      <c r="K83" s="183"/>
      <c r="L83" s="42"/>
      <c r="M83" s="43">
        <f t="shared" si="20"/>
        <v>0</v>
      </c>
    </row>
    <row r="84" spans="1:14" s="44" customFormat="1" ht="21.75" hidden="1" customHeight="1" x14ac:dyDescent="0.45">
      <c r="A84" s="73" t="s">
        <v>113</v>
      </c>
      <c r="B84" s="34">
        <v>1959</v>
      </c>
      <c r="C84" s="35">
        <v>7898108642771</v>
      </c>
      <c r="D84" s="34" t="s">
        <v>15</v>
      </c>
      <c r="E84" s="36">
        <v>12.441600000000001</v>
      </c>
      <c r="F84" s="37">
        <v>0.45</v>
      </c>
      <c r="G84" s="38">
        <f t="shared" si="18"/>
        <v>6.8428800000000001</v>
      </c>
      <c r="H84" s="39" t="s">
        <v>13</v>
      </c>
      <c r="I84" s="40">
        <v>0.35</v>
      </c>
      <c r="J84" s="41">
        <f t="shared" si="19"/>
        <v>4.4478720000000003</v>
      </c>
      <c r="K84" s="183"/>
      <c r="L84" s="42"/>
      <c r="M84" s="43">
        <f t="shared" si="20"/>
        <v>0</v>
      </c>
    </row>
    <row r="85" spans="1:14" s="44" customFormat="1" ht="21.75" hidden="1" customHeight="1" x14ac:dyDescent="0.45">
      <c r="A85" s="73" t="s">
        <v>114</v>
      </c>
      <c r="B85" s="34">
        <v>996</v>
      </c>
      <c r="C85" s="35">
        <v>7898108642702</v>
      </c>
      <c r="D85" s="34" t="s">
        <v>90</v>
      </c>
      <c r="E85" s="36">
        <v>6.6420000000000012</v>
      </c>
      <c r="F85" s="37">
        <v>0.45</v>
      </c>
      <c r="G85" s="38">
        <f t="shared" si="18"/>
        <v>3.6531000000000007</v>
      </c>
      <c r="H85" s="39" t="s">
        <v>13</v>
      </c>
      <c r="I85" s="40">
        <v>0.35</v>
      </c>
      <c r="J85" s="41">
        <f t="shared" si="19"/>
        <v>2.3745150000000006</v>
      </c>
      <c r="K85" s="183"/>
      <c r="L85" s="42"/>
      <c r="M85" s="43">
        <f t="shared" si="20"/>
        <v>0</v>
      </c>
    </row>
    <row r="86" spans="1:14" s="44" customFormat="1" ht="21.75" hidden="1" customHeight="1" x14ac:dyDescent="0.45">
      <c r="A86" s="73" t="s">
        <v>115</v>
      </c>
      <c r="B86" s="34">
        <v>1957</v>
      </c>
      <c r="C86" s="35">
        <v>7898108644836</v>
      </c>
      <c r="D86" s="34" t="s">
        <v>90</v>
      </c>
      <c r="E86" s="36">
        <v>6.6420000000000012</v>
      </c>
      <c r="F86" s="37">
        <v>0.45</v>
      </c>
      <c r="G86" s="38">
        <f t="shared" si="18"/>
        <v>3.6531000000000007</v>
      </c>
      <c r="H86" s="39" t="s">
        <v>13</v>
      </c>
      <c r="I86" s="40">
        <v>0.35</v>
      </c>
      <c r="J86" s="41">
        <f t="shared" si="19"/>
        <v>2.3745150000000006</v>
      </c>
      <c r="K86" s="183"/>
      <c r="L86" s="42"/>
      <c r="M86" s="43">
        <f t="shared" si="20"/>
        <v>0</v>
      </c>
    </row>
    <row r="87" spans="1:14" s="44" customFormat="1" ht="21.75" hidden="1" customHeight="1" x14ac:dyDescent="0.45">
      <c r="A87" s="73" t="s">
        <v>116</v>
      </c>
      <c r="B87" s="34">
        <v>1960</v>
      </c>
      <c r="C87" s="35">
        <v>7898108642757</v>
      </c>
      <c r="D87" s="34" t="s">
        <v>117</v>
      </c>
      <c r="E87" s="36">
        <v>13.2516</v>
      </c>
      <c r="F87" s="37">
        <v>0.45</v>
      </c>
      <c r="G87" s="38">
        <f t="shared" si="18"/>
        <v>7.2883800000000001</v>
      </c>
      <c r="H87" s="39" t="s">
        <v>13</v>
      </c>
      <c r="I87" s="40">
        <v>0.35</v>
      </c>
      <c r="J87" s="41">
        <f t="shared" si="19"/>
        <v>4.7374470000000004</v>
      </c>
      <c r="K87" s="183"/>
      <c r="L87" s="42"/>
      <c r="M87" s="43">
        <f t="shared" si="20"/>
        <v>0</v>
      </c>
    </row>
    <row r="88" spans="1:14" s="44" customFormat="1" ht="21.75" hidden="1" customHeight="1" x14ac:dyDescent="0.45">
      <c r="A88" s="73" t="s">
        <v>118</v>
      </c>
      <c r="B88" s="34">
        <v>995</v>
      </c>
      <c r="C88" s="35">
        <v>7898108642696</v>
      </c>
      <c r="D88" s="34" t="s">
        <v>90</v>
      </c>
      <c r="E88" s="36">
        <v>4.32</v>
      </c>
      <c r="F88" s="37">
        <v>0.45</v>
      </c>
      <c r="G88" s="38">
        <f t="shared" si="18"/>
        <v>2.3760000000000003</v>
      </c>
      <c r="H88" s="39" t="s">
        <v>13</v>
      </c>
      <c r="I88" s="40">
        <v>0.35</v>
      </c>
      <c r="J88" s="41">
        <f t="shared" si="19"/>
        <v>1.5444000000000002</v>
      </c>
      <c r="K88" s="183"/>
      <c r="L88" s="42"/>
      <c r="M88" s="43">
        <f t="shared" si="20"/>
        <v>0</v>
      </c>
    </row>
    <row r="89" spans="1:14" s="106" customFormat="1" ht="43.5" hidden="1" customHeight="1" x14ac:dyDescent="0.45">
      <c r="A89" s="98" t="s">
        <v>119</v>
      </c>
      <c r="B89" s="59">
        <v>522</v>
      </c>
      <c r="C89" s="99"/>
      <c r="D89" s="100" t="s">
        <v>42</v>
      </c>
      <c r="E89" s="101">
        <v>69.112500187500004</v>
      </c>
      <c r="F89" s="102">
        <v>0.45</v>
      </c>
      <c r="G89" s="103">
        <f t="shared" si="18"/>
        <v>38.011875103125</v>
      </c>
      <c r="H89" s="104" t="s">
        <v>13</v>
      </c>
      <c r="I89" s="40">
        <v>0.35</v>
      </c>
      <c r="J89" s="61">
        <f t="shared" si="19"/>
        <v>24.70771881703125</v>
      </c>
      <c r="K89" s="186"/>
      <c r="L89" s="105"/>
      <c r="M89" s="62">
        <f t="shared" si="20"/>
        <v>0</v>
      </c>
      <c r="N89" s="106" t="s">
        <v>37</v>
      </c>
    </row>
    <row r="90" spans="1:14" s="94" customFormat="1" ht="23.4" hidden="1" x14ac:dyDescent="0.45">
      <c r="A90" s="107" t="s">
        <v>120</v>
      </c>
      <c r="B90" s="34">
        <v>1221</v>
      </c>
      <c r="C90" s="71">
        <v>7898108642177</v>
      </c>
      <c r="D90" s="70" t="s">
        <v>80</v>
      </c>
      <c r="E90" s="36">
        <v>35.271074999999996</v>
      </c>
      <c r="F90" s="37">
        <v>0.35</v>
      </c>
      <c r="G90" s="38">
        <f t="shared" si="18"/>
        <v>22.926198749999998</v>
      </c>
      <c r="H90" s="39" t="s">
        <v>13</v>
      </c>
      <c r="I90" s="40">
        <v>0.35</v>
      </c>
      <c r="J90" s="41">
        <f t="shared" si="19"/>
        <v>14.902029187499998</v>
      </c>
      <c r="K90" s="183"/>
      <c r="L90" s="42"/>
      <c r="M90" s="43">
        <f t="shared" si="20"/>
        <v>0</v>
      </c>
    </row>
    <row r="91" spans="1:14" s="94" customFormat="1" ht="23.4" hidden="1" x14ac:dyDescent="0.45">
      <c r="A91" s="107" t="s">
        <v>121</v>
      </c>
      <c r="B91" s="34">
        <v>1248</v>
      </c>
      <c r="C91" s="71">
        <v>7898108643327</v>
      </c>
      <c r="D91" s="70" t="s">
        <v>22</v>
      </c>
      <c r="E91" s="36">
        <v>17.675499999999996</v>
      </c>
      <c r="F91" s="37">
        <v>0.35</v>
      </c>
      <c r="G91" s="38">
        <f t="shared" si="18"/>
        <v>11.489074999999998</v>
      </c>
      <c r="H91" s="39" t="s">
        <v>13</v>
      </c>
      <c r="I91" s="40">
        <v>0.35</v>
      </c>
      <c r="J91" s="41">
        <f t="shared" si="19"/>
        <v>7.4678987499999989</v>
      </c>
      <c r="K91" s="183"/>
      <c r="L91" s="42"/>
      <c r="M91" s="43">
        <f t="shared" si="20"/>
        <v>0</v>
      </c>
    </row>
    <row r="92" spans="1:14" s="94" customFormat="1" ht="23.4" x14ac:dyDescent="0.45">
      <c r="A92" s="107" t="s">
        <v>122</v>
      </c>
      <c r="B92" s="34">
        <v>1150</v>
      </c>
      <c r="C92" s="51">
        <v>7898108640081</v>
      </c>
      <c r="D92" s="34" t="s">
        <v>68</v>
      </c>
      <c r="E92" s="36">
        <v>35.665323749999999</v>
      </c>
      <c r="F92" s="37">
        <v>0.4</v>
      </c>
      <c r="G92" s="38">
        <f t="shared" si="18"/>
        <v>21.399194250000001</v>
      </c>
      <c r="H92" s="39" t="s">
        <v>13</v>
      </c>
      <c r="I92" s="40">
        <v>0.35</v>
      </c>
      <c r="J92" s="41">
        <f t="shared" si="19"/>
        <v>13.9094762625</v>
      </c>
      <c r="K92" s="183"/>
      <c r="L92" s="42"/>
      <c r="M92" s="43">
        <f t="shared" si="20"/>
        <v>0</v>
      </c>
    </row>
    <row r="93" spans="1:14" s="44" customFormat="1" ht="42" customHeight="1" x14ac:dyDescent="0.45">
      <c r="A93" s="107" t="s">
        <v>123</v>
      </c>
      <c r="B93" s="34">
        <v>584</v>
      </c>
      <c r="C93" s="108">
        <v>7898108640562</v>
      </c>
      <c r="D93" s="34" t="s">
        <v>68</v>
      </c>
      <c r="E93" s="36">
        <v>35.665323749999999</v>
      </c>
      <c r="F93" s="37">
        <v>0.4</v>
      </c>
      <c r="G93" s="38">
        <f t="shared" si="18"/>
        <v>21.399194250000001</v>
      </c>
      <c r="H93" s="39" t="s">
        <v>13</v>
      </c>
      <c r="I93" s="40">
        <v>0.35</v>
      </c>
      <c r="J93" s="41">
        <f t="shared" si="19"/>
        <v>13.9094762625</v>
      </c>
      <c r="K93" s="183"/>
      <c r="L93" s="42"/>
      <c r="M93" s="43">
        <f t="shared" si="20"/>
        <v>0</v>
      </c>
    </row>
    <row r="94" spans="1:14" s="44" customFormat="1" ht="44.25" customHeight="1" x14ac:dyDescent="0.45">
      <c r="A94" s="107" t="s">
        <v>124</v>
      </c>
      <c r="B94" s="34">
        <v>582</v>
      </c>
      <c r="C94" s="108">
        <v>7898108640555</v>
      </c>
      <c r="D94" s="34" t="s">
        <v>68</v>
      </c>
      <c r="E94" s="36">
        <v>35.665323749999999</v>
      </c>
      <c r="F94" s="37">
        <v>0.4</v>
      </c>
      <c r="G94" s="38">
        <f t="shared" si="18"/>
        <v>21.399194250000001</v>
      </c>
      <c r="H94" s="39" t="s">
        <v>13</v>
      </c>
      <c r="I94" s="40">
        <v>0.35</v>
      </c>
      <c r="J94" s="41">
        <f t="shared" si="19"/>
        <v>13.9094762625</v>
      </c>
      <c r="K94" s="183"/>
      <c r="L94" s="42"/>
      <c r="M94" s="43">
        <f t="shared" si="20"/>
        <v>0</v>
      </c>
    </row>
    <row r="95" spans="1:14" s="44" customFormat="1" ht="43.2" customHeight="1" x14ac:dyDescent="0.45">
      <c r="A95" s="107" t="s">
        <v>125</v>
      </c>
      <c r="B95" s="34">
        <v>580</v>
      </c>
      <c r="C95" s="35">
        <v>7898108640548</v>
      </c>
      <c r="D95" s="34" t="s">
        <v>68</v>
      </c>
      <c r="E95" s="36">
        <v>35.665323749999999</v>
      </c>
      <c r="F95" s="37">
        <v>0.4</v>
      </c>
      <c r="G95" s="38">
        <f t="shared" si="18"/>
        <v>21.399194250000001</v>
      </c>
      <c r="H95" s="39" t="s">
        <v>13</v>
      </c>
      <c r="I95" s="40">
        <v>0.35</v>
      </c>
      <c r="J95" s="41">
        <f t="shared" si="19"/>
        <v>13.9094762625</v>
      </c>
      <c r="K95" s="183"/>
      <c r="L95" s="42"/>
      <c r="M95" s="43">
        <f t="shared" si="20"/>
        <v>0</v>
      </c>
    </row>
    <row r="96" spans="1:14" s="44" customFormat="1" ht="23.4" hidden="1" x14ac:dyDescent="0.45">
      <c r="A96" s="107" t="s">
        <v>126</v>
      </c>
      <c r="B96" s="34">
        <v>1313</v>
      </c>
      <c r="C96" s="71">
        <v>7898108642344</v>
      </c>
      <c r="D96" s="34" t="s">
        <v>22</v>
      </c>
      <c r="E96" s="36">
        <v>17.663999999999998</v>
      </c>
      <c r="F96" s="37">
        <v>0.3</v>
      </c>
      <c r="G96" s="38">
        <f t="shared" si="18"/>
        <v>12.364799999999999</v>
      </c>
      <c r="H96" s="39" t="s">
        <v>13</v>
      </c>
      <c r="I96" s="40">
        <v>0.35</v>
      </c>
      <c r="J96" s="41">
        <f t="shared" si="19"/>
        <v>8.0371199999999998</v>
      </c>
      <c r="K96" s="183"/>
      <c r="L96" s="42"/>
      <c r="M96" s="43">
        <f t="shared" si="20"/>
        <v>0</v>
      </c>
    </row>
    <row r="97" spans="1:13" s="44" customFormat="1" ht="23.4" hidden="1" x14ac:dyDescent="0.45">
      <c r="A97" s="107" t="s">
        <v>127</v>
      </c>
      <c r="B97" s="34">
        <v>1340</v>
      </c>
      <c r="C97" s="53">
        <v>7898108643297</v>
      </c>
      <c r="D97" s="34" t="s">
        <v>68</v>
      </c>
      <c r="E97" s="36">
        <v>10.096999999999998</v>
      </c>
      <c r="F97" s="37">
        <v>0.3</v>
      </c>
      <c r="G97" s="38">
        <f t="shared" si="18"/>
        <v>7.0678999999999981</v>
      </c>
      <c r="H97" s="39" t="s">
        <v>13</v>
      </c>
      <c r="I97" s="40">
        <v>0.35</v>
      </c>
      <c r="J97" s="41">
        <f t="shared" si="19"/>
        <v>4.5941349999999987</v>
      </c>
      <c r="K97" s="183"/>
      <c r="L97" s="42"/>
      <c r="M97" s="43">
        <f t="shared" si="20"/>
        <v>0</v>
      </c>
    </row>
    <row r="98" spans="1:13" s="116" customFormat="1" ht="23.4" hidden="1" x14ac:dyDescent="0.45">
      <c r="A98" s="109" t="s">
        <v>128</v>
      </c>
      <c r="B98" s="34">
        <v>1946</v>
      </c>
      <c r="C98" s="110">
        <v>7898108645048</v>
      </c>
      <c r="D98" s="34" t="s">
        <v>12</v>
      </c>
      <c r="E98" s="111">
        <v>12.615499999999999</v>
      </c>
      <c r="F98" s="37">
        <v>0.3</v>
      </c>
      <c r="G98" s="112">
        <f t="shared" si="18"/>
        <v>8.8308499999999999</v>
      </c>
      <c r="H98" s="113" t="s">
        <v>13</v>
      </c>
      <c r="I98" s="40">
        <v>0.35</v>
      </c>
      <c r="J98" s="41">
        <f t="shared" si="19"/>
        <v>5.7400525</v>
      </c>
      <c r="K98" s="183"/>
      <c r="L98" s="114"/>
      <c r="M98" s="115">
        <f t="shared" si="20"/>
        <v>0</v>
      </c>
    </row>
    <row r="99" spans="1:13" s="116" customFormat="1" ht="23.4" hidden="1" x14ac:dyDescent="0.45">
      <c r="A99" s="63" t="s">
        <v>129</v>
      </c>
      <c r="B99" s="64"/>
      <c r="C99" s="72"/>
      <c r="D99" s="65"/>
      <c r="E99" s="66"/>
      <c r="F99" s="66"/>
      <c r="G99" s="66"/>
      <c r="H99" s="66"/>
      <c r="I99" s="66"/>
      <c r="J99" s="67"/>
      <c r="K99" s="67"/>
      <c r="L99" s="66"/>
      <c r="M99" s="68"/>
    </row>
    <row r="100" spans="1:13" s="116" customFormat="1" ht="23.4" hidden="1" x14ac:dyDescent="0.45">
      <c r="A100" s="33" t="s">
        <v>130</v>
      </c>
      <c r="B100" s="34">
        <v>1949</v>
      </c>
      <c r="C100" s="83">
        <v>7898108644393</v>
      </c>
      <c r="D100" s="34" t="s">
        <v>97</v>
      </c>
      <c r="E100" s="117">
        <v>9.8000000000000007</v>
      </c>
      <c r="F100" s="47">
        <v>0.45</v>
      </c>
      <c r="G100" s="118">
        <f t="shared" ref="G100:G107" si="21">E100-(E100*F100)</f>
        <v>5.3900000000000006</v>
      </c>
      <c r="H100" s="48" t="s">
        <v>13</v>
      </c>
      <c r="I100" s="40">
        <v>0.35</v>
      </c>
      <c r="J100" s="41">
        <f t="shared" ref="J100:J107" si="22">G100-(G100*I100)</f>
        <v>3.5035000000000007</v>
      </c>
      <c r="K100" s="183"/>
      <c r="L100" s="77"/>
      <c r="M100" s="43">
        <f t="shared" ref="M100:M107" si="23">L100*J100</f>
        <v>0</v>
      </c>
    </row>
    <row r="101" spans="1:13" s="116" customFormat="1" ht="23.4" hidden="1" x14ac:dyDescent="0.45">
      <c r="A101" s="109" t="s">
        <v>131</v>
      </c>
      <c r="B101" s="34">
        <v>1914</v>
      </c>
      <c r="C101" s="53">
        <v>7898108643303</v>
      </c>
      <c r="D101" s="34" t="s">
        <v>12</v>
      </c>
      <c r="E101" s="119">
        <v>10.97</v>
      </c>
      <c r="F101" s="47">
        <v>0.3</v>
      </c>
      <c r="G101" s="120">
        <f t="shared" si="21"/>
        <v>7.6790000000000003</v>
      </c>
      <c r="H101" s="121" t="s">
        <v>13</v>
      </c>
      <c r="I101" s="40">
        <v>0.35</v>
      </c>
      <c r="J101" s="41">
        <f t="shared" si="22"/>
        <v>4.9913500000000006</v>
      </c>
      <c r="K101" s="183"/>
      <c r="L101" s="122"/>
      <c r="M101" s="115">
        <f t="shared" si="23"/>
        <v>0</v>
      </c>
    </row>
    <row r="102" spans="1:13" s="116" customFormat="1" ht="23.4" hidden="1" x14ac:dyDescent="0.45">
      <c r="A102" s="109" t="s">
        <v>132</v>
      </c>
      <c r="B102" s="34">
        <v>1915</v>
      </c>
      <c r="C102" s="51">
        <v>7898108643310</v>
      </c>
      <c r="D102" s="34" t="s">
        <v>12</v>
      </c>
      <c r="E102" s="119">
        <v>10.97</v>
      </c>
      <c r="F102" s="47">
        <v>0.3</v>
      </c>
      <c r="G102" s="120">
        <f t="shared" si="21"/>
        <v>7.6790000000000003</v>
      </c>
      <c r="H102" s="121" t="s">
        <v>13</v>
      </c>
      <c r="I102" s="40">
        <v>0.35</v>
      </c>
      <c r="J102" s="41">
        <f t="shared" si="22"/>
        <v>4.9913500000000006</v>
      </c>
      <c r="K102" s="183"/>
      <c r="L102" s="122"/>
      <c r="M102" s="115">
        <f t="shared" si="23"/>
        <v>0</v>
      </c>
    </row>
    <row r="103" spans="1:13" s="116" customFormat="1" ht="23.4" hidden="1" x14ac:dyDescent="0.45">
      <c r="A103" s="109" t="s">
        <v>133</v>
      </c>
      <c r="B103" s="34">
        <v>1982</v>
      </c>
      <c r="C103" s="123">
        <v>7898108645772</v>
      </c>
      <c r="D103" s="34" t="s">
        <v>134</v>
      </c>
      <c r="E103" s="117">
        <v>19.98</v>
      </c>
      <c r="F103" s="47">
        <v>0.45</v>
      </c>
      <c r="G103" s="118">
        <f t="shared" si="21"/>
        <v>10.989000000000001</v>
      </c>
      <c r="H103" s="48" t="s">
        <v>13</v>
      </c>
      <c r="I103" s="40">
        <v>0.35</v>
      </c>
      <c r="J103" s="41">
        <f t="shared" si="22"/>
        <v>7.142850000000001</v>
      </c>
      <c r="K103" s="183"/>
      <c r="L103" s="77"/>
      <c r="M103" s="43">
        <f t="shared" si="23"/>
        <v>0</v>
      </c>
    </row>
    <row r="104" spans="1:13" s="116" customFormat="1" ht="23.4" hidden="1" x14ac:dyDescent="0.45">
      <c r="A104" s="109" t="s">
        <v>135</v>
      </c>
      <c r="B104" s="34">
        <v>1983</v>
      </c>
      <c r="C104" s="123">
        <v>7898108645789</v>
      </c>
      <c r="D104" s="34" t="s">
        <v>134</v>
      </c>
      <c r="E104" s="117">
        <v>19.98</v>
      </c>
      <c r="F104" s="47">
        <v>0.45</v>
      </c>
      <c r="G104" s="118">
        <f t="shared" si="21"/>
        <v>10.989000000000001</v>
      </c>
      <c r="H104" s="48" t="s">
        <v>13</v>
      </c>
      <c r="I104" s="40">
        <v>0.35</v>
      </c>
      <c r="J104" s="41">
        <f t="shared" si="22"/>
        <v>7.142850000000001</v>
      </c>
      <c r="K104" s="183"/>
      <c r="L104" s="77"/>
      <c r="M104" s="43">
        <f t="shared" si="23"/>
        <v>0</v>
      </c>
    </row>
    <row r="105" spans="1:13" s="116" customFormat="1" ht="23.4" hidden="1" x14ac:dyDescent="0.45">
      <c r="A105" s="109" t="s">
        <v>136</v>
      </c>
      <c r="B105" s="34">
        <v>1970</v>
      </c>
      <c r="C105" s="110">
        <v>7898108644478</v>
      </c>
      <c r="D105" s="34"/>
      <c r="E105" s="119">
        <v>11.42</v>
      </c>
      <c r="F105" s="47">
        <v>0.3</v>
      </c>
      <c r="G105" s="120">
        <f t="shared" si="21"/>
        <v>7.9939999999999998</v>
      </c>
      <c r="H105" s="121" t="s">
        <v>13</v>
      </c>
      <c r="I105" s="40">
        <v>0.35</v>
      </c>
      <c r="J105" s="41">
        <f t="shared" si="22"/>
        <v>5.1960999999999995</v>
      </c>
      <c r="K105" s="183"/>
      <c r="L105" s="122"/>
      <c r="M105" s="115">
        <f t="shared" si="23"/>
        <v>0</v>
      </c>
    </row>
    <row r="106" spans="1:13" s="116" customFormat="1" ht="23.4" hidden="1" x14ac:dyDescent="0.45">
      <c r="A106" s="109" t="s">
        <v>137</v>
      </c>
      <c r="B106" s="34">
        <v>1939</v>
      </c>
      <c r="C106" s="110">
        <v>7898108644485</v>
      </c>
      <c r="D106" s="34"/>
      <c r="E106" s="119">
        <v>11.42</v>
      </c>
      <c r="F106" s="47">
        <v>0.3</v>
      </c>
      <c r="G106" s="120">
        <f t="shared" si="21"/>
        <v>7.9939999999999998</v>
      </c>
      <c r="H106" s="121" t="s">
        <v>13</v>
      </c>
      <c r="I106" s="40">
        <v>0.35</v>
      </c>
      <c r="J106" s="41">
        <f t="shared" si="22"/>
        <v>5.1960999999999995</v>
      </c>
      <c r="K106" s="183"/>
      <c r="L106" s="122"/>
      <c r="M106" s="115">
        <f t="shared" si="23"/>
        <v>0</v>
      </c>
    </row>
    <row r="107" spans="1:13" s="116" customFormat="1" ht="23.4" hidden="1" x14ac:dyDescent="0.45">
      <c r="A107" s="109" t="s">
        <v>138</v>
      </c>
      <c r="B107" s="34">
        <v>1998</v>
      </c>
      <c r="C107" s="110">
        <v>7898108645819</v>
      </c>
      <c r="D107" s="34"/>
      <c r="E107" s="119">
        <v>11.42</v>
      </c>
      <c r="F107" s="47">
        <v>0.3</v>
      </c>
      <c r="G107" s="120">
        <f t="shared" si="21"/>
        <v>7.9939999999999998</v>
      </c>
      <c r="H107" s="121" t="s">
        <v>13</v>
      </c>
      <c r="I107" s="40">
        <v>0.35</v>
      </c>
      <c r="J107" s="41">
        <f t="shared" si="22"/>
        <v>5.1960999999999995</v>
      </c>
      <c r="K107" s="183"/>
      <c r="L107" s="122"/>
      <c r="M107" s="115">
        <f t="shared" si="23"/>
        <v>0</v>
      </c>
    </row>
    <row r="108" spans="1:13" s="44" customFormat="1" ht="43.5" customHeight="1" x14ac:dyDescent="0.3">
      <c r="A108" s="27" t="s">
        <v>139</v>
      </c>
      <c r="B108" s="28"/>
      <c r="C108" s="29"/>
      <c r="D108" s="29"/>
      <c r="E108" s="30"/>
      <c r="F108" s="30"/>
      <c r="G108" s="30"/>
      <c r="H108" s="30"/>
      <c r="I108" s="30"/>
      <c r="J108" s="31"/>
      <c r="K108" s="31"/>
      <c r="L108" s="30"/>
      <c r="M108" s="32"/>
    </row>
    <row r="109" spans="1:13" s="44" customFormat="1" ht="21.75" customHeight="1" x14ac:dyDescent="0.35">
      <c r="A109" s="63" t="s">
        <v>140</v>
      </c>
      <c r="B109" s="64" t="s">
        <v>141</v>
      </c>
      <c r="C109" s="65"/>
      <c r="D109" s="65" t="s">
        <v>142</v>
      </c>
      <c r="E109" s="66"/>
      <c r="F109" s="66"/>
      <c r="G109" s="66"/>
      <c r="H109" s="66"/>
      <c r="I109" s="66"/>
      <c r="J109" s="67"/>
      <c r="K109" s="67"/>
      <c r="L109" s="66"/>
      <c r="M109" s="68"/>
    </row>
    <row r="110" spans="1:13" s="44" customFormat="1" ht="21.75" customHeight="1" x14ac:dyDescent="0.45">
      <c r="A110" s="33" t="s">
        <v>143</v>
      </c>
      <c r="B110" s="34">
        <v>8</v>
      </c>
      <c r="C110" s="51">
        <v>7898108640999</v>
      </c>
      <c r="D110" s="34" t="s">
        <v>144</v>
      </c>
      <c r="E110" s="36">
        <v>5.2284749999999995</v>
      </c>
      <c r="F110" s="37">
        <v>0.4</v>
      </c>
      <c r="G110" s="90">
        <f t="shared" ref="G110:G142" si="24">E110-(E110*F110)</f>
        <v>3.1370849999999995</v>
      </c>
      <c r="H110" s="39" t="s">
        <v>13</v>
      </c>
      <c r="I110" s="40">
        <v>0.35</v>
      </c>
      <c r="J110" s="41">
        <f t="shared" ref="J110:J142" si="25">G110-(G110*I110)</f>
        <v>2.0391052499999995</v>
      </c>
      <c r="K110" s="183"/>
      <c r="L110" s="42"/>
      <c r="M110" s="43">
        <f t="shared" ref="M110:M142" si="26">L110*J110</f>
        <v>0</v>
      </c>
    </row>
    <row r="111" spans="1:13" s="44" customFormat="1" ht="21.75" customHeight="1" x14ac:dyDescent="0.45">
      <c r="A111" s="33" t="s">
        <v>145</v>
      </c>
      <c r="B111" s="34">
        <v>9</v>
      </c>
      <c r="C111" s="51">
        <v>7898108641002</v>
      </c>
      <c r="D111" s="34" t="s">
        <v>146</v>
      </c>
      <c r="E111" s="36">
        <v>10.058475</v>
      </c>
      <c r="F111" s="37">
        <v>0.4</v>
      </c>
      <c r="G111" s="90">
        <f t="shared" si="24"/>
        <v>6.0350849999999996</v>
      </c>
      <c r="H111" s="39" t="s">
        <v>13</v>
      </c>
      <c r="I111" s="40">
        <v>0.35</v>
      </c>
      <c r="J111" s="41">
        <f t="shared" si="25"/>
        <v>3.9228052499999997</v>
      </c>
      <c r="K111" s="183"/>
      <c r="L111" s="42"/>
      <c r="M111" s="43">
        <f t="shared" si="26"/>
        <v>0</v>
      </c>
    </row>
    <row r="112" spans="1:13" s="44" customFormat="1" ht="21.75" customHeight="1" x14ac:dyDescent="0.45">
      <c r="A112" s="33" t="s">
        <v>147</v>
      </c>
      <c r="B112" s="34">
        <v>10</v>
      </c>
      <c r="C112" s="51">
        <v>7898108640937</v>
      </c>
      <c r="D112" s="34" t="s">
        <v>85</v>
      </c>
      <c r="E112" s="36">
        <v>15.794099999999998</v>
      </c>
      <c r="F112" s="37">
        <v>0.4</v>
      </c>
      <c r="G112" s="90">
        <f t="shared" si="24"/>
        <v>9.4764599999999994</v>
      </c>
      <c r="H112" s="39" t="s">
        <v>13</v>
      </c>
      <c r="I112" s="40">
        <v>0.35</v>
      </c>
      <c r="J112" s="41">
        <f t="shared" si="25"/>
        <v>6.1596989999999998</v>
      </c>
      <c r="K112" s="183"/>
      <c r="L112" s="42"/>
      <c r="M112" s="43">
        <f t="shared" si="26"/>
        <v>0</v>
      </c>
    </row>
    <row r="113" spans="1:13" s="44" customFormat="1" ht="21.75" customHeight="1" x14ac:dyDescent="0.45">
      <c r="A113" s="33" t="s">
        <v>148</v>
      </c>
      <c r="B113" s="34">
        <v>11</v>
      </c>
      <c r="C113" s="45">
        <v>7898108640944</v>
      </c>
      <c r="D113" s="34" t="s">
        <v>146</v>
      </c>
      <c r="E113" s="36">
        <v>25.357499999999998</v>
      </c>
      <c r="F113" s="37">
        <v>0.4</v>
      </c>
      <c r="G113" s="90">
        <f t="shared" si="24"/>
        <v>15.214499999999997</v>
      </c>
      <c r="H113" s="39" t="s">
        <v>13</v>
      </c>
      <c r="I113" s="40">
        <v>0.35</v>
      </c>
      <c r="J113" s="41">
        <f t="shared" si="25"/>
        <v>9.8894249999999992</v>
      </c>
      <c r="K113" s="183"/>
      <c r="L113" s="42"/>
      <c r="M113" s="43">
        <f t="shared" si="26"/>
        <v>0</v>
      </c>
    </row>
    <row r="114" spans="1:13" s="44" customFormat="1" ht="21.75" customHeight="1" x14ac:dyDescent="0.45">
      <c r="A114" s="33" t="s">
        <v>149</v>
      </c>
      <c r="B114" s="34">
        <v>12</v>
      </c>
      <c r="C114" s="46">
        <v>7898108640951</v>
      </c>
      <c r="D114" s="34" t="s">
        <v>15</v>
      </c>
      <c r="E114" s="36">
        <v>38.217374999999997</v>
      </c>
      <c r="F114" s="37">
        <v>0.4</v>
      </c>
      <c r="G114" s="90">
        <f t="shared" si="24"/>
        <v>22.930425</v>
      </c>
      <c r="H114" s="39" t="s">
        <v>13</v>
      </c>
      <c r="I114" s="40">
        <v>0.35</v>
      </c>
      <c r="J114" s="41">
        <f t="shared" si="25"/>
        <v>14.904776249999999</v>
      </c>
      <c r="K114" s="183"/>
      <c r="L114" s="42"/>
      <c r="M114" s="43">
        <f t="shared" si="26"/>
        <v>0</v>
      </c>
    </row>
    <row r="115" spans="1:13" s="44" customFormat="1" ht="21.75" customHeight="1" x14ac:dyDescent="0.45">
      <c r="A115" s="33" t="s">
        <v>150</v>
      </c>
      <c r="B115" s="34">
        <v>40</v>
      </c>
      <c r="C115" s="51">
        <v>7898108640395</v>
      </c>
      <c r="D115" s="34" t="s">
        <v>151</v>
      </c>
      <c r="E115" s="36">
        <v>15.129974999999998</v>
      </c>
      <c r="F115" s="37">
        <v>0.4</v>
      </c>
      <c r="G115" s="90">
        <f t="shared" si="24"/>
        <v>9.0779849999999982</v>
      </c>
      <c r="H115" s="39" t="s">
        <v>13</v>
      </c>
      <c r="I115" s="40">
        <v>0.35</v>
      </c>
      <c r="J115" s="41">
        <f t="shared" si="25"/>
        <v>5.9006902499999985</v>
      </c>
      <c r="K115" s="183"/>
      <c r="L115" s="42"/>
      <c r="M115" s="43">
        <f t="shared" si="26"/>
        <v>0</v>
      </c>
    </row>
    <row r="116" spans="1:13" s="44" customFormat="1" ht="21.75" customHeight="1" x14ac:dyDescent="0.45">
      <c r="A116" s="33" t="s">
        <v>152</v>
      </c>
      <c r="B116" s="34">
        <v>41</v>
      </c>
      <c r="C116" s="51">
        <v>7898108640401</v>
      </c>
      <c r="D116" s="34" t="s">
        <v>15</v>
      </c>
      <c r="E116" s="36">
        <v>24.729600000000001</v>
      </c>
      <c r="F116" s="37">
        <v>0.4</v>
      </c>
      <c r="G116" s="90">
        <f t="shared" si="24"/>
        <v>14.837759999999999</v>
      </c>
      <c r="H116" s="39" t="s">
        <v>13</v>
      </c>
      <c r="I116" s="40">
        <v>0.35</v>
      </c>
      <c r="J116" s="41">
        <f t="shared" si="25"/>
        <v>9.6445439999999998</v>
      </c>
      <c r="K116" s="183"/>
      <c r="L116" s="42"/>
      <c r="M116" s="43">
        <f t="shared" si="26"/>
        <v>0</v>
      </c>
    </row>
    <row r="117" spans="1:13" s="44" customFormat="1" ht="21.75" hidden="1" customHeight="1" x14ac:dyDescent="0.45">
      <c r="A117" s="33" t="s">
        <v>153</v>
      </c>
      <c r="B117" s="34">
        <v>38</v>
      </c>
      <c r="C117" s="51">
        <v>7898108640388</v>
      </c>
      <c r="D117" s="34" t="s">
        <v>85</v>
      </c>
      <c r="E117" s="36">
        <v>21.481424999999998</v>
      </c>
      <c r="F117" s="37">
        <v>0.4</v>
      </c>
      <c r="G117" s="90">
        <f t="shared" si="24"/>
        <v>12.888854999999998</v>
      </c>
      <c r="H117" s="39" t="s">
        <v>13</v>
      </c>
      <c r="I117" s="40">
        <v>0.35</v>
      </c>
      <c r="J117" s="41">
        <f t="shared" si="25"/>
        <v>8.3777557499999986</v>
      </c>
      <c r="K117" s="183"/>
      <c r="L117" s="42"/>
      <c r="M117" s="43">
        <f t="shared" si="26"/>
        <v>0</v>
      </c>
    </row>
    <row r="118" spans="1:13" s="44" customFormat="1" ht="21.75" hidden="1" customHeight="1" x14ac:dyDescent="0.45">
      <c r="A118" s="33" t="s">
        <v>154</v>
      </c>
      <c r="B118" s="34">
        <v>39</v>
      </c>
      <c r="C118" s="51">
        <v>7898108640371</v>
      </c>
      <c r="D118" s="34" t="s">
        <v>146</v>
      </c>
      <c r="E118" s="36">
        <v>35.259</v>
      </c>
      <c r="F118" s="37">
        <v>0.4</v>
      </c>
      <c r="G118" s="90">
        <f t="shared" si="24"/>
        <v>21.1554</v>
      </c>
      <c r="H118" s="39" t="s">
        <v>13</v>
      </c>
      <c r="I118" s="40">
        <v>0.35</v>
      </c>
      <c r="J118" s="41">
        <f t="shared" si="25"/>
        <v>13.751010000000001</v>
      </c>
      <c r="K118" s="183"/>
      <c r="L118" s="42"/>
      <c r="M118" s="43">
        <f t="shared" si="26"/>
        <v>0</v>
      </c>
    </row>
    <row r="119" spans="1:13" s="44" customFormat="1" ht="21.75" hidden="1" customHeight="1" x14ac:dyDescent="0.45">
      <c r="A119" s="33" t="s">
        <v>155</v>
      </c>
      <c r="B119" s="34">
        <v>17</v>
      </c>
      <c r="C119" s="51">
        <v>7898108640357</v>
      </c>
      <c r="D119" s="34" t="s">
        <v>85</v>
      </c>
      <c r="E119" s="36">
        <v>17.472525000000001</v>
      </c>
      <c r="F119" s="37">
        <v>0.4</v>
      </c>
      <c r="G119" s="90">
        <f t="shared" si="24"/>
        <v>10.483515000000001</v>
      </c>
      <c r="H119" s="39" t="s">
        <v>13</v>
      </c>
      <c r="I119" s="40">
        <v>0.35</v>
      </c>
      <c r="J119" s="41">
        <f t="shared" si="25"/>
        <v>6.8142847500000006</v>
      </c>
      <c r="K119" s="183"/>
      <c r="L119" s="42"/>
      <c r="M119" s="43">
        <f t="shared" si="26"/>
        <v>0</v>
      </c>
    </row>
    <row r="120" spans="1:13" s="44" customFormat="1" ht="21.75" hidden="1" customHeight="1" x14ac:dyDescent="0.45">
      <c r="A120" s="33" t="s">
        <v>156</v>
      </c>
      <c r="B120" s="34">
        <v>18</v>
      </c>
      <c r="C120" s="51">
        <v>7898108640364</v>
      </c>
      <c r="D120" s="34" t="s">
        <v>146</v>
      </c>
      <c r="E120" s="36">
        <v>29.402625</v>
      </c>
      <c r="F120" s="124">
        <v>0.4</v>
      </c>
      <c r="G120" s="125">
        <f t="shared" si="24"/>
        <v>17.641575</v>
      </c>
      <c r="H120" s="126" t="s">
        <v>13</v>
      </c>
      <c r="I120" s="40">
        <v>0.35</v>
      </c>
      <c r="J120" s="41">
        <f t="shared" si="25"/>
        <v>11.467023749999999</v>
      </c>
      <c r="K120" s="183"/>
      <c r="L120" s="42"/>
      <c r="M120" s="43">
        <f t="shared" si="26"/>
        <v>0</v>
      </c>
    </row>
    <row r="121" spans="1:13" s="44" customFormat="1" ht="21.75" hidden="1" customHeight="1" x14ac:dyDescent="0.45">
      <c r="A121" s="73" t="s">
        <v>157</v>
      </c>
      <c r="B121" s="127">
        <v>2240</v>
      </c>
      <c r="C121" s="128"/>
      <c r="D121" s="127" t="s">
        <v>12</v>
      </c>
      <c r="E121" s="129">
        <v>14.317499999999997</v>
      </c>
      <c r="F121" s="124">
        <v>0.4</v>
      </c>
      <c r="G121" s="125">
        <f t="shared" si="24"/>
        <v>8.5904999999999987</v>
      </c>
      <c r="H121" s="126" t="s">
        <v>13</v>
      </c>
      <c r="I121" s="40">
        <v>0.35</v>
      </c>
      <c r="J121" s="130">
        <f t="shared" si="25"/>
        <v>5.5838249999999992</v>
      </c>
      <c r="K121" s="187"/>
      <c r="L121" s="131"/>
      <c r="M121" s="43">
        <f t="shared" si="26"/>
        <v>0</v>
      </c>
    </row>
    <row r="122" spans="1:13" s="44" customFormat="1" ht="21.75" hidden="1" customHeight="1" x14ac:dyDescent="0.45">
      <c r="A122" s="73" t="s">
        <v>158</v>
      </c>
      <c r="B122" s="127">
        <v>2241</v>
      </c>
      <c r="C122" s="128">
        <v>7898108646557</v>
      </c>
      <c r="D122" s="127" t="s">
        <v>80</v>
      </c>
      <c r="E122" s="129">
        <v>23.506</v>
      </c>
      <c r="F122" s="124">
        <v>0.4</v>
      </c>
      <c r="G122" s="125">
        <f t="shared" si="24"/>
        <v>14.1036</v>
      </c>
      <c r="H122" s="126" t="s">
        <v>13</v>
      </c>
      <c r="I122" s="40">
        <v>0.35</v>
      </c>
      <c r="J122" s="130">
        <f t="shared" si="25"/>
        <v>9.1673399999999994</v>
      </c>
      <c r="K122" s="187"/>
      <c r="L122" s="131"/>
      <c r="M122" s="43">
        <f t="shared" si="26"/>
        <v>0</v>
      </c>
    </row>
    <row r="123" spans="1:13" s="44" customFormat="1" ht="21.75" hidden="1" customHeight="1" x14ac:dyDescent="0.45">
      <c r="A123" s="73" t="s">
        <v>159</v>
      </c>
      <c r="B123" s="127" t="s">
        <v>160</v>
      </c>
      <c r="C123" s="128">
        <v>7898108645833</v>
      </c>
      <c r="D123" s="127" t="s">
        <v>161</v>
      </c>
      <c r="E123" s="129">
        <v>7.0379999999999994</v>
      </c>
      <c r="F123" s="124">
        <v>0.4</v>
      </c>
      <c r="G123" s="125">
        <f t="shared" si="24"/>
        <v>4.2227999999999994</v>
      </c>
      <c r="H123" s="126" t="s">
        <v>13</v>
      </c>
      <c r="I123" s="40">
        <v>0.35</v>
      </c>
      <c r="J123" s="130">
        <f t="shared" si="25"/>
        <v>2.7448199999999998</v>
      </c>
      <c r="K123" s="187"/>
      <c r="L123" s="131"/>
      <c r="M123" s="43">
        <f t="shared" si="26"/>
        <v>0</v>
      </c>
    </row>
    <row r="124" spans="1:13" s="44" customFormat="1" ht="21.75" hidden="1" customHeight="1" x14ac:dyDescent="0.45">
      <c r="A124" s="73" t="s">
        <v>162</v>
      </c>
      <c r="B124" s="127" t="s">
        <v>163</v>
      </c>
      <c r="C124" s="128">
        <v>7898108642849</v>
      </c>
      <c r="D124" s="127" t="s">
        <v>161</v>
      </c>
      <c r="E124" s="129">
        <v>6.7159999999999993</v>
      </c>
      <c r="F124" s="124">
        <v>0.4</v>
      </c>
      <c r="G124" s="125">
        <f t="shared" si="24"/>
        <v>4.0295999999999994</v>
      </c>
      <c r="H124" s="126" t="s">
        <v>13</v>
      </c>
      <c r="I124" s="40">
        <v>0.35</v>
      </c>
      <c r="J124" s="130">
        <f t="shared" si="25"/>
        <v>2.6192399999999996</v>
      </c>
      <c r="K124" s="187"/>
      <c r="L124" s="131"/>
      <c r="M124" s="43">
        <f t="shared" si="26"/>
        <v>0</v>
      </c>
    </row>
    <row r="125" spans="1:13" s="44" customFormat="1" ht="21.75" hidden="1" customHeight="1" x14ac:dyDescent="0.45">
      <c r="A125" s="73" t="s">
        <v>164</v>
      </c>
      <c r="B125" s="127">
        <v>2139</v>
      </c>
      <c r="C125" s="128">
        <v>7898108645840</v>
      </c>
      <c r="D125" s="127" t="s">
        <v>12</v>
      </c>
      <c r="E125" s="129">
        <v>11.637999999999998</v>
      </c>
      <c r="F125" s="124">
        <v>0.4</v>
      </c>
      <c r="G125" s="125">
        <f t="shared" si="24"/>
        <v>6.9827999999999983</v>
      </c>
      <c r="H125" s="126" t="s">
        <v>13</v>
      </c>
      <c r="I125" s="40">
        <v>0.35</v>
      </c>
      <c r="J125" s="130">
        <f t="shared" si="25"/>
        <v>4.5388199999999994</v>
      </c>
      <c r="K125" s="187"/>
      <c r="L125" s="131"/>
      <c r="M125" s="43">
        <f t="shared" si="26"/>
        <v>0</v>
      </c>
    </row>
    <row r="126" spans="1:13" s="44" customFormat="1" ht="21.75" hidden="1" customHeight="1" x14ac:dyDescent="0.45">
      <c r="A126" s="73" t="s">
        <v>165</v>
      </c>
      <c r="B126" s="127">
        <v>2016</v>
      </c>
      <c r="C126" s="128">
        <v>7898108642863</v>
      </c>
      <c r="D126" s="127" t="s">
        <v>12</v>
      </c>
      <c r="E126" s="129">
        <v>10.522499999999999</v>
      </c>
      <c r="F126" s="124">
        <v>0.4</v>
      </c>
      <c r="G126" s="125">
        <f t="shared" si="24"/>
        <v>6.3134999999999994</v>
      </c>
      <c r="H126" s="126" t="s">
        <v>13</v>
      </c>
      <c r="I126" s="40">
        <v>0.35</v>
      </c>
      <c r="J126" s="130">
        <f t="shared" si="25"/>
        <v>4.1037749999999997</v>
      </c>
      <c r="K126" s="187"/>
      <c r="L126" s="131"/>
      <c r="M126" s="43">
        <f t="shared" si="26"/>
        <v>0</v>
      </c>
    </row>
    <row r="127" spans="1:13" s="44" customFormat="1" ht="21.75" hidden="1" customHeight="1" x14ac:dyDescent="0.45">
      <c r="A127" s="73" t="s">
        <v>166</v>
      </c>
      <c r="B127" s="127">
        <v>2018</v>
      </c>
      <c r="C127" s="128"/>
      <c r="D127" s="127" t="s">
        <v>80</v>
      </c>
      <c r="E127" s="129">
        <v>19.595999999999997</v>
      </c>
      <c r="F127" s="124">
        <v>0.4</v>
      </c>
      <c r="G127" s="125">
        <f t="shared" si="24"/>
        <v>11.757599999999996</v>
      </c>
      <c r="H127" s="126" t="s">
        <v>13</v>
      </c>
      <c r="I127" s="40">
        <v>0.35</v>
      </c>
      <c r="J127" s="130">
        <f t="shared" si="25"/>
        <v>7.6424399999999979</v>
      </c>
      <c r="K127" s="187"/>
      <c r="L127" s="131"/>
      <c r="M127" s="43">
        <f t="shared" si="26"/>
        <v>0</v>
      </c>
    </row>
    <row r="128" spans="1:13" s="44" customFormat="1" ht="21.75" hidden="1" customHeight="1" x14ac:dyDescent="0.45">
      <c r="A128" s="73" t="s">
        <v>167</v>
      </c>
      <c r="B128" s="127">
        <v>2017</v>
      </c>
      <c r="C128" s="128">
        <v>7898108642856</v>
      </c>
      <c r="D128" s="127" t="s">
        <v>80</v>
      </c>
      <c r="E128" s="129">
        <v>16.904999999999998</v>
      </c>
      <c r="F128" s="124">
        <v>0.4</v>
      </c>
      <c r="G128" s="125">
        <f t="shared" si="24"/>
        <v>10.142999999999997</v>
      </c>
      <c r="H128" s="126" t="s">
        <v>13</v>
      </c>
      <c r="I128" s="40">
        <v>0.35</v>
      </c>
      <c r="J128" s="130">
        <f t="shared" si="25"/>
        <v>6.5929499999999983</v>
      </c>
      <c r="K128" s="187"/>
      <c r="L128" s="131"/>
      <c r="M128" s="43">
        <f t="shared" si="26"/>
        <v>0</v>
      </c>
    </row>
    <row r="129" spans="1:13" s="44" customFormat="1" ht="21.75" hidden="1" customHeight="1" x14ac:dyDescent="0.45">
      <c r="A129" s="73" t="s">
        <v>168</v>
      </c>
      <c r="B129" s="127" t="s">
        <v>169</v>
      </c>
      <c r="C129" s="128">
        <v>7898108645888</v>
      </c>
      <c r="D129" s="127" t="s">
        <v>161</v>
      </c>
      <c r="E129" s="129">
        <v>6.8884999999999996</v>
      </c>
      <c r="F129" s="124">
        <v>0.4</v>
      </c>
      <c r="G129" s="125">
        <f t="shared" si="24"/>
        <v>4.1330999999999998</v>
      </c>
      <c r="H129" s="126" t="s">
        <v>13</v>
      </c>
      <c r="I129" s="40">
        <v>0.35</v>
      </c>
      <c r="J129" s="130">
        <f t="shared" si="25"/>
        <v>2.686515</v>
      </c>
      <c r="K129" s="187"/>
      <c r="L129" s="131"/>
      <c r="M129" s="43">
        <f t="shared" si="26"/>
        <v>0</v>
      </c>
    </row>
    <row r="130" spans="1:13" s="44" customFormat="1" ht="21.75" hidden="1" customHeight="1" x14ac:dyDescent="0.45">
      <c r="A130" s="73" t="s">
        <v>170</v>
      </c>
      <c r="B130" s="127" t="s">
        <v>171</v>
      </c>
      <c r="C130" s="128">
        <v>7898108645857</v>
      </c>
      <c r="D130" s="127" t="s">
        <v>161</v>
      </c>
      <c r="E130" s="129">
        <v>6.5549999999999997</v>
      </c>
      <c r="F130" s="124">
        <v>0.4</v>
      </c>
      <c r="G130" s="125">
        <f t="shared" si="24"/>
        <v>3.9329999999999998</v>
      </c>
      <c r="H130" s="126" t="s">
        <v>13</v>
      </c>
      <c r="I130" s="40">
        <v>0.35</v>
      </c>
      <c r="J130" s="130">
        <f t="shared" si="25"/>
        <v>2.5564499999999999</v>
      </c>
      <c r="K130" s="187"/>
      <c r="L130" s="131"/>
      <c r="M130" s="43">
        <f t="shared" si="26"/>
        <v>0</v>
      </c>
    </row>
    <row r="131" spans="1:13" s="44" customFormat="1" ht="21.75" hidden="1" customHeight="1" x14ac:dyDescent="0.45">
      <c r="A131" s="73" t="s">
        <v>172</v>
      </c>
      <c r="B131" s="127" t="s">
        <v>173</v>
      </c>
      <c r="C131" s="128">
        <v>7898108645901</v>
      </c>
      <c r="D131" s="127" t="s">
        <v>12</v>
      </c>
      <c r="E131" s="129">
        <v>10.579999999999998</v>
      </c>
      <c r="F131" s="124">
        <v>0.4</v>
      </c>
      <c r="G131" s="125">
        <f t="shared" si="24"/>
        <v>6.347999999999999</v>
      </c>
      <c r="H131" s="126" t="s">
        <v>13</v>
      </c>
      <c r="I131" s="40">
        <v>0.35</v>
      </c>
      <c r="J131" s="130">
        <f t="shared" si="25"/>
        <v>4.126199999999999</v>
      </c>
      <c r="K131" s="187"/>
      <c r="L131" s="131"/>
      <c r="M131" s="43">
        <f t="shared" si="26"/>
        <v>0</v>
      </c>
    </row>
    <row r="132" spans="1:13" s="44" customFormat="1" ht="21.75" hidden="1" customHeight="1" x14ac:dyDescent="0.45">
      <c r="A132" s="73" t="s">
        <v>174</v>
      </c>
      <c r="B132" s="127" t="s">
        <v>175</v>
      </c>
      <c r="C132" s="128"/>
      <c r="D132" s="127" t="s">
        <v>12</v>
      </c>
      <c r="E132" s="129">
        <v>10.085499999999998</v>
      </c>
      <c r="F132" s="124">
        <v>0.4</v>
      </c>
      <c r="G132" s="125">
        <f t="shared" si="24"/>
        <v>6.0512999999999986</v>
      </c>
      <c r="H132" s="126" t="s">
        <v>13</v>
      </c>
      <c r="I132" s="40">
        <v>0.35</v>
      </c>
      <c r="J132" s="130">
        <f t="shared" si="25"/>
        <v>3.9333449999999992</v>
      </c>
      <c r="K132" s="187"/>
      <c r="L132" s="131"/>
      <c r="M132" s="43">
        <f t="shared" si="26"/>
        <v>0</v>
      </c>
    </row>
    <row r="133" spans="1:13" s="44" customFormat="1" ht="21.75" hidden="1" customHeight="1" x14ac:dyDescent="0.45">
      <c r="A133" s="73" t="s">
        <v>176</v>
      </c>
      <c r="B133" s="127" t="s">
        <v>177</v>
      </c>
      <c r="C133" s="128">
        <v>7898108645895</v>
      </c>
      <c r="D133" s="127" t="s">
        <v>80</v>
      </c>
      <c r="E133" s="129">
        <v>17.295999999999999</v>
      </c>
      <c r="F133" s="124">
        <v>0.4</v>
      </c>
      <c r="G133" s="125">
        <f t="shared" si="24"/>
        <v>10.377599999999999</v>
      </c>
      <c r="H133" s="126" t="s">
        <v>13</v>
      </c>
      <c r="I133" s="40">
        <v>0.35</v>
      </c>
      <c r="J133" s="130">
        <f t="shared" si="25"/>
        <v>6.7454400000000003</v>
      </c>
      <c r="K133" s="187"/>
      <c r="L133" s="131"/>
      <c r="M133" s="43">
        <f t="shared" si="26"/>
        <v>0</v>
      </c>
    </row>
    <row r="134" spans="1:13" s="44" customFormat="1" ht="21.75" hidden="1" customHeight="1" x14ac:dyDescent="0.45">
      <c r="A134" s="73" t="s">
        <v>178</v>
      </c>
      <c r="B134" s="127" t="s">
        <v>179</v>
      </c>
      <c r="C134" s="128">
        <v>7898108645871</v>
      </c>
      <c r="D134" s="127" t="s">
        <v>80</v>
      </c>
      <c r="E134" s="129">
        <v>16.479499999999998</v>
      </c>
      <c r="F134" s="124">
        <v>0.4</v>
      </c>
      <c r="G134" s="125">
        <f t="shared" si="24"/>
        <v>9.8876999999999988</v>
      </c>
      <c r="H134" s="126" t="s">
        <v>13</v>
      </c>
      <c r="I134" s="40">
        <v>0.35</v>
      </c>
      <c r="J134" s="130">
        <f t="shared" si="25"/>
        <v>6.4270049999999994</v>
      </c>
      <c r="K134" s="187"/>
      <c r="L134" s="131"/>
      <c r="M134" s="43">
        <f t="shared" si="26"/>
        <v>0</v>
      </c>
    </row>
    <row r="135" spans="1:13" s="44" customFormat="1" ht="21.75" customHeight="1" x14ac:dyDescent="0.45">
      <c r="A135" s="33" t="s">
        <v>180</v>
      </c>
      <c r="B135" s="34">
        <v>13</v>
      </c>
      <c r="C135" s="51">
        <v>7898108640968</v>
      </c>
      <c r="D135" s="34" t="s">
        <v>144</v>
      </c>
      <c r="E135" s="36">
        <v>5.23</v>
      </c>
      <c r="F135" s="124">
        <v>0.4</v>
      </c>
      <c r="G135" s="125">
        <f t="shared" si="24"/>
        <v>3.1380000000000003</v>
      </c>
      <c r="H135" s="126" t="s">
        <v>13</v>
      </c>
      <c r="I135" s="40">
        <v>0.35</v>
      </c>
      <c r="J135" s="41">
        <f t="shared" si="25"/>
        <v>2.0397000000000003</v>
      </c>
      <c r="K135" s="183"/>
      <c r="L135" s="42"/>
      <c r="M135" s="43">
        <f t="shared" si="26"/>
        <v>0</v>
      </c>
    </row>
    <row r="136" spans="1:13" s="44" customFormat="1" ht="21.75" customHeight="1" x14ac:dyDescent="0.45">
      <c r="A136" s="33" t="s">
        <v>181</v>
      </c>
      <c r="B136" s="34">
        <v>14</v>
      </c>
      <c r="C136" s="51">
        <v>7898108640975</v>
      </c>
      <c r="D136" s="34" t="s">
        <v>146</v>
      </c>
      <c r="E136" s="36">
        <v>5.8563749999999999</v>
      </c>
      <c r="F136" s="124">
        <v>0.4</v>
      </c>
      <c r="G136" s="125">
        <f t="shared" si="24"/>
        <v>3.5138249999999998</v>
      </c>
      <c r="H136" s="126" t="s">
        <v>13</v>
      </c>
      <c r="I136" s="40">
        <v>0.35</v>
      </c>
      <c r="J136" s="41">
        <f t="shared" si="25"/>
        <v>2.2839862499999999</v>
      </c>
      <c r="K136" s="183"/>
      <c r="L136" s="42"/>
      <c r="M136" s="43">
        <f t="shared" si="26"/>
        <v>0</v>
      </c>
    </row>
    <row r="137" spans="1:13" s="44" customFormat="1" ht="21.75" customHeight="1" x14ac:dyDescent="0.45">
      <c r="A137" s="33" t="s">
        <v>182</v>
      </c>
      <c r="B137" s="34">
        <v>15</v>
      </c>
      <c r="C137" s="51">
        <v>7898108641262</v>
      </c>
      <c r="D137" s="34" t="s">
        <v>85</v>
      </c>
      <c r="E137" s="36">
        <v>8.5128749999999993</v>
      </c>
      <c r="F137" s="124">
        <v>0.4</v>
      </c>
      <c r="G137" s="125">
        <f t="shared" si="24"/>
        <v>5.1077249999999994</v>
      </c>
      <c r="H137" s="126" t="s">
        <v>13</v>
      </c>
      <c r="I137" s="40">
        <v>0.35</v>
      </c>
      <c r="J137" s="41">
        <f t="shared" si="25"/>
        <v>3.3200212499999999</v>
      </c>
      <c r="K137" s="183"/>
      <c r="L137" s="42"/>
      <c r="M137" s="43">
        <f t="shared" si="26"/>
        <v>0</v>
      </c>
    </row>
    <row r="138" spans="1:13" s="44" customFormat="1" ht="21.75" customHeight="1" x14ac:dyDescent="0.45">
      <c r="A138" s="33" t="s">
        <v>183</v>
      </c>
      <c r="B138" s="34">
        <v>16</v>
      </c>
      <c r="C138" s="51">
        <v>7898108640982</v>
      </c>
      <c r="D138" s="34" t="s">
        <v>146</v>
      </c>
      <c r="E138" s="36">
        <v>13.88625</v>
      </c>
      <c r="F138" s="124">
        <v>0.4</v>
      </c>
      <c r="G138" s="125">
        <f t="shared" si="24"/>
        <v>8.3317499999999995</v>
      </c>
      <c r="H138" s="126" t="s">
        <v>13</v>
      </c>
      <c r="I138" s="40">
        <v>0.35</v>
      </c>
      <c r="J138" s="41">
        <f t="shared" si="25"/>
        <v>5.4156374999999999</v>
      </c>
      <c r="K138" s="183"/>
      <c r="L138" s="42"/>
      <c r="M138" s="43">
        <f t="shared" si="26"/>
        <v>0</v>
      </c>
    </row>
    <row r="139" spans="1:13" s="44" customFormat="1" ht="21.75" hidden="1" customHeight="1" x14ac:dyDescent="0.45">
      <c r="A139" s="33" t="s">
        <v>184</v>
      </c>
      <c r="B139" s="34">
        <v>106</v>
      </c>
      <c r="C139" s="51">
        <v>7898108640418</v>
      </c>
      <c r="D139" s="34" t="s">
        <v>146</v>
      </c>
      <c r="E139" s="36">
        <v>7.5468749999999991</v>
      </c>
      <c r="F139" s="37">
        <v>0.4</v>
      </c>
      <c r="G139" s="90">
        <f t="shared" si="24"/>
        <v>4.5281249999999993</v>
      </c>
      <c r="H139" s="39" t="s">
        <v>13</v>
      </c>
      <c r="I139" s="40">
        <v>0.35</v>
      </c>
      <c r="J139" s="41">
        <f t="shared" si="25"/>
        <v>2.9432812499999996</v>
      </c>
      <c r="K139" s="183"/>
      <c r="L139" s="42"/>
      <c r="M139" s="43">
        <f t="shared" si="26"/>
        <v>0</v>
      </c>
    </row>
    <row r="140" spans="1:13" s="44" customFormat="1" ht="21.75" hidden="1" customHeight="1" x14ac:dyDescent="0.45">
      <c r="A140" s="33" t="s">
        <v>185</v>
      </c>
      <c r="B140" s="34">
        <v>107</v>
      </c>
      <c r="C140" s="51">
        <v>7898108640425</v>
      </c>
      <c r="D140" s="34" t="s">
        <v>85</v>
      </c>
      <c r="E140" s="36">
        <v>11.700674999999999</v>
      </c>
      <c r="F140" s="37">
        <v>0.4</v>
      </c>
      <c r="G140" s="90">
        <f t="shared" si="24"/>
        <v>7.0204049999999993</v>
      </c>
      <c r="H140" s="39" t="s">
        <v>13</v>
      </c>
      <c r="I140" s="40">
        <v>0.35</v>
      </c>
      <c r="J140" s="41">
        <f t="shared" si="25"/>
        <v>4.5632632500000003</v>
      </c>
      <c r="K140" s="183"/>
      <c r="L140" s="42"/>
      <c r="M140" s="43">
        <f t="shared" si="26"/>
        <v>0</v>
      </c>
    </row>
    <row r="141" spans="1:13" s="44" customFormat="1" ht="21.75" hidden="1" customHeight="1" x14ac:dyDescent="0.45">
      <c r="A141" s="33" t="s">
        <v>186</v>
      </c>
      <c r="B141" s="34">
        <v>64</v>
      </c>
      <c r="C141" s="51">
        <v>7898108640432</v>
      </c>
      <c r="D141" s="34" t="s">
        <v>85</v>
      </c>
      <c r="E141" s="36">
        <v>8.9596499999999999</v>
      </c>
      <c r="F141" s="37">
        <v>0.4</v>
      </c>
      <c r="G141" s="90">
        <f t="shared" si="24"/>
        <v>5.3757900000000003</v>
      </c>
      <c r="H141" s="39" t="s">
        <v>13</v>
      </c>
      <c r="I141" s="40">
        <v>0.35</v>
      </c>
      <c r="J141" s="41">
        <f t="shared" si="25"/>
        <v>3.4942635000000006</v>
      </c>
      <c r="K141" s="183"/>
      <c r="L141" s="42"/>
      <c r="M141" s="43">
        <f t="shared" si="26"/>
        <v>0</v>
      </c>
    </row>
    <row r="142" spans="1:13" s="44" customFormat="1" ht="21.75" hidden="1" customHeight="1" x14ac:dyDescent="0.45">
      <c r="A142" s="33" t="s">
        <v>187</v>
      </c>
      <c r="B142" s="34">
        <v>65</v>
      </c>
      <c r="C142" s="51">
        <v>7898108640449</v>
      </c>
      <c r="D142" s="34" t="s">
        <v>151</v>
      </c>
      <c r="E142" s="36">
        <v>15.456</v>
      </c>
      <c r="F142" s="37">
        <v>0.4</v>
      </c>
      <c r="G142" s="90">
        <f t="shared" si="24"/>
        <v>9.2735999999999983</v>
      </c>
      <c r="H142" s="39" t="s">
        <v>13</v>
      </c>
      <c r="I142" s="40">
        <v>0.35</v>
      </c>
      <c r="J142" s="41">
        <f t="shared" si="25"/>
        <v>6.0278399999999994</v>
      </c>
      <c r="K142" s="183"/>
      <c r="L142" s="42"/>
      <c r="M142" s="43">
        <f t="shared" si="26"/>
        <v>0</v>
      </c>
    </row>
    <row r="143" spans="1:13" s="44" customFormat="1" ht="21.75" customHeight="1" x14ac:dyDescent="0.35">
      <c r="A143" s="63" t="s">
        <v>188</v>
      </c>
      <c r="B143" s="64"/>
      <c r="C143" s="65"/>
      <c r="D143" s="65"/>
      <c r="E143" s="66"/>
      <c r="F143" s="66"/>
      <c r="G143" s="66"/>
      <c r="H143" s="66"/>
      <c r="I143" s="66"/>
      <c r="J143" s="67"/>
      <c r="K143" s="67"/>
      <c r="L143" s="66"/>
      <c r="M143" s="68"/>
    </row>
    <row r="144" spans="1:13" s="44" customFormat="1" ht="21.75" customHeight="1" x14ac:dyDescent="0.45">
      <c r="A144" s="33" t="s">
        <v>189</v>
      </c>
      <c r="B144" s="34">
        <v>2</v>
      </c>
      <c r="C144" s="132">
        <v>7898108641323</v>
      </c>
      <c r="D144" s="34" t="s">
        <v>190</v>
      </c>
      <c r="E144" s="36">
        <v>2.7142500000000003</v>
      </c>
      <c r="F144" s="37">
        <v>0.45</v>
      </c>
      <c r="G144" s="38">
        <f t="shared" ref="G144:G178" si="27">E144-(E144*F144)</f>
        <v>1.4928375</v>
      </c>
      <c r="H144" s="39" t="s">
        <v>13</v>
      </c>
      <c r="I144" s="40">
        <v>0.35</v>
      </c>
      <c r="J144" s="41">
        <f t="shared" ref="J144:J154" si="28">G144-(G144*I144)</f>
        <v>0.97034437500000004</v>
      </c>
      <c r="K144" s="183"/>
      <c r="L144" s="42"/>
      <c r="M144" s="43">
        <f t="shared" ref="M144:M154" si="29">L144*J144</f>
        <v>0</v>
      </c>
    </row>
    <row r="145" spans="1:13" s="44" customFormat="1" ht="21.75" customHeight="1" x14ac:dyDescent="0.45">
      <c r="A145" s="33" t="s">
        <v>191</v>
      </c>
      <c r="B145" s="34">
        <v>3</v>
      </c>
      <c r="C145" s="133">
        <v>7898108641170</v>
      </c>
      <c r="D145" s="34" t="s">
        <v>192</v>
      </c>
      <c r="E145" s="36">
        <v>3.4419000000000004</v>
      </c>
      <c r="F145" s="37">
        <v>0.45</v>
      </c>
      <c r="G145" s="38">
        <f t="shared" si="27"/>
        <v>1.8930450000000001</v>
      </c>
      <c r="H145" s="39" t="s">
        <v>13</v>
      </c>
      <c r="I145" s="40">
        <v>0.35</v>
      </c>
      <c r="J145" s="41">
        <f t="shared" si="28"/>
        <v>1.2304792500000001</v>
      </c>
      <c r="K145" s="183"/>
      <c r="L145" s="42"/>
      <c r="M145" s="43">
        <f t="shared" si="29"/>
        <v>0</v>
      </c>
    </row>
    <row r="146" spans="1:13" s="44" customFormat="1" ht="21.75" customHeight="1" x14ac:dyDescent="0.45">
      <c r="A146" s="33" t="s">
        <v>193</v>
      </c>
      <c r="B146" s="34">
        <v>4</v>
      </c>
      <c r="C146" s="54">
        <v>7898108641330</v>
      </c>
      <c r="D146" s="34" t="s">
        <v>144</v>
      </c>
      <c r="E146" s="36">
        <v>4.3428000000000004</v>
      </c>
      <c r="F146" s="37">
        <v>0.45</v>
      </c>
      <c r="G146" s="38">
        <f t="shared" si="27"/>
        <v>2.3885399999999999</v>
      </c>
      <c r="H146" s="39" t="s">
        <v>13</v>
      </c>
      <c r="I146" s="40">
        <v>0.35</v>
      </c>
      <c r="J146" s="41">
        <f t="shared" si="28"/>
        <v>1.552551</v>
      </c>
      <c r="K146" s="183"/>
      <c r="L146" s="42"/>
      <c r="M146" s="43">
        <f t="shared" si="29"/>
        <v>0</v>
      </c>
    </row>
    <row r="147" spans="1:13" s="44" customFormat="1" ht="21.75" customHeight="1" x14ac:dyDescent="0.45">
      <c r="A147" s="33" t="s">
        <v>194</v>
      </c>
      <c r="B147" s="34">
        <v>5</v>
      </c>
      <c r="C147" s="54">
        <v>7898108641347</v>
      </c>
      <c r="D147" s="34" t="s">
        <v>195</v>
      </c>
      <c r="E147" s="36">
        <v>5.0704500000000001</v>
      </c>
      <c r="F147" s="37">
        <v>0.45</v>
      </c>
      <c r="G147" s="38">
        <f t="shared" si="27"/>
        <v>2.7887474999999999</v>
      </c>
      <c r="H147" s="39" t="s">
        <v>13</v>
      </c>
      <c r="I147" s="40">
        <v>0.35</v>
      </c>
      <c r="J147" s="41">
        <f t="shared" si="28"/>
        <v>1.8126858750000001</v>
      </c>
      <c r="K147" s="183"/>
      <c r="L147" s="42"/>
      <c r="M147" s="43">
        <f t="shared" si="29"/>
        <v>0</v>
      </c>
    </row>
    <row r="148" spans="1:13" s="44" customFormat="1" ht="21.75" customHeight="1" x14ac:dyDescent="0.45">
      <c r="A148" s="33" t="s">
        <v>196</v>
      </c>
      <c r="B148" s="34">
        <v>6</v>
      </c>
      <c r="C148" s="54">
        <v>7898108641354</v>
      </c>
      <c r="D148" s="34" t="s">
        <v>29</v>
      </c>
      <c r="E148" s="36">
        <v>6.6990000000000007</v>
      </c>
      <c r="F148" s="37">
        <v>0.45</v>
      </c>
      <c r="G148" s="38">
        <f t="shared" si="27"/>
        <v>3.6844500000000004</v>
      </c>
      <c r="H148" s="39" t="s">
        <v>13</v>
      </c>
      <c r="I148" s="40">
        <v>0.35</v>
      </c>
      <c r="J148" s="41">
        <f t="shared" si="28"/>
        <v>2.3948925000000001</v>
      </c>
      <c r="K148" s="183"/>
      <c r="L148" s="42"/>
      <c r="M148" s="43">
        <f t="shared" si="29"/>
        <v>0</v>
      </c>
    </row>
    <row r="149" spans="1:13" s="44" customFormat="1" ht="21.75" customHeight="1" x14ac:dyDescent="0.45">
      <c r="A149" s="33" t="s">
        <v>197</v>
      </c>
      <c r="B149" s="34">
        <v>7</v>
      </c>
      <c r="C149" s="54">
        <v>7898108641361</v>
      </c>
      <c r="D149" s="34" t="s">
        <v>146</v>
      </c>
      <c r="E149" s="36">
        <v>9.0667500000000008</v>
      </c>
      <c r="F149" s="37">
        <v>0.45</v>
      </c>
      <c r="G149" s="38">
        <f t="shared" si="27"/>
        <v>4.9867125000000003</v>
      </c>
      <c r="H149" s="39" t="s">
        <v>13</v>
      </c>
      <c r="I149" s="40">
        <v>0.35</v>
      </c>
      <c r="J149" s="41">
        <f t="shared" si="28"/>
        <v>3.2413631250000003</v>
      </c>
      <c r="K149" s="183"/>
      <c r="L149" s="42"/>
      <c r="M149" s="43">
        <f t="shared" si="29"/>
        <v>0</v>
      </c>
    </row>
    <row r="150" spans="1:13" s="44" customFormat="1" ht="21.75" customHeight="1" x14ac:dyDescent="0.45">
      <c r="A150" s="33" t="s">
        <v>198</v>
      </c>
      <c r="B150" s="34">
        <v>526</v>
      </c>
      <c r="C150" s="83">
        <v>7898108641316</v>
      </c>
      <c r="D150" s="34" t="s">
        <v>15</v>
      </c>
      <c r="E150" s="36">
        <v>58.489200000000011</v>
      </c>
      <c r="F150" s="37">
        <v>0.45</v>
      </c>
      <c r="G150" s="38">
        <f t="shared" si="27"/>
        <v>32.169060000000002</v>
      </c>
      <c r="H150" s="39" t="s">
        <v>13</v>
      </c>
      <c r="I150" s="40">
        <v>0.35</v>
      </c>
      <c r="J150" s="41">
        <f t="shared" si="28"/>
        <v>20.909889</v>
      </c>
      <c r="K150" s="183"/>
      <c r="L150" s="42"/>
      <c r="M150" s="43">
        <f t="shared" si="29"/>
        <v>0</v>
      </c>
    </row>
    <row r="151" spans="1:13" s="44" customFormat="1" ht="21.75" hidden="1" customHeight="1" x14ac:dyDescent="0.45">
      <c r="A151" s="33" t="s">
        <v>199</v>
      </c>
      <c r="B151" s="34">
        <v>1962</v>
      </c>
      <c r="C151" s="71">
        <v>7898108644577</v>
      </c>
      <c r="D151" s="34" t="s">
        <v>15</v>
      </c>
      <c r="E151" s="36">
        <v>21.978000000000002</v>
      </c>
      <c r="F151" s="37">
        <v>0.45</v>
      </c>
      <c r="G151" s="38">
        <f t="shared" si="27"/>
        <v>12.087900000000001</v>
      </c>
      <c r="H151" s="39" t="s">
        <v>13</v>
      </c>
      <c r="I151" s="40">
        <v>0.35</v>
      </c>
      <c r="J151" s="41">
        <f t="shared" si="28"/>
        <v>7.8571350000000013</v>
      </c>
      <c r="K151" s="183"/>
      <c r="L151" s="42"/>
      <c r="M151" s="43">
        <f t="shared" si="29"/>
        <v>0</v>
      </c>
    </row>
    <row r="152" spans="1:13" s="44" customFormat="1" ht="21.75" hidden="1" customHeight="1" x14ac:dyDescent="0.45">
      <c r="A152" s="33" t="s">
        <v>200</v>
      </c>
      <c r="B152" s="34">
        <v>1963</v>
      </c>
      <c r="C152" s="71">
        <v>7898108644591</v>
      </c>
      <c r="D152" s="34" t="s">
        <v>15</v>
      </c>
      <c r="E152" s="36">
        <v>23.980000000000004</v>
      </c>
      <c r="F152" s="37">
        <v>0.45</v>
      </c>
      <c r="G152" s="38">
        <f t="shared" si="27"/>
        <v>13.189000000000002</v>
      </c>
      <c r="H152" s="39" t="s">
        <v>13</v>
      </c>
      <c r="I152" s="40">
        <v>0.35</v>
      </c>
      <c r="J152" s="41">
        <f t="shared" si="28"/>
        <v>8.5728500000000025</v>
      </c>
      <c r="K152" s="183"/>
      <c r="L152" s="42"/>
      <c r="M152" s="43">
        <f t="shared" si="29"/>
        <v>0</v>
      </c>
    </row>
    <row r="153" spans="1:13" s="44" customFormat="1" ht="21.75" hidden="1" customHeight="1" x14ac:dyDescent="0.45">
      <c r="A153" s="33" t="s">
        <v>201</v>
      </c>
      <c r="B153" s="34">
        <v>1964</v>
      </c>
      <c r="C153" s="71">
        <v>7898108644560</v>
      </c>
      <c r="D153" s="34" t="s">
        <v>15</v>
      </c>
      <c r="E153" s="36">
        <v>17.985000000000003</v>
      </c>
      <c r="F153" s="37">
        <v>0.45</v>
      </c>
      <c r="G153" s="38">
        <f t="shared" si="27"/>
        <v>9.8917500000000018</v>
      </c>
      <c r="H153" s="39" t="s">
        <v>13</v>
      </c>
      <c r="I153" s="40">
        <v>0.35</v>
      </c>
      <c r="J153" s="41">
        <f t="shared" si="28"/>
        <v>6.4296375000000019</v>
      </c>
      <c r="K153" s="183"/>
      <c r="L153" s="42"/>
      <c r="M153" s="43">
        <f t="shared" si="29"/>
        <v>0</v>
      </c>
    </row>
    <row r="154" spans="1:13" s="44" customFormat="1" ht="21.75" hidden="1" customHeight="1" x14ac:dyDescent="0.45">
      <c r="A154" s="33" t="s">
        <v>202</v>
      </c>
      <c r="B154" s="34">
        <v>1965</v>
      </c>
      <c r="C154" s="71">
        <v>7898108644584</v>
      </c>
      <c r="D154" s="34" t="s">
        <v>15</v>
      </c>
      <c r="E154" s="36">
        <v>19.987000000000002</v>
      </c>
      <c r="F154" s="37">
        <v>0.45</v>
      </c>
      <c r="G154" s="38">
        <f t="shared" si="27"/>
        <v>10.992850000000001</v>
      </c>
      <c r="H154" s="39" t="s">
        <v>13</v>
      </c>
      <c r="I154" s="40">
        <v>0.35</v>
      </c>
      <c r="J154" s="41">
        <f t="shared" si="28"/>
        <v>7.1453525000000013</v>
      </c>
      <c r="K154" s="183"/>
      <c r="L154" s="42"/>
      <c r="M154" s="43">
        <f t="shared" si="29"/>
        <v>0</v>
      </c>
    </row>
    <row r="155" spans="1:13" s="44" customFormat="1" ht="21.75" hidden="1" customHeight="1" x14ac:dyDescent="0.35">
      <c r="A155" s="63" t="s">
        <v>203</v>
      </c>
      <c r="B155" s="64"/>
      <c r="C155" s="65"/>
      <c r="D155" s="65"/>
      <c r="E155" s="66"/>
      <c r="F155" s="66"/>
      <c r="G155" s="66"/>
      <c r="H155" s="66"/>
      <c r="I155" s="66"/>
      <c r="J155" s="67"/>
      <c r="K155" s="188"/>
      <c r="L155" s="134"/>
      <c r="M155" s="135"/>
    </row>
    <row r="156" spans="1:13" s="44" customFormat="1" ht="21.75" hidden="1" customHeight="1" x14ac:dyDescent="0.45">
      <c r="A156" s="33" t="s">
        <v>204</v>
      </c>
      <c r="B156" s="34">
        <v>566</v>
      </c>
      <c r="C156" s="45">
        <v>7898108641521</v>
      </c>
      <c r="D156" s="34" t="s">
        <v>205</v>
      </c>
      <c r="E156" s="36">
        <v>36.745002000000007</v>
      </c>
      <c r="F156" s="37">
        <v>0.3</v>
      </c>
      <c r="G156" s="38">
        <f t="shared" si="27"/>
        <v>25.721501400000005</v>
      </c>
      <c r="H156" s="39" t="s">
        <v>13</v>
      </c>
      <c r="I156" s="40">
        <v>0.35</v>
      </c>
      <c r="J156" s="41">
        <f>G156-(G156*I156)</f>
        <v>16.718975910000005</v>
      </c>
      <c r="K156" s="183"/>
      <c r="L156" s="42"/>
      <c r="M156" s="43">
        <f t="shared" ref="M156:M160" si="30">L156*J156</f>
        <v>0</v>
      </c>
    </row>
    <row r="157" spans="1:13" s="44" customFormat="1" ht="21.75" hidden="1" customHeight="1" x14ac:dyDescent="0.45">
      <c r="A157" s="33" t="s">
        <v>206</v>
      </c>
      <c r="B157" s="34">
        <v>589</v>
      </c>
      <c r="C157" s="50">
        <v>7898108641538</v>
      </c>
      <c r="D157" s="34" t="s">
        <v>207</v>
      </c>
      <c r="E157" s="36">
        <v>60.713793000000017</v>
      </c>
      <c r="F157" s="37">
        <v>0.3</v>
      </c>
      <c r="G157" s="38">
        <f t="shared" si="27"/>
        <v>42.499655100000012</v>
      </c>
      <c r="H157" s="39" t="s">
        <v>13</v>
      </c>
      <c r="I157" s="40">
        <v>0.35</v>
      </c>
      <c r="J157" s="41">
        <f>G157-(G157*I157)</f>
        <v>27.624775815000007</v>
      </c>
      <c r="K157" s="183"/>
      <c r="L157" s="42"/>
      <c r="M157" s="43">
        <f t="shared" si="30"/>
        <v>0</v>
      </c>
    </row>
    <row r="158" spans="1:13" s="44" customFormat="1" ht="21.75" hidden="1" customHeight="1" x14ac:dyDescent="0.45">
      <c r="A158" s="33" t="s">
        <v>208</v>
      </c>
      <c r="B158" s="34">
        <v>590</v>
      </c>
      <c r="C158" s="45">
        <v>7898108641545</v>
      </c>
      <c r="D158" s="34" t="s">
        <v>207</v>
      </c>
      <c r="E158" s="36">
        <v>60.713793000000017</v>
      </c>
      <c r="F158" s="37">
        <v>0.3</v>
      </c>
      <c r="G158" s="38">
        <f t="shared" si="27"/>
        <v>42.499655100000012</v>
      </c>
      <c r="H158" s="39" t="s">
        <v>13</v>
      </c>
      <c r="I158" s="40">
        <v>0.35</v>
      </c>
      <c r="J158" s="41">
        <f>G158-(G158*I158)</f>
        <v>27.624775815000007</v>
      </c>
      <c r="K158" s="183"/>
      <c r="L158" s="42"/>
      <c r="M158" s="43">
        <f t="shared" si="30"/>
        <v>0</v>
      </c>
    </row>
    <row r="159" spans="1:13" s="44" customFormat="1" ht="21.75" hidden="1" customHeight="1" x14ac:dyDescent="0.45">
      <c r="A159" s="33" t="s">
        <v>209</v>
      </c>
      <c r="B159" s="34">
        <v>591</v>
      </c>
      <c r="C159" s="45">
        <v>7898108641552</v>
      </c>
      <c r="D159" s="34" t="s">
        <v>207</v>
      </c>
      <c r="E159" s="36">
        <v>60.713793000000017</v>
      </c>
      <c r="F159" s="37">
        <v>0.3</v>
      </c>
      <c r="G159" s="38">
        <f t="shared" si="27"/>
        <v>42.499655100000012</v>
      </c>
      <c r="H159" s="39" t="s">
        <v>13</v>
      </c>
      <c r="I159" s="40">
        <v>0.35</v>
      </c>
      <c r="J159" s="41">
        <f>G159-(G159*I159)</f>
        <v>27.624775815000007</v>
      </c>
      <c r="K159" s="183"/>
      <c r="L159" s="42"/>
      <c r="M159" s="43">
        <f t="shared" si="30"/>
        <v>0</v>
      </c>
    </row>
    <row r="160" spans="1:13" s="44" customFormat="1" ht="21.75" hidden="1" customHeight="1" x14ac:dyDescent="0.45">
      <c r="A160" s="33" t="s">
        <v>210</v>
      </c>
      <c r="B160" s="34">
        <v>592</v>
      </c>
      <c r="C160" s="45">
        <v>7898108641569</v>
      </c>
      <c r="D160" s="34" t="s">
        <v>207</v>
      </c>
      <c r="E160" s="36">
        <v>63.928682999999999</v>
      </c>
      <c r="F160" s="37">
        <v>0.3</v>
      </c>
      <c r="G160" s="38">
        <f t="shared" si="27"/>
        <v>44.750078099999996</v>
      </c>
      <c r="H160" s="39" t="s">
        <v>13</v>
      </c>
      <c r="I160" s="40">
        <v>0.35</v>
      </c>
      <c r="J160" s="41">
        <f>G160-(G160*I160)</f>
        <v>29.087550764999996</v>
      </c>
      <c r="K160" s="183"/>
      <c r="L160" s="42"/>
      <c r="M160" s="43">
        <f t="shared" si="30"/>
        <v>0</v>
      </c>
    </row>
    <row r="161" spans="1:14" s="44" customFormat="1" ht="21.75" customHeight="1" x14ac:dyDescent="0.35">
      <c r="A161" s="63" t="s">
        <v>211</v>
      </c>
      <c r="B161" s="64"/>
      <c r="C161" s="65"/>
      <c r="D161" s="65"/>
      <c r="E161" s="66"/>
      <c r="F161" s="66"/>
      <c r="G161" s="66"/>
      <c r="H161" s="66"/>
      <c r="I161" s="66"/>
      <c r="J161" s="67"/>
      <c r="K161" s="188"/>
      <c r="L161" s="134"/>
      <c r="M161" s="135"/>
    </row>
    <row r="162" spans="1:14" s="144" customFormat="1" ht="41.25" customHeight="1" x14ac:dyDescent="0.45">
      <c r="A162" s="136" t="s">
        <v>212</v>
      </c>
      <c r="B162" s="96">
        <v>20</v>
      </c>
      <c r="C162" s="51">
        <v>7898108641477</v>
      </c>
      <c r="D162" s="137" t="s">
        <v>213</v>
      </c>
      <c r="E162" s="138">
        <v>2.0219850000000004</v>
      </c>
      <c r="F162" s="139">
        <v>0.3</v>
      </c>
      <c r="G162" s="140">
        <f t="shared" si="27"/>
        <v>1.4153895000000003</v>
      </c>
      <c r="H162" s="141" t="s">
        <v>13</v>
      </c>
      <c r="I162" s="40">
        <v>0.35</v>
      </c>
      <c r="J162" s="142">
        <f>G162-(G162*I162)</f>
        <v>0.92000317500000017</v>
      </c>
      <c r="K162" s="189"/>
      <c r="L162" s="143"/>
      <c r="M162" s="43">
        <f t="shared" ref="M162:M164" si="31">L162*J162</f>
        <v>0</v>
      </c>
    </row>
    <row r="163" spans="1:14" s="44" customFormat="1" ht="21.75" customHeight="1" x14ac:dyDescent="0.45">
      <c r="A163" s="73" t="s">
        <v>214</v>
      </c>
      <c r="B163" s="34">
        <v>19</v>
      </c>
      <c r="C163" s="54">
        <v>7898108649800</v>
      </c>
      <c r="D163" s="34" t="s">
        <v>215</v>
      </c>
      <c r="E163" s="36">
        <v>3.3493949999999995</v>
      </c>
      <c r="F163" s="37">
        <v>0.3</v>
      </c>
      <c r="G163" s="38">
        <f t="shared" si="27"/>
        <v>2.3445764999999996</v>
      </c>
      <c r="H163" s="39" t="s">
        <v>13</v>
      </c>
      <c r="I163" s="40">
        <v>0.35</v>
      </c>
      <c r="J163" s="41">
        <f>G163-(G163*I163)</f>
        <v>1.5239747249999998</v>
      </c>
      <c r="K163" s="183"/>
      <c r="L163" s="42"/>
      <c r="M163" s="43">
        <f t="shared" si="31"/>
        <v>0</v>
      </c>
    </row>
    <row r="164" spans="1:14" s="44" customFormat="1" ht="21.75" hidden="1" customHeight="1" x14ac:dyDescent="0.45">
      <c r="A164" s="73" t="s">
        <v>216</v>
      </c>
      <c r="B164" s="34">
        <v>527</v>
      </c>
      <c r="C164" s="45">
        <v>7898108640753</v>
      </c>
      <c r="D164" s="34" t="s">
        <v>215</v>
      </c>
      <c r="E164" s="36">
        <v>4.8157200000000007</v>
      </c>
      <c r="F164" s="37">
        <v>0.3</v>
      </c>
      <c r="G164" s="38">
        <f t="shared" si="27"/>
        <v>3.3710040000000006</v>
      </c>
      <c r="H164" s="39" t="s">
        <v>13</v>
      </c>
      <c r="I164" s="40">
        <v>0.35</v>
      </c>
      <c r="J164" s="41">
        <f>G164-(G164*I164)</f>
        <v>2.1911526000000006</v>
      </c>
      <c r="K164" s="183"/>
      <c r="L164" s="42"/>
      <c r="M164" s="43">
        <f t="shared" si="31"/>
        <v>0</v>
      </c>
    </row>
    <row r="165" spans="1:14" s="44" customFormat="1" ht="21.75" customHeight="1" x14ac:dyDescent="0.35">
      <c r="A165" s="63" t="s">
        <v>217</v>
      </c>
      <c r="B165" s="64"/>
      <c r="C165" s="65"/>
      <c r="D165" s="65"/>
      <c r="E165" s="66"/>
      <c r="F165" s="66"/>
      <c r="G165" s="66"/>
      <c r="H165" s="66"/>
      <c r="I165" s="66"/>
      <c r="J165" s="67"/>
      <c r="K165" s="188"/>
      <c r="L165" s="134"/>
      <c r="M165" s="135"/>
    </row>
    <row r="166" spans="1:14" s="44" customFormat="1" ht="21.75" customHeight="1" x14ac:dyDescent="0.45">
      <c r="A166" s="33" t="s">
        <v>218</v>
      </c>
      <c r="B166" s="34">
        <v>137</v>
      </c>
      <c r="C166" s="51">
        <v>7898108640104</v>
      </c>
      <c r="D166" s="34" t="s">
        <v>42</v>
      </c>
      <c r="E166" s="36">
        <v>681.02955684474284</v>
      </c>
      <c r="F166" s="37">
        <v>0.35</v>
      </c>
      <c r="G166" s="38">
        <f t="shared" si="27"/>
        <v>442.66921194908286</v>
      </c>
      <c r="H166" s="39" t="s">
        <v>13</v>
      </c>
      <c r="I166" s="40">
        <v>0.35</v>
      </c>
      <c r="J166" s="41">
        <f t="shared" ref="J166:J173" si="32">G166-(G166*I166)</f>
        <v>287.73498776690388</v>
      </c>
      <c r="K166" s="183">
        <v>0.96</v>
      </c>
      <c r="L166" s="42"/>
      <c r="M166" s="43">
        <f t="shared" ref="M166:M173" si="33">L166*J166</f>
        <v>0</v>
      </c>
    </row>
    <row r="167" spans="1:14" s="57" customFormat="1" ht="21.75" hidden="1" customHeight="1" x14ac:dyDescent="0.45">
      <c r="A167" s="58" t="s">
        <v>219</v>
      </c>
      <c r="B167" s="59">
        <v>138</v>
      </c>
      <c r="C167" s="145">
        <v>7898108641682</v>
      </c>
      <c r="D167" s="59" t="s">
        <v>42</v>
      </c>
      <c r="E167" s="101">
        <v>461.596968</v>
      </c>
      <c r="F167" s="102">
        <v>0.35</v>
      </c>
      <c r="G167" s="103">
        <f t="shared" si="27"/>
        <v>300.03802919999998</v>
      </c>
      <c r="H167" s="104" t="s">
        <v>13</v>
      </c>
      <c r="I167" s="60">
        <v>0.35</v>
      </c>
      <c r="J167" s="61">
        <f t="shared" si="32"/>
        <v>195.02471897999999</v>
      </c>
      <c r="K167" s="186"/>
      <c r="L167" s="105"/>
      <c r="M167" s="62">
        <f t="shared" si="33"/>
        <v>0</v>
      </c>
    </row>
    <row r="168" spans="1:14" s="44" customFormat="1" ht="21.75" hidden="1" customHeight="1" x14ac:dyDescent="0.45">
      <c r="A168" s="33" t="s">
        <v>220</v>
      </c>
      <c r="B168" s="34">
        <v>31</v>
      </c>
      <c r="C168" s="54">
        <v>7898108640050</v>
      </c>
      <c r="D168" s="34" t="s">
        <v>42</v>
      </c>
      <c r="E168" s="36">
        <v>851.28243819527006</v>
      </c>
      <c r="F168" s="37">
        <v>0.35</v>
      </c>
      <c r="G168" s="38">
        <f t="shared" si="27"/>
        <v>553.33358482692552</v>
      </c>
      <c r="H168" s="39" t="s">
        <v>13</v>
      </c>
      <c r="I168" s="40">
        <v>0.35</v>
      </c>
      <c r="J168" s="41">
        <f t="shared" si="32"/>
        <v>359.66683013750162</v>
      </c>
      <c r="K168" s="183"/>
      <c r="L168" s="42"/>
      <c r="M168" s="43">
        <f t="shared" si="33"/>
        <v>0</v>
      </c>
    </row>
    <row r="169" spans="1:14" s="44" customFormat="1" ht="21.75" hidden="1" customHeight="1" x14ac:dyDescent="0.45">
      <c r="A169" s="33" t="s">
        <v>221</v>
      </c>
      <c r="B169" s="34">
        <v>48</v>
      </c>
      <c r="C169" s="51">
        <v>7898108640104</v>
      </c>
      <c r="D169" s="34" t="s">
        <v>42</v>
      </c>
      <c r="E169" s="36">
        <v>300.91370400000011</v>
      </c>
      <c r="F169" s="37">
        <v>0.35</v>
      </c>
      <c r="G169" s="38">
        <f t="shared" si="27"/>
        <v>195.59390760000008</v>
      </c>
      <c r="H169" s="39" t="s">
        <v>13</v>
      </c>
      <c r="I169" s="40">
        <v>0.35</v>
      </c>
      <c r="J169" s="41">
        <f t="shared" si="32"/>
        <v>127.13603994000006</v>
      </c>
      <c r="K169" s="183"/>
      <c r="L169" s="42"/>
      <c r="M169" s="43">
        <f t="shared" si="33"/>
        <v>0</v>
      </c>
    </row>
    <row r="170" spans="1:14" s="44" customFormat="1" ht="21.75" hidden="1" customHeight="1" x14ac:dyDescent="0.45">
      <c r="A170" s="33" t="s">
        <v>222</v>
      </c>
      <c r="B170" s="34">
        <v>28</v>
      </c>
      <c r="C170" s="54">
        <v>7898108640104</v>
      </c>
      <c r="D170" s="34" t="s">
        <v>42</v>
      </c>
      <c r="E170" s="36">
        <v>200.60913600000003</v>
      </c>
      <c r="F170" s="37">
        <v>0.35</v>
      </c>
      <c r="G170" s="38">
        <f t="shared" si="27"/>
        <v>130.39593840000003</v>
      </c>
      <c r="H170" s="39" t="s">
        <v>13</v>
      </c>
      <c r="I170" s="40">
        <v>0.35</v>
      </c>
      <c r="J170" s="41">
        <f t="shared" si="32"/>
        <v>84.757359960000031</v>
      </c>
      <c r="K170" s="183"/>
      <c r="L170" s="42"/>
      <c r="M170" s="43">
        <f t="shared" si="33"/>
        <v>0</v>
      </c>
    </row>
    <row r="171" spans="1:14" s="44" customFormat="1" ht="21.75" hidden="1" customHeight="1" x14ac:dyDescent="0.45">
      <c r="A171" s="33" t="s">
        <v>223</v>
      </c>
      <c r="B171" s="34">
        <v>34</v>
      </c>
      <c r="C171" s="54">
        <v>7898108640104</v>
      </c>
      <c r="D171" s="34" t="s">
        <v>224</v>
      </c>
      <c r="E171" s="36">
        <v>91.509571367710805</v>
      </c>
      <c r="F171" s="37">
        <v>0.35</v>
      </c>
      <c r="G171" s="38">
        <f t="shared" si="27"/>
        <v>59.481221389012028</v>
      </c>
      <c r="H171" s="39" t="s">
        <v>13</v>
      </c>
      <c r="I171" s="40">
        <v>0.35</v>
      </c>
      <c r="J171" s="41">
        <f t="shared" si="32"/>
        <v>38.662793902857814</v>
      </c>
      <c r="K171" s="183"/>
      <c r="L171" s="42"/>
      <c r="M171" s="43">
        <f t="shared" si="33"/>
        <v>0</v>
      </c>
    </row>
    <row r="172" spans="1:14" s="44" customFormat="1" ht="21.75" customHeight="1" x14ac:dyDescent="0.45">
      <c r="A172" s="33" t="s">
        <v>225</v>
      </c>
      <c r="B172" s="34">
        <v>35</v>
      </c>
      <c r="C172" s="54">
        <v>7898108640050</v>
      </c>
      <c r="D172" s="34" t="s">
        <v>224</v>
      </c>
      <c r="E172" s="36">
        <v>76.597568309366608</v>
      </c>
      <c r="F172" s="37">
        <v>0.35</v>
      </c>
      <c r="G172" s="38">
        <f t="shared" si="27"/>
        <v>49.788419401088298</v>
      </c>
      <c r="H172" s="39" t="s">
        <v>13</v>
      </c>
      <c r="I172" s="40">
        <v>0.35</v>
      </c>
      <c r="J172" s="41">
        <f t="shared" si="32"/>
        <v>32.3624726107074</v>
      </c>
      <c r="K172" s="183">
        <v>0.81</v>
      </c>
      <c r="L172" s="42"/>
      <c r="M172" s="43">
        <f t="shared" si="33"/>
        <v>0</v>
      </c>
    </row>
    <row r="173" spans="1:14" s="57" customFormat="1" ht="21.75" hidden="1" customHeight="1" x14ac:dyDescent="0.45">
      <c r="A173" s="58" t="s">
        <v>226</v>
      </c>
      <c r="B173" s="59">
        <v>29</v>
      </c>
      <c r="C173" s="99"/>
      <c r="D173" s="59" t="s">
        <v>42</v>
      </c>
      <c r="E173" s="101">
        <v>293.67810618047417</v>
      </c>
      <c r="F173" s="102">
        <v>0.35</v>
      </c>
      <c r="G173" s="103">
        <f t="shared" si="27"/>
        <v>190.89076901730823</v>
      </c>
      <c r="H173" s="104" t="s">
        <v>13</v>
      </c>
      <c r="I173" s="40">
        <v>0.35</v>
      </c>
      <c r="J173" s="61">
        <f t="shared" si="32"/>
        <v>124.07899986125035</v>
      </c>
      <c r="K173" s="186"/>
      <c r="L173" s="105"/>
      <c r="M173" s="62">
        <f t="shared" si="33"/>
        <v>0</v>
      </c>
      <c r="N173" s="57" t="s">
        <v>37</v>
      </c>
    </row>
    <row r="174" spans="1:14" s="44" customFormat="1" ht="21.75" customHeight="1" x14ac:dyDescent="0.35">
      <c r="A174" s="63" t="s">
        <v>227</v>
      </c>
      <c r="B174" s="64"/>
      <c r="C174" s="65"/>
      <c r="D174" s="65"/>
      <c r="E174" s="66"/>
      <c r="F174" s="66"/>
      <c r="G174" s="66"/>
      <c r="H174" s="66"/>
      <c r="I174" s="66"/>
      <c r="J174" s="67"/>
      <c r="K174" s="67"/>
      <c r="L174" s="66"/>
      <c r="M174" s="135"/>
    </row>
    <row r="175" spans="1:14" s="44" customFormat="1" ht="21.75" customHeight="1" x14ac:dyDescent="0.45">
      <c r="A175" s="33" t="s">
        <v>228</v>
      </c>
      <c r="B175" s="34">
        <v>36</v>
      </c>
      <c r="C175" s="69">
        <v>7898108641101</v>
      </c>
      <c r="D175" s="34" t="s">
        <v>229</v>
      </c>
      <c r="E175" s="36">
        <v>68.69979643566073</v>
      </c>
      <c r="F175" s="37">
        <v>0.35</v>
      </c>
      <c r="G175" s="38">
        <f t="shared" si="27"/>
        <v>44.654867683179475</v>
      </c>
      <c r="H175" s="39" t="s">
        <v>13</v>
      </c>
      <c r="I175" s="40">
        <v>0.35</v>
      </c>
      <c r="J175" s="41">
        <f>G175-(G175*I175)</f>
        <v>29.025663994066662</v>
      </c>
      <c r="K175" s="183">
        <v>0.73</v>
      </c>
      <c r="L175" s="42"/>
      <c r="M175" s="43">
        <f t="shared" ref="M175:M238" si="34">L175*J175</f>
        <v>0</v>
      </c>
    </row>
    <row r="176" spans="1:14" s="44" customFormat="1" ht="21.75" customHeight="1" x14ac:dyDescent="0.45">
      <c r="A176" s="33" t="s">
        <v>230</v>
      </c>
      <c r="B176" s="34">
        <v>43</v>
      </c>
      <c r="C176" s="35">
        <v>7898108640876</v>
      </c>
      <c r="D176" s="34" t="s">
        <v>231</v>
      </c>
      <c r="E176" s="36">
        <v>78.184335261161408</v>
      </c>
      <c r="F176" s="37">
        <v>0.35</v>
      </c>
      <c r="G176" s="38">
        <f t="shared" si="27"/>
        <v>50.819817919754918</v>
      </c>
      <c r="H176" s="39" t="s">
        <v>13</v>
      </c>
      <c r="I176" s="40">
        <v>0.35</v>
      </c>
      <c r="J176" s="41">
        <f>G176-(G176*I176)</f>
        <v>33.032881647840696</v>
      </c>
      <c r="K176" s="183"/>
      <c r="L176" s="42"/>
      <c r="M176" s="43">
        <f t="shared" si="34"/>
        <v>0</v>
      </c>
    </row>
    <row r="177" spans="1:13" s="44" customFormat="1" ht="21.75" customHeight="1" x14ac:dyDescent="0.45">
      <c r="A177" s="33" t="s">
        <v>232</v>
      </c>
      <c r="B177" s="34">
        <v>44</v>
      </c>
      <c r="C177" s="35">
        <v>7898108640883</v>
      </c>
      <c r="D177" s="34" t="s">
        <v>233</v>
      </c>
      <c r="E177" s="36">
        <v>93.691375926428663</v>
      </c>
      <c r="F177" s="37">
        <v>0.35</v>
      </c>
      <c r="G177" s="38">
        <f t="shared" si="27"/>
        <v>60.899394352178632</v>
      </c>
      <c r="H177" s="39" t="s">
        <v>13</v>
      </c>
      <c r="I177" s="40">
        <v>0.35</v>
      </c>
      <c r="J177" s="41">
        <f>G177-(G177*I177)</f>
        <v>39.584606328916109</v>
      </c>
      <c r="K177" s="183"/>
      <c r="L177" s="42"/>
      <c r="M177" s="43">
        <f t="shared" si="34"/>
        <v>0</v>
      </c>
    </row>
    <row r="178" spans="1:13" s="44" customFormat="1" ht="21.75" customHeight="1" x14ac:dyDescent="0.45">
      <c r="A178" s="33" t="s">
        <v>234</v>
      </c>
      <c r="B178" s="34">
        <v>45</v>
      </c>
      <c r="C178" s="35">
        <v>7898108640890</v>
      </c>
      <c r="D178" s="34" t="s">
        <v>233</v>
      </c>
      <c r="E178" s="36">
        <v>124.93986601120557</v>
      </c>
      <c r="F178" s="37">
        <v>0.35</v>
      </c>
      <c r="G178" s="38">
        <f t="shared" si="27"/>
        <v>81.210912907283614</v>
      </c>
      <c r="H178" s="39" t="s">
        <v>13</v>
      </c>
      <c r="I178" s="40">
        <v>0.35</v>
      </c>
      <c r="J178" s="41">
        <f>G178-(G178*I178)</f>
        <v>52.787093389734352</v>
      </c>
      <c r="K178" s="190"/>
      <c r="L178" s="146"/>
      <c r="M178" s="43">
        <f t="shared" si="34"/>
        <v>0</v>
      </c>
    </row>
    <row r="179" spans="1:13" s="44" customFormat="1" ht="46.2" x14ac:dyDescent="0.3">
      <c r="A179" s="27" t="s">
        <v>235</v>
      </c>
      <c r="B179" s="29"/>
      <c r="C179" s="29"/>
      <c r="D179" s="29"/>
      <c r="E179" s="29"/>
      <c r="F179" s="29"/>
      <c r="G179" s="29"/>
      <c r="H179" s="29"/>
      <c r="I179" s="29"/>
      <c r="J179" s="147"/>
      <c r="K179" s="147"/>
      <c r="L179" s="29"/>
      <c r="M179" s="29"/>
    </row>
    <row r="180" spans="1:13" s="44" customFormat="1" ht="21.75" hidden="1" customHeight="1" x14ac:dyDescent="0.45">
      <c r="A180" s="33" t="s">
        <v>236</v>
      </c>
      <c r="B180" s="34">
        <v>1885</v>
      </c>
      <c r="C180" s="71"/>
      <c r="D180" s="148" t="s">
        <v>26</v>
      </c>
      <c r="E180" s="55">
        <v>12.552000000000001</v>
      </c>
      <c r="F180" s="149"/>
      <c r="G180" s="150">
        <v>12.552000000000001</v>
      </c>
      <c r="H180" s="126" t="s">
        <v>13</v>
      </c>
      <c r="I180" s="151">
        <v>0.35</v>
      </c>
      <c r="J180" s="41">
        <f t="shared" ref="J180:J242" si="35">G180-(G180*I180)</f>
        <v>8.1588000000000012</v>
      </c>
      <c r="K180" s="41"/>
      <c r="L180" s="152"/>
      <c r="M180" s="43">
        <f t="shared" si="34"/>
        <v>0</v>
      </c>
    </row>
    <row r="181" spans="1:13" s="44" customFormat="1" ht="21.75" hidden="1" customHeight="1" x14ac:dyDescent="0.45">
      <c r="A181" s="33" t="s">
        <v>237</v>
      </c>
      <c r="B181" s="34">
        <v>1884</v>
      </c>
      <c r="C181" s="71"/>
      <c r="D181" s="148" t="s">
        <v>26</v>
      </c>
      <c r="E181" s="55">
        <v>10.056000000000001</v>
      </c>
      <c r="F181" s="149"/>
      <c r="G181" s="150">
        <v>10.056000000000001</v>
      </c>
      <c r="H181" s="126" t="s">
        <v>13</v>
      </c>
      <c r="I181" s="151">
        <v>0.35</v>
      </c>
      <c r="J181" s="41">
        <f t="shared" si="35"/>
        <v>6.5364000000000004</v>
      </c>
      <c r="K181" s="41"/>
      <c r="L181" s="152"/>
      <c r="M181" s="43">
        <f t="shared" si="34"/>
        <v>0</v>
      </c>
    </row>
    <row r="182" spans="1:13" s="44" customFormat="1" ht="21.75" customHeight="1" x14ac:dyDescent="0.45">
      <c r="A182" s="33" t="s">
        <v>238</v>
      </c>
      <c r="B182" s="34">
        <v>1839</v>
      </c>
      <c r="C182" s="83">
        <v>7898108644461</v>
      </c>
      <c r="D182" s="127" t="s">
        <v>97</v>
      </c>
      <c r="E182" s="55">
        <v>6.7686999999999999</v>
      </c>
      <c r="F182" s="149"/>
      <c r="G182" s="150">
        <v>6.7686999999999999</v>
      </c>
      <c r="H182" s="126" t="s">
        <v>13</v>
      </c>
      <c r="I182" s="151">
        <v>0.35</v>
      </c>
      <c r="J182" s="41">
        <f t="shared" si="35"/>
        <v>4.3996550000000001</v>
      </c>
      <c r="K182" s="41"/>
      <c r="L182" s="152"/>
      <c r="M182" s="43">
        <f t="shared" si="34"/>
        <v>0</v>
      </c>
    </row>
    <row r="183" spans="1:13" s="44" customFormat="1" ht="21.75" customHeight="1" x14ac:dyDescent="0.45">
      <c r="A183" s="33" t="s">
        <v>239</v>
      </c>
      <c r="B183" s="34">
        <v>1600</v>
      </c>
      <c r="C183" s="51">
        <v>7898108641958</v>
      </c>
      <c r="D183" s="127" t="s">
        <v>95</v>
      </c>
      <c r="E183" s="55">
        <v>4.1583999999999994</v>
      </c>
      <c r="F183" s="149"/>
      <c r="G183" s="150">
        <v>4.1583999999999994</v>
      </c>
      <c r="H183" s="126" t="s">
        <v>13</v>
      </c>
      <c r="I183" s="151">
        <v>0.35</v>
      </c>
      <c r="J183" s="41">
        <f t="shared" si="35"/>
        <v>2.70296</v>
      </c>
      <c r="K183" s="41"/>
      <c r="L183" s="152"/>
      <c r="M183" s="43">
        <f t="shared" si="34"/>
        <v>0</v>
      </c>
    </row>
    <row r="184" spans="1:13" s="44" customFormat="1" ht="23.4" hidden="1" x14ac:dyDescent="0.45">
      <c r="A184" s="33" t="s">
        <v>240</v>
      </c>
      <c r="B184" s="34">
        <v>1624</v>
      </c>
      <c r="C184" s="71">
        <v>7898108642436</v>
      </c>
      <c r="D184" s="127" t="s">
        <v>95</v>
      </c>
      <c r="E184" s="55">
        <v>4.1583999999999994</v>
      </c>
      <c r="F184" s="149"/>
      <c r="G184" s="150">
        <v>4.1583999999999994</v>
      </c>
      <c r="H184" s="126" t="s">
        <v>13</v>
      </c>
      <c r="I184" s="151">
        <v>0.35</v>
      </c>
      <c r="J184" s="41">
        <f t="shared" si="35"/>
        <v>2.70296</v>
      </c>
      <c r="K184" s="41"/>
      <c r="L184" s="152"/>
      <c r="M184" s="43">
        <f t="shared" si="34"/>
        <v>0</v>
      </c>
    </row>
    <row r="185" spans="1:13" s="44" customFormat="1" ht="23.4" hidden="1" x14ac:dyDescent="0.45">
      <c r="A185" s="33" t="s">
        <v>241</v>
      </c>
      <c r="B185" s="34">
        <v>1826</v>
      </c>
      <c r="C185" s="83">
        <v>7898108642252</v>
      </c>
      <c r="D185" s="127" t="s">
        <v>90</v>
      </c>
      <c r="E185" s="55">
        <v>5.7177999999999987</v>
      </c>
      <c r="F185" s="153"/>
      <c r="G185" s="150">
        <v>5.7177999999999987</v>
      </c>
      <c r="H185" s="126" t="s">
        <v>13</v>
      </c>
      <c r="I185" s="151">
        <v>0.35</v>
      </c>
      <c r="J185" s="41">
        <f t="shared" si="35"/>
        <v>3.716569999999999</v>
      </c>
      <c r="K185" s="41"/>
      <c r="L185" s="152"/>
      <c r="M185" s="43">
        <f t="shared" si="34"/>
        <v>0</v>
      </c>
    </row>
    <row r="186" spans="1:13" ht="23.4" hidden="1" x14ac:dyDescent="0.45">
      <c r="A186" s="33" t="s">
        <v>242</v>
      </c>
      <c r="B186" s="34">
        <v>1881</v>
      </c>
      <c r="C186" s="71">
        <v>7898108642627</v>
      </c>
      <c r="D186" s="127" t="s">
        <v>90</v>
      </c>
      <c r="E186" s="55">
        <v>5.7177999999999987</v>
      </c>
      <c r="F186" s="154"/>
      <c r="G186" s="150">
        <v>5.7177999999999987</v>
      </c>
      <c r="H186" s="126" t="s">
        <v>13</v>
      </c>
      <c r="I186" s="151">
        <v>0.35</v>
      </c>
      <c r="J186" s="41">
        <f t="shared" si="35"/>
        <v>3.716569999999999</v>
      </c>
      <c r="K186" s="41"/>
      <c r="L186" s="155"/>
      <c r="M186" s="43">
        <f t="shared" si="34"/>
        <v>0</v>
      </c>
    </row>
    <row r="187" spans="1:13" ht="21.75" customHeight="1" x14ac:dyDescent="0.45">
      <c r="A187" s="33" t="s">
        <v>243</v>
      </c>
      <c r="B187" s="34">
        <v>1603</v>
      </c>
      <c r="C187" s="51">
        <v>7898108641941</v>
      </c>
      <c r="D187" s="127" t="s">
        <v>90</v>
      </c>
      <c r="E187" s="55">
        <v>5.7177999999999987</v>
      </c>
      <c r="F187" s="154"/>
      <c r="G187" s="150">
        <v>5.7177999999999987</v>
      </c>
      <c r="H187" s="126" t="s">
        <v>13</v>
      </c>
      <c r="I187" s="151">
        <v>0.35</v>
      </c>
      <c r="J187" s="41">
        <f t="shared" si="35"/>
        <v>3.716569999999999</v>
      </c>
      <c r="K187" s="41"/>
      <c r="L187" s="155"/>
      <c r="M187" s="43">
        <f t="shared" si="34"/>
        <v>0</v>
      </c>
    </row>
    <row r="188" spans="1:13" ht="21.75" hidden="1" customHeight="1" x14ac:dyDescent="0.45">
      <c r="A188" s="33" t="s">
        <v>244</v>
      </c>
      <c r="B188" s="34">
        <v>1627</v>
      </c>
      <c r="C188" s="71">
        <v>7898108642467</v>
      </c>
      <c r="D188" s="127" t="s">
        <v>90</v>
      </c>
      <c r="E188" s="55">
        <v>5.7177999999999987</v>
      </c>
      <c r="F188" s="154"/>
      <c r="G188" s="150">
        <v>5.7177999999999987</v>
      </c>
      <c r="H188" s="126" t="s">
        <v>13</v>
      </c>
      <c r="I188" s="151">
        <v>0.35</v>
      </c>
      <c r="J188" s="41">
        <f t="shared" si="35"/>
        <v>3.716569999999999</v>
      </c>
      <c r="K188" s="41"/>
      <c r="L188" s="155"/>
      <c r="M188" s="43">
        <f t="shared" si="34"/>
        <v>0</v>
      </c>
    </row>
    <row r="189" spans="1:13" ht="21.75" customHeight="1" x14ac:dyDescent="0.45">
      <c r="A189" s="33" t="s">
        <v>245</v>
      </c>
      <c r="B189" s="34">
        <v>1601</v>
      </c>
      <c r="C189" s="51">
        <v>7898108641880</v>
      </c>
      <c r="D189" s="127" t="s">
        <v>92</v>
      </c>
      <c r="E189" s="55">
        <v>4.4973999999999998</v>
      </c>
      <c r="F189" s="154"/>
      <c r="G189" s="150">
        <v>4.4973999999999998</v>
      </c>
      <c r="H189" s="126" t="s">
        <v>13</v>
      </c>
      <c r="I189" s="151">
        <v>0.35</v>
      </c>
      <c r="J189" s="41">
        <f t="shared" si="35"/>
        <v>2.9233099999999999</v>
      </c>
      <c r="K189" s="41"/>
      <c r="L189" s="155"/>
      <c r="M189" s="43">
        <f t="shared" si="34"/>
        <v>0</v>
      </c>
    </row>
    <row r="190" spans="1:13" ht="21.75" customHeight="1" x14ac:dyDescent="0.45">
      <c r="A190" s="33" t="s">
        <v>246</v>
      </c>
      <c r="B190" s="34">
        <v>1602</v>
      </c>
      <c r="C190" s="51">
        <v>7898108641897</v>
      </c>
      <c r="D190" s="127" t="s">
        <v>68</v>
      </c>
      <c r="E190" s="55">
        <v>9.0399999999999991</v>
      </c>
      <c r="F190" s="154"/>
      <c r="G190" s="150">
        <v>9.0399999999999991</v>
      </c>
      <c r="H190" s="126" t="s">
        <v>13</v>
      </c>
      <c r="I190" s="151">
        <v>0.35</v>
      </c>
      <c r="J190" s="41">
        <f t="shared" si="35"/>
        <v>5.8759999999999994</v>
      </c>
      <c r="K190" s="41"/>
      <c r="L190" s="155"/>
      <c r="M190" s="43">
        <f t="shared" si="34"/>
        <v>0</v>
      </c>
    </row>
    <row r="191" spans="1:13" ht="21.75" customHeight="1" x14ac:dyDescent="0.45">
      <c r="A191" s="33" t="s">
        <v>247</v>
      </c>
      <c r="B191" s="34">
        <v>1621</v>
      </c>
      <c r="C191" s="51">
        <v>7898108642078</v>
      </c>
      <c r="D191" s="127" t="s">
        <v>190</v>
      </c>
      <c r="E191" s="55">
        <v>1.7134999999999998</v>
      </c>
      <c r="F191" s="154"/>
      <c r="G191" s="150">
        <v>1.7134999999999998</v>
      </c>
      <c r="H191" s="126" t="s">
        <v>13</v>
      </c>
      <c r="I191" s="151">
        <v>0.35</v>
      </c>
      <c r="J191" s="41">
        <f t="shared" si="35"/>
        <v>1.113775</v>
      </c>
      <c r="K191" s="41"/>
      <c r="L191" s="155"/>
      <c r="M191" s="43">
        <f t="shared" si="34"/>
        <v>0</v>
      </c>
    </row>
    <row r="192" spans="1:13" ht="21.75" customHeight="1" x14ac:dyDescent="0.45">
      <c r="A192" s="33" t="s">
        <v>248</v>
      </c>
      <c r="B192" s="34">
        <v>1616</v>
      </c>
      <c r="C192" s="51">
        <v>7898108642085</v>
      </c>
      <c r="D192" s="127" t="s">
        <v>192</v>
      </c>
      <c r="E192" s="55">
        <v>2.1619999999999999</v>
      </c>
      <c r="F192" s="154"/>
      <c r="G192" s="150">
        <v>2.1619999999999999</v>
      </c>
      <c r="H192" s="126" t="s">
        <v>13</v>
      </c>
      <c r="I192" s="151">
        <v>0.35</v>
      </c>
      <c r="J192" s="41">
        <f t="shared" si="35"/>
        <v>1.4053</v>
      </c>
      <c r="K192" s="41"/>
      <c r="L192" s="155"/>
      <c r="M192" s="43">
        <f t="shared" si="34"/>
        <v>0</v>
      </c>
    </row>
    <row r="193" spans="1:13" ht="21.75" customHeight="1" x14ac:dyDescent="0.45">
      <c r="A193" s="33" t="s">
        <v>249</v>
      </c>
      <c r="B193" s="34">
        <v>1617</v>
      </c>
      <c r="C193" s="51">
        <v>7898108642092</v>
      </c>
      <c r="D193" s="127" t="s">
        <v>144</v>
      </c>
      <c r="E193" s="55">
        <v>2.7254999999999998</v>
      </c>
      <c r="F193" s="154"/>
      <c r="G193" s="150">
        <v>2.7254999999999998</v>
      </c>
      <c r="H193" s="126" t="s">
        <v>13</v>
      </c>
      <c r="I193" s="151">
        <v>0.35</v>
      </c>
      <c r="J193" s="41">
        <f t="shared" si="35"/>
        <v>1.7715749999999999</v>
      </c>
      <c r="K193" s="41"/>
      <c r="L193" s="155"/>
      <c r="M193" s="43">
        <f t="shared" si="34"/>
        <v>0</v>
      </c>
    </row>
    <row r="194" spans="1:13" ht="21.75" customHeight="1" x14ac:dyDescent="0.45">
      <c r="A194" s="33" t="s">
        <v>250</v>
      </c>
      <c r="B194" s="34">
        <v>1618</v>
      </c>
      <c r="C194" s="51">
        <v>7898108642108</v>
      </c>
      <c r="D194" s="127" t="s">
        <v>195</v>
      </c>
      <c r="E194" s="55">
        <v>3.1854999999999998</v>
      </c>
      <c r="F194" s="154"/>
      <c r="G194" s="150">
        <v>3.1854999999999998</v>
      </c>
      <c r="H194" s="126" t="s">
        <v>13</v>
      </c>
      <c r="I194" s="151">
        <v>0.35</v>
      </c>
      <c r="J194" s="41">
        <f t="shared" si="35"/>
        <v>2.0705749999999998</v>
      </c>
      <c r="K194" s="41"/>
      <c r="L194" s="155"/>
      <c r="M194" s="43">
        <f t="shared" si="34"/>
        <v>0</v>
      </c>
    </row>
    <row r="195" spans="1:13" ht="21.75" customHeight="1" x14ac:dyDescent="0.45">
      <c r="A195" s="33" t="s">
        <v>251</v>
      </c>
      <c r="B195" s="34">
        <v>1619</v>
      </c>
      <c r="C195" s="51">
        <v>7898108642115</v>
      </c>
      <c r="D195" s="127" t="s">
        <v>29</v>
      </c>
      <c r="E195" s="55">
        <v>4.2089999999999996</v>
      </c>
      <c r="F195" s="154"/>
      <c r="G195" s="150">
        <v>4.2089999999999996</v>
      </c>
      <c r="H195" s="126" t="s">
        <v>13</v>
      </c>
      <c r="I195" s="151">
        <v>0.35</v>
      </c>
      <c r="J195" s="41">
        <f t="shared" si="35"/>
        <v>2.7358500000000001</v>
      </c>
      <c r="K195" s="41"/>
      <c r="L195" s="155"/>
      <c r="M195" s="43">
        <f t="shared" si="34"/>
        <v>0</v>
      </c>
    </row>
    <row r="196" spans="1:13" ht="21.75" customHeight="1" x14ac:dyDescent="0.45">
      <c r="A196" s="33" t="s">
        <v>252</v>
      </c>
      <c r="B196" s="34">
        <v>1620</v>
      </c>
      <c r="C196" s="51">
        <v>7898108642122</v>
      </c>
      <c r="D196" s="127" t="s">
        <v>146</v>
      </c>
      <c r="E196" s="55">
        <v>5.6924999999999999</v>
      </c>
      <c r="F196" s="154"/>
      <c r="G196" s="150">
        <v>5.6924999999999999</v>
      </c>
      <c r="H196" s="126" t="s">
        <v>13</v>
      </c>
      <c r="I196" s="151">
        <v>0.35</v>
      </c>
      <c r="J196" s="41">
        <f t="shared" si="35"/>
        <v>3.7001249999999999</v>
      </c>
      <c r="K196" s="41"/>
      <c r="L196" s="155"/>
      <c r="M196" s="43">
        <f t="shared" si="34"/>
        <v>0</v>
      </c>
    </row>
    <row r="197" spans="1:13" ht="21.75" customHeight="1" x14ac:dyDescent="0.45">
      <c r="A197" s="33" t="s">
        <v>253</v>
      </c>
      <c r="B197" s="34">
        <v>1614</v>
      </c>
      <c r="C197" s="51">
        <v>7898108641965</v>
      </c>
      <c r="D197" s="127" t="s">
        <v>42</v>
      </c>
      <c r="E197" s="55">
        <v>103.38000000000001</v>
      </c>
      <c r="F197" s="154"/>
      <c r="G197" s="150">
        <v>103.38000000000001</v>
      </c>
      <c r="H197" s="126" t="s">
        <v>13</v>
      </c>
      <c r="I197" s="151">
        <v>0.35</v>
      </c>
      <c r="J197" s="41">
        <f t="shared" si="35"/>
        <v>67.197000000000003</v>
      </c>
      <c r="K197" s="41">
        <v>1.68</v>
      </c>
      <c r="L197" s="155"/>
      <c r="M197" s="43">
        <f t="shared" si="34"/>
        <v>0</v>
      </c>
    </row>
    <row r="198" spans="1:13" ht="21.75" hidden="1" customHeight="1" x14ac:dyDescent="0.45">
      <c r="A198" s="33" t="s">
        <v>254</v>
      </c>
      <c r="B198" s="34">
        <v>1626</v>
      </c>
      <c r="C198" s="71">
        <v>7898108642450</v>
      </c>
      <c r="D198" s="127" t="s">
        <v>42</v>
      </c>
      <c r="E198" s="55">
        <v>103.38000000000001</v>
      </c>
      <c r="F198" s="154"/>
      <c r="G198" s="150">
        <v>103.38000000000001</v>
      </c>
      <c r="H198" s="126" t="s">
        <v>13</v>
      </c>
      <c r="I198" s="151">
        <v>0.35</v>
      </c>
      <c r="J198" s="41">
        <f t="shared" si="35"/>
        <v>67.197000000000003</v>
      </c>
      <c r="K198" s="41"/>
      <c r="L198" s="155"/>
      <c r="M198" s="43">
        <f t="shared" si="34"/>
        <v>0</v>
      </c>
    </row>
    <row r="199" spans="1:13" ht="21.75" hidden="1" customHeight="1" x14ac:dyDescent="0.45">
      <c r="A199" s="33" t="s">
        <v>255</v>
      </c>
      <c r="B199" s="34">
        <v>986</v>
      </c>
      <c r="C199" s="71">
        <v>7898108642672</v>
      </c>
      <c r="D199" s="127" t="s">
        <v>256</v>
      </c>
      <c r="E199" s="55">
        <v>16.619999999999997</v>
      </c>
      <c r="F199" s="154"/>
      <c r="G199" s="150">
        <v>16.619999999999997</v>
      </c>
      <c r="H199" s="126" t="s">
        <v>13</v>
      </c>
      <c r="I199" s="151">
        <v>0.35</v>
      </c>
      <c r="J199" s="41">
        <f t="shared" si="35"/>
        <v>10.802999999999999</v>
      </c>
      <c r="K199" s="41"/>
      <c r="L199" s="155"/>
      <c r="M199" s="43">
        <f t="shared" si="34"/>
        <v>0</v>
      </c>
    </row>
    <row r="200" spans="1:13" ht="21.75" hidden="1" customHeight="1" x14ac:dyDescent="0.45">
      <c r="A200" s="33" t="s">
        <v>257</v>
      </c>
      <c r="B200" s="34">
        <v>1613</v>
      </c>
      <c r="C200" s="51">
        <v>7898108642030</v>
      </c>
      <c r="D200" s="127" t="s">
        <v>42</v>
      </c>
      <c r="E200" s="55">
        <v>548.30399999999997</v>
      </c>
      <c r="F200" s="154"/>
      <c r="G200" s="150">
        <v>548.30399999999997</v>
      </c>
      <c r="H200" s="126" t="s">
        <v>13</v>
      </c>
      <c r="I200" s="151">
        <v>0.35</v>
      </c>
      <c r="J200" s="41">
        <f t="shared" si="35"/>
        <v>356.39760000000001</v>
      </c>
      <c r="K200" s="41"/>
      <c r="L200" s="155"/>
      <c r="M200" s="43">
        <f t="shared" si="34"/>
        <v>0</v>
      </c>
    </row>
    <row r="201" spans="1:13" ht="21.75" hidden="1" customHeight="1" x14ac:dyDescent="0.45">
      <c r="A201" s="33" t="s">
        <v>258</v>
      </c>
      <c r="B201" s="34">
        <v>1660</v>
      </c>
      <c r="C201" s="83">
        <v>7898108643044</v>
      </c>
      <c r="D201" s="127" t="s">
        <v>61</v>
      </c>
      <c r="E201" s="55">
        <v>9.5879999999999992</v>
      </c>
      <c r="F201" s="154"/>
      <c r="G201" s="150">
        <v>9.5879999999999992</v>
      </c>
      <c r="H201" s="126" t="s">
        <v>13</v>
      </c>
      <c r="I201" s="151">
        <v>0.35</v>
      </c>
      <c r="J201" s="41">
        <f t="shared" si="35"/>
        <v>6.2321999999999997</v>
      </c>
      <c r="K201" s="41"/>
      <c r="L201" s="155"/>
      <c r="M201" s="43">
        <f t="shared" si="34"/>
        <v>0</v>
      </c>
    </row>
    <row r="202" spans="1:13" ht="21.75" hidden="1" customHeight="1" x14ac:dyDescent="0.45">
      <c r="A202" s="33" t="s">
        <v>259</v>
      </c>
      <c r="B202" s="34">
        <v>1842</v>
      </c>
      <c r="C202" s="83">
        <v>7898108644454</v>
      </c>
      <c r="D202" s="127" t="s">
        <v>61</v>
      </c>
      <c r="E202" s="55">
        <v>9.5879999999999992</v>
      </c>
      <c r="F202" s="154"/>
      <c r="G202" s="150">
        <v>9.5879999999999992</v>
      </c>
      <c r="H202" s="126" t="s">
        <v>13</v>
      </c>
      <c r="I202" s="151">
        <v>0.35</v>
      </c>
      <c r="J202" s="41">
        <f t="shared" si="35"/>
        <v>6.2321999999999997</v>
      </c>
      <c r="K202" s="41"/>
      <c r="L202" s="155"/>
      <c r="M202" s="43">
        <f t="shared" si="34"/>
        <v>0</v>
      </c>
    </row>
    <row r="203" spans="1:13" ht="21.75" customHeight="1" x14ac:dyDescent="0.45">
      <c r="A203" s="33" t="s">
        <v>260</v>
      </c>
      <c r="B203" s="34">
        <v>1606</v>
      </c>
      <c r="C203" s="51">
        <v>7898108642146</v>
      </c>
      <c r="D203" s="127" t="s">
        <v>26</v>
      </c>
      <c r="E203" s="55">
        <v>3.8759999999999999</v>
      </c>
      <c r="F203" s="154"/>
      <c r="G203" s="150">
        <v>3.8759999999999999</v>
      </c>
      <c r="H203" s="126" t="s">
        <v>13</v>
      </c>
      <c r="I203" s="151">
        <v>0.35</v>
      </c>
      <c r="J203" s="41">
        <f t="shared" si="35"/>
        <v>2.5194000000000001</v>
      </c>
      <c r="K203" s="41"/>
      <c r="L203" s="155"/>
      <c r="M203" s="43">
        <f t="shared" si="34"/>
        <v>0</v>
      </c>
    </row>
    <row r="204" spans="1:13" ht="21.75" customHeight="1" x14ac:dyDescent="0.45">
      <c r="A204" s="33" t="s">
        <v>261</v>
      </c>
      <c r="B204" s="34">
        <v>1607</v>
      </c>
      <c r="C204" s="51">
        <v>7898108641989</v>
      </c>
      <c r="D204" s="127" t="s">
        <v>26</v>
      </c>
      <c r="E204" s="55">
        <v>3.8759999999999999</v>
      </c>
      <c r="F204" s="154"/>
      <c r="G204" s="150">
        <v>3.8759999999999999</v>
      </c>
      <c r="H204" s="126" t="s">
        <v>13</v>
      </c>
      <c r="I204" s="151">
        <v>0.35</v>
      </c>
      <c r="J204" s="41">
        <f t="shared" si="35"/>
        <v>2.5194000000000001</v>
      </c>
      <c r="K204" s="41"/>
      <c r="L204" s="155"/>
      <c r="M204" s="43">
        <f t="shared" si="34"/>
        <v>0</v>
      </c>
    </row>
    <row r="205" spans="1:13" ht="21.75" hidden="1" customHeight="1" x14ac:dyDescent="0.45">
      <c r="A205" s="33" t="s">
        <v>262</v>
      </c>
      <c r="B205" s="34">
        <v>1414</v>
      </c>
      <c r="C205" s="83">
        <v>7898108642689</v>
      </c>
      <c r="D205" s="127" t="s">
        <v>61</v>
      </c>
      <c r="E205" s="55">
        <v>3.5880000000000001</v>
      </c>
      <c r="F205" s="154"/>
      <c r="G205" s="150">
        <v>3.5880000000000001</v>
      </c>
      <c r="H205" s="126" t="s">
        <v>13</v>
      </c>
      <c r="I205" s="151">
        <v>0.35</v>
      </c>
      <c r="J205" s="41">
        <f t="shared" si="35"/>
        <v>2.3322000000000003</v>
      </c>
      <c r="K205" s="41"/>
      <c r="L205" s="155"/>
      <c r="M205" s="43">
        <f t="shared" si="34"/>
        <v>0</v>
      </c>
    </row>
    <row r="206" spans="1:13" ht="21.75" hidden="1" customHeight="1" x14ac:dyDescent="0.45">
      <c r="A206" s="33" t="s">
        <v>263</v>
      </c>
      <c r="B206" s="34">
        <v>1831</v>
      </c>
      <c r="C206" s="83">
        <v>7898108642283</v>
      </c>
      <c r="D206" s="127" t="s">
        <v>61</v>
      </c>
      <c r="E206" s="55">
        <v>6.2639999999999993</v>
      </c>
      <c r="F206" s="154"/>
      <c r="G206" s="150">
        <v>6.2639999999999993</v>
      </c>
      <c r="H206" s="126" t="s">
        <v>13</v>
      </c>
      <c r="I206" s="151">
        <v>0.35</v>
      </c>
      <c r="J206" s="41">
        <f t="shared" si="35"/>
        <v>4.0716000000000001</v>
      </c>
      <c r="K206" s="41"/>
      <c r="L206" s="155"/>
      <c r="M206" s="43">
        <f t="shared" si="34"/>
        <v>0</v>
      </c>
    </row>
    <row r="207" spans="1:13" ht="21.75" hidden="1" customHeight="1" x14ac:dyDescent="0.45">
      <c r="A207" s="33" t="s">
        <v>264</v>
      </c>
      <c r="B207" s="34">
        <v>1833</v>
      </c>
      <c r="C207" s="83">
        <v>7898108642320</v>
      </c>
      <c r="D207" s="127" t="s">
        <v>61</v>
      </c>
      <c r="E207" s="55">
        <v>6.2639999999999993</v>
      </c>
      <c r="F207" s="154"/>
      <c r="G207" s="150">
        <v>6.2639999999999993</v>
      </c>
      <c r="H207" s="126" t="s">
        <v>13</v>
      </c>
      <c r="I207" s="151">
        <v>0.35</v>
      </c>
      <c r="J207" s="41">
        <f t="shared" si="35"/>
        <v>4.0716000000000001</v>
      </c>
      <c r="K207" s="41"/>
      <c r="L207" s="155"/>
      <c r="M207" s="43">
        <f t="shared" si="34"/>
        <v>0</v>
      </c>
    </row>
    <row r="208" spans="1:13" ht="21.75" hidden="1" customHeight="1" x14ac:dyDescent="0.45">
      <c r="A208" s="33" t="s">
        <v>265</v>
      </c>
      <c r="B208" s="34">
        <v>1623</v>
      </c>
      <c r="C208" s="71">
        <v>7898108642429</v>
      </c>
      <c r="D208" s="127" t="s">
        <v>61</v>
      </c>
      <c r="E208" s="55">
        <v>6.2639999999999993</v>
      </c>
      <c r="F208" s="154"/>
      <c r="G208" s="150">
        <v>6.2639999999999993</v>
      </c>
      <c r="H208" s="126" t="s">
        <v>13</v>
      </c>
      <c r="I208" s="151">
        <v>0.35</v>
      </c>
      <c r="J208" s="41">
        <f t="shared" si="35"/>
        <v>4.0716000000000001</v>
      </c>
      <c r="K208" s="41"/>
      <c r="L208" s="155"/>
      <c r="M208" s="43">
        <f t="shared" si="34"/>
        <v>0</v>
      </c>
    </row>
    <row r="209" spans="1:13" ht="21.75" hidden="1" customHeight="1" x14ac:dyDescent="0.45">
      <c r="A209" s="33" t="s">
        <v>266</v>
      </c>
      <c r="B209" s="34">
        <v>1882</v>
      </c>
      <c r="C209" s="71">
        <v>7898108642634</v>
      </c>
      <c r="D209" s="127" t="s">
        <v>61</v>
      </c>
      <c r="E209" s="55">
        <v>6.2639999999999993</v>
      </c>
      <c r="F209" s="154"/>
      <c r="G209" s="150">
        <v>6.2639999999999993</v>
      </c>
      <c r="H209" s="126" t="s">
        <v>13</v>
      </c>
      <c r="I209" s="151">
        <v>0.35</v>
      </c>
      <c r="J209" s="41">
        <f t="shared" si="35"/>
        <v>4.0716000000000001</v>
      </c>
      <c r="K209" s="41"/>
      <c r="L209" s="155"/>
      <c r="M209" s="43">
        <f t="shared" si="34"/>
        <v>0</v>
      </c>
    </row>
    <row r="210" spans="1:13" ht="21.75" customHeight="1" x14ac:dyDescent="0.45">
      <c r="A210" s="33" t="s">
        <v>267</v>
      </c>
      <c r="B210" s="34">
        <v>1609</v>
      </c>
      <c r="C210" s="51">
        <v>7898108642009</v>
      </c>
      <c r="D210" s="127" t="s">
        <v>61</v>
      </c>
      <c r="E210" s="55">
        <v>8.3759999999999994</v>
      </c>
      <c r="F210" s="154"/>
      <c r="G210" s="150">
        <v>8.3759999999999994</v>
      </c>
      <c r="H210" s="126" t="s">
        <v>13</v>
      </c>
      <c r="I210" s="151">
        <v>0.35</v>
      </c>
      <c r="J210" s="41">
        <f>G210-(G210*I210)</f>
        <v>5.4443999999999999</v>
      </c>
      <c r="K210" s="41"/>
      <c r="L210" s="155"/>
      <c r="M210" s="43">
        <f t="shared" si="34"/>
        <v>0</v>
      </c>
    </row>
    <row r="211" spans="1:13" ht="23.4" x14ac:dyDescent="0.45">
      <c r="A211" s="33" t="s">
        <v>268</v>
      </c>
      <c r="B211" s="34">
        <v>1608</v>
      </c>
      <c r="C211" s="51">
        <v>7898108641996</v>
      </c>
      <c r="D211" s="127" t="s">
        <v>61</v>
      </c>
      <c r="E211" s="55">
        <v>8.3759999999999994</v>
      </c>
      <c r="F211" s="154"/>
      <c r="G211" s="150">
        <v>8.3759999999999994</v>
      </c>
      <c r="H211" s="126" t="s">
        <v>13</v>
      </c>
      <c r="I211" s="151">
        <v>0.35</v>
      </c>
      <c r="J211" s="41">
        <f t="shared" si="35"/>
        <v>5.4443999999999999</v>
      </c>
      <c r="K211" s="41"/>
      <c r="L211" s="155"/>
      <c r="M211" s="43">
        <f t="shared" si="34"/>
        <v>0</v>
      </c>
    </row>
    <row r="212" spans="1:13" ht="23.4" hidden="1" x14ac:dyDescent="0.45">
      <c r="A212" s="33" t="s">
        <v>269</v>
      </c>
      <c r="B212" s="34">
        <v>1828</v>
      </c>
      <c r="C212" s="83">
        <v>7898108642306</v>
      </c>
      <c r="D212" s="127" t="s">
        <v>270</v>
      </c>
      <c r="E212" s="55">
        <v>21.587999999999997</v>
      </c>
      <c r="F212" s="154"/>
      <c r="G212" s="150">
        <v>21.587999999999997</v>
      </c>
      <c r="H212" s="126" t="s">
        <v>13</v>
      </c>
      <c r="I212" s="151">
        <v>0.35</v>
      </c>
      <c r="J212" s="41">
        <f t="shared" si="35"/>
        <v>14.0322</v>
      </c>
      <c r="K212" s="41"/>
      <c r="L212" s="155"/>
      <c r="M212" s="43">
        <f t="shared" si="34"/>
        <v>0</v>
      </c>
    </row>
    <row r="213" spans="1:13" ht="23.4" hidden="1" x14ac:dyDescent="0.45">
      <c r="A213" s="33" t="s">
        <v>271</v>
      </c>
      <c r="B213" s="34">
        <v>1841</v>
      </c>
      <c r="C213" s="71"/>
      <c r="D213" s="127" t="s">
        <v>270</v>
      </c>
      <c r="E213" s="55">
        <v>21.587999999999997</v>
      </c>
      <c r="F213" s="154"/>
      <c r="G213" s="150">
        <v>21.587999999999997</v>
      </c>
      <c r="H213" s="126" t="s">
        <v>13</v>
      </c>
      <c r="I213" s="151">
        <v>0.35</v>
      </c>
      <c r="J213" s="41">
        <f t="shared" si="35"/>
        <v>14.0322</v>
      </c>
      <c r="K213" s="41"/>
      <c r="L213" s="155"/>
      <c r="M213" s="43">
        <f t="shared" si="34"/>
        <v>0</v>
      </c>
    </row>
    <row r="214" spans="1:13" ht="23.4" hidden="1" x14ac:dyDescent="0.45">
      <c r="A214" s="33" t="s">
        <v>272</v>
      </c>
      <c r="B214" s="34">
        <v>1661</v>
      </c>
      <c r="C214" s="83">
        <v>7898108643150</v>
      </c>
      <c r="D214" s="127" t="s">
        <v>61</v>
      </c>
      <c r="E214" s="55">
        <v>13.188000000000001</v>
      </c>
      <c r="F214" s="154"/>
      <c r="G214" s="150">
        <v>13.188000000000001</v>
      </c>
      <c r="H214" s="126" t="s">
        <v>13</v>
      </c>
      <c r="I214" s="151">
        <v>0.35</v>
      </c>
      <c r="J214" s="41">
        <f t="shared" si="35"/>
        <v>8.5722000000000005</v>
      </c>
      <c r="K214" s="41"/>
      <c r="L214" s="155"/>
      <c r="M214" s="43">
        <f t="shared" si="34"/>
        <v>0</v>
      </c>
    </row>
    <row r="215" spans="1:13" ht="23.4" hidden="1" x14ac:dyDescent="0.45">
      <c r="A215" s="33" t="s">
        <v>273</v>
      </c>
      <c r="B215" s="34">
        <v>1955</v>
      </c>
      <c r="C215" s="71">
        <v>7898108645031</v>
      </c>
      <c r="D215" s="127" t="s">
        <v>151</v>
      </c>
      <c r="E215" s="55">
        <v>9.5879999999999992</v>
      </c>
      <c r="F215" s="154"/>
      <c r="G215" s="150">
        <v>9.5879999999999992</v>
      </c>
      <c r="H215" s="126" t="s">
        <v>13</v>
      </c>
      <c r="I215" s="151">
        <v>0.35</v>
      </c>
      <c r="J215" s="41">
        <f t="shared" si="35"/>
        <v>6.2321999999999997</v>
      </c>
      <c r="K215" s="41"/>
      <c r="L215" s="155"/>
      <c r="M215" s="43">
        <f t="shared" si="34"/>
        <v>0</v>
      </c>
    </row>
    <row r="216" spans="1:13" ht="23.4" hidden="1" x14ac:dyDescent="0.45">
      <c r="A216" s="33" t="s">
        <v>274</v>
      </c>
      <c r="B216" s="34">
        <v>1921</v>
      </c>
      <c r="C216" s="71">
        <v>7998108643426</v>
      </c>
      <c r="D216" s="127" t="s">
        <v>151</v>
      </c>
      <c r="E216" s="55">
        <v>9.5879999999999992</v>
      </c>
      <c r="F216" s="154"/>
      <c r="G216" s="150">
        <v>9.5879999999999992</v>
      </c>
      <c r="H216" s="126" t="s">
        <v>13</v>
      </c>
      <c r="I216" s="151">
        <v>0.35</v>
      </c>
      <c r="J216" s="41">
        <f t="shared" si="35"/>
        <v>6.2321999999999997</v>
      </c>
      <c r="K216" s="41"/>
      <c r="L216" s="155"/>
      <c r="M216" s="43">
        <f t="shared" si="34"/>
        <v>0</v>
      </c>
    </row>
    <row r="217" spans="1:13" ht="23.4" hidden="1" x14ac:dyDescent="0.45">
      <c r="A217" s="33" t="s">
        <v>275</v>
      </c>
      <c r="B217" s="34">
        <v>1922</v>
      </c>
      <c r="C217" s="71">
        <v>7898108643433</v>
      </c>
      <c r="D217" s="127" t="s">
        <v>151</v>
      </c>
      <c r="E217" s="55">
        <v>9.5879999999999992</v>
      </c>
      <c r="F217" s="154"/>
      <c r="G217" s="150">
        <v>9.5879999999999992</v>
      </c>
      <c r="H217" s="126" t="s">
        <v>13</v>
      </c>
      <c r="I217" s="151">
        <v>0.35</v>
      </c>
      <c r="J217" s="41">
        <f t="shared" si="35"/>
        <v>6.2321999999999997</v>
      </c>
      <c r="K217" s="41"/>
      <c r="L217" s="155"/>
      <c r="M217" s="43">
        <f t="shared" si="34"/>
        <v>0</v>
      </c>
    </row>
    <row r="218" spans="1:13" ht="23.4" hidden="1" x14ac:dyDescent="0.45">
      <c r="A218" s="33" t="s">
        <v>276</v>
      </c>
      <c r="B218" s="34">
        <v>1926</v>
      </c>
      <c r="C218" s="156">
        <v>7898108643457</v>
      </c>
      <c r="D218" s="127" t="s">
        <v>15</v>
      </c>
      <c r="E218" s="55">
        <v>15.587999999999999</v>
      </c>
      <c r="F218" s="154"/>
      <c r="G218" s="150">
        <v>15.587999999999999</v>
      </c>
      <c r="H218" s="126" t="s">
        <v>13</v>
      </c>
      <c r="I218" s="151">
        <v>0.35</v>
      </c>
      <c r="J218" s="41">
        <f t="shared" si="35"/>
        <v>10.132200000000001</v>
      </c>
      <c r="K218" s="41"/>
      <c r="L218" s="155"/>
      <c r="M218" s="43">
        <f t="shared" si="34"/>
        <v>0</v>
      </c>
    </row>
    <row r="219" spans="1:13" ht="23.4" hidden="1" x14ac:dyDescent="0.45">
      <c r="A219" s="33" t="s">
        <v>277</v>
      </c>
      <c r="B219" s="34">
        <v>1927</v>
      </c>
      <c r="C219" s="71">
        <v>7898108643464</v>
      </c>
      <c r="D219" s="127" t="s">
        <v>15</v>
      </c>
      <c r="E219" s="55">
        <v>15.587999999999999</v>
      </c>
      <c r="F219" s="154"/>
      <c r="G219" s="150">
        <v>15.587999999999999</v>
      </c>
      <c r="H219" s="126" t="s">
        <v>13</v>
      </c>
      <c r="I219" s="151">
        <v>0.35</v>
      </c>
      <c r="J219" s="41">
        <f t="shared" si="35"/>
        <v>10.132200000000001</v>
      </c>
      <c r="K219" s="41"/>
      <c r="L219" s="155"/>
      <c r="M219" s="43">
        <f t="shared" si="34"/>
        <v>0</v>
      </c>
    </row>
    <row r="220" spans="1:13" ht="23.4" hidden="1" x14ac:dyDescent="0.45">
      <c r="A220" s="33" t="s">
        <v>278</v>
      </c>
      <c r="B220" s="34">
        <v>1923</v>
      </c>
      <c r="C220" s="71">
        <v>7898108643440</v>
      </c>
      <c r="D220" s="127" t="s">
        <v>15</v>
      </c>
      <c r="E220" s="55">
        <v>15.587999999999999</v>
      </c>
      <c r="F220" s="154"/>
      <c r="G220" s="150">
        <v>15.587999999999999</v>
      </c>
      <c r="H220" s="126" t="s">
        <v>13</v>
      </c>
      <c r="I220" s="151">
        <v>0.35</v>
      </c>
      <c r="J220" s="41">
        <f t="shared" si="35"/>
        <v>10.132200000000001</v>
      </c>
      <c r="K220" s="41"/>
      <c r="L220" s="155"/>
      <c r="M220" s="43">
        <f t="shared" si="34"/>
        <v>0</v>
      </c>
    </row>
    <row r="221" spans="1:13" ht="23.4" hidden="1" x14ac:dyDescent="0.45">
      <c r="A221" s="33" t="s">
        <v>279</v>
      </c>
      <c r="B221" s="34">
        <v>1956</v>
      </c>
      <c r="C221" s="71">
        <v>7898108644829</v>
      </c>
      <c r="D221" s="127" t="s">
        <v>151</v>
      </c>
      <c r="E221" s="55">
        <v>9.5879999999999992</v>
      </c>
      <c r="F221" s="154"/>
      <c r="G221" s="150">
        <v>9.5879999999999992</v>
      </c>
      <c r="H221" s="126" t="s">
        <v>13</v>
      </c>
      <c r="I221" s="151">
        <v>0.35</v>
      </c>
      <c r="J221" s="41">
        <f t="shared" si="35"/>
        <v>6.2321999999999997</v>
      </c>
      <c r="K221" s="41"/>
      <c r="L221" s="155"/>
      <c r="M221" s="43">
        <f t="shared" si="34"/>
        <v>0</v>
      </c>
    </row>
    <row r="222" spans="1:13" ht="23.4" hidden="1" x14ac:dyDescent="0.45">
      <c r="A222" s="33" t="s">
        <v>280</v>
      </c>
      <c r="B222" s="34">
        <v>992</v>
      </c>
      <c r="C222" s="71">
        <v>7898108642795</v>
      </c>
      <c r="D222" s="127" t="s">
        <v>85</v>
      </c>
      <c r="E222" s="55">
        <v>9.5879999999999992</v>
      </c>
      <c r="F222" s="154"/>
      <c r="G222" s="150">
        <v>9.5879999999999992</v>
      </c>
      <c r="H222" s="126" t="s">
        <v>13</v>
      </c>
      <c r="I222" s="151">
        <v>0.35</v>
      </c>
      <c r="J222" s="41">
        <f t="shared" si="35"/>
        <v>6.2321999999999997</v>
      </c>
      <c r="K222" s="41"/>
      <c r="L222" s="155"/>
      <c r="M222" s="43">
        <f t="shared" si="34"/>
        <v>0</v>
      </c>
    </row>
    <row r="223" spans="1:13" ht="23.4" hidden="1" x14ac:dyDescent="0.45">
      <c r="A223" s="33" t="s">
        <v>281</v>
      </c>
      <c r="B223" s="34">
        <v>993</v>
      </c>
      <c r="C223" s="71">
        <v>7898108642801</v>
      </c>
      <c r="D223" s="127" t="s">
        <v>85</v>
      </c>
      <c r="E223" s="55">
        <v>9.5879999999999992</v>
      </c>
      <c r="F223" s="154"/>
      <c r="G223" s="150">
        <v>9.5879999999999992</v>
      </c>
      <c r="H223" s="126" t="s">
        <v>13</v>
      </c>
      <c r="I223" s="151">
        <v>0.35</v>
      </c>
      <c r="J223" s="41">
        <f t="shared" si="35"/>
        <v>6.2321999999999997</v>
      </c>
      <c r="K223" s="41"/>
      <c r="L223" s="155"/>
      <c r="M223" s="43">
        <f t="shared" si="34"/>
        <v>0</v>
      </c>
    </row>
    <row r="224" spans="1:13" ht="23.4" hidden="1" x14ac:dyDescent="0.45">
      <c r="A224" s="33" t="s">
        <v>282</v>
      </c>
      <c r="B224" s="34">
        <v>994</v>
      </c>
      <c r="C224" s="71">
        <v>7898108642818</v>
      </c>
      <c r="D224" s="127" t="s">
        <v>85</v>
      </c>
      <c r="E224" s="55">
        <v>7.1879999999999997</v>
      </c>
      <c r="F224" s="154"/>
      <c r="G224" s="150">
        <v>7.1879999999999997</v>
      </c>
      <c r="H224" s="126" t="s">
        <v>13</v>
      </c>
      <c r="I224" s="151">
        <v>0.35</v>
      </c>
      <c r="J224" s="41">
        <f t="shared" si="35"/>
        <v>4.6722000000000001</v>
      </c>
      <c r="K224" s="41"/>
      <c r="L224" s="155"/>
      <c r="M224" s="43">
        <f t="shared" si="34"/>
        <v>0</v>
      </c>
    </row>
    <row r="225" spans="1:13" ht="23.4" hidden="1" x14ac:dyDescent="0.45">
      <c r="A225" s="33" t="s">
        <v>283</v>
      </c>
      <c r="B225" s="34">
        <v>1924</v>
      </c>
      <c r="C225" s="71">
        <v>7898108643488</v>
      </c>
      <c r="D225" s="127" t="s">
        <v>151</v>
      </c>
      <c r="E225" s="55">
        <v>7.1879999999999997</v>
      </c>
      <c r="F225" s="154"/>
      <c r="G225" s="150">
        <v>7.1879999999999997</v>
      </c>
      <c r="H225" s="126" t="s">
        <v>13</v>
      </c>
      <c r="I225" s="151">
        <v>0.35</v>
      </c>
      <c r="J225" s="41">
        <f t="shared" si="35"/>
        <v>4.6722000000000001</v>
      </c>
      <c r="K225" s="41"/>
      <c r="L225" s="155"/>
      <c r="M225" s="43">
        <f t="shared" si="34"/>
        <v>0</v>
      </c>
    </row>
    <row r="226" spans="1:13" ht="23.4" hidden="1" x14ac:dyDescent="0.45">
      <c r="A226" s="33" t="s">
        <v>284</v>
      </c>
      <c r="B226" s="34">
        <v>1925</v>
      </c>
      <c r="C226" s="71">
        <v>7898108643471</v>
      </c>
      <c r="D226" s="127" t="s">
        <v>151</v>
      </c>
      <c r="E226" s="55">
        <v>7.1879999999999997</v>
      </c>
      <c r="F226" s="154"/>
      <c r="G226" s="150">
        <v>7.1879999999999997</v>
      </c>
      <c r="H226" s="126" t="s">
        <v>13</v>
      </c>
      <c r="I226" s="151">
        <v>0.35</v>
      </c>
      <c r="J226" s="41">
        <f t="shared" si="35"/>
        <v>4.6722000000000001</v>
      </c>
      <c r="K226" s="41"/>
      <c r="L226" s="155"/>
      <c r="M226" s="43">
        <f t="shared" si="34"/>
        <v>0</v>
      </c>
    </row>
    <row r="227" spans="1:13" ht="23.4" hidden="1" x14ac:dyDescent="0.45">
      <c r="A227" s="33" t="s">
        <v>285</v>
      </c>
      <c r="B227" s="34">
        <v>987</v>
      </c>
      <c r="C227" s="71">
        <v>7898108642573</v>
      </c>
      <c r="D227" s="127" t="s">
        <v>85</v>
      </c>
      <c r="E227" s="55">
        <v>7.1879999999999997</v>
      </c>
      <c r="F227" s="154"/>
      <c r="G227" s="150">
        <v>7.1879999999999997</v>
      </c>
      <c r="H227" s="126" t="s">
        <v>13</v>
      </c>
      <c r="I227" s="151">
        <v>0.35</v>
      </c>
      <c r="J227" s="41">
        <f t="shared" si="35"/>
        <v>4.6722000000000001</v>
      </c>
      <c r="K227" s="41"/>
      <c r="L227" s="155"/>
      <c r="M227" s="43">
        <f t="shared" si="34"/>
        <v>0</v>
      </c>
    </row>
    <row r="228" spans="1:13" ht="23.4" hidden="1" x14ac:dyDescent="0.45">
      <c r="A228" s="33" t="s">
        <v>286</v>
      </c>
      <c r="B228" s="34">
        <v>1920</v>
      </c>
      <c r="C228" s="71">
        <v>7898108643419</v>
      </c>
      <c r="D228" s="127" t="s">
        <v>90</v>
      </c>
      <c r="E228" s="55">
        <v>9.5937000000000001</v>
      </c>
      <c r="F228" s="154"/>
      <c r="G228" s="150">
        <v>9.5937000000000001</v>
      </c>
      <c r="H228" s="126" t="s">
        <v>13</v>
      </c>
      <c r="I228" s="151">
        <v>0.35</v>
      </c>
      <c r="J228" s="41">
        <f t="shared" si="35"/>
        <v>6.2359050000000007</v>
      </c>
      <c r="K228" s="41"/>
      <c r="L228" s="155"/>
      <c r="M228" s="43">
        <f t="shared" si="34"/>
        <v>0</v>
      </c>
    </row>
    <row r="229" spans="1:13" ht="23.4" hidden="1" x14ac:dyDescent="0.45">
      <c r="A229" s="33" t="s">
        <v>287</v>
      </c>
      <c r="B229" s="34">
        <v>1830</v>
      </c>
      <c r="C229" s="83">
        <v>7898108642269</v>
      </c>
      <c r="D229" s="127" t="s">
        <v>90</v>
      </c>
      <c r="E229" s="55">
        <v>2.7797999999999998</v>
      </c>
      <c r="F229" s="154"/>
      <c r="G229" s="150">
        <v>2.7797999999999998</v>
      </c>
      <c r="H229" s="126" t="s">
        <v>13</v>
      </c>
      <c r="I229" s="151">
        <v>0.35</v>
      </c>
      <c r="J229" s="41">
        <f t="shared" si="35"/>
        <v>1.80687</v>
      </c>
      <c r="K229" s="41"/>
      <c r="L229" s="155"/>
      <c r="M229" s="43">
        <f t="shared" si="34"/>
        <v>0</v>
      </c>
    </row>
    <row r="230" spans="1:13" ht="23.4" hidden="1" x14ac:dyDescent="0.45">
      <c r="A230" s="33" t="s">
        <v>288</v>
      </c>
      <c r="B230" s="34">
        <v>1829</v>
      </c>
      <c r="C230" s="83">
        <v>7898108642276</v>
      </c>
      <c r="D230" s="127" t="s">
        <v>90</v>
      </c>
      <c r="E230" s="55">
        <v>2.7797999999999998</v>
      </c>
      <c r="F230" s="154"/>
      <c r="G230" s="150">
        <v>2.7797999999999998</v>
      </c>
      <c r="H230" s="126" t="s">
        <v>13</v>
      </c>
      <c r="I230" s="151">
        <v>0.35</v>
      </c>
      <c r="J230" s="41">
        <f t="shared" si="35"/>
        <v>1.80687</v>
      </c>
      <c r="K230" s="41"/>
      <c r="L230" s="155"/>
      <c r="M230" s="43">
        <f t="shared" si="34"/>
        <v>0</v>
      </c>
    </row>
    <row r="231" spans="1:13" ht="23.4" x14ac:dyDescent="0.45">
      <c r="A231" s="33" t="s">
        <v>289</v>
      </c>
      <c r="B231" s="34">
        <v>1604</v>
      </c>
      <c r="C231" s="51">
        <v>7898108641873</v>
      </c>
      <c r="D231" s="127" t="s">
        <v>90</v>
      </c>
      <c r="E231" s="55">
        <v>2.7797999999999998</v>
      </c>
      <c r="F231" s="154"/>
      <c r="G231" s="150">
        <v>2.7797999999999998</v>
      </c>
      <c r="H231" s="126" t="s">
        <v>13</v>
      </c>
      <c r="I231" s="151">
        <v>0.35</v>
      </c>
      <c r="J231" s="41">
        <f t="shared" si="35"/>
        <v>1.80687</v>
      </c>
      <c r="K231" s="41"/>
      <c r="L231" s="155"/>
      <c r="M231" s="43">
        <f t="shared" si="34"/>
        <v>0</v>
      </c>
    </row>
    <row r="232" spans="1:13" ht="21.75" customHeight="1" x14ac:dyDescent="0.45">
      <c r="A232" s="33" t="s">
        <v>290</v>
      </c>
      <c r="B232" s="34">
        <v>1605</v>
      </c>
      <c r="C232" s="51">
        <v>7898108642023</v>
      </c>
      <c r="D232" s="127" t="s">
        <v>90</v>
      </c>
      <c r="E232" s="55">
        <v>2.7797999999999998</v>
      </c>
      <c r="F232" s="154"/>
      <c r="G232" s="150">
        <v>2.7797999999999998</v>
      </c>
      <c r="H232" s="126" t="s">
        <v>13</v>
      </c>
      <c r="I232" s="151">
        <v>0.35</v>
      </c>
      <c r="J232" s="41">
        <f t="shared" si="35"/>
        <v>1.80687</v>
      </c>
      <c r="K232" s="41"/>
      <c r="L232" s="155"/>
      <c r="M232" s="43">
        <f t="shared" si="34"/>
        <v>0</v>
      </c>
    </row>
    <row r="233" spans="1:13" ht="21.75" hidden="1" customHeight="1" x14ac:dyDescent="0.45">
      <c r="A233" s="33" t="s">
        <v>291</v>
      </c>
      <c r="B233" s="34">
        <v>1622</v>
      </c>
      <c r="C233" s="83">
        <v>7898108642412</v>
      </c>
      <c r="D233" s="127" t="s">
        <v>90</v>
      </c>
      <c r="E233" s="55">
        <v>2.7797999999999998</v>
      </c>
      <c r="F233" s="154"/>
      <c r="G233" s="150">
        <v>2.7797999999999998</v>
      </c>
      <c r="H233" s="126" t="s">
        <v>13</v>
      </c>
      <c r="I233" s="151">
        <v>0.35</v>
      </c>
      <c r="J233" s="41">
        <f t="shared" si="35"/>
        <v>1.80687</v>
      </c>
      <c r="K233" s="41"/>
      <c r="L233" s="155"/>
      <c r="M233" s="43">
        <f t="shared" si="34"/>
        <v>0</v>
      </c>
    </row>
    <row r="234" spans="1:13" ht="21.75" hidden="1" customHeight="1" x14ac:dyDescent="0.45">
      <c r="A234" s="33" t="s">
        <v>292</v>
      </c>
      <c r="B234" s="34">
        <v>1883</v>
      </c>
      <c r="C234" s="83">
        <v>7898108642641</v>
      </c>
      <c r="D234" s="127" t="s">
        <v>90</v>
      </c>
      <c r="E234" s="55">
        <v>2.7797999999999998</v>
      </c>
      <c r="F234" s="154"/>
      <c r="G234" s="150">
        <v>2.7797999999999998</v>
      </c>
      <c r="H234" s="126" t="s">
        <v>13</v>
      </c>
      <c r="I234" s="151">
        <v>0.35</v>
      </c>
      <c r="J234" s="41">
        <f t="shared" si="35"/>
        <v>1.80687</v>
      </c>
      <c r="K234" s="41"/>
      <c r="L234" s="155"/>
      <c r="M234" s="43">
        <f t="shared" si="34"/>
        <v>0</v>
      </c>
    </row>
    <row r="235" spans="1:13" ht="21.75" hidden="1" customHeight="1" x14ac:dyDescent="0.45">
      <c r="A235" s="33" t="s">
        <v>293</v>
      </c>
      <c r="B235" s="34">
        <v>1827</v>
      </c>
      <c r="C235" s="83">
        <v>7898108642290</v>
      </c>
      <c r="D235" s="127" t="s">
        <v>68</v>
      </c>
      <c r="E235" s="55">
        <v>24.923999999999999</v>
      </c>
      <c r="F235" s="154"/>
      <c r="G235" s="150">
        <v>24.923999999999999</v>
      </c>
      <c r="H235" s="126" t="s">
        <v>13</v>
      </c>
      <c r="I235" s="151">
        <v>0.35</v>
      </c>
      <c r="J235" s="41">
        <f t="shared" si="35"/>
        <v>16.200600000000001</v>
      </c>
      <c r="K235" s="41"/>
      <c r="L235" s="155"/>
      <c r="M235" s="43">
        <f t="shared" si="34"/>
        <v>0</v>
      </c>
    </row>
    <row r="236" spans="1:13" ht="21.75" hidden="1" customHeight="1" x14ac:dyDescent="0.45">
      <c r="A236" s="33" t="s">
        <v>294</v>
      </c>
      <c r="B236" s="34">
        <v>1832</v>
      </c>
      <c r="C236" s="83">
        <v>7898108642245</v>
      </c>
      <c r="D236" s="127" t="s">
        <v>68</v>
      </c>
      <c r="E236" s="55">
        <v>24.923999999999999</v>
      </c>
      <c r="F236" s="154"/>
      <c r="G236" s="150">
        <v>24.923999999999999</v>
      </c>
      <c r="H236" s="126" t="s">
        <v>13</v>
      </c>
      <c r="I236" s="151">
        <v>0.35</v>
      </c>
      <c r="J236" s="41">
        <f t="shared" si="35"/>
        <v>16.200600000000001</v>
      </c>
      <c r="K236" s="41"/>
      <c r="L236" s="155"/>
      <c r="M236" s="43">
        <f t="shared" si="34"/>
        <v>0</v>
      </c>
    </row>
    <row r="237" spans="1:13" ht="23.4" x14ac:dyDescent="0.45">
      <c r="A237" s="33" t="s">
        <v>295</v>
      </c>
      <c r="B237" s="34">
        <v>1610</v>
      </c>
      <c r="C237" s="51">
        <v>7898108641972</v>
      </c>
      <c r="D237" s="127" t="s">
        <v>68</v>
      </c>
      <c r="E237" s="55">
        <v>24.923999999999999</v>
      </c>
      <c r="F237" s="154"/>
      <c r="G237" s="150">
        <v>24.923999999999999</v>
      </c>
      <c r="H237" s="126" t="s">
        <v>13</v>
      </c>
      <c r="I237" s="151">
        <v>0.35</v>
      </c>
      <c r="J237" s="41">
        <f t="shared" si="35"/>
        <v>16.200600000000001</v>
      </c>
      <c r="K237" s="41"/>
      <c r="L237" s="155"/>
      <c r="M237" s="43">
        <f t="shared" si="34"/>
        <v>0</v>
      </c>
    </row>
    <row r="238" spans="1:13" ht="23.4" x14ac:dyDescent="0.45">
      <c r="A238" s="33" t="s">
        <v>296</v>
      </c>
      <c r="B238" s="34">
        <v>1611</v>
      </c>
      <c r="C238" s="51">
        <v>7898108642139</v>
      </c>
      <c r="D238" s="127" t="s">
        <v>68</v>
      </c>
      <c r="E238" s="55">
        <v>24.923999999999999</v>
      </c>
      <c r="F238" s="154"/>
      <c r="G238" s="150">
        <v>24.923999999999999</v>
      </c>
      <c r="H238" s="126" t="s">
        <v>13</v>
      </c>
      <c r="I238" s="151">
        <v>0.35</v>
      </c>
      <c r="J238" s="41">
        <f t="shared" si="35"/>
        <v>16.200600000000001</v>
      </c>
      <c r="K238" s="41"/>
      <c r="L238" s="155"/>
      <c r="M238" s="43">
        <f t="shared" si="34"/>
        <v>0</v>
      </c>
    </row>
    <row r="239" spans="1:13" ht="23.4" hidden="1" x14ac:dyDescent="0.45">
      <c r="A239" s="33" t="s">
        <v>297</v>
      </c>
      <c r="B239" s="34">
        <v>1834</v>
      </c>
      <c r="C239" s="83">
        <v>7898108642337</v>
      </c>
      <c r="D239" s="127" t="s">
        <v>68</v>
      </c>
      <c r="E239" s="55">
        <v>24.923999999999999</v>
      </c>
      <c r="F239" s="154"/>
      <c r="G239" s="150">
        <v>24.923999999999999</v>
      </c>
      <c r="H239" s="126" t="s">
        <v>13</v>
      </c>
      <c r="I239" s="151">
        <v>0.35</v>
      </c>
      <c r="J239" s="41">
        <f t="shared" si="35"/>
        <v>16.200600000000001</v>
      </c>
      <c r="K239" s="41"/>
      <c r="L239" s="155"/>
      <c r="M239" s="43">
        <f t="shared" ref="M239:M302" si="36">L239*J239</f>
        <v>0</v>
      </c>
    </row>
    <row r="240" spans="1:13" ht="23.4" hidden="1" x14ac:dyDescent="0.45">
      <c r="A240" s="33" t="s">
        <v>298</v>
      </c>
      <c r="B240" s="34">
        <v>1612</v>
      </c>
      <c r="C240" s="51">
        <v>7898108641903</v>
      </c>
      <c r="D240" s="127" t="s">
        <v>42</v>
      </c>
      <c r="E240" s="55">
        <v>88.608000000000004</v>
      </c>
      <c r="F240" s="154"/>
      <c r="G240" s="150">
        <v>88.608000000000004</v>
      </c>
      <c r="H240" s="126" t="s">
        <v>13</v>
      </c>
      <c r="I240" s="151">
        <v>0.35</v>
      </c>
      <c r="J240" s="41">
        <f t="shared" si="35"/>
        <v>57.595200000000006</v>
      </c>
      <c r="K240" s="41"/>
      <c r="L240" s="155"/>
      <c r="M240" s="43">
        <f t="shared" si="36"/>
        <v>0</v>
      </c>
    </row>
    <row r="241" spans="1:13" ht="23.4" hidden="1" x14ac:dyDescent="0.45">
      <c r="A241" s="33" t="s">
        <v>299</v>
      </c>
      <c r="B241" s="34">
        <v>1625</v>
      </c>
      <c r="C241" s="71"/>
      <c r="D241" s="127" t="s">
        <v>42</v>
      </c>
      <c r="E241" s="55">
        <v>88.608000000000004</v>
      </c>
      <c r="F241" s="154"/>
      <c r="G241" s="150">
        <v>88.608000000000004</v>
      </c>
      <c r="H241" s="126" t="s">
        <v>13</v>
      </c>
      <c r="I241" s="151">
        <v>0.35</v>
      </c>
      <c r="J241" s="41">
        <f t="shared" si="35"/>
        <v>57.595200000000006</v>
      </c>
      <c r="K241" s="41"/>
      <c r="L241" s="155"/>
      <c r="M241" s="43">
        <f t="shared" si="36"/>
        <v>0</v>
      </c>
    </row>
    <row r="242" spans="1:13" ht="23.4" hidden="1" x14ac:dyDescent="0.45">
      <c r="A242" s="33" t="s">
        <v>300</v>
      </c>
      <c r="B242" s="34">
        <v>991</v>
      </c>
      <c r="C242" s="83">
        <v>7898108642788</v>
      </c>
      <c r="D242" s="127" t="s">
        <v>205</v>
      </c>
      <c r="E242" s="55">
        <v>8.7479999999999993</v>
      </c>
      <c r="F242" s="154"/>
      <c r="G242" s="150">
        <v>8.7479999999999993</v>
      </c>
      <c r="H242" s="126" t="s">
        <v>13</v>
      </c>
      <c r="I242" s="151">
        <v>0.35</v>
      </c>
      <c r="J242" s="41">
        <f t="shared" si="35"/>
        <v>5.6861999999999995</v>
      </c>
      <c r="K242" s="41"/>
      <c r="L242" s="155"/>
      <c r="M242" s="43">
        <f t="shared" si="36"/>
        <v>0</v>
      </c>
    </row>
    <row r="243" spans="1:13" ht="46.2" hidden="1" x14ac:dyDescent="0.3">
      <c r="A243" s="27" t="s">
        <v>301</v>
      </c>
      <c r="B243" s="29"/>
      <c r="C243" s="29"/>
      <c r="D243" s="29"/>
      <c r="E243" s="30"/>
      <c r="F243" s="30"/>
      <c r="G243" s="30"/>
      <c r="H243" s="30"/>
      <c r="I243" s="30"/>
      <c r="J243" s="31"/>
      <c r="K243" s="31"/>
      <c r="L243" s="30"/>
      <c r="M243" s="30"/>
    </row>
    <row r="244" spans="1:13" ht="23.4" hidden="1" x14ac:dyDescent="0.45">
      <c r="A244" s="33" t="s">
        <v>302</v>
      </c>
      <c r="B244" s="34">
        <v>1917</v>
      </c>
      <c r="C244" s="69">
        <v>7898108642733</v>
      </c>
      <c r="D244" s="127" t="s">
        <v>90</v>
      </c>
      <c r="E244" s="55">
        <v>5.7177999999999987</v>
      </c>
      <c r="F244" s="154"/>
      <c r="G244" s="150">
        <v>5.7177999999999987</v>
      </c>
      <c r="H244" s="126" t="s">
        <v>13</v>
      </c>
      <c r="I244" s="151">
        <v>0.35</v>
      </c>
      <c r="J244" s="41">
        <f t="shared" ref="J244:J307" si="37">G244-(G244*I244)</f>
        <v>3.716569999999999</v>
      </c>
      <c r="K244" s="41"/>
      <c r="L244" s="155"/>
      <c r="M244" s="43">
        <f t="shared" si="36"/>
        <v>0</v>
      </c>
    </row>
    <row r="245" spans="1:13" ht="23.4" hidden="1" x14ac:dyDescent="0.45">
      <c r="A245" s="33" t="s">
        <v>303</v>
      </c>
      <c r="B245" s="34">
        <v>999</v>
      </c>
      <c r="C245" s="69">
        <v>7898108642726</v>
      </c>
      <c r="D245" s="127" t="s">
        <v>90</v>
      </c>
      <c r="E245" s="55">
        <v>2.7797999999999998</v>
      </c>
      <c r="F245" s="154"/>
      <c r="G245" s="150">
        <v>2.7797999999999998</v>
      </c>
      <c r="H245" s="126" t="s">
        <v>13</v>
      </c>
      <c r="I245" s="151">
        <v>0.35</v>
      </c>
      <c r="J245" s="41">
        <f t="shared" si="37"/>
        <v>1.80687</v>
      </c>
      <c r="K245" s="41"/>
      <c r="L245" s="155"/>
      <c r="M245" s="43">
        <f t="shared" si="36"/>
        <v>0</v>
      </c>
    </row>
    <row r="246" spans="1:13" ht="23.4" hidden="1" x14ac:dyDescent="0.45">
      <c r="A246" s="33" t="s">
        <v>304</v>
      </c>
      <c r="B246" s="34">
        <v>1314</v>
      </c>
      <c r="C246" s="69">
        <v>7898108642719</v>
      </c>
      <c r="D246" s="127" t="s">
        <v>22</v>
      </c>
      <c r="E246" s="55">
        <v>12.9</v>
      </c>
      <c r="F246" s="154"/>
      <c r="G246" s="150">
        <v>12.9</v>
      </c>
      <c r="H246" s="126" t="s">
        <v>13</v>
      </c>
      <c r="I246" s="151">
        <v>0.35</v>
      </c>
      <c r="J246" s="41">
        <f t="shared" si="37"/>
        <v>8.3850000000000016</v>
      </c>
      <c r="K246" s="41"/>
      <c r="L246" s="155"/>
      <c r="M246" s="43">
        <f t="shared" si="36"/>
        <v>0</v>
      </c>
    </row>
    <row r="247" spans="1:13" ht="46.2" hidden="1" x14ac:dyDescent="0.3">
      <c r="A247" s="27" t="s">
        <v>305</v>
      </c>
      <c r="B247" s="29"/>
      <c r="C247" s="29"/>
      <c r="D247" s="29"/>
      <c r="E247" s="30"/>
      <c r="F247" s="30"/>
      <c r="G247" s="30"/>
      <c r="H247" s="30"/>
      <c r="I247" s="30"/>
      <c r="J247" s="31"/>
      <c r="K247" s="31"/>
      <c r="L247" s="30"/>
      <c r="M247" s="30"/>
    </row>
    <row r="248" spans="1:13" ht="23.4" hidden="1" x14ac:dyDescent="0.45">
      <c r="A248" s="33" t="s">
        <v>306</v>
      </c>
      <c r="B248" s="34">
        <v>1783</v>
      </c>
      <c r="C248" s="69">
        <v>7898108646083</v>
      </c>
      <c r="D248" s="157" t="s">
        <v>270</v>
      </c>
      <c r="E248" s="55">
        <v>10.1587</v>
      </c>
      <c r="F248" s="154"/>
      <c r="G248" s="150">
        <v>10.1587</v>
      </c>
      <c r="H248" s="126" t="s">
        <v>13</v>
      </c>
      <c r="I248" s="151">
        <v>0.35</v>
      </c>
      <c r="J248" s="41">
        <f t="shared" si="37"/>
        <v>6.6031550000000001</v>
      </c>
      <c r="K248" s="41"/>
      <c r="L248" s="155"/>
      <c r="M248" s="43">
        <f t="shared" si="36"/>
        <v>0</v>
      </c>
    </row>
    <row r="249" spans="1:13" ht="23.4" hidden="1" x14ac:dyDescent="0.45">
      <c r="A249" s="33" t="s">
        <v>307</v>
      </c>
      <c r="B249" s="34">
        <v>1780</v>
      </c>
      <c r="C249" s="69"/>
      <c r="D249" s="157" t="s">
        <v>270</v>
      </c>
      <c r="E249" s="55">
        <v>20.328699999999998</v>
      </c>
      <c r="F249" s="154"/>
      <c r="G249" s="150">
        <v>20.328699999999998</v>
      </c>
      <c r="H249" s="126" t="s">
        <v>13</v>
      </c>
      <c r="I249" s="151">
        <v>0.35</v>
      </c>
      <c r="J249" s="41">
        <f t="shared" si="37"/>
        <v>13.213654999999999</v>
      </c>
      <c r="K249" s="41"/>
      <c r="L249" s="155"/>
      <c r="M249" s="43">
        <f t="shared" si="36"/>
        <v>0</v>
      </c>
    </row>
    <row r="250" spans="1:13" ht="23.4" hidden="1" x14ac:dyDescent="0.45">
      <c r="A250" s="33" t="s">
        <v>308</v>
      </c>
      <c r="B250" s="34">
        <v>1785</v>
      </c>
      <c r="C250" s="69">
        <v>7898108644201</v>
      </c>
      <c r="D250" s="157" t="s">
        <v>270</v>
      </c>
      <c r="E250" s="55">
        <v>13.188000000000001</v>
      </c>
      <c r="F250" s="154"/>
      <c r="G250" s="150">
        <v>13.188000000000001</v>
      </c>
      <c r="H250" s="126" t="s">
        <v>13</v>
      </c>
      <c r="I250" s="151">
        <v>0.35</v>
      </c>
      <c r="J250" s="41">
        <f t="shared" si="37"/>
        <v>8.5722000000000005</v>
      </c>
      <c r="K250" s="41"/>
      <c r="L250" s="155"/>
      <c r="M250" s="43">
        <f t="shared" si="36"/>
        <v>0</v>
      </c>
    </row>
    <row r="251" spans="1:13" ht="23.4" hidden="1" x14ac:dyDescent="0.45">
      <c r="A251" s="33" t="s">
        <v>309</v>
      </c>
      <c r="B251" s="34">
        <v>1782</v>
      </c>
      <c r="C251" s="69">
        <v>7898108646052</v>
      </c>
      <c r="D251" s="148" t="s">
        <v>310</v>
      </c>
      <c r="E251" s="55">
        <v>16.619999999999997</v>
      </c>
      <c r="F251" s="154"/>
      <c r="G251" s="150">
        <v>16.619999999999997</v>
      </c>
      <c r="H251" s="126" t="s">
        <v>13</v>
      </c>
      <c r="I251" s="151">
        <v>0.35</v>
      </c>
      <c r="J251" s="41">
        <f t="shared" si="37"/>
        <v>10.802999999999999</v>
      </c>
      <c r="K251" s="41"/>
      <c r="L251" s="155"/>
      <c r="M251" s="43">
        <f t="shared" si="36"/>
        <v>0</v>
      </c>
    </row>
    <row r="252" spans="1:13" ht="23.4" hidden="1" x14ac:dyDescent="0.45">
      <c r="A252" s="33" t="s">
        <v>311</v>
      </c>
      <c r="B252" s="34">
        <v>1781</v>
      </c>
      <c r="C252" s="69">
        <v>7898108646328</v>
      </c>
      <c r="D252" s="148" t="s">
        <v>15</v>
      </c>
      <c r="E252" s="55">
        <v>11.288699999999999</v>
      </c>
      <c r="F252" s="154"/>
      <c r="G252" s="150">
        <v>11.288699999999999</v>
      </c>
      <c r="H252" s="126" t="s">
        <v>13</v>
      </c>
      <c r="I252" s="151">
        <v>0.35</v>
      </c>
      <c r="J252" s="41">
        <f t="shared" si="37"/>
        <v>7.3376549999999998</v>
      </c>
      <c r="K252" s="41"/>
      <c r="L252" s="155"/>
      <c r="M252" s="43">
        <f t="shared" si="36"/>
        <v>0</v>
      </c>
    </row>
    <row r="253" spans="1:13" ht="23.4" hidden="1" x14ac:dyDescent="0.45">
      <c r="A253" s="33" t="s">
        <v>312</v>
      </c>
      <c r="B253" s="34">
        <v>2140</v>
      </c>
      <c r="C253" s="69">
        <v>7898108646489</v>
      </c>
      <c r="D253" s="148" t="s">
        <v>22</v>
      </c>
      <c r="E253" s="55">
        <v>16.788</v>
      </c>
      <c r="F253" s="154"/>
      <c r="G253" s="150">
        <v>16.788</v>
      </c>
      <c r="H253" s="126" t="s">
        <v>13</v>
      </c>
      <c r="I253" s="151">
        <v>0.35</v>
      </c>
      <c r="J253" s="41">
        <f t="shared" si="37"/>
        <v>10.9122</v>
      </c>
      <c r="K253" s="41"/>
      <c r="L253" s="155"/>
      <c r="M253" s="43">
        <f t="shared" si="36"/>
        <v>0</v>
      </c>
    </row>
    <row r="254" spans="1:13" ht="23.4" hidden="1" x14ac:dyDescent="0.45">
      <c r="A254" s="33" t="s">
        <v>313</v>
      </c>
      <c r="B254" s="34">
        <v>2141</v>
      </c>
      <c r="C254" s="69">
        <v>7898108646496</v>
      </c>
      <c r="D254" s="148" t="s">
        <v>22</v>
      </c>
      <c r="E254" s="55">
        <v>16.788</v>
      </c>
      <c r="F254" s="154"/>
      <c r="G254" s="150">
        <v>16.788</v>
      </c>
      <c r="H254" s="126" t="s">
        <v>13</v>
      </c>
      <c r="I254" s="151">
        <v>0.35</v>
      </c>
      <c r="J254" s="41">
        <f t="shared" si="37"/>
        <v>10.9122</v>
      </c>
      <c r="K254" s="41"/>
      <c r="L254" s="155"/>
      <c r="M254" s="43">
        <f t="shared" si="36"/>
        <v>0</v>
      </c>
    </row>
    <row r="255" spans="1:13" ht="23.4" hidden="1" x14ac:dyDescent="0.45">
      <c r="A255" s="33" t="s">
        <v>314</v>
      </c>
      <c r="B255" s="34">
        <v>2142</v>
      </c>
      <c r="C255" s="69">
        <v>7898108646526</v>
      </c>
      <c r="D255" s="148" t="s">
        <v>22</v>
      </c>
      <c r="E255" s="55">
        <v>17.988</v>
      </c>
      <c r="F255" s="154"/>
      <c r="G255" s="150">
        <v>17.988</v>
      </c>
      <c r="H255" s="126" t="s">
        <v>13</v>
      </c>
      <c r="I255" s="151">
        <v>0.35</v>
      </c>
      <c r="J255" s="41">
        <f t="shared" si="37"/>
        <v>11.6922</v>
      </c>
      <c r="K255" s="41"/>
      <c r="L255" s="155"/>
      <c r="M255" s="43">
        <f t="shared" si="36"/>
        <v>0</v>
      </c>
    </row>
    <row r="256" spans="1:13" ht="23.4" hidden="1" x14ac:dyDescent="0.45">
      <c r="A256" s="33" t="s">
        <v>315</v>
      </c>
      <c r="B256" s="34">
        <v>2143</v>
      </c>
      <c r="C256" s="69">
        <v>7898105646519</v>
      </c>
      <c r="D256" s="148" t="s">
        <v>22</v>
      </c>
      <c r="E256" s="55">
        <v>16.788</v>
      </c>
      <c r="F256" s="154"/>
      <c r="G256" s="150">
        <v>16.788</v>
      </c>
      <c r="H256" s="126" t="s">
        <v>13</v>
      </c>
      <c r="I256" s="151">
        <v>0.35</v>
      </c>
      <c r="J256" s="41">
        <f t="shared" si="37"/>
        <v>10.9122</v>
      </c>
      <c r="K256" s="41"/>
      <c r="L256" s="155"/>
      <c r="M256" s="43">
        <f t="shared" si="36"/>
        <v>0</v>
      </c>
    </row>
    <row r="257" spans="1:13" ht="23.4" hidden="1" x14ac:dyDescent="0.45">
      <c r="A257" s="33" t="s">
        <v>316</v>
      </c>
      <c r="B257" s="34">
        <v>2144</v>
      </c>
      <c r="C257" s="69">
        <v>7898108646502</v>
      </c>
      <c r="D257" s="148" t="s">
        <v>22</v>
      </c>
      <c r="E257" s="55">
        <v>16.788</v>
      </c>
      <c r="F257" s="154"/>
      <c r="G257" s="150">
        <v>16.788</v>
      </c>
      <c r="H257" s="126" t="s">
        <v>13</v>
      </c>
      <c r="I257" s="151">
        <v>0.35</v>
      </c>
      <c r="J257" s="41">
        <f t="shared" si="37"/>
        <v>10.9122</v>
      </c>
      <c r="K257" s="41"/>
      <c r="L257" s="155"/>
      <c r="M257" s="43">
        <f t="shared" si="36"/>
        <v>0</v>
      </c>
    </row>
    <row r="258" spans="1:13" ht="23.4" hidden="1" x14ac:dyDescent="0.45">
      <c r="A258" s="33" t="s">
        <v>317</v>
      </c>
      <c r="B258" s="34">
        <v>2145</v>
      </c>
      <c r="C258" s="69">
        <v>7898108646472</v>
      </c>
      <c r="D258" s="148" t="s">
        <v>22</v>
      </c>
      <c r="E258" s="55">
        <v>16.788</v>
      </c>
      <c r="F258" s="154"/>
      <c r="G258" s="150">
        <v>16.788</v>
      </c>
      <c r="H258" s="126" t="s">
        <v>13</v>
      </c>
      <c r="I258" s="151">
        <v>0.35</v>
      </c>
      <c r="J258" s="41">
        <f t="shared" si="37"/>
        <v>10.9122</v>
      </c>
      <c r="K258" s="41"/>
      <c r="L258" s="155"/>
      <c r="M258" s="43">
        <f t="shared" si="36"/>
        <v>0</v>
      </c>
    </row>
    <row r="259" spans="1:13" ht="23.4" hidden="1" x14ac:dyDescent="0.45">
      <c r="A259" s="33" t="s">
        <v>318</v>
      </c>
      <c r="B259" s="34">
        <v>2146</v>
      </c>
      <c r="C259" s="69">
        <v>7898108646533</v>
      </c>
      <c r="D259" s="157" t="s">
        <v>270</v>
      </c>
      <c r="E259" s="55">
        <v>13.223999999999998</v>
      </c>
      <c r="F259" s="154"/>
      <c r="G259" s="150">
        <v>13.223999999999998</v>
      </c>
      <c r="H259" s="126" t="s">
        <v>13</v>
      </c>
      <c r="I259" s="151">
        <v>0.35</v>
      </c>
      <c r="J259" s="41">
        <f t="shared" si="37"/>
        <v>8.5955999999999992</v>
      </c>
      <c r="K259" s="41"/>
      <c r="L259" s="155"/>
      <c r="M259" s="43">
        <f t="shared" si="36"/>
        <v>0</v>
      </c>
    </row>
    <row r="260" spans="1:13" ht="23.4" hidden="1" x14ac:dyDescent="0.45">
      <c r="A260" s="158" t="s">
        <v>319</v>
      </c>
      <c r="B260" s="34">
        <v>1770</v>
      </c>
      <c r="C260" s="69">
        <v>7898108646045</v>
      </c>
      <c r="D260" s="127" t="s">
        <v>320</v>
      </c>
      <c r="E260" s="55">
        <v>8.3879999999999999</v>
      </c>
      <c r="F260" s="154"/>
      <c r="G260" s="150">
        <v>8.3879999999999999</v>
      </c>
      <c r="H260" s="126" t="s">
        <v>13</v>
      </c>
      <c r="I260" s="151">
        <v>0.35</v>
      </c>
      <c r="J260" s="41">
        <f t="shared" si="37"/>
        <v>5.4521999999999995</v>
      </c>
      <c r="K260" s="41"/>
      <c r="L260" s="155"/>
      <c r="M260" s="43">
        <f t="shared" si="36"/>
        <v>0</v>
      </c>
    </row>
    <row r="261" spans="1:13" ht="23.4" hidden="1" x14ac:dyDescent="0.45">
      <c r="A261" s="33" t="s">
        <v>321</v>
      </c>
      <c r="B261" s="34">
        <v>1771</v>
      </c>
      <c r="C261" s="69">
        <v>7898108646021</v>
      </c>
      <c r="D261" s="127" t="s">
        <v>22</v>
      </c>
      <c r="E261" s="55">
        <v>13.188000000000001</v>
      </c>
      <c r="F261" s="154"/>
      <c r="G261" s="150">
        <v>13.188000000000001</v>
      </c>
      <c r="H261" s="126" t="s">
        <v>13</v>
      </c>
      <c r="I261" s="151">
        <v>0.35</v>
      </c>
      <c r="J261" s="41">
        <f t="shared" si="37"/>
        <v>8.5722000000000005</v>
      </c>
      <c r="K261" s="41"/>
      <c r="L261" s="155"/>
      <c r="M261" s="43">
        <f t="shared" si="36"/>
        <v>0</v>
      </c>
    </row>
    <row r="262" spans="1:13" ht="23.4" hidden="1" x14ac:dyDescent="0.45">
      <c r="A262" s="33" t="s">
        <v>322</v>
      </c>
      <c r="B262" s="34">
        <v>1772</v>
      </c>
      <c r="C262" s="69">
        <v>7898108646038</v>
      </c>
      <c r="D262" s="127" t="s">
        <v>12</v>
      </c>
      <c r="E262" s="55">
        <v>5.9880000000000004</v>
      </c>
      <c r="F262" s="154"/>
      <c r="G262" s="150">
        <v>5.9880000000000004</v>
      </c>
      <c r="H262" s="126" t="s">
        <v>13</v>
      </c>
      <c r="I262" s="151">
        <v>0.35</v>
      </c>
      <c r="J262" s="41">
        <f t="shared" si="37"/>
        <v>3.8922000000000003</v>
      </c>
      <c r="K262" s="41"/>
      <c r="L262" s="155"/>
      <c r="M262" s="43">
        <f t="shared" si="36"/>
        <v>0</v>
      </c>
    </row>
    <row r="263" spans="1:13" ht="23.4" hidden="1" x14ac:dyDescent="0.45">
      <c r="A263" s="33" t="s">
        <v>323</v>
      </c>
      <c r="B263" s="34">
        <v>1788</v>
      </c>
      <c r="C263" s="69">
        <v>7898108646090</v>
      </c>
      <c r="D263" s="148" t="s">
        <v>26</v>
      </c>
      <c r="E263" s="55">
        <v>10.056000000000001</v>
      </c>
      <c r="F263" s="154"/>
      <c r="G263" s="150">
        <v>10.056000000000001</v>
      </c>
      <c r="H263" s="126" t="s">
        <v>13</v>
      </c>
      <c r="I263" s="151">
        <v>0.35</v>
      </c>
      <c r="J263" s="41">
        <f t="shared" si="37"/>
        <v>6.5364000000000004</v>
      </c>
      <c r="K263" s="41"/>
      <c r="L263" s="155"/>
      <c r="M263" s="43">
        <f t="shared" si="36"/>
        <v>0</v>
      </c>
    </row>
    <row r="264" spans="1:13" ht="23.4" hidden="1" x14ac:dyDescent="0.45">
      <c r="A264" s="33" t="s">
        <v>324</v>
      </c>
      <c r="B264" s="34">
        <v>1789</v>
      </c>
      <c r="C264" s="69">
        <v>7898108646106</v>
      </c>
      <c r="D264" s="148" t="s">
        <v>26</v>
      </c>
      <c r="E264" s="55">
        <v>12.552000000000001</v>
      </c>
      <c r="F264" s="154"/>
      <c r="G264" s="150">
        <v>12.552000000000001</v>
      </c>
      <c r="H264" s="126" t="s">
        <v>13</v>
      </c>
      <c r="I264" s="151">
        <v>0.35</v>
      </c>
      <c r="J264" s="41">
        <f t="shared" si="37"/>
        <v>8.1588000000000012</v>
      </c>
      <c r="K264" s="41"/>
      <c r="L264" s="155"/>
      <c r="M264" s="43">
        <f t="shared" si="36"/>
        <v>0</v>
      </c>
    </row>
    <row r="265" spans="1:13" ht="23.4" hidden="1" x14ac:dyDescent="0.45">
      <c r="A265" s="33" t="s">
        <v>325</v>
      </c>
      <c r="B265" s="34">
        <v>1790</v>
      </c>
      <c r="C265" s="69">
        <v>7898108646113</v>
      </c>
      <c r="D265" s="148" t="s">
        <v>29</v>
      </c>
      <c r="E265" s="55">
        <v>23.987999999999996</v>
      </c>
      <c r="F265" s="154"/>
      <c r="G265" s="150">
        <v>23.987999999999996</v>
      </c>
      <c r="H265" s="126" t="s">
        <v>13</v>
      </c>
      <c r="I265" s="151">
        <v>0.35</v>
      </c>
      <c r="J265" s="41">
        <f t="shared" si="37"/>
        <v>15.592199999999998</v>
      </c>
      <c r="K265" s="41"/>
      <c r="L265" s="155"/>
      <c r="M265" s="43">
        <f t="shared" si="36"/>
        <v>0</v>
      </c>
    </row>
    <row r="266" spans="1:13" ht="23.4" hidden="1" x14ac:dyDescent="0.45">
      <c r="A266" s="33" t="s">
        <v>326</v>
      </c>
      <c r="B266" s="34">
        <v>1800</v>
      </c>
      <c r="C266" s="69">
        <v>7898108646229</v>
      </c>
      <c r="D266" s="148" t="s">
        <v>61</v>
      </c>
      <c r="E266" s="55">
        <v>8.3879999999999999</v>
      </c>
      <c r="F266" s="154"/>
      <c r="G266" s="150">
        <v>8.3879999999999999</v>
      </c>
      <c r="H266" s="126" t="s">
        <v>13</v>
      </c>
      <c r="I266" s="151">
        <v>0.35</v>
      </c>
      <c r="J266" s="41">
        <f t="shared" si="37"/>
        <v>5.4521999999999995</v>
      </c>
      <c r="K266" s="41"/>
      <c r="L266" s="155"/>
      <c r="M266" s="43">
        <f t="shared" si="36"/>
        <v>0</v>
      </c>
    </row>
    <row r="267" spans="1:13" ht="23.4" hidden="1" x14ac:dyDescent="0.45">
      <c r="A267" s="33" t="s">
        <v>327</v>
      </c>
      <c r="B267" s="34">
        <v>1852</v>
      </c>
      <c r="C267" s="69">
        <v>7898108646236</v>
      </c>
      <c r="D267" s="148" t="s">
        <v>61</v>
      </c>
      <c r="E267" s="55">
        <v>3.5880000000000001</v>
      </c>
      <c r="F267" s="154"/>
      <c r="G267" s="150">
        <v>3.5880000000000001</v>
      </c>
      <c r="H267" s="126" t="s">
        <v>13</v>
      </c>
      <c r="I267" s="151">
        <v>0.35</v>
      </c>
      <c r="J267" s="41">
        <f t="shared" si="37"/>
        <v>2.3322000000000003</v>
      </c>
      <c r="K267" s="41"/>
      <c r="L267" s="155"/>
      <c r="M267" s="43">
        <f t="shared" si="36"/>
        <v>0</v>
      </c>
    </row>
    <row r="268" spans="1:13" ht="23.4" hidden="1" x14ac:dyDescent="0.45">
      <c r="A268" s="33" t="s">
        <v>328</v>
      </c>
      <c r="B268" s="34">
        <v>1853</v>
      </c>
      <c r="C268" s="69">
        <v>7898108646243</v>
      </c>
      <c r="D268" s="148" t="s">
        <v>26</v>
      </c>
      <c r="E268" s="55">
        <v>4.7880000000000003</v>
      </c>
      <c r="F268" s="154"/>
      <c r="G268" s="150">
        <v>4.7880000000000003</v>
      </c>
      <c r="H268" s="126" t="s">
        <v>13</v>
      </c>
      <c r="I268" s="151">
        <v>0.35</v>
      </c>
      <c r="J268" s="41">
        <f t="shared" si="37"/>
        <v>3.1122000000000005</v>
      </c>
      <c r="K268" s="41"/>
      <c r="L268" s="155"/>
      <c r="M268" s="43">
        <f t="shared" si="36"/>
        <v>0</v>
      </c>
    </row>
    <row r="269" spans="1:13" ht="23.4" hidden="1" x14ac:dyDescent="0.45">
      <c r="A269" s="33" t="s">
        <v>329</v>
      </c>
      <c r="B269" s="34">
        <v>1791</v>
      </c>
      <c r="C269" s="69">
        <v>7898108646120</v>
      </c>
      <c r="D269" s="157" t="s">
        <v>270</v>
      </c>
      <c r="E269" s="55">
        <v>14.5657</v>
      </c>
      <c r="F269" s="154"/>
      <c r="G269" s="150">
        <v>14.5657</v>
      </c>
      <c r="H269" s="126" t="s">
        <v>13</v>
      </c>
      <c r="I269" s="151">
        <v>0.35</v>
      </c>
      <c r="J269" s="41">
        <f t="shared" si="37"/>
        <v>9.4677050000000005</v>
      </c>
      <c r="K269" s="41"/>
      <c r="L269" s="155"/>
      <c r="M269" s="43">
        <f t="shared" si="36"/>
        <v>0</v>
      </c>
    </row>
    <row r="270" spans="1:13" ht="23.4" hidden="1" x14ac:dyDescent="0.45">
      <c r="A270" s="33" t="s">
        <v>330</v>
      </c>
      <c r="B270" s="34">
        <v>1776</v>
      </c>
      <c r="C270" s="69">
        <v>7898108646182</v>
      </c>
      <c r="D270" s="127" t="s">
        <v>15</v>
      </c>
      <c r="E270" s="55">
        <v>15.587999999999999</v>
      </c>
      <c r="F270" s="154"/>
      <c r="G270" s="150">
        <v>15.587999999999999</v>
      </c>
      <c r="H270" s="126" t="s">
        <v>13</v>
      </c>
      <c r="I270" s="151">
        <v>0.35</v>
      </c>
      <c r="J270" s="41">
        <f t="shared" si="37"/>
        <v>10.132200000000001</v>
      </c>
      <c r="K270" s="41"/>
      <c r="L270" s="155"/>
      <c r="M270" s="43">
        <f t="shared" si="36"/>
        <v>0</v>
      </c>
    </row>
    <row r="271" spans="1:13" ht="23.4" hidden="1" x14ac:dyDescent="0.45">
      <c r="A271" s="33" t="s">
        <v>331</v>
      </c>
      <c r="B271" s="34">
        <v>1794</v>
      </c>
      <c r="C271" s="69">
        <v>7898108646205</v>
      </c>
      <c r="D271" s="127" t="s">
        <v>151</v>
      </c>
      <c r="E271" s="55">
        <v>9.5879999999999992</v>
      </c>
      <c r="F271" s="154"/>
      <c r="G271" s="150">
        <v>9.5879999999999992</v>
      </c>
      <c r="H271" s="126" t="s">
        <v>13</v>
      </c>
      <c r="I271" s="151">
        <v>0.35</v>
      </c>
      <c r="J271" s="41">
        <f t="shared" si="37"/>
        <v>6.2321999999999997</v>
      </c>
      <c r="K271" s="41"/>
      <c r="L271" s="155"/>
      <c r="M271" s="43">
        <f t="shared" si="36"/>
        <v>0</v>
      </c>
    </row>
    <row r="272" spans="1:13" ht="23.4" hidden="1" x14ac:dyDescent="0.45">
      <c r="A272" s="33" t="s">
        <v>332</v>
      </c>
      <c r="B272" s="34">
        <v>1793</v>
      </c>
      <c r="C272" s="69">
        <v>7898108646199</v>
      </c>
      <c r="D272" s="127" t="s">
        <v>15</v>
      </c>
      <c r="E272" s="55">
        <v>15.587999999999999</v>
      </c>
      <c r="F272" s="154"/>
      <c r="G272" s="150">
        <v>15.587999999999999</v>
      </c>
      <c r="H272" s="126" t="s">
        <v>13</v>
      </c>
      <c r="I272" s="151">
        <v>0.35</v>
      </c>
      <c r="J272" s="41">
        <f t="shared" si="37"/>
        <v>10.132200000000001</v>
      </c>
      <c r="K272" s="41"/>
      <c r="L272" s="155"/>
      <c r="M272" s="43">
        <f t="shared" si="36"/>
        <v>0</v>
      </c>
    </row>
    <row r="273" spans="1:13" ht="23.4" hidden="1" x14ac:dyDescent="0.45">
      <c r="A273" s="33" t="s">
        <v>333</v>
      </c>
      <c r="B273" s="34">
        <v>1799</v>
      </c>
      <c r="C273" s="69">
        <v>7898108646212</v>
      </c>
      <c r="D273" s="127" t="s">
        <v>151</v>
      </c>
      <c r="E273" s="55">
        <v>9.5879999999999992</v>
      </c>
      <c r="F273" s="154"/>
      <c r="G273" s="150">
        <v>9.5879999999999992</v>
      </c>
      <c r="H273" s="126" t="s">
        <v>13</v>
      </c>
      <c r="I273" s="151">
        <v>0.35</v>
      </c>
      <c r="J273" s="41">
        <f t="shared" si="37"/>
        <v>6.2321999999999997</v>
      </c>
      <c r="K273" s="41"/>
      <c r="L273" s="155"/>
      <c r="M273" s="43">
        <f t="shared" si="36"/>
        <v>0</v>
      </c>
    </row>
    <row r="274" spans="1:13" ht="23.4" hidden="1" x14ac:dyDescent="0.45">
      <c r="A274" s="33" t="s">
        <v>334</v>
      </c>
      <c r="B274" s="34">
        <v>1767</v>
      </c>
      <c r="C274" s="69">
        <v>7898108646250</v>
      </c>
      <c r="D274" s="127" t="s">
        <v>90</v>
      </c>
      <c r="E274" s="55">
        <v>2.7797999999999998</v>
      </c>
      <c r="F274" s="154"/>
      <c r="G274" s="150">
        <v>2.7797999999999998</v>
      </c>
      <c r="H274" s="126" t="s">
        <v>13</v>
      </c>
      <c r="I274" s="151">
        <v>0.35</v>
      </c>
      <c r="J274" s="41">
        <f t="shared" si="37"/>
        <v>1.80687</v>
      </c>
      <c r="K274" s="41"/>
      <c r="L274" s="155"/>
      <c r="M274" s="43">
        <f t="shared" si="36"/>
        <v>0</v>
      </c>
    </row>
    <row r="275" spans="1:13" ht="23.4" hidden="1" x14ac:dyDescent="0.45">
      <c r="A275" s="33" t="s">
        <v>335</v>
      </c>
      <c r="B275" s="34">
        <v>1768</v>
      </c>
      <c r="C275" s="69">
        <v>7898108646267</v>
      </c>
      <c r="D275" s="127" t="s">
        <v>22</v>
      </c>
      <c r="E275" s="55">
        <v>9.3676999999999975</v>
      </c>
      <c r="F275" s="154"/>
      <c r="G275" s="150">
        <v>9.3676999999999975</v>
      </c>
      <c r="H275" s="126" t="s">
        <v>13</v>
      </c>
      <c r="I275" s="151">
        <v>0.35</v>
      </c>
      <c r="J275" s="41">
        <f t="shared" si="37"/>
        <v>6.0890049999999984</v>
      </c>
      <c r="K275" s="41"/>
      <c r="L275" s="155"/>
      <c r="M275" s="43">
        <f t="shared" si="36"/>
        <v>0</v>
      </c>
    </row>
    <row r="276" spans="1:13" ht="23.4" hidden="1" x14ac:dyDescent="0.45">
      <c r="A276" s="33" t="s">
        <v>336</v>
      </c>
      <c r="B276" s="34">
        <v>1769</v>
      </c>
      <c r="C276" s="69">
        <v>7898108646281</v>
      </c>
      <c r="D276" s="127" t="s">
        <v>90</v>
      </c>
      <c r="E276" s="55">
        <v>2.7797999999999998</v>
      </c>
      <c r="F276" s="154"/>
      <c r="G276" s="150">
        <v>2.7797999999999998</v>
      </c>
      <c r="H276" s="126" t="s">
        <v>13</v>
      </c>
      <c r="I276" s="151">
        <v>0.35</v>
      </c>
      <c r="J276" s="41">
        <f t="shared" si="37"/>
        <v>1.80687</v>
      </c>
      <c r="K276" s="41"/>
      <c r="L276" s="155"/>
      <c r="M276" s="43">
        <f t="shared" si="36"/>
        <v>0</v>
      </c>
    </row>
    <row r="277" spans="1:13" ht="23.4" hidden="1" x14ac:dyDescent="0.45">
      <c r="A277" s="33" t="s">
        <v>337</v>
      </c>
      <c r="B277" s="34">
        <v>1775</v>
      </c>
      <c r="C277" s="69">
        <v>7898108646175</v>
      </c>
      <c r="D277" s="127" t="s">
        <v>42</v>
      </c>
      <c r="E277" s="55">
        <v>88.608000000000004</v>
      </c>
      <c r="F277" s="154"/>
      <c r="G277" s="150">
        <v>88.608000000000004</v>
      </c>
      <c r="H277" s="126" t="s">
        <v>13</v>
      </c>
      <c r="I277" s="151">
        <v>0.35</v>
      </c>
      <c r="J277" s="41">
        <f t="shared" si="37"/>
        <v>57.595200000000006</v>
      </c>
      <c r="K277" s="41"/>
      <c r="L277" s="155"/>
      <c r="M277" s="43">
        <f t="shared" si="36"/>
        <v>0</v>
      </c>
    </row>
    <row r="278" spans="1:13" ht="23.4" hidden="1" x14ac:dyDescent="0.45">
      <c r="A278" s="33" t="s">
        <v>338</v>
      </c>
      <c r="B278" s="34">
        <v>1779</v>
      </c>
      <c r="C278" s="69">
        <v>7898108646144</v>
      </c>
      <c r="D278" s="127" t="s">
        <v>15</v>
      </c>
      <c r="E278" s="55">
        <v>10.989000000000001</v>
      </c>
      <c r="F278" s="154"/>
      <c r="G278" s="150">
        <v>10.989000000000001</v>
      </c>
      <c r="H278" s="126" t="s">
        <v>13</v>
      </c>
      <c r="I278" s="151">
        <v>0.35</v>
      </c>
      <c r="J278" s="41">
        <f t="shared" si="37"/>
        <v>7.142850000000001</v>
      </c>
      <c r="K278" s="41"/>
      <c r="L278" s="155"/>
      <c r="M278" s="43">
        <f t="shared" si="36"/>
        <v>0</v>
      </c>
    </row>
    <row r="279" spans="1:13" ht="23.4" hidden="1" x14ac:dyDescent="0.45">
      <c r="A279" s="33" t="s">
        <v>339</v>
      </c>
      <c r="B279" s="34">
        <v>1784</v>
      </c>
      <c r="C279" s="69">
        <v>7898108646151</v>
      </c>
      <c r="D279" s="127" t="s">
        <v>15</v>
      </c>
      <c r="E279" s="55">
        <v>10.989000000000001</v>
      </c>
      <c r="F279" s="154"/>
      <c r="G279" s="150">
        <v>10.989000000000001</v>
      </c>
      <c r="H279" s="126" t="s">
        <v>13</v>
      </c>
      <c r="I279" s="151">
        <v>0.35</v>
      </c>
      <c r="J279" s="41">
        <f t="shared" si="37"/>
        <v>7.142850000000001</v>
      </c>
      <c r="K279" s="41"/>
      <c r="L279" s="155"/>
      <c r="M279" s="43">
        <f t="shared" si="36"/>
        <v>0</v>
      </c>
    </row>
    <row r="280" spans="1:13" ht="23.4" hidden="1" x14ac:dyDescent="0.45">
      <c r="A280" s="33" t="s">
        <v>340</v>
      </c>
      <c r="B280" s="34">
        <v>1787</v>
      </c>
      <c r="C280" s="69">
        <v>7898108646359</v>
      </c>
      <c r="D280" s="127" t="s">
        <v>61</v>
      </c>
      <c r="E280" s="55">
        <v>24.923999999999999</v>
      </c>
      <c r="F280" s="154"/>
      <c r="G280" s="150">
        <v>24.923999999999999</v>
      </c>
      <c r="H280" s="126" t="s">
        <v>13</v>
      </c>
      <c r="I280" s="151">
        <v>0.35</v>
      </c>
      <c r="J280" s="41">
        <f t="shared" si="37"/>
        <v>16.200600000000001</v>
      </c>
      <c r="K280" s="41"/>
      <c r="L280" s="155"/>
      <c r="M280" s="43">
        <f t="shared" si="36"/>
        <v>0</v>
      </c>
    </row>
    <row r="281" spans="1:13" ht="23.4" hidden="1" x14ac:dyDescent="0.45">
      <c r="A281" s="33" t="s">
        <v>341</v>
      </c>
      <c r="B281" s="34">
        <v>1773</v>
      </c>
      <c r="C281" s="69">
        <v>7898108646311</v>
      </c>
      <c r="D281" s="127" t="s">
        <v>12</v>
      </c>
      <c r="E281" s="55">
        <v>5.9880000000000004</v>
      </c>
      <c r="F281" s="154"/>
      <c r="G281" s="150">
        <v>5.9880000000000004</v>
      </c>
      <c r="H281" s="126" t="s">
        <v>13</v>
      </c>
      <c r="I281" s="151">
        <v>0.35</v>
      </c>
      <c r="J281" s="41">
        <f t="shared" si="37"/>
        <v>3.8922000000000003</v>
      </c>
      <c r="K281" s="41"/>
      <c r="L281" s="155"/>
      <c r="M281" s="43">
        <f t="shared" si="36"/>
        <v>0</v>
      </c>
    </row>
    <row r="282" spans="1:13" ht="23.4" hidden="1" x14ac:dyDescent="0.45">
      <c r="A282" s="33" t="s">
        <v>342</v>
      </c>
      <c r="B282" s="34">
        <v>1855</v>
      </c>
      <c r="C282" s="69">
        <v>7898108646298</v>
      </c>
      <c r="D282" s="127" t="s">
        <v>12</v>
      </c>
      <c r="E282" s="55">
        <v>5.9880000000000004</v>
      </c>
      <c r="F282" s="154"/>
      <c r="G282" s="150">
        <v>5.9880000000000004</v>
      </c>
      <c r="H282" s="126" t="s">
        <v>13</v>
      </c>
      <c r="I282" s="151">
        <v>0.35</v>
      </c>
      <c r="J282" s="41">
        <f t="shared" si="37"/>
        <v>3.8922000000000003</v>
      </c>
      <c r="K282" s="41"/>
      <c r="L282" s="155"/>
      <c r="M282" s="43">
        <f t="shared" si="36"/>
        <v>0</v>
      </c>
    </row>
    <row r="283" spans="1:13" ht="23.4" hidden="1" x14ac:dyDescent="0.45">
      <c r="A283" s="33" t="s">
        <v>343</v>
      </c>
      <c r="B283" s="34">
        <v>1854</v>
      </c>
      <c r="C283" s="69">
        <v>7898108646274</v>
      </c>
      <c r="D283" s="127" t="s">
        <v>12</v>
      </c>
      <c r="E283" s="55">
        <v>5.9880000000000004</v>
      </c>
      <c r="F283" s="154"/>
      <c r="G283" s="150">
        <v>5.9880000000000004</v>
      </c>
      <c r="H283" s="126" t="s">
        <v>13</v>
      </c>
      <c r="I283" s="151">
        <v>0.35</v>
      </c>
      <c r="J283" s="41">
        <f t="shared" si="37"/>
        <v>3.8922000000000003</v>
      </c>
      <c r="K283" s="41"/>
      <c r="L283" s="155"/>
      <c r="M283" s="43">
        <f t="shared" si="36"/>
        <v>0</v>
      </c>
    </row>
    <row r="284" spans="1:13" ht="23.4" hidden="1" x14ac:dyDescent="0.45">
      <c r="A284" s="33" t="s">
        <v>344</v>
      </c>
      <c r="B284" s="34">
        <v>1774</v>
      </c>
      <c r="C284" s="69">
        <v>7898108646342</v>
      </c>
      <c r="D284" s="127" t="s">
        <v>320</v>
      </c>
      <c r="E284" s="55">
        <v>8.3879999999999999</v>
      </c>
      <c r="F284" s="154"/>
      <c r="G284" s="150">
        <v>8.3879999999999999</v>
      </c>
      <c r="H284" s="126" t="s">
        <v>13</v>
      </c>
      <c r="I284" s="151">
        <v>0.35</v>
      </c>
      <c r="J284" s="41">
        <f t="shared" si="37"/>
        <v>5.4521999999999995</v>
      </c>
      <c r="K284" s="41"/>
      <c r="L284" s="155"/>
      <c r="M284" s="43">
        <f t="shared" si="36"/>
        <v>0</v>
      </c>
    </row>
    <row r="285" spans="1:13" ht="46.2" hidden="1" x14ac:dyDescent="0.3">
      <c r="A285" s="27" t="s">
        <v>345</v>
      </c>
      <c r="B285" s="29"/>
      <c r="C285" s="29"/>
      <c r="D285" s="29"/>
      <c r="E285" s="30"/>
      <c r="F285" s="30"/>
      <c r="G285" s="30"/>
      <c r="H285" s="30"/>
      <c r="I285" s="30"/>
      <c r="J285" s="31"/>
      <c r="K285" s="31"/>
      <c r="L285" s="30"/>
      <c r="M285" s="30"/>
    </row>
    <row r="286" spans="1:13" ht="23.4" hidden="1" x14ac:dyDescent="0.45">
      <c r="A286" s="33" t="s">
        <v>346</v>
      </c>
      <c r="B286" s="34" t="s">
        <v>347</v>
      </c>
      <c r="C286" s="71">
        <v>7898108643167</v>
      </c>
      <c r="D286" s="127" t="s">
        <v>26</v>
      </c>
      <c r="E286" s="55">
        <v>10.056000000000001</v>
      </c>
      <c r="F286" s="154"/>
      <c r="G286" s="150">
        <v>10.056000000000001</v>
      </c>
      <c r="H286" s="126" t="s">
        <v>13</v>
      </c>
      <c r="I286" s="151">
        <v>0.35</v>
      </c>
      <c r="J286" s="41">
        <f t="shared" si="37"/>
        <v>6.5364000000000004</v>
      </c>
      <c r="K286" s="41"/>
      <c r="L286" s="155"/>
      <c r="M286" s="43">
        <f t="shared" si="36"/>
        <v>0</v>
      </c>
    </row>
    <row r="287" spans="1:13" ht="23.4" hidden="1" x14ac:dyDescent="0.45">
      <c r="A287" s="33" t="s">
        <v>348</v>
      </c>
      <c r="B287" s="34" t="s">
        <v>349</v>
      </c>
      <c r="C287" s="71">
        <v>7898108643174</v>
      </c>
      <c r="D287" s="127" t="s">
        <v>29</v>
      </c>
      <c r="E287" s="55">
        <v>23.987999999999996</v>
      </c>
      <c r="F287" s="154"/>
      <c r="G287" s="150">
        <v>23.987999999999996</v>
      </c>
      <c r="H287" s="126" t="s">
        <v>13</v>
      </c>
      <c r="I287" s="151">
        <v>0.35</v>
      </c>
      <c r="J287" s="41">
        <f t="shared" si="37"/>
        <v>15.592199999999998</v>
      </c>
      <c r="K287" s="41"/>
      <c r="L287" s="155"/>
      <c r="M287" s="43">
        <f t="shared" si="36"/>
        <v>0</v>
      </c>
    </row>
    <row r="288" spans="1:13" ht="23.4" hidden="1" x14ac:dyDescent="0.45">
      <c r="A288" s="33" t="s">
        <v>350</v>
      </c>
      <c r="B288" s="34" t="s">
        <v>351</v>
      </c>
      <c r="C288" s="83">
        <v>7898108643358</v>
      </c>
      <c r="D288" s="127" t="s">
        <v>352</v>
      </c>
      <c r="E288" s="55">
        <v>5.7177999999999987</v>
      </c>
      <c r="F288" s="154"/>
      <c r="G288" s="150">
        <v>5.7177999999999987</v>
      </c>
      <c r="H288" s="126" t="s">
        <v>13</v>
      </c>
      <c r="I288" s="151">
        <v>0.35</v>
      </c>
      <c r="J288" s="41">
        <f t="shared" si="37"/>
        <v>3.716569999999999</v>
      </c>
      <c r="K288" s="41"/>
      <c r="L288" s="155"/>
      <c r="M288" s="43">
        <f t="shared" si="36"/>
        <v>0</v>
      </c>
    </row>
    <row r="289" spans="1:13" ht="23.4" hidden="1" x14ac:dyDescent="0.45">
      <c r="A289" s="33" t="s">
        <v>353</v>
      </c>
      <c r="B289" s="34" t="s">
        <v>354</v>
      </c>
      <c r="C289" s="83">
        <v>7898108643181</v>
      </c>
      <c r="D289" s="127" t="s">
        <v>68</v>
      </c>
      <c r="E289" s="55">
        <v>9.0399999999999991</v>
      </c>
      <c r="F289" s="154"/>
      <c r="G289" s="150">
        <v>9.0399999999999991</v>
      </c>
      <c r="H289" s="126" t="s">
        <v>13</v>
      </c>
      <c r="I289" s="151">
        <v>0.35</v>
      </c>
      <c r="J289" s="41">
        <f t="shared" si="37"/>
        <v>5.8759999999999994</v>
      </c>
      <c r="K289" s="41"/>
      <c r="L289" s="155"/>
      <c r="M289" s="43">
        <f t="shared" si="36"/>
        <v>0</v>
      </c>
    </row>
    <row r="290" spans="1:13" ht="23.4" hidden="1" x14ac:dyDescent="0.45">
      <c r="A290" s="33" t="s">
        <v>355</v>
      </c>
      <c r="B290" s="34" t="s">
        <v>356</v>
      </c>
      <c r="C290" s="83">
        <v>7898108643198</v>
      </c>
      <c r="D290" s="127" t="s">
        <v>357</v>
      </c>
      <c r="E290" s="55">
        <v>7.8986999999999998</v>
      </c>
      <c r="F290" s="154"/>
      <c r="G290" s="150">
        <v>7.8986999999999998</v>
      </c>
      <c r="H290" s="126" t="s">
        <v>13</v>
      </c>
      <c r="I290" s="151">
        <v>0.35</v>
      </c>
      <c r="J290" s="41">
        <f t="shared" si="37"/>
        <v>5.1341549999999998</v>
      </c>
      <c r="K290" s="41"/>
      <c r="L290" s="155"/>
      <c r="M290" s="43">
        <f t="shared" si="36"/>
        <v>0</v>
      </c>
    </row>
    <row r="291" spans="1:13" ht="23.4" hidden="1" x14ac:dyDescent="0.45">
      <c r="A291" s="33" t="s">
        <v>358</v>
      </c>
      <c r="B291" s="34" t="s">
        <v>359</v>
      </c>
      <c r="C291" s="71">
        <v>7898108645703</v>
      </c>
      <c r="D291" s="157" t="s">
        <v>270</v>
      </c>
      <c r="E291" s="55">
        <v>10.1587</v>
      </c>
      <c r="F291" s="154"/>
      <c r="G291" s="150">
        <v>10.1587</v>
      </c>
      <c r="H291" s="126" t="s">
        <v>13</v>
      </c>
      <c r="I291" s="151">
        <v>0.35</v>
      </c>
      <c r="J291" s="41">
        <f t="shared" si="37"/>
        <v>6.6031550000000001</v>
      </c>
      <c r="K291" s="41"/>
      <c r="L291" s="155"/>
      <c r="M291" s="43">
        <f t="shared" si="36"/>
        <v>0</v>
      </c>
    </row>
    <row r="292" spans="1:13" ht="23.4" hidden="1" x14ac:dyDescent="0.45">
      <c r="A292" s="33" t="s">
        <v>360</v>
      </c>
      <c r="B292" s="34" t="s">
        <v>361</v>
      </c>
      <c r="C292" s="83">
        <v>7898108643211</v>
      </c>
      <c r="D292" s="127" t="s">
        <v>15</v>
      </c>
      <c r="E292" s="55">
        <v>10.989000000000001</v>
      </c>
      <c r="F292" s="154"/>
      <c r="G292" s="150">
        <v>10.989000000000001</v>
      </c>
      <c r="H292" s="126" t="s">
        <v>13</v>
      </c>
      <c r="I292" s="151">
        <v>0.35</v>
      </c>
      <c r="J292" s="41">
        <f t="shared" si="37"/>
        <v>7.142850000000001</v>
      </c>
      <c r="K292" s="41"/>
      <c r="L292" s="155"/>
      <c r="M292" s="43">
        <f t="shared" si="36"/>
        <v>0</v>
      </c>
    </row>
    <row r="293" spans="1:13" ht="23.4" hidden="1" x14ac:dyDescent="0.45">
      <c r="A293" s="33" t="s">
        <v>362</v>
      </c>
      <c r="B293" s="34" t="s">
        <v>363</v>
      </c>
      <c r="C293" s="71">
        <v>7898108644867</v>
      </c>
      <c r="D293" s="127" t="s">
        <v>15</v>
      </c>
      <c r="E293" s="55">
        <v>16.788</v>
      </c>
      <c r="F293" s="154"/>
      <c r="G293" s="150">
        <v>16.788</v>
      </c>
      <c r="H293" s="126" t="s">
        <v>13</v>
      </c>
      <c r="I293" s="151">
        <v>0.35</v>
      </c>
      <c r="J293" s="41">
        <f t="shared" si="37"/>
        <v>10.9122</v>
      </c>
      <c r="K293" s="41"/>
      <c r="L293" s="155"/>
      <c r="M293" s="43">
        <f t="shared" si="36"/>
        <v>0</v>
      </c>
    </row>
    <row r="294" spans="1:13" ht="23.4" hidden="1" x14ac:dyDescent="0.45">
      <c r="A294" s="33" t="s">
        <v>364</v>
      </c>
      <c r="B294" s="34" t="s">
        <v>365</v>
      </c>
      <c r="C294" s="71">
        <v>7898108644874</v>
      </c>
      <c r="D294" s="127" t="s">
        <v>15</v>
      </c>
      <c r="E294" s="55">
        <v>16.788</v>
      </c>
      <c r="F294" s="154"/>
      <c r="G294" s="150">
        <v>16.788</v>
      </c>
      <c r="H294" s="126" t="s">
        <v>13</v>
      </c>
      <c r="I294" s="151">
        <v>0.35</v>
      </c>
      <c r="J294" s="41">
        <f t="shared" si="37"/>
        <v>10.9122</v>
      </c>
      <c r="K294" s="41"/>
      <c r="L294" s="155"/>
      <c r="M294" s="43">
        <f t="shared" si="36"/>
        <v>0</v>
      </c>
    </row>
    <row r="295" spans="1:13" ht="23.4" hidden="1" x14ac:dyDescent="0.45">
      <c r="A295" s="33" t="s">
        <v>366</v>
      </c>
      <c r="B295" s="34" t="s">
        <v>367</v>
      </c>
      <c r="C295" s="71">
        <v>7898108643983</v>
      </c>
      <c r="D295" s="127" t="s">
        <v>368</v>
      </c>
      <c r="E295" s="55">
        <v>16.788</v>
      </c>
      <c r="F295" s="154"/>
      <c r="G295" s="150">
        <v>16.788</v>
      </c>
      <c r="H295" s="126" t="s">
        <v>13</v>
      </c>
      <c r="I295" s="151">
        <v>0.35</v>
      </c>
      <c r="J295" s="41">
        <f t="shared" si="37"/>
        <v>10.9122</v>
      </c>
      <c r="K295" s="41"/>
      <c r="L295" s="155"/>
      <c r="M295" s="43">
        <f t="shared" si="36"/>
        <v>0</v>
      </c>
    </row>
    <row r="296" spans="1:13" ht="23.4" hidden="1" x14ac:dyDescent="0.45">
      <c r="A296" s="33" t="s">
        <v>369</v>
      </c>
      <c r="B296" s="34" t="s">
        <v>370</v>
      </c>
      <c r="C296" s="71">
        <v>7898108643648</v>
      </c>
      <c r="D296" s="127" t="s">
        <v>42</v>
      </c>
      <c r="E296" s="55">
        <v>103.38000000000001</v>
      </c>
      <c r="F296" s="154"/>
      <c r="G296" s="150">
        <v>103.38000000000001</v>
      </c>
      <c r="H296" s="126" t="s">
        <v>13</v>
      </c>
      <c r="I296" s="151">
        <v>0.35</v>
      </c>
      <c r="J296" s="41">
        <f t="shared" si="37"/>
        <v>67.197000000000003</v>
      </c>
      <c r="K296" s="41"/>
      <c r="L296" s="155"/>
      <c r="M296" s="43">
        <f t="shared" si="36"/>
        <v>0</v>
      </c>
    </row>
    <row r="297" spans="1:13" ht="23.4" hidden="1" x14ac:dyDescent="0.45">
      <c r="A297" s="33" t="s">
        <v>371</v>
      </c>
      <c r="B297" s="34" t="s">
        <v>372</v>
      </c>
      <c r="C297" s="71">
        <v>7898108643228</v>
      </c>
      <c r="D297" s="157" t="s">
        <v>270</v>
      </c>
      <c r="E297" s="55">
        <v>13.188000000000001</v>
      </c>
      <c r="F297" s="154"/>
      <c r="G297" s="150">
        <v>13.188000000000001</v>
      </c>
      <c r="H297" s="126" t="s">
        <v>13</v>
      </c>
      <c r="I297" s="151">
        <v>0.35</v>
      </c>
      <c r="J297" s="41">
        <f t="shared" si="37"/>
        <v>8.5722000000000005</v>
      </c>
      <c r="K297" s="41"/>
      <c r="L297" s="155"/>
      <c r="M297" s="43">
        <f t="shared" si="36"/>
        <v>0</v>
      </c>
    </row>
    <row r="298" spans="1:13" ht="23.4" hidden="1" x14ac:dyDescent="0.45">
      <c r="A298" s="33" t="s">
        <v>373</v>
      </c>
      <c r="B298" s="34" t="s">
        <v>374</v>
      </c>
      <c r="C298" s="71">
        <v>7898108643402</v>
      </c>
      <c r="D298" s="127" t="s">
        <v>42</v>
      </c>
      <c r="E298" s="55">
        <v>88.608000000000004</v>
      </c>
      <c r="F298" s="154"/>
      <c r="G298" s="150">
        <v>88.608000000000004</v>
      </c>
      <c r="H298" s="126" t="s">
        <v>13</v>
      </c>
      <c r="I298" s="151">
        <v>0.35</v>
      </c>
      <c r="J298" s="41">
        <f t="shared" si="37"/>
        <v>57.595200000000006</v>
      </c>
      <c r="K298" s="41"/>
      <c r="L298" s="155"/>
      <c r="M298" s="43">
        <f t="shared" si="36"/>
        <v>0</v>
      </c>
    </row>
    <row r="299" spans="1:13" ht="23.4" hidden="1" x14ac:dyDescent="0.45">
      <c r="A299" s="33" t="s">
        <v>375</v>
      </c>
      <c r="B299" s="34" t="s">
        <v>376</v>
      </c>
      <c r="C299" s="71">
        <v>7898108643969</v>
      </c>
      <c r="D299" s="127" t="s">
        <v>368</v>
      </c>
      <c r="E299" s="55">
        <v>16.788</v>
      </c>
      <c r="F299" s="154"/>
      <c r="G299" s="150">
        <v>16.788</v>
      </c>
      <c r="H299" s="126" t="s">
        <v>13</v>
      </c>
      <c r="I299" s="151">
        <v>0.35</v>
      </c>
      <c r="J299" s="41">
        <f t="shared" si="37"/>
        <v>10.9122</v>
      </c>
      <c r="K299" s="41"/>
      <c r="L299" s="155"/>
      <c r="M299" s="43">
        <f t="shared" si="36"/>
        <v>0</v>
      </c>
    </row>
    <row r="300" spans="1:13" ht="23.4" hidden="1" x14ac:dyDescent="0.45">
      <c r="A300" s="33" t="s">
        <v>377</v>
      </c>
      <c r="B300" s="34" t="s">
        <v>378</v>
      </c>
      <c r="C300" s="53">
        <v>7898108644010</v>
      </c>
      <c r="D300" s="127" t="s">
        <v>368</v>
      </c>
      <c r="E300" s="55">
        <v>16.788</v>
      </c>
      <c r="F300" s="154"/>
      <c r="G300" s="150">
        <v>16.788</v>
      </c>
      <c r="H300" s="126" t="s">
        <v>13</v>
      </c>
      <c r="I300" s="151">
        <v>0.35</v>
      </c>
      <c r="J300" s="41">
        <f t="shared" si="37"/>
        <v>10.9122</v>
      </c>
      <c r="K300" s="41"/>
      <c r="L300" s="155"/>
      <c r="M300" s="43">
        <f t="shared" si="36"/>
        <v>0</v>
      </c>
    </row>
    <row r="301" spans="1:13" ht="23.4" hidden="1" x14ac:dyDescent="0.45">
      <c r="A301" s="33" t="s">
        <v>379</v>
      </c>
      <c r="B301" s="34" t="s">
        <v>380</v>
      </c>
      <c r="C301" s="71">
        <v>7898108643242</v>
      </c>
      <c r="D301" s="127" t="s">
        <v>381</v>
      </c>
      <c r="E301" s="55">
        <v>10.788</v>
      </c>
      <c r="F301" s="154"/>
      <c r="G301" s="150">
        <v>10.788</v>
      </c>
      <c r="H301" s="126" t="s">
        <v>13</v>
      </c>
      <c r="I301" s="151">
        <v>0.35</v>
      </c>
      <c r="J301" s="41">
        <f t="shared" si="37"/>
        <v>7.0122</v>
      </c>
      <c r="K301" s="41"/>
      <c r="L301" s="155"/>
      <c r="M301" s="43">
        <f t="shared" si="36"/>
        <v>0</v>
      </c>
    </row>
    <row r="302" spans="1:13" ht="23.4" hidden="1" x14ac:dyDescent="0.45">
      <c r="A302" s="33" t="s">
        <v>382</v>
      </c>
      <c r="B302" s="34" t="s">
        <v>383</v>
      </c>
      <c r="C302" s="159">
        <v>7898108643259</v>
      </c>
      <c r="D302" s="127" t="s">
        <v>381</v>
      </c>
      <c r="E302" s="55">
        <v>8.3759999999999994</v>
      </c>
      <c r="F302" s="154"/>
      <c r="G302" s="150">
        <v>8.3759999999999994</v>
      </c>
      <c r="H302" s="126" t="s">
        <v>13</v>
      </c>
      <c r="I302" s="151">
        <v>0.35</v>
      </c>
      <c r="J302" s="41">
        <f t="shared" si="37"/>
        <v>5.4443999999999999</v>
      </c>
      <c r="K302" s="41"/>
      <c r="L302" s="155"/>
      <c r="M302" s="43">
        <f t="shared" si="36"/>
        <v>0</v>
      </c>
    </row>
    <row r="303" spans="1:13" ht="23.4" hidden="1" x14ac:dyDescent="0.45">
      <c r="A303" s="33" t="s">
        <v>384</v>
      </c>
      <c r="B303" s="34" t="s">
        <v>385</v>
      </c>
      <c r="C303" s="159">
        <v>7898108643242</v>
      </c>
      <c r="D303" s="127" t="s">
        <v>381</v>
      </c>
      <c r="E303" s="55">
        <v>6.2639999999999993</v>
      </c>
      <c r="F303" s="154"/>
      <c r="G303" s="150">
        <v>6.2639999999999993</v>
      </c>
      <c r="H303" s="126" t="s">
        <v>13</v>
      </c>
      <c r="I303" s="151">
        <v>0.35</v>
      </c>
      <c r="J303" s="41">
        <f t="shared" si="37"/>
        <v>4.0716000000000001</v>
      </c>
      <c r="K303" s="41"/>
      <c r="L303" s="155"/>
      <c r="M303" s="43">
        <f t="shared" ref="M303:M371" si="38">L303*J303</f>
        <v>0</v>
      </c>
    </row>
    <row r="304" spans="1:13" ht="23.4" hidden="1" x14ac:dyDescent="0.45">
      <c r="A304" s="33" t="s">
        <v>386</v>
      </c>
      <c r="B304" s="34" t="s">
        <v>387</v>
      </c>
      <c r="C304" s="71">
        <v>7898108643266</v>
      </c>
      <c r="D304" s="127" t="s">
        <v>151</v>
      </c>
      <c r="E304" s="55">
        <v>9.5879999999999992</v>
      </c>
      <c r="F304" s="154"/>
      <c r="G304" s="150">
        <v>9.5879999999999992</v>
      </c>
      <c r="H304" s="126" t="s">
        <v>13</v>
      </c>
      <c r="I304" s="151">
        <v>0.35</v>
      </c>
      <c r="J304" s="41">
        <f t="shared" si="37"/>
        <v>6.2321999999999997</v>
      </c>
      <c r="K304" s="41"/>
      <c r="L304" s="155"/>
      <c r="M304" s="43">
        <f t="shared" si="38"/>
        <v>0</v>
      </c>
    </row>
    <row r="305" spans="1:13" ht="23.4" hidden="1" x14ac:dyDescent="0.45">
      <c r="A305" s="33" t="s">
        <v>388</v>
      </c>
      <c r="B305" s="34" t="s">
        <v>389</v>
      </c>
      <c r="C305" s="71">
        <v>7898108644911</v>
      </c>
      <c r="D305" s="127" t="s">
        <v>15</v>
      </c>
      <c r="E305" s="55">
        <v>15.587999999999999</v>
      </c>
      <c r="F305" s="154"/>
      <c r="G305" s="150">
        <v>15.587999999999999</v>
      </c>
      <c r="H305" s="126" t="s">
        <v>13</v>
      </c>
      <c r="I305" s="151">
        <v>0.35</v>
      </c>
      <c r="J305" s="41">
        <f t="shared" si="37"/>
        <v>10.132200000000001</v>
      </c>
      <c r="K305" s="41"/>
      <c r="L305" s="155"/>
      <c r="M305" s="43">
        <f t="shared" si="38"/>
        <v>0</v>
      </c>
    </row>
    <row r="306" spans="1:13" ht="23.4" hidden="1" x14ac:dyDescent="0.45">
      <c r="A306" s="33" t="s">
        <v>390</v>
      </c>
      <c r="B306" s="34" t="s">
        <v>391</v>
      </c>
      <c r="C306" s="71">
        <v>7898108643273</v>
      </c>
      <c r="D306" s="157" t="s">
        <v>270</v>
      </c>
      <c r="E306" s="55">
        <v>9.0286999999999988</v>
      </c>
      <c r="F306" s="154"/>
      <c r="G306" s="150">
        <v>9.0286999999999988</v>
      </c>
      <c r="H306" s="126" t="s">
        <v>13</v>
      </c>
      <c r="I306" s="151">
        <v>0.35</v>
      </c>
      <c r="J306" s="41">
        <f t="shared" si="37"/>
        <v>5.8686549999999995</v>
      </c>
      <c r="K306" s="41"/>
      <c r="L306" s="155"/>
      <c r="M306" s="43">
        <f t="shared" si="38"/>
        <v>0</v>
      </c>
    </row>
    <row r="307" spans="1:13" ht="23.4" hidden="1" x14ac:dyDescent="0.45">
      <c r="A307" s="33" t="s">
        <v>392</v>
      </c>
      <c r="B307" s="34" t="s">
        <v>393</v>
      </c>
      <c r="C307" s="71">
        <v>7898108643365</v>
      </c>
      <c r="D307" s="127" t="s">
        <v>394</v>
      </c>
      <c r="E307" s="55">
        <v>11.288699999999999</v>
      </c>
      <c r="F307" s="154"/>
      <c r="G307" s="150">
        <v>11.288699999999999</v>
      </c>
      <c r="H307" s="126" t="s">
        <v>13</v>
      </c>
      <c r="I307" s="151">
        <v>0.35</v>
      </c>
      <c r="J307" s="41">
        <f t="shared" si="37"/>
        <v>7.3376549999999998</v>
      </c>
      <c r="K307" s="41"/>
      <c r="L307" s="155"/>
      <c r="M307" s="43">
        <f t="shared" si="38"/>
        <v>0</v>
      </c>
    </row>
    <row r="308" spans="1:13" ht="23.4" hidden="1" x14ac:dyDescent="0.45">
      <c r="A308" s="33" t="s">
        <v>395</v>
      </c>
      <c r="B308" s="34" t="s">
        <v>396</v>
      </c>
      <c r="C308" s="53">
        <v>7898108644027</v>
      </c>
      <c r="D308" s="127" t="s">
        <v>368</v>
      </c>
      <c r="E308" s="55">
        <v>17.988</v>
      </c>
      <c r="F308" s="154"/>
      <c r="G308" s="150">
        <v>17.988</v>
      </c>
      <c r="H308" s="126" t="s">
        <v>13</v>
      </c>
      <c r="I308" s="151">
        <v>0.35</v>
      </c>
      <c r="J308" s="41">
        <f t="shared" ref="J308:J376" si="39">G308-(G308*I308)</f>
        <v>11.6922</v>
      </c>
      <c r="K308" s="41"/>
      <c r="L308" s="155"/>
      <c r="M308" s="43">
        <f t="shared" si="38"/>
        <v>0</v>
      </c>
    </row>
    <row r="309" spans="1:13" ht="23.4" hidden="1" x14ac:dyDescent="0.45">
      <c r="A309" s="33" t="s">
        <v>397</v>
      </c>
      <c r="B309" s="34" t="s">
        <v>398</v>
      </c>
      <c r="C309" s="71">
        <v>7898108644409</v>
      </c>
      <c r="D309" s="127" t="s">
        <v>394</v>
      </c>
      <c r="E309" s="55">
        <v>18.227999999999998</v>
      </c>
      <c r="F309" s="154"/>
      <c r="G309" s="150">
        <v>18.227999999999998</v>
      </c>
      <c r="H309" s="126" t="s">
        <v>13</v>
      </c>
      <c r="I309" s="151">
        <v>0.35</v>
      </c>
      <c r="J309" s="41">
        <f t="shared" si="39"/>
        <v>11.848199999999999</v>
      </c>
      <c r="K309" s="41"/>
      <c r="L309" s="155"/>
      <c r="M309" s="43">
        <f t="shared" si="38"/>
        <v>0</v>
      </c>
    </row>
    <row r="310" spans="1:13" ht="23.4" hidden="1" x14ac:dyDescent="0.45">
      <c r="A310" s="33" t="s">
        <v>399</v>
      </c>
      <c r="B310" s="34" t="s">
        <v>400</v>
      </c>
      <c r="C310" s="53">
        <v>7898108644003</v>
      </c>
      <c r="D310" s="127" t="s">
        <v>368</v>
      </c>
      <c r="E310" s="55">
        <v>17.988</v>
      </c>
      <c r="F310" s="154"/>
      <c r="G310" s="150">
        <v>17.988</v>
      </c>
      <c r="H310" s="126" t="s">
        <v>13</v>
      </c>
      <c r="I310" s="151">
        <v>0.35</v>
      </c>
      <c r="J310" s="41">
        <f t="shared" si="39"/>
        <v>11.6922</v>
      </c>
      <c r="K310" s="41"/>
      <c r="L310" s="155"/>
      <c r="M310" s="43">
        <f t="shared" si="38"/>
        <v>0</v>
      </c>
    </row>
    <row r="311" spans="1:13" ht="23.4" hidden="1" x14ac:dyDescent="0.45">
      <c r="A311" s="33" t="s">
        <v>401</v>
      </c>
      <c r="B311" s="34" t="s">
        <v>402</v>
      </c>
      <c r="C311" s="53">
        <v>7898108643976</v>
      </c>
      <c r="D311" s="127" t="s">
        <v>368</v>
      </c>
      <c r="E311" s="55">
        <v>16.788</v>
      </c>
      <c r="F311" s="154"/>
      <c r="G311" s="150">
        <v>16.788</v>
      </c>
      <c r="H311" s="126" t="s">
        <v>13</v>
      </c>
      <c r="I311" s="151">
        <v>0.35</v>
      </c>
      <c r="J311" s="41">
        <f t="shared" si="39"/>
        <v>10.9122</v>
      </c>
      <c r="K311" s="41"/>
      <c r="L311" s="155"/>
      <c r="M311" s="43">
        <f t="shared" si="38"/>
        <v>0</v>
      </c>
    </row>
    <row r="312" spans="1:13" ht="23.4" hidden="1" x14ac:dyDescent="0.45">
      <c r="A312" s="33" t="s">
        <v>403</v>
      </c>
      <c r="B312" s="34" t="s">
        <v>404</v>
      </c>
      <c r="C312" s="53">
        <v>7898108643990</v>
      </c>
      <c r="D312" s="127" t="s">
        <v>368</v>
      </c>
      <c r="E312" s="55">
        <v>16.788</v>
      </c>
      <c r="F312" s="154"/>
      <c r="G312" s="150">
        <v>16.788</v>
      </c>
      <c r="H312" s="126" t="s">
        <v>13</v>
      </c>
      <c r="I312" s="151">
        <v>0.35</v>
      </c>
      <c r="J312" s="41">
        <f t="shared" si="39"/>
        <v>10.9122</v>
      </c>
      <c r="K312" s="41"/>
      <c r="L312" s="155"/>
      <c r="M312" s="43">
        <f t="shared" si="38"/>
        <v>0</v>
      </c>
    </row>
    <row r="313" spans="1:13" ht="23.4" hidden="1" x14ac:dyDescent="0.45">
      <c r="A313" s="33" t="s">
        <v>405</v>
      </c>
      <c r="B313" s="34" t="s">
        <v>406</v>
      </c>
      <c r="C313" s="53">
        <v>7898108643280</v>
      </c>
      <c r="D313" s="127" t="s">
        <v>407</v>
      </c>
      <c r="E313" s="55">
        <v>8.3879999999999999</v>
      </c>
      <c r="F313" s="154"/>
      <c r="G313" s="150">
        <v>8.3879999999999999</v>
      </c>
      <c r="H313" s="126" t="s">
        <v>13</v>
      </c>
      <c r="I313" s="151">
        <v>0.35</v>
      </c>
      <c r="J313" s="41">
        <f t="shared" si="39"/>
        <v>5.4521999999999995</v>
      </c>
      <c r="K313" s="41"/>
      <c r="L313" s="155"/>
      <c r="M313" s="43">
        <f t="shared" si="38"/>
        <v>0</v>
      </c>
    </row>
    <row r="314" spans="1:13" ht="23.4" hidden="1" x14ac:dyDescent="0.45">
      <c r="A314" s="33" t="s">
        <v>408</v>
      </c>
      <c r="B314" s="34" t="s">
        <v>409</v>
      </c>
      <c r="C314" s="53">
        <v>7898108643372</v>
      </c>
      <c r="D314" s="127" t="s">
        <v>368</v>
      </c>
      <c r="E314" s="55">
        <v>13.188000000000001</v>
      </c>
      <c r="F314" s="154"/>
      <c r="G314" s="150">
        <v>13.188000000000001</v>
      </c>
      <c r="H314" s="126" t="s">
        <v>13</v>
      </c>
      <c r="I314" s="151">
        <v>0.35</v>
      </c>
      <c r="J314" s="41">
        <f t="shared" si="39"/>
        <v>8.5722000000000005</v>
      </c>
      <c r="K314" s="41"/>
      <c r="L314" s="155"/>
      <c r="M314" s="43">
        <f t="shared" si="38"/>
        <v>0</v>
      </c>
    </row>
    <row r="315" spans="1:13" ht="46.2" hidden="1" x14ac:dyDescent="0.3">
      <c r="A315" s="27" t="s">
        <v>410</v>
      </c>
      <c r="B315" s="29"/>
      <c r="C315" s="29"/>
      <c r="D315" s="29"/>
      <c r="E315" s="30"/>
      <c r="F315" s="30"/>
      <c r="G315" s="30"/>
      <c r="H315" s="30"/>
      <c r="I315" s="30"/>
      <c r="J315" s="31"/>
      <c r="K315" s="31"/>
      <c r="L315" s="30"/>
      <c r="M315" s="30"/>
    </row>
    <row r="316" spans="1:13" ht="23.4" hidden="1" x14ac:dyDescent="0.45">
      <c r="A316" s="33" t="s">
        <v>411</v>
      </c>
      <c r="B316" s="34" t="s">
        <v>412</v>
      </c>
      <c r="C316" s="69">
        <v>7898108644621</v>
      </c>
      <c r="D316" s="127" t="s">
        <v>15</v>
      </c>
      <c r="E316" s="55">
        <v>16.788</v>
      </c>
      <c r="F316" s="154"/>
      <c r="G316" s="150">
        <v>16.788</v>
      </c>
      <c r="H316" s="126" t="s">
        <v>13</v>
      </c>
      <c r="I316" s="151">
        <v>0.35</v>
      </c>
      <c r="J316" s="41">
        <f t="shared" si="39"/>
        <v>10.9122</v>
      </c>
      <c r="K316" s="41"/>
      <c r="L316" s="155"/>
      <c r="M316" s="43">
        <f t="shared" si="38"/>
        <v>0</v>
      </c>
    </row>
    <row r="317" spans="1:13" ht="23.4" hidden="1" x14ac:dyDescent="0.45">
      <c r="A317" s="33" t="s">
        <v>413</v>
      </c>
      <c r="B317" s="34" t="s">
        <v>414</v>
      </c>
      <c r="C317" s="69">
        <v>7898108644539</v>
      </c>
      <c r="D317" s="127" t="s">
        <v>15</v>
      </c>
      <c r="E317" s="55">
        <v>16.788</v>
      </c>
      <c r="F317" s="154"/>
      <c r="G317" s="150">
        <v>16.788</v>
      </c>
      <c r="H317" s="126" t="s">
        <v>13</v>
      </c>
      <c r="I317" s="151">
        <v>0.35</v>
      </c>
      <c r="J317" s="41">
        <f t="shared" si="39"/>
        <v>10.9122</v>
      </c>
      <c r="K317" s="41"/>
      <c r="L317" s="155"/>
      <c r="M317" s="43">
        <f t="shared" si="38"/>
        <v>0</v>
      </c>
    </row>
    <row r="318" spans="1:13" ht="23.4" hidden="1" x14ac:dyDescent="0.45">
      <c r="A318" s="33" t="s">
        <v>415</v>
      </c>
      <c r="B318" s="34" t="s">
        <v>416</v>
      </c>
      <c r="C318" s="69">
        <v>7898108644522</v>
      </c>
      <c r="D318" s="127" t="s">
        <v>15</v>
      </c>
      <c r="E318" s="55">
        <v>16.788</v>
      </c>
      <c r="F318" s="154"/>
      <c r="G318" s="150">
        <v>16.788</v>
      </c>
      <c r="H318" s="126" t="s">
        <v>13</v>
      </c>
      <c r="I318" s="151">
        <v>0.35</v>
      </c>
      <c r="J318" s="41">
        <f t="shared" si="39"/>
        <v>10.9122</v>
      </c>
      <c r="K318" s="41"/>
      <c r="L318" s="155"/>
      <c r="M318" s="43">
        <f t="shared" si="38"/>
        <v>0</v>
      </c>
    </row>
    <row r="319" spans="1:13" ht="23.4" hidden="1" x14ac:dyDescent="0.45">
      <c r="A319" s="33" t="s">
        <v>417</v>
      </c>
      <c r="B319" s="34" t="s">
        <v>418</v>
      </c>
      <c r="C319" s="69">
        <v>7898108644638</v>
      </c>
      <c r="D319" s="127" t="s">
        <v>15</v>
      </c>
      <c r="E319" s="55">
        <v>16.788</v>
      </c>
      <c r="F319" s="154"/>
      <c r="G319" s="150">
        <v>16.788</v>
      </c>
      <c r="H319" s="126" t="s">
        <v>13</v>
      </c>
      <c r="I319" s="151">
        <v>0.35</v>
      </c>
      <c r="J319" s="41">
        <f t="shared" si="39"/>
        <v>10.9122</v>
      </c>
      <c r="K319" s="41"/>
      <c r="L319" s="155"/>
      <c r="M319" s="43">
        <f t="shared" si="38"/>
        <v>0</v>
      </c>
    </row>
    <row r="320" spans="1:13" ht="23.4" hidden="1" x14ac:dyDescent="0.45">
      <c r="A320" s="33" t="s">
        <v>419</v>
      </c>
      <c r="B320" s="34" t="s">
        <v>420</v>
      </c>
      <c r="C320" s="69">
        <v>7898108644508</v>
      </c>
      <c r="D320" s="127" t="s">
        <v>421</v>
      </c>
      <c r="E320" s="55">
        <v>19.187999999999999</v>
      </c>
      <c r="F320" s="154"/>
      <c r="G320" s="150">
        <v>19.187999999999999</v>
      </c>
      <c r="H320" s="126" t="s">
        <v>13</v>
      </c>
      <c r="I320" s="151">
        <v>0.35</v>
      </c>
      <c r="J320" s="41">
        <f t="shared" si="39"/>
        <v>12.472200000000001</v>
      </c>
      <c r="K320" s="41"/>
      <c r="L320" s="155"/>
      <c r="M320" s="43">
        <f t="shared" si="38"/>
        <v>0</v>
      </c>
    </row>
    <row r="321" spans="1:13" ht="23.4" hidden="1" x14ac:dyDescent="0.45">
      <c r="A321" s="33" t="s">
        <v>422</v>
      </c>
      <c r="B321" s="34" t="s">
        <v>423</v>
      </c>
      <c r="C321" s="69">
        <v>7898108644492</v>
      </c>
      <c r="D321" s="127" t="s">
        <v>421</v>
      </c>
      <c r="E321" s="55">
        <v>19.187999999999999</v>
      </c>
      <c r="F321" s="154"/>
      <c r="G321" s="150">
        <v>19.187999999999999</v>
      </c>
      <c r="H321" s="126" t="s">
        <v>13</v>
      </c>
      <c r="I321" s="151">
        <v>0.35</v>
      </c>
      <c r="J321" s="41">
        <f t="shared" si="39"/>
        <v>12.472200000000001</v>
      </c>
      <c r="K321" s="41"/>
      <c r="L321" s="155"/>
      <c r="M321" s="43">
        <f t="shared" si="38"/>
        <v>0</v>
      </c>
    </row>
    <row r="322" spans="1:13" ht="23.4" hidden="1" x14ac:dyDescent="0.45">
      <c r="A322" s="33" t="s">
        <v>424</v>
      </c>
      <c r="B322" s="34" t="s">
        <v>425</v>
      </c>
      <c r="C322" s="69">
        <v>7898108645246</v>
      </c>
      <c r="D322" s="127" t="s">
        <v>61</v>
      </c>
      <c r="E322" s="55">
        <v>18.84</v>
      </c>
      <c r="F322" s="154"/>
      <c r="G322" s="150">
        <v>18.84</v>
      </c>
      <c r="H322" s="126" t="s">
        <v>13</v>
      </c>
      <c r="I322" s="151">
        <v>0.35</v>
      </c>
      <c r="J322" s="41">
        <f t="shared" si="39"/>
        <v>12.246</v>
      </c>
      <c r="K322" s="41"/>
      <c r="L322" s="155"/>
      <c r="M322" s="43">
        <f t="shared" si="38"/>
        <v>0</v>
      </c>
    </row>
    <row r="323" spans="1:13" ht="23.4" hidden="1" x14ac:dyDescent="0.45">
      <c r="A323" s="33" t="s">
        <v>426</v>
      </c>
      <c r="B323" s="34" t="s">
        <v>427</v>
      </c>
      <c r="C323" s="69">
        <v>7898108645055</v>
      </c>
      <c r="D323" s="127" t="s">
        <v>97</v>
      </c>
      <c r="E323" s="55">
        <v>6.7686999999999999</v>
      </c>
      <c r="F323" s="154"/>
      <c r="G323" s="150">
        <v>6.7686999999999999</v>
      </c>
      <c r="H323" s="126" t="s">
        <v>13</v>
      </c>
      <c r="I323" s="151">
        <v>0.35</v>
      </c>
      <c r="J323" s="41">
        <f t="shared" si="39"/>
        <v>4.3996550000000001</v>
      </c>
      <c r="K323" s="41"/>
      <c r="L323" s="155"/>
      <c r="M323" s="43">
        <f t="shared" si="38"/>
        <v>0</v>
      </c>
    </row>
    <row r="324" spans="1:13" ht="23.4" hidden="1" x14ac:dyDescent="0.45">
      <c r="A324" s="33" t="s">
        <v>428</v>
      </c>
      <c r="B324" s="34" t="s">
        <v>429</v>
      </c>
      <c r="C324" s="69">
        <v>7898108644515</v>
      </c>
      <c r="D324" s="127" t="s">
        <v>117</v>
      </c>
      <c r="E324" s="55">
        <v>9.3676999999999975</v>
      </c>
      <c r="F324" s="154"/>
      <c r="G324" s="150">
        <v>9.3676999999999975</v>
      </c>
      <c r="H324" s="126" t="s">
        <v>13</v>
      </c>
      <c r="I324" s="151">
        <v>0.35</v>
      </c>
      <c r="J324" s="41">
        <f t="shared" si="39"/>
        <v>6.0890049999999984</v>
      </c>
      <c r="K324" s="41"/>
      <c r="L324" s="155"/>
      <c r="M324" s="43">
        <f t="shared" si="38"/>
        <v>0</v>
      </c>
    </row>
    <row r="325" spans="1:13" ht="23.4" hidden="1" x14ac:dyDescent="0.45">
      <c r="A325" s="33" t="s">
        <v>430</v>
      </c>
      <c r="B325" s="34" t="s">
        <v>431</v>
      </c>
      <c r="C325" s="69">
        <v>7898108645178</v>
      </c>
      <c r="D325" s="127" t="s">
        <v>15</v>
      </c>
      <c r="E325" s="55">
        <v>11.988</v>
      </c>
      <c r="F325" s="154"/>
      <c r="G325" s="150">
        <v>11.988</v>
      </c>
      <c r="H325" s="126" t="s">
        <v>13</v>
      </c>
      <c r="I325" s="151">
        <v>0.35</v>
      </c>
      <c r="J325" s="41">
        <f t="shared" si="39"/>
        <v>7.7922000000000002</v>
      </c>
      <c r="K325" s="41"/>
      <c r="L325" s="155"/>
      <c r="M325" s="43">
        <f t="shared" si="38"/>
        <v>0</v>
      </c>
    </row>
    <row r="326" spans="1:13" ht="23.4" hidden="1" x14ac:dyDescent="0.45">
      <c r="A326" s="33" t="s">
        <v>432</v>
      </c>
      <c r="B326" s="34" t="s">
        <v>433</v>
      </c>
      <c r="C326" s="69">
        <v>7898108645161</v>
      </c>
      <c r="D326" s="127" t="s">
        <v>15</v>
      </c>
      <c r="E326" s="55">
        <v>11.988</v>
      </c>
      <c r="F326" s="154"/>
      <c r="G326" s="150">
        <v>11.988</v>
      </c>
      <c r="H326" s="126" t="s">
        <v>13</v>
      </c>
      <c r="I326" s="151">
        <v>0.35</v>
      </c>
      <c r="J326" s="41">
        <f t="shared" si="39"/>
        <v>7.7922000000000002</v>
      </c>
      <c r="K326" s="41"/>
      <c r="L326" s="155"/>
      <c r="M326" s="43">
        <f t="shared" si="38"/>
        <v>0</v>
      </c>
    </row>
    <row r="327" spans="1:13" ht="23.4" hidden="1" x14ac:dyDescent="0.45">
      <c r="A327" s="33" t="s">
        <v>434</v>
      </c>
      <c r="B327" s="34" t="s">
        <v>435</v>
      </c>
      <c r="C327" s="69">
        <v>7898108645154</v>
      </c>
      <c r="D327" s="127" t="s">
        <v>15</v>
      </c>
      <c r="E327" s="55">
        <v>11.988</v>
      </c>
      <c r="F327" s="154"/>
      <c r="G327" s="150">
        <v>11.988</v>
      </c>
      <c r="H327" s="126" t="s">
        <v>13</v>
      </c>
      <c r="I327" s="151">
        <v>0.35</v>
      </c>
      <c r="J327" s="41">
        <f t="shared" si="39"/>
        <v>7.7922000000000002</v>
      </c>
      <c r="K327" s="41"/>
      <c r="L327" s="155"/>
      <c r="M327" s="43">
        <f t="shared" si="38"/>
        <v>0</v>
      </c>
    </row>
    <row r="328" spans="1:13" ht="23.4" hidden="1" x14ac:dyDescent="0.45">
      <c r="A328" s="33" t="s">
        <v>436</v>
      </c>
      <c r="B328" s="34" t="s">
        <v>437</v>
      </c>
      <c r="C328" s="69">
        <v>7898108645147</v>
      </c>
      <c r="D328" s="127" t="s">
        <v>15</v>
      </c>
      <c r="E328" s="55">
        <v>11.988</v>
      </c>
      <c r="F328" s="154"/>
      <c r="G328" s="150">
        <v>11.988</v>
      </c>
      <c r="H328" s="126" t="s">
        <v>13</v>
      </c>
      <c r="I328" s="151">
        <v>0.35</v>
      </c>
      <c r="J328" s="41">
        <f t="shared" si="39"/>
        <v>7.7922000000000002</v>
      </c>
      <c r="K328" s="41"/>
      <c r="L328" s="155"/>
      <c r="M328" s="43">
        <f t="shared" si="38"/>
        <v>0</v>
      </c>
    </row>
    <row r="329" spans="1:13" ht="23.4" hidden="1" x14ac:dyDescent="0.45">
      <c r="A329" s="33" t="s">
        <v>438</v>
      </c>
      <c r="B329" s="34" t="s">
        <v>439</v>
      </c>
      <c r="C329" s="69">
        <v>7898108644553</v>
      </c>
      <c r="D329" s="127" t="s">
        <v>12</v>
      </c>
      <c r="E329" s="55">
        <v>7.1879999999999997</v>
      </c>
      <c r="F329" s="154"/>
      <c r="G329" s="150">
        <v>7.1879999999999997</v>
      </c>
      <c r="H329" s="126" t="s">
        <v>13</v>
      </c>
      <c r="I329" s="151">
        <v>0.35</v>
      </c>
      <c r="J329" s="41">
        <f t="shared" si="39"/>
        <v>4.6722000000000001</v>
      </c>
      <c r="K329" s="41"/>
      <c r="L329" s="155"/>
      <c r="M329" s="43">
        <f t="shared" si="38"/>
        <v>0</v>
      </c>
    </row>
    <row r="330" spans="1:13" ht="23.4" hidden="1" x14ac:dyDescent="0.45">
      <c r="A330" s="33" t="s">
        <v>440</v>
      </c>
      <c r="B330" s="34" t="s">
        <v>441</v>
      </c>
      <c r="C330" s="69">
        <v>7898108644546</v>
      </c>
      <c r="D330" s="127" t="s">
        <v>12</v>
      </c>
      <c r="E330" s="55">
        <v>7.1879999999999997</v>
      </c>
      <c r="F330" s="154"/>
      <c r="G330" s="150">
        <v>7.1879999999999997</v>
      </c>
      <c r="H330" s="126" t="s">
        <v>13</v>
      </c>
      <c r="I330" s="151">
        <v>0.35</v>
      </c>
      <c r="J330" s="41">
        <f t="shared" si="39"/>
        <v>4.6722000000000001</v>
      </c>
      <c r="K330" s="41"/>
      <c r="L330" s="155"/>
      <c r="M330" s="43">
        <f t="shared" si="38"/>
        <v>0</v>
      </c>
    </row>
    <row r="331" spans="1:13" ht="46.2" hidden="1" x14ac:dyDescent="0.3">
      <c r="A331" s="27" t="s">
        <v>442</v>
      </c>
      <c r="B331" s="29"/>
      <c r="C331" s="29"/>
      <c r="D331" s="29"/>
      <c r="E331" s="30"/>
      <c r="F331" s="30"/>
      <c r="G331" s="30"/>
      <c r="H331" s="30"/>
      <c r="I331" s="30"/>
      <c r="J331" s="31"/>
      <c r="K331" s="31"/>
      <c r="L331" s="30"/>
      <c r="M331" s="30"/>
    </row>
    <row r="332" spans="1:13" ht="23.4" hidden="1" x14ac:dyDescent="0.45">
      <c r="A332" s="33" t="s">
        <v>443</v>
      </c>
      <c r="B332" s="34">
        <v>2127</v>
      </c>
      <c r="C332" s="69">
        <v>7898108645796</v>
      </c>
      <c r="D332" s="127" t="s">
        <v>61</v>
      </c>
      <c r="E332" s="55">
        <v>3.8279999999999998</v>
      </c>
      <c r="F332" s="154"/>
      <c r="G332" s="150">
        <v>3.8279999999999998</v>
      </c>
      <c r="H332" s="126" t="s">
        <v>13</v>
      </c>
      <c r="I332" s="151">
        <v>0.35</v>
      </c>
      <c r="J332" s="41">
        <f t="shared" si="39"/>
        <v>2.4882</v>
      </c>
      <c r="K332" s="41"/>
      <c r="L332" s="155"/>
      <c r="M332" s="43">
        <f t="shared" si="38"/>
        <v>0</v>
      </c>
    </row>
    <row r="333" spans="1:13" ht="23.4" hidden="1" x14ac:dyDescent="0.45">
      <c r="A333" s="33" t="s">
        <v>444</v>
      </c>
      <c r="B333" s="34">
        <v>2126</v>
      </c>
      <c r="C333" s="83">
        <v>7898108646007</v>
      </c>
      <c r="D333" s="127" t="s">
        <v>61</v>
      </c>
      <c r="E333" s="55">
        <v>5.3879999999999999</v>
      </c>
      <c r="F333" s="154"/>
      <c r="G333" s="150">
        <v>5.3879999999999999</v>
      </c>
      <c r="H333" s="126" t="s">
        <v>13</v>
      </c>
      <c r="I333" s="151">
        <v>0.35</v>
      </c>
      <c r="J333" s="41">
        <f t="shared" si="39"/>
        <v>3.5022000000000002</v>
      </c>
      <c r="K333" s="41"/>
      <c r="L333" s="155"/>
      <c r="M333" s="43">
        <f t="shared" si="38"/>
        <v>0</v>
      </c>
    </row>
    <row r="334" spans="1:13" ht="23.4" hidden="1" x14ac:dyDescent="0.45">
      <c r="A334" s="33" t="s">
        <v>445</v>
      </c>
      <c r="B334" s="34">
        <v>2070</v>
      </c>
      <c r="C334" s="83">
        <v>7898108645802</v>
      </c>
      <c r="D334" s="127" t="s">
        <v>12</v>
      </c>
      <c r="E334" s="55">
        <v>10.989000000000001</v>
      </c>
      <c r="F334" s="154"/>
      <c r="G334" s="150">
        <v>10.989000000000001</v>
      </c>
      <c r="H334" s="126" t="s">
        <v>13</v>
      </c>
      <c r="I334" s="151">
        <v>0.35</v>
      </c>
      <c r="J334" s="41">
        <f t="shared" si="39"/>
        <v>7.142850000000001</v>
      </c>
      <c r="K334" s="41"/>
      <c r="L334" s="155"/>
      <c r="M334" s="43">
        <f t="shared" si="38"/>
        <v>0</v>
      </c>
    </row>
    <row r="335" spans="1:13" ht="46.2" hidden="1" x14ac:dyDescent="0.3">
      <c r="A335" s="27" t="s">
        <v>446</v>
      </c>
      <c r="B335" s="29"/>
      <c r="C335" s="29"/>
      <c r="D335" s="29"/>
      <c r="E335" s="30"/>
      <c r="F335" s="30"/>
      <c r="G335" s="30"/>
      <c r="H335" s="30"/>
      <c r="I335" s="30"/>
      <c r="J335" s="31"/>
      <c r="K335" s="31"/>
      <c r="L335" s="30"/>
      <c r="M335" s="30"/>
    </row>
    <row r="336" spans="1:13" ht="23.4" hidden="1" x14ac:dyDescent="0.45">
      <c r="A336" s="33" t="s">
        <v>447</v>
      </c>
      <c r="B336" s="34"/>
      <c r="C336" s="160"/>
      <c r="D336" s="157" t="s">
        <v>270</v>
      </c>
      <c r="E336" s="55">
        <v>10.989000000000001</v>
      </c>
      <c r="F336" s="154"/>
      <c r="G336" s="150">
        <v>10.989000000000001</v>
      </c>
      <c r="H336" s="126" t="s">
        <v>13</v>
      </c>
      <c r="I336" s="151">
        <v>0.35</v>
      </c>
      <c r="J336" s="41">
        <f t="shared" ref="J336:J340" si="40">G336-(G336*I336)</f>
        <v>7.142850000000001</v>
      </c>
      <c r="K336" s="41"/>
      <c r="L336" s="155"/>
      <c r="M336" s="43">
        <f t="shared" ref="M336:M340" si="41">L336*J336</f>
        <v>0</v>
      </c>
    </row>
    <row r="337" spans="1:13" ht="23.4" hidden="1" x14ac:dyDescent="0.45">
      <c r="A337" s="33" t="s">
        <v>448</v>
      </c>
      <c r="B337" s="34"/>
      <c r="C337" s="160"/>
      <c r="D337" s="127" t="s">
        <v>15</v>
      </c>
      <c r="E337" s="55">
        <v>10.989000000000001</v>
      </c>
      <c r="F337" s="154"/>
      <c r="G337" s="150">
        <v>10.989000000000001</v>
      </c>
      <c r="H337" s="126" t="s">
        <v>13</v>
      </c>
      <c r="I337" s="151">
        <v>0.35</v>
      </c>
      <c r="J337" s="41">
        <f t="shared" si="40"/>
        <v>7.142850000000001</v>
      </c>
      <c r="K337" s="41"/>
      <c r="L337" s="155"/>
      <c r="M337" s="43">
        <f t="shared" si="41"/>
        <v>0</v>
      </c>
    </row>
    <row r="338" spans="1:13" ht="23.4" hidden="1" x14ac:dyDescent="0.45">
      <c r="A338" s="33" t="s">
        <v>449</v>
      </c>
      <c r="B338" s="34">
        <v>2030</v>
      </c>
      <c r="C338" s="160">
        <v>7898108645970</v>
      </c>
      <c r="D338" s="127" t="s">
        <v>15</v>
      </c>
      <c r="E338" s="55">
        <v>21.587999999999997</v>
      </c>
      <c r="F338" s="154"/>
      <c r="G338" s="150">
        <v>21.587999999999997</v>
      </c>
      <c r="H338" s="126" t="s">
        <v>13</v>
      </c>
      <c r="I338" s="151">
        <v>0.35</v>
      </c>
      <c r="J338" s="41">
        <f t="shared" si="40"/>
        <v>14.0322</v>
      </c>
      <c r="K338" s="41"/>
      <c r="L338" s="155"/>
      <c r="M338" s="43">
        <f t="shared" si="41"/>
        <v>0</v>
      </c>
    </row>
    <row r="339" spans="1:13" ht="23.4" hidden="1" x14ac:dyDescent="0.45">
      <c r="A339" s="33" t="s">
        <v>450</v>
      </c>
      <c r="B339" s="34">
        <v>2031</v>
      </c>
      <c r="C339" s="160">
        <v>7898108645963</v>
      </c>
      <c r="D339" s="127" t="s">
        <v>90</v>
      </c>
      <c r="E339" s="55">
        <v>2.7797999999999998</v>
      </c>
      <c r="F339" s="154"/>
      <c r="G339" s="150">
        <v>2.7797999999999998</v>
      </c>
      <c r="H339" s="126" t="s">
        <v>13</v>
      </c>
      <c r="I339" s="151">
        <v>0.35</v>
      </c>
      <c r="J339" s="41">
        <f t="shared" si="40"/>
        <v>1.80687</v>
      </c>
      <c r="K339" s="41"/>
      <c r="L339" s="155"/>
      <c r="M339" s="43">
        <f t="shared" si="41"/>
        <v>0</v>
      </c>
    </row>
    <row r="340" spans="1:13" ht="23.4" hidden="1" x14ac:dyDescent="0.45">
      <c r="A340" s="33" t="s">
        <v>451</v>
      </c>
      <c r="B340" s="34">
        <v>2034</v>
      </c>
      <c r="C340" s="160">
        <v>7898108645949</v>
      </c>
      <c r="D340" s="127" t="s">
        <v>22</v>
      </c>
      <c r="E340" s="55">
        <v>13.511999999999999</v>
      </c>
      <c r="F340" s="154"/>
      <c r="G340" s="150">
        <v>13.511999999999999</v>
      </c>
      <c r="H340" s="126" t="s">
        <v>13</v>
      </c>
      <c r="I340" s="151">
        <v>0.35</v>
      </c>
      <c r="J340" s="41">
        <f t="shared" si="40"/>
        <v>8.7827999999999982</v>
      </c>
      <c r="K340" s="41"/>
      <c r="L340" s="155"/>
      <c r="M340" s="43">
        <f t="shared" si="41"/>
        <v>0</v>
      </c>
    </row>
    <row r="341" spans="1:13" ht="23.4" hidden="1" x14ac:dyDescent="0.45">
      <c r="A341" s="33" t="s">
        <v>452</v>
      </c>
      <c r="B341" s="34" t="s">
        <v>453</v>
      </c>
      <c r="C341" s="160">
        <v>7898108644812</v>
      </c>
      <c r="D341" s="157" t="s">
        <v>270</v>
      </c>
      <c r="E341" s="55">
        <v>10.989000000000001</v>
      </c>
      <c r="F341" s="154"/>
      <c r="G341" s="150">
        <v>10.989000000000001</v>
      </c>
      <c r="H341" s="126" t="s">
        <v>13</v>
      </c>
      <c r="I341" s="151">
        <v>0.35</v>
      </c>
      <c r="J341" s="41">
        <f t="shared" si="39"/>
        <v>7.142850000000001</v>
      </c>
      <c r="K341" s="41"/>
      <c r="L341" s="155"/>
      <c r="M341" s="43">
        <f t="shared" si="38"/>
        <v>0</v>
      </c>
    </row>
    <row r="342" spans="1:13" ht="23.4" hidden="1" x14ac:dyDescent="0.45">
      <c r="A342" s="33" t="s">
        <v>454</v>
      </c>
      <c r="B342" s="34" t="s">
        <v>455</v>
      </c>
      <c r="C342" s="160">
        <v>7898108644812</v>
      </c>
      <c r="D342" s="127" t="s">
        <v>15</v>
      </c>
      <c r="E342" s="55">
        <v>10.989000000000001</v>
      </c>
      <c r="F342" s="154"/>
      <c r="G342" s="150">
        <v>10.989000000000001</v>
      </c>
      <c r="H342" s="126" t="s">
        <v>13</v>
      </c>
      <c r="I342" s="151">
        <v>0.35</v>
      </c>
      <c r="J342" s="41">
        <f t="shared" si="39"/>
        <v>7.142850000000001</v>
      </c>
      <c r="K342" s="41"/>
      <c r="L342" s="155"/>
      <c r="M342" s="43">
        <f t="shared" si="38"/>
        <v>0</v>
      </c>
    </row>
    <row r="343" spans="1:13" ht="23.4" hidden="1" x14ac:dyDescent="0.45">
      <c r="A343" s="33" t="s">
        <v>456</v>
      </c>
      <c r="B343" s="34" t="s">
        <v>457</v>
      </c>
      <c r="C343" s="160">
        <v>7898108644386</v>
      </c>
      <c r="D343" s="127" t="s">
        <v>15</v>
      </c>
      <c r="E343" s="55">
        <v>21.587999999999997</v>
      </c>
      <c r="F343" s="154"/>
      <c r="G343" s="150">
        <v>21.587999999999997</v>
      </c>
      <c r="H343" s="126" t="s">
        <v>13</v>
      </c>
      <c r="I343" s="151">
        <v>0.35</v>
      </c>
      <c r="J343" s="41">
        <f t="shared" si="39"/>
        <v>14.0322</v>
      </c>
      <c r="K343" s="41"/>
      <c r="L343" s="155"/>
      <c r="M343" s="43">
        <f t="shared" si="38"/>
        <v>0</v>
      </c>
    </row>
    <row r="344" spans="1:13" ht="23.4" hidden="1" x14ac:dyDescent="0.45">
      <c r="A344" s="33" t="s">
        <v>458</v>
      </c>
      <c r="B344" s="34" t="s">
        <v>459</v>
      </c>
      <c r="C344" s="161">
        <v>7898108643532</v>
      </c>
      <c r="D344" s="127" t="s">
        <v>90</v>
      </c>
      <c r="E344" s="55">
        <v>2.7797999999999998</v>
      </c>
      <c r="F344" s="154"/>
      <c r="G344" s="150">
        <v>2.7797999999999998</v>
      </c>
      <c r="H344" s="126" t="s">
        <v>13</v>
      </c>
      <c r="I344" s="151">
        <v>0.35</v>
      </c>
      <c r="J344" s="41">
        <f t="shared" si="39"/>
        <v>1.80687</v>
      </c>
      <c r="K344" s="41"/>
      <c r="L344" s="155"/>
      <c r="M344" s="43">
        <f t="shared" si="38"/>
        <v>0</v>
      </c>
    </row>
    <row r="345" spans="1:13" ht="23.4" hidden="1" x14ac:dyDescent="0.45">
      <c r="A345" s="33" t="s">
        <v>460</v>
      </c>
      <c r="B345" s="34" t="s">
        <v>461</v>
      </c>
      <c r="C345" s="162">
        <v>7898108643334</v>
      </c>
      <c r="D345" s="127" t="s">
        <v>22</v>
      </c>
      <c r="E345" s="55">
        <v>13.511999999999999</v>
      </c>
      <c r="F345" s="154"/>
      <c r="G345" s="150">
        <v>13.511999999999999</v>
      </c>
      <c r="H345" s="126" t="s">
        <v>13</v>
      </c>
      <c r="I345" s="151">
        <v>0.35</v>
      </c>
      <c r="J345" s="41">
        <f t="shared" si="39"/>
        <v>8.7827999999999982</v>
      </c>
      <c r="K345" s="41"/>
      <c r="L345" s="155"/>
      <c r="M345" s="43">
        <f t="shared" si="38"/>
        <v>0</v>
      </c>
    </row>
    <row r="346" spans="1:13" ht="23.4" hidden="1" x14ac:dyDescent="0.45">
      <c r="A346" s="33" t="s">
        <v>462</v>
      </c>
      <c r="B346" s="34" t="s">
        <v>463</v>
      </c>
      <c r="C346" s="160">
        <v>7898108644652</v>
      </c>
      <c r="D346" s="157" t="s">
        <v>270</v>
      </c>
      <c r="E346" s="55">
        <v>10.989000000000001</v>
      </c>
      <c r="F346" s="154"/>
      <c r="G346" s="150">
        <v>10.989000000000001</v>
      </c>
      <c r="H346" s="126" t="s">
        <v>13</v>
      </c>
      <c r="I346" s="151">
        <v>0.35</v>
      </c>
      <c r="J346" s="41">
        <f t="shared" si="39"/>
        <v>7.142850000000001</v>
      </c>
      <c r="K346" s="41"/>
      <c r="L346" s="155"/>
      <c r="M346" s="43">
        <f t="shared" si="38"/>
        <v>0</v>
      </c>
    </row>
    <row r="347" spans="1:13" ht="23.4" hidden="1" x14ac:dyDescent="0.45">
      <c r="A347" s="33" t="s">
        <v>464</v>
      </c>
      <c r="B347" s="34" t="s">
        <v>465</v>
      </c>
      <c r="C347" s="160">
        <v>7898108644959</v>
      </c>
      <c r="D347" s="127" t="s">
        <v>15</v>
      </c>
      <c r="E347" s="55">
        <v>10.989000000000001</v>
      </c>
      <c r="F347" s="154"/>
      <c r="G347" s="150">
        <v>10.989000000000001</v>
      </c>
      <c r="H347" s="126" t="s">
        <v>13</v>
      </c>
      <c r="I347" s="151">
        <v>0.35</v>
      </c>
      <c r="J347" s="41">
        <f t="shared" si="39"/>
        <v>7.142850000000001</v>
      </c>
      <c r="K347" s="41"/>
      <c r="L347" s="155"/>
      <c r="M347" s="43">
        <f t="shared" si="38"/>
        <v>0</v>
      </c>
    </row>
    <row r="348" spans="1:13" ht="23.4" hidden="1" x14ac:dyDescent="0.45">
      <c r="A348" s="33" t="s">
        <v>466</v>
      </c>
      <c r="B348" s="34" t="s">
        <v>467</v>
      </c>
      <c r="C348" s="160">
        <v>7898108644232</v>
      </c>
      <c r="D348" s="127" t="s">
        <v>15</v>
      </c>
      <c r="E348" s="55">
        <v>21.587999999999997</v>
      </c>
      <c r="F348" s="154"/>
      <c r="G348" s="150">
        <v>21.587999999999997</v>
      </c>
      <c r="H348" s="126" t="s">
        <v>13</v>
      </c>
      <c r="I348" s="151">
        <v>0.35</v>
      </c>
      <c r="J348" s="41">
        <f t="shared" si="39"/>
        <v>14.0322</v>
      </c>
      <c r="K348" s="41"/>
      <c r="L348" s="155"/>
      <c r="M348" s="43">
        <f t="shared" si="38"/>
        <v>0</v>
      </c>
    </row>
    <row r="349" spans="1:13" ht="23.4" hidden="1" x14ac:dyDescent="0.45">
      <c r="A349" s="33" t="s">
        <v>468</v>
      </c>
      <c r="B349" s="34" t="s">
        <v>469</v>
      </c>
      <c r="C349" s="161" t="s">
        <v>470</v>
      </c>
      <c r="D349" s="127" t="s">
        <v>90</v>
      </c>
      <c r="E349" s="55">
        <v>2.7797999999999998</v>
      </c>
      <c r="F349" s="154"/>
      <c r="G349" s="150">
        <v>2.7797999999999998</v>
      </c>
      <c r="H349" s="126" t="s">
        <v>13</v>
      </c>
      <c r="I349" s="151">
        <v>0.35</v>
      </c>
      <c r="J349" s="41">
        <f t="shared" si="39"/>
        <v>1.80687</v>
      </c>
      <c r="K349" s="41"/>
      <c r="L349" s="155"/>
      <c r="M349" s="43">
        <f t="shared" si="38"/>
        <v>0</v>
      </c>
    </row>
    <row r="350" spans="1:13" ht="23.4" hidden="1" x14ac:dyDescent="0.45">
      <c r="A350" s="33" t="s">
        <v>471</v>
      </c>
      <c r="B350" s="34" t="s">
        <v>472</v>
      </c>
      <c r="C350" s="162">
        <v>7898108644058</v>
      </c>
      <c r="D350" s="127" t="s">
        <v>22</v>
      </c>
      <c r="E350" s="55">
        <v>13.511999999999999</v>
      </c>
      <c r="F350" s="154"/>
      <c r="G350" s="150">
        <v>13.511999999999999</v>
      </c>
      <c r="H350" s="126" t="s">
        <v>13</v>
      </c>
      <c r="I350" s="151">
        <v>0.35</v>
      </c>
      <c r="J350" s="41">
        <f t="shared" si="39"/>
        <v>8.7827999999999982</v>
      </c>
      <c r="K350" s="41"/>
      <c r="L350" s="155"/>
      <c r="M350" s="43">
        <f t="shared" si="38"/>
        <v>0</v>
      </c>
    </row>
    <row r="351" spans="1:13" ht="23.4" hidden="1" x14ac:dyDescent="0.45">
      <c r="A351" s="33" t="s">
        <v>473</v>
      </c>
      <c r="B351" s="34" t="s">
        <v>474</v>
      </c>
      <c r="C351" s="160">
        <v>7898108644669</v>
      </c>
      <c r="D351" s="157" t="s">
        <v>270</v>
      </c>
      <c r="E351" s="55">
        <v>10.989000000000001</v>
      </c>
      <c r="F351" s="154"/>
      <c r="G351" s="150">
        <v>10.989000000000001</v>
      </c>
      <c r="H351" s="126" t="s">
        <v>13</v>
      </c>
      <c r="I351" s="151">
        <v>0.35</v>
      </c>
      <c r="J351" s="41">
        <f t="shared" si="39"/>
        <v>7.142850000000001</v>
      </c>
      <c r="K351" s="41"/>
      <c r="L351" s="155"/>
      <c r="M351" s="43">
        <f t="shared" si="38"/>
        <v>0</v>
      </c>
    </row>
    <row r="352" spans="1:13" ht="23.4" hidden="1" x14ac:dyDescent="0.45">
      <c r="A352" s="33" t="s">
        <v>475</v>
      </c>
      <c r="B352" s="34" t="s">
        <v>476</v>
      </c>
      <c r="C352" s="160">
        <v>7898108644966</v>
      </c>
      <c r="D352" s="127" t="s">
        <v>15</v>
      </c>
      <c r="E352" s="55">
        <v>10.989000000000001</v>
      </c>
      <c r="F352" s="154"/>
      <c r="G352" s="150">
        <v>10.989000000000001</v>
      </c>
      <c r="H352" s="126" t="s">
        <v>13</v>
      </c>
      <c r="I352" s="151">
        <v>0.35</v>
      </c>
      <c r="J352" s="41">
        <f t="shared" si="39"/>
        <v>7.142850000000001</v>
      </c>
      <c r="K352" s="41"/>
      <c r="L352" s="155"/>
      <c r="M352" s="43">
        <f t="shared" si="38"/>
        <v>0</v>
      </c>
    </row>
    <row r="353" spans="1:13" ht="23.4" hidden="1" x14ac:dyDescent="0.45">
      <c r="A353" s="33" t="s">
        <v>477</v>
      </c>
      <c r="B353" s="34" t="s">
        <v>478</v>
      </c>
      <c r="C353" s="160">
        <v>7898108644249</v>
      </c>
      <c r="D353" s="127" t="s">
        <v>15</v>
      </c>
      <c r="E353" s="55">
        <v>21.587999999999997</v>
      </c>
      <c r="F353" s="154"/>
      <c r="G353" s="150">
        <v>21.587999999999997</v>
      </c>
      <c r="H353" s="126" t="s">
        <v>13</v>
      </c>
      <c r="I353" s="151">
        <v>0.35</v>
      </c>
      <c r="J353" s="41">
        <f t="shared" si="39"/>
        <v>14.0322</v>
      </c>
      <c r="K353" s="41"/>
      <c r="L353" s="155"/>
      <c r="M353" s="43">
        <f t="shared" si="38"/>
        <v>0</v>
      </c>
    </row>
    <row r="354" spans="1:13" ht="23.4" hidden="1" x14ac:dyDescent="0.45">
      <c r="A354" s="33" t="s">
        <v>479</v>
      </c>
      <c r="B354" s="34" t="s">
        <v>480</v>
      </c>
      <c r="C354" s="160">
        <v>7898108643730</v>
      </c>
      <c r="D354" s="127" t="s">
        <v>90</v>
      </c>
      <c r="E354" s="55">
        <v>2.7797999999999998</v>
      </c>
      <c r="F354" s="154"/>
      <c r="G354" s="150">
        <v>2.7797999999999998</v>
      </c>
      <c r="H354" s="126" t="s">
        <v>13</v>
      </c>
      <c r="I354" s="151">
        <v>0.35</v>
      </c>
      <c r="J354" s="41">
        <f t="shared" si="39"/>
        <v>1.80687</v>
      </c>
      <c r="K354" s="41"/>
      <c r="L354" s="155"/>
      <c r="M354" s="43">
        <f t="shared" si="38"/>
        <v>0</v>
      </c>
    </row>
    <row r="355" spans="1:13" ht="23.4" hidden="1" x14ac:dyDescent="0.45">
      <c r="A355" s="33" t="s">
        <v>481</v>
      </c>
      <c r="B355" s="34" t="s">
        <v>482</v>
      </c>
      <c r="C355" s="162">
        <v>7898108643679</v>
      </c>
      <c r="D355" s="127" t="s">
        <v>22</v>
      </c>
      <c r="E355" s="55">
        <v>13.511999999999999</v>
      </c>
      <c r="F355" s="154"/>
      <c r="G355" s="150">
        <v>13.511999999999999</v>
      </c>
      <c r="H355" s="126" t="s">
        <v>13</v>
      </c>
      <c r="I355" s="151">
        <v>0.35</v>
      </c>
      <c r="J355" s="41">
        <f t="shared" si="39"/>
        <v>8.7827999999999982</v>
      </c>
      <c r="K355" s="41"/>
      <c r="L355" s="155"/>
      <c r="M355" s="43">
        <f t="shared" si="38"/>
        <v>0</v>
      </c>
    </row>
    <row r="356" spans="1:13" ht="23.4" hidden="1" x14ac:dyDescent="0.45">
      <c r="A356" s="33" t="s">
        <v>483</v>
      </c>
      <c r="B356" s="34" t="s">
        <v>484</v>
      </c>
      <c r="C356" s="160">
        <v>7898108644676</v>
      </c>
      <c r="D356" s="157" t="s">
        <v>270</v>
      </c>
      <c r="E356" s="55">
        <v>10.989000000000001</v>
      </c>
      <c r="F356" s="154"/>
      <c r="G356" s="150">
        <v>10.989000000000001</v>
      </c>
      <c r="H356" s="126" t="s">
        <v>13</v>
      </c>
      <c r="I356" s="151">
        <v>0.35</v>
      </c>
      <c r="J356" s="41">
        <f t="shared" si="39"/>
        <v>7.142850000000001</v>
      </c>
      <c r="K356" s="41"/>
      <c r="L356" s="155"/>
      <c r="M356" s="43">
        <f t="shared" si="38"/>
        <v>0</v>
      </c>
    </row>
    <row r="357" spans="1:13" ht="23.4" hidden="1" x14ac:dyDescent="0.45">
      <c r="A357" s="33" t="s">
        <v>485</v>
      </c>
      <c r="B357" s="34" t="s">
        <v>486</v>
      </c>
      <c r="C357" s="160">
        <v>7898108644973</v>
      </c>
      <c r="D357" s="127" t="s">
        <v>15</v>
      </c>
      <c r="E357" s="55">
        <v>10.989000000000001</v>
      </c>
      <c r="F357" s="154"/>
      <c r="G357" s="150">
        <v>10.989000000000001</v>
      </c>
      <c r="H357" s="126" t="s">
        <v>13</v>
      </c>
      <c r="I357" s="151">
        <v>0.35</v>
      </c>
      <c r="J357" s="41">
        <f t="shared" si="39"/>
        <v>7.142850000000001</v>
      </c>
      <c r="K357" s="41"/>
      <c r="L357" s="155"/>
      <c r="M357" s="43">
        <f t="shared" si="38"/>
        <v>0</v>
      </c>
    </row>
    <row r="358" spans="1:13" ht="23.4" hidden="1" x14ac:dyDescent="0.45">
      <c r="A358" s="33" t="s">
        <v>487</v>
      </c>
      <c r="B358" s="34" t="s">
        <v>488</v>
      </c>
      <c r="C358" s="160">
        <v>7898108644256</v>
      </c>
      <c r="D358" s="127" t="s">
        <v>15</v>
      </c>
      <c r="E358" s="55">
        <v>21.587999999999997</v>
      </c>
      <c r="F358" s="154"/>
      <c r="G358" s="150">
        <v>21.587999999999997</v>
      </c>
      <c r="H358" s="126" t="s">
        <v>13</v>
      </c>
      <c r="I358" s="151">
        <v>0.35</v>
      </c>
      <c r="J358" s="41">
        <f t="shared" si="39"/>
        <v>14.0322</v>
      </c>
      <c r="K358" s="41"/>
      <c r="L358" s="155"/>
      <c r="M358" s="43">
        <f t="shared" si="38"/>
        <v>0</v>
      </c>
    </row>
    <row r="359" spans="1:13" ht="23.4" hidden="1" x14ac:dyDescent="0.45">
      <c r="A359" s="33" t="s">
        <v>489</v>
      </c>
      <c r="B359" s="34" t="s">
        <v>490</v>
      </c>
      <c r="C359" s="161">
        <v>7898108644171</v>
      </c>
      <c r="D359" s="127" t="s">
        <v>90</v>
      </c>
      <c r="E359" s="55">
        <v>2.7797999999999998</v>
      </c>
      <c r="F359" s="154"/>
      <c r="G359" s="150">
        <v>2.7797999999999998</v>
      </c>
      <c r="H359" s="126" t="s">
        <v>13</v>
      </c>
      <c r="I359" s="151">
        <v>0.35</v>
      </c>
      <c r="J359" s="41">
        <f t="shared" si="39"/>
        <v>1.80687</v>
      </c>
      <c r="K359" s="41"/>
      <c r="L359" s="155"/>
      <c r="M359" s="43">
        <f t="shared" si="38"/>
        <v>0</v>
      </c>
    </row>
    <row r="360" spans="1:13" ht="23.4" hidden="1" x14ac:dyDescent="0.45">
      <c r="A360" s="33" t="s">
        <v>491</v>
      </c>
      <c r="B360" s="34" t="s">
        <v>492</v>
      </c>
      <c r="C360" s="162">
        <v>7898108644102</v>
      </c>
      <c r="D360" s="127" t="s">
        <v>22</v>
      </c>
      <c r="E360" s="55">
        <v>13.511999999999999</v>
      </c>
      <c r="F360" s="154"/>
      <c r="G360" s="150">
        <v>13.511999999999999</v>
      </c>
      <c r="H360" s="126" t="s">
        <v>13</v>
      </c>
      <c r="I360" s="151">
        <v>0.35</v>
      </c>
      <c r="J360" s="41">
        <f t="shared" si="39"/>
        <v>8.7827999999999982</v>
      </c>
      <c r="K360" s="41"/>
      <c r="L360" s="155"/>
      <c r="M360" s="43">
        <f t="shared" si="38"/>
        <v>0</v>
      </c>
    </row>
    <row r="361" spans="1:13" ht="23.4" hidden="1" x14ac:dyDescent="0.45">
      <c r="A361" s="33" t="s">
        <v>493</v>
      </c>
      <c r="B361" s="34" t="s">
        <v>494</v>
      </c>
      <c r="C361" s="160">
        <v>7898108644805</v>
      </c>
      <c r="D361" s="157" t="s">
        <v>270</v>
      </c>
      <c r="E361" s="55">
        <v>10.989000000000001</v>
      </c>
      <c r="F361" s="154"/>
      <c r="G361" s="150">
        <v>10.989000000000001</v>
      </c>
      <c r="H361" s="126" t="s">
        <v>13</v>
      </c>
      <c r="I361" s="151">
        <v>0.35</v>
      </c>
      <c r="J361" s="41">
        <f t="shared" si="39"/>
        <v>7.142850000000001</v>
      </c>
      <c r="K361" s="41"/>
      <c r="L361" s="155"/>
      <c r="M361" s="43">
        <f t="shared" si="38"/>
        <v>0</v>
      </c>
    </row>
    <row r="362" spans="1:13" ht="23.4" hidden="1" x14ac:dyDescent="0.45">
      <c r="A362" s="33" t="s">
        <v>495</v>
      </c>
      <c r="B362" s="34" t="s">
        <v>496</v>
      </c>
      <c r="C362" s="160">
        <v>7898108645079</v>
      </c>
      <c r="D362" s="127" t="s">
        <v>15</v>
      </c>
      <c r="E362" s="55">
        <v>10.989000000000001</v>
      </c>
      <c r="F362" s="154"/>
      <c r="G362" s="150">
        <v>10.989000000000001</v>
      </c>
      <c r="H362" s="126" t="s">
        <v>13</v>
      </c>
      <c r="I362" s="151">
        <v>0.35</v>
      </c>
      <c r="J362" s="41">
        <f t="shared" si="39"/>
        <v>7.142850000000001</v>
      </c>
      <c r="K362" s="41"/>
      <c r="L362" s="155"/>
      <c r="M362" s="43">
        <f t="shared" si="38"/>
        <v>0</v>
      </c>
    </row>
    <row r="363" spans="1:13" ht="23.4" hidden="1" x14ac:dyDescent="0.45">
      <c r="A363" s="33" t="s">
        <v>497</v>
      </c>
      <c r="B363" s="34" t="s">
        <v>498</v>
      </c>
      <c r="C363" s="160">
        <v>7898108644218</v>
      </c>
      <c r="D363" s="127" t="s">
        <v>15</v>
      </c>
      <c r="E363" s="55">
        <v>21.587999999999997</v>
      </c>
      <c r="F363" s="154"/>
      <c r="G363" s="150">
        <v>21.587999999999997</v>
      </c>
      <c r="H363" s="126" t="s">
        <v>13</v>
      </c>
      <c r="I363" s="151">
        <v>0.35</v>
      </c>
      <c r="J363" s="41">
        <f t="shared" si="39"/>
        <v>14.0322</v>
      </c>
      <c r="K363" s="41"/>
      <c r="L363" s="155"/>
      <c r="M363" s="43">
        <f t="shared" si="38"/>
        <v>0</v>
      </c>
    </row>
    <row r="364" spans="1:13" ht="23.4" hidden="1" x14ac:dyDescent="0.45">
      <c r="A364" s="33" t="s">
        <v>499</v>
      </c>
      <c r="B364" s="34" t="s">
        <v>500</v>
      </c>
      <c r="C364" s="161" t="s">
        <v>501</v>
      </c>
      <c r="D364" s="127" t="s">
        <v>90</v>
      </c>
      <c r="E364" s="55">
        <v>2.7797999999999998</v>
      </c>
      <c r="F364" s="154"/>
      <c r="G364" s="150">
        <v>2.7797999999999998</v>
      </c>
      <c r="H364" s="126" t="s">
        <v>13</v>
      </c>
      <c r="I364" s="151">
        <v>0.35</v>
      </c>
      <c r="J364" s="41">
        <f t="shared" si="39"/>
        <v>1.80687</v>
      </c>
      <c r="K364" s="41"/>
      <c r="L364" s="155"/>
      <c r="M364" s="43">
        <f t="shared" si="38"/>
        <v>0</v>
      </c>
    </row>
    <row r="365" spans="1:13" ht="23.4" hidden="1" x14ac:dyDescent="0.45">
      <c r="A365" s="33" t="s">
        <v>502</v>
      </c>
      <c r="B365" s="34" t="s">
        <v>503</v>
      </c>
      <c r="C365" s="162">
        <v>7898108643495</v>
      </c>
      <c r="D365" s="127" t="s">
        <v>22</v>
      </c>
      <c r="E365" s="55">
        <v>13.511999999999999</v>
      </c>
      <c r="F365" s="154"/>
      <c r="G365" s="150">
        <v>13.511999999999999</v>
      </c>
      <c r="H365" s="126" t="s">
        <v>13</v>
      </c>
      <c r="I365" s="151">
        <v>0.35</v>
      </c>
      <c r="J365" s="41">
        <f t="shared" si="39"/>
        <v>8.7827999999999982</v>
      </c>
      <c r="K365" s="41"/>
      <c r="L365" s="155"/>
      <c r="M365" s="43">
        <f t="shared" si="38"/>
        <v>0</v>
      </c>
    </row>
    <row r="366" spans="1:13" ht="23.4" hidden="1" x14ac:dyDescent="0.45">
      <c r="A366" s="33" t="s">
        <v>504</v>
      </c>
      <c r="B366" s="34" t="s">
        <v>505</v>
      </c>
      <c r="C366" s="160"/>
      <c r="D366" s="157" t="s">
        <v>270</v>
      </c>
      <c r="E366" s="55">
        <v>10.989000000000001</v>
      </c>
      <c r="F366" s="154"/>
      <c r="G366" s="150">
        <v>10.989000000000001</v>
      </c>
      <c r="H366" s="126" t="s">
        <v>13</v>
      </c>
      <c r="I366" s="151">
        <v>0.35</v>
      </c>
      <c r="J366" s="41">
        <f t="shared" si="39"/>
        <v>7.142850000000001</v>
      </c>
      <c r="K366" s="41"/>
      <c r="L366" s="155"/>
      <c r="M366" s="43">
        <f t="shared" si="38"/>
        <v>0</v>
      </c>
    </row>
    <row r="367" spans="1:13" ht="23.4" hidden="1" x14ac:dyDescent="0.45">
      <c r="A367" s="33" t="s">
        <v>506</v>
      </c>
      <c r="B367" s="34" t="s">
        <v>507</v>
      </c>
      <c r="C367" s="160"/>
      <c r="D367" s="127" t="s">
        <v>15</v>
      </c>
      <c r="E367" s="55">
        <v>10.989000000000001</v>
      </c>
      <c r="F367" s="154"/>
      <c r="G367" s="150">
        <v>10.989000000000001</v>
      </c>
      <c r="H367" s="126" t="s">
        <v>13</v>
      </c>
      <c r="I367" s="151">
        <v>0.35</v>
      </c>
      <c r="J367" s="41">
        <f t="shared" si="39"/>
        <v>7.142850000000001</v>
      </c>
      <c r="K367" s="41"/>
      <c r="L367" s="155"/>
      <c r="M367" s="43">
        <f t="shared" si="38"/>
        <v>0</v>
      </c>
    </row>
    <row r="368" spans="1:13" ht="23.4" hidden="1" x14ac:dyDescent="0.45">
      <c r="A368" s="33" t="s">
        <v>508</v>
      </c>
      <c r="B368" s="34" t="s">
        <v>509</v>
      </c>
      <c r="C368" s="160"/>
      <c r="D368" s="127" t="s">
        <v>15</v>
      </c>
      <c r="E368" s="55">
        <v>21.587999999999997</v>
      </c>
      <c r="F368" s="154"/>
      <c r="G368" s="150">
        <v>21.587999999999997</v>
      </c>
      <c r="H368" s="126" t="s">
        <v>13</v>
      </c>
      <c r="I368" s="151">
        <v>0.35</v>
      </c>
      <c r="J368" s="41">
        <f t="shared" si="39"/>
        <v>14.0322</v>
      </c>
      <c r="K368" s="41"/>
      <c r="L368" s="155"/>
      <c r="M368" s="43">
        <f t="shared" si="38"/>
        <v>0</v>
      </c>
    </row>
    <row r="369" spans="1:13" ht="23.4" hidden="1" x14ac:dyDescent="0.45">
      <c r="A369" s="33" t="s">
        <v>510</v>
      </c>
      <c r="B369" s="34" t="s">
        <v>511</v>
      </c>
      <c r="C369" s="160"/>
      <c r="D369" s="127" t="s">
        <v>90</v>
      </c>
      <c r="E369" s="55">
        <v>2.7797999999999998</v>
      </c>
      <c r="F369" s="154"/>
      <c r="G369" s="150">
        <v>2.7797999999999998</v>
      </c>
      <c r="H369" s="126" t="s">
        <v>13</v>
      </c>
      <c r="I369" s="151">
        <v>0.35</v>
      </c>
      <c r="J369" s="41">
        <f t="shared" si="39"/>
        <v>1.80687</v>
      </c>
      <c r="K369" s="41"/>
      <c r="L369" s="155"/>
      <c r="M369" s="43">
        <f t="shared" si="38"/>
        <v>0</v>
      </c>
    </row>
    <row r="370" spans="1:13" ht="23.4" hidden="1" x14ac:dyDescent="0.45">
      <c r="A370" s="33" t="s">
        <v>512</v>
      </c>
      <c r="B370" s="34" t="s">
        <v>513</v>
      </c>
      <c r="C370" s="160"/>
      <c r="D370" s="127" t="s">
        <v>22</v>
      </c>
      <c r="E370" s="55">
        <v>13.511999999999999</v>
      </c>
      <c r="F370" s="154"/>
      <c r="G370" s="150">
        <v>13.511999999999999</v>
      </c>
      <c r="H370" s="126" t="s">
        <v>13</v>
      </c>
      <c r="I370" s="151">
        <v>0.35</v>
      </c>
      <c r="J370" s="41">
        <f t="shared" si="39"/>
        <v>8.7827999999999982</v>
      </c>
      <c r="K370" s="41"/>
      <c r="L370" s="155"/>
      <c r="M370" s="43">
        <f t="shared" si="38"/>
        <v>0</v>
      </c>
    </row>
    <row r="371" spans="1:13" ht="23.4" hidden="1" x14ac:dyDescent="0.45">
      <c r="A371" s="33" t="s">
        <v>514</v>
      </c>
      <c r="B371" s="34" t="s">
        <v>515</v>
      </c>
      <c r="C371" s="160">
        <v>7898108644645</v>
      </c>
      <c r="D371" s="157" t="s">
        <v>270</v>
      </c>
      <c r="E371" s="55">
        <v>10.989000000000001</v>
      </c>
      <c r="F371" s="154"/>
      <c r="G371" s="150">
        <v>10.989000000000001</v>
      </c>
      <c r="H371" s="126" t="s">
        <v>13</v>
      </c>
      <c r="I371" s="151">
        <v>0.35</v>
      </c>
      <c r="J371" s="41">
        <f t="shared" si="39"/>
        <v>7.142850000000001</v>
      </c>
      <c r="K371" s="41"/>
      <c r="L371" s="155"/>
      <c r="M371" s="43">
        <f t="shared" si="38"/>
        <v>0</v>
      </c>
    </row>
    <row r="372" spans="1:13" ht="23.4" hidden="1" x14ac:dyDescent="0.45">
      <c r="A372" s="33" t="s">
        <v>516</v>
      </c>
      <c r="B372" s="34" t="s">
        <v>517</v>
      </c>
      <c r="C372" s="160">
        <v>7898108644980</v>
      </c>
      <c r="D372" s="127" t="s">
        <v>15</v>
      </c>
      <c r="E372" s="55">
        <v>10.989000000000001</v>
      </c>
      <c r="F372" s="154"/>
      <c r="G372" s="150">
        <v>10.989000000000001</v>
      </c>
      <c r="H372" s="126" t="s">
        <v>13</v>
      </c>
      <c r="I372" s="151">
        <v>0.35</v>
      </c>
      <c r="J372" s="41">
        <f t="shared" si="39"/>
        <v>7.142850000000001</v>
      </c>
      <c r="K372" s="41"/>
      <c r="L372" s="155"/>
      <c r="M372" s="43">
        <f t="shared" ref="M372:M435" si="42">L372*J372</f>
        <v>0</v>
      </c>
    </row>
    <row r="373" spans="1:13" ht="23.4" hidden="1" x14ac:dyDescent="0.45">
      <c r="A373" s="33" t="s">
        <v>518</v>
      </c>
      <c r="B373" s="34" t="s">
        <v>519</v>
      </c>
      <c r="C373" s="160">
        <v>7898108644263</v>
      </c>
      <c r="D373" s="127" t="s">
        <v>15</v>
      </c>
      <c r="E373" s="55">
        <v>21.587999999999997</v>
      </c>
      <c r="F373" s="154"/>
      <c r="G373" s="150">
        <v>21.587999999999997</v>
      </c>
      <c r="H373" s="126" t="s">
        <v>13</v>
      </c>
      <c r="I373" s="151">
        <v>0.35</v>
      </c>
      <c r="J373" s="41">
        <f t="shared" si="39"/>
        <v>14.0322</v>
      </c>
      <c r="K373" s="41"/>
      <c r="L373" s="155"/>
      <c r="M373" s="43">
        <f t="shared" si="42"/>
        <v>0</v>
      </c>
    </row>
    <row r="374" spans="1:13" ht="23.4" hidden="1" x14ac:dyDescent="0.45">
      <c r="A374" s="33" t="s">
        <v>520</v>
      </c>
      <c r="B374" s="34" t="s">
        <v>521</v>
      </c>
      <c r="C374" s="161">
        <v>7898108644140</v>
      </c>
      <c r="D374" s="127" t="s">
        <v>90</v>
      </c>
      <c r="E374" s="55">
        <v>2.7797999999999998</v>
      </c>
      <c r="F374" s="154"/>
      <c r="G374" s="150">
        <v>2.7797999999999998</v>
      </c>
      <c r="H374" s="126" t="s">
        <v>13</v>
      </c>
      <c r="I374" s="151">
        <v>0.35</v>
      </c>
      <c r="J374" s="41">
        <f t="shared" si="39"/>
        <v>1.80687</v>
      </c>
      <c r="K374" s="41"/>
      <c r="L374" s="155"/>
      <c r="M374" s="43">
        <f t="shared" si="42"/>
        <v>0</v>
      </c>
    </row>
    <row r="375" spans="1:13" ht="23.4" hidden="1" x14ac:dyDescent="0.45">
      <c r="A375" s="33" t="s">
        <v>522</v>
      </c>
      <c r="B375" s="34" t="s">
        <v>523</v>
      </c>
      <c r="C375" s="162">
        <v>7898108644072</v>
      </c>
      <c r="D375" s="127" t="s">
        <v>22</v>
      </c>
      <c r="E375" s="55">
        <v>13.511999999999999</v>
      </c>
      <c r="F375" s="154"/>
      <c r="G375" s="150">
        <v>13.511999999999999</v>
      </c>
      <c r="H375" s="126" t="s">
        <v>13</v>
      </c>
      <c r="I375" s="151">
        <v>0.35</v>
      </c>
      <c r="J375" s="41">
        <f t="shared" si="39"/>
        <v>8.7827999999999982</v>
      </c>
      <c r="K375" s="41"/>
      <c r="L375" s="155"/>
      <c r="M375" s="43">
        <f t="shared" si="42"/>
        <v>0</v>
      </c>
    </row>
    <row r="376" spans="1:13" ht="23.4" hidden="1" x14ac:dyDescent="0.45">
      <c r="A376" s="33" t="s">
        <v>524</v>
      </c>
      <c r="B376" s="34" t="s">
        <v>525</v>
      </c>
      <c r="C376" s="160">
        <v>7898108644799</v>
      </c>
      <c r="D376" s="157" t="s">
        <v>270</v>
      </c>
      <c r="E376" s="55">
        <v>10.989000000000001</v>
      </c>
      <c r="F376" s="154"/>
      <c r="G376" s="150">
        <v>10.989000000000001</v>
      </c>
      <c r="H376" s="126" t="s">
        <v>13</v>
      </c>
      <c r="I376" s="151">
        <v>0.35</v>
      </c>
      <c r="J376" s="41">
        <f t="shared" si="39"/>
        <v>7.142850000000001</v>
      </c>
      <c r="K376" s="41"/>
      <c r="L376" s="155"/>
      <c r="M376" s="43">
        <f t="shared" si="42"/>
        <v>0</v>
      </c>
    </row>
    <row r="377" spans="1:13" ht="23.4" hidden="1" x14ac:dyDescent="0.45">
      <c r="A377" s="33" t="s">
        <v>526</v>
      </c>
      <c r="B377" s="34" t="s">
        <v>527</v>
      </c>
      <c r="C377" s="160">
        <v>7898108645086</v>
      </c>
      <c r="D377" s="127" t="s">
        <v>15</v>
      </c>
      <c r="E377" s="55">
        <v>10.989000000000001</v>
      </c>
      <c r="F377" s="154"/>
      <c r="G377" s="150">
        <v>10.989000000000001</v>
      </c>
      <c r="H377" s="126" t="s">
        <v>13</v>
      </c>
      <c r="I377" s="151">
        <v>0.35</v>
      </c>
      <c r="J377" s="41">
        <f t="shared" ref="J377:J440" si="43">G377-(G377*I377)</f>
        <v>7.142850000000001</v>
      </c>
      <c r="K377" s="41"/>
      <c r="L377" s="155"/>
      <c r="M377" s="43">
        <f t="shared" si="42"/>
        <v>0</v>
      </c>
    </row>
    <row r="378" spans="1:13" ht="23.4" hidden="1" x14ac:dyDescent="0.45">
      <c r="A378" s="33" t="s">
        <v>528</v>
      </c>
      <c r="B378" s="34" t="s">
        <v>529</v>
      </c>
      <c r="C378" s="160">
        <v>7898108644270</v>
      </c>
      <c r="D378" s="127" t="s">
        <v>15</v>
      </c>
      <c r="E378" s="55">
        <v>21.587999999999997</v>
      </c>
      <c r="F378" s="154"/>
      <c r="G378" s="150">
        <v>21.587999999999997</v>
      </c>
      <c r="H378" s="126" t="s">
        <v>13</v>
      </c>
      <c r="I378" s="151">
        <v>0.35</v>
      </c>
      <c r="J378" s="41">
        <f t="shared" si="43"/>
        <v>14.0322</v>
      </c>
      <c r="K378" s="41"/>
      <c r="L378" s="155"/>
      <c r="M378" s="43">
        <f t="shared" si="42"/>
        <v>0</v>
      </c>
    </row>
    <row r="379" spans="1:13" ht="23.4" hidden="1" x14ac:dyDescent="0.45">
      <c r="A379" s="33" t="s">
        <v>530</v>
      </c>
      <c r="B379" s="34" t="s">
        <v>531</v>
      </c>
      <c r="C379" s="161" t="s">
        <v>532</v>
      </c>
      <c r="D379" s="127" t="s">
        <v>90</v>
      </c>
      <c r="E379" s="55">
        <v>2.7797999999999998</v>
      </c>
      <c r="F379" s="154"/>
      <c r="G379" s="150">
        <v>2.7797999999999998</v>
      </c>
      <c r="H379" s="126" t="s">
        <v>13</v>
      </c>
      <c r="I379" s="151">
        <v>0.35</v>
      </c>
      <c r="J379" s="41">
        <f t="shared" si="43"/>
        <v>1.80687</v>
      </c>
      <c r="K379" s="41"/>
      <c r="L379" s="155"/>
      <c r="M379" s="43">
        <f t="shared" si="42"/>
        <v>0</v>
      </c>
    </row>
    <row r="380" spans="1:13" ht="23.4" hidden="1" x14ac:dyDescent="0.45">
      <c r="A380" s="33" t="s">
        <v>533</v>
      </c>
      <c r="B380" s="34" t="s">
        <v>534</v>
      </c>
      <c r="C380" s="162">
        <v>7898108643808</v>
      </c>
      <c r="D380" s="127" t="s">
        <v>22</v>
      </c>
      <c r="E380" s="55">
        <v>13.511999999999999</v>
      </c>
      <c r="F380" s="154"/>
      <c r="G380" s="150">
        <v>13.511999999999999</v>
      </c>
      <c r="H380" s="126" t="s">
        <v>13</v>
      </c>
      <c r="I380" s="151">
        <v>0.35</v>
      </c>
      <c r="J380" s="41">
        <f t="shared" si="43"/>
        <v>8.7827999999999982</v>
      </c>
      <c r="K380" s="41"/>
      <c r="L380" s="155"/>
      <c r="M380" s="43">
        <f t="shared" si="42"/>
        <v>0</v>
      </c>
    </row>
    <row r="381" spans="1:13" ht="23.4" hidden="1" x14ac:dyDescent="0.45">
      <c r="A381" s="33" t="s">
        <v>535</v>
      </c>
      <c r="B381" s="34" t="s">
        <v>536</v>
      </c>
      <c r="C381" s="160">
        <v>7898108644782</v>
      </c>
      <c r="D381" s="157" t="s">
        <v>270</v>
      </c>
      <c r="E381" s="55">
        <v>10.989000000000001</v>
      </c>
      <c r="F381" s="154"/>
      <c r="G381" s="150">
        <v>10.989000000000001</v>
      </c>
      <c r="H381" s="126" t="s">
        <v>13</v>
      </c>
      <c r="I381" s="151">
        <v>0.35</v>
      </c>
      <c r="J381" s="41">
        <f t="shared" si="43"/>
        <v>7.142850000000001</v>
      </c>
      <c r="K381" s="41"/>
      <c r="L381" s="155"/>
      <c r="M381" s="43">
        <f t="shared" si="42"/>
        <v>0</v>
      </c>
    </row>
    <row r="382" spans="1:13" ht="23.4" hidden="1" x14ac:dyDescent="0.45">
      <c r="A382" s="33" t="s">
        <v>537</v>
      </c>
      <c r="B382" s="34" t="s">
        <v>538</v>
      </c>
      <c r="C382" s="160">
        <v>7898108645093</v>
      </c>
      <c r="D382" s="127" t="s">
        <v>15</v>
      </c>
      <c r="E382" s="55">
        <v>10.989000000000001</v>
      </c>
      <c r="F382" s="154"/>
      <c r="G382" s="150">
        <v>10.989000000000001</v>
      </c>
      <c r="H382" s="126" t="s">
        <v>13</v>
      </c>
      <c r="I382" s="151">
        <v>0.35</v>
      </c>
      <c r="J382" s="41">
        <f t="shared" si="43"/>
        <v>7.142850000000001</v>
      </c>
      <c r="K382" s="41"/>
      <c r="L382" s="155"/>
      <c r="M382" s="43">
        <f t="shared" si="42"/>
        <v>0</v>
      </c>
    </row>
    <row r="383" spans="1:13" ht="23.4" hidden="1" x14ac:dyDescent="0.45">
      <c r="A383" s="33" t="s">
        <v>539</v>
      </c>
      <c r="B383" s="34" t="s">
        <v>540</v>
      </c>
      <c r="C383" s="160">
        <v>7898108644287</v>
      </c>
      <c r="D383" s="127" t="s">
        <v>15</v>
      </c>
      <c r="E383" s="55">
        <v>21.587999999999997</v>
      </c>
      <c r="F383" s="154"/>
      <c r="G383" s="150">
        <v>21.587999999999997</v>
      </c>
      <c r="H383" s="126" t="s">
        <v>13</v>
      </c>
      <c r="I383" s="151">
        <v>0.35</v>
      </c>
      <c r="J383" s="41">
        <f t="shared" si="43"/>
        <v>14.0322</v>
      </c>
      <c r="K383" s="41"/>
      <c r="L383" s="155"/>
      <c r="M383" s="43">
        <f t="shared" si="42"/>
        <v>0</v>
      </c>
    </row>
    <row r="384" spans="1:13" ht="23.4" hidden="1" x14ac:dyDescent="0.45">
      <c r="A384" s="33" t="s">
        <v>541</v>
      </c>
      <c r="B384" s="34" t="s">
        <v>542</v>
      </c>
      <c r="C384" s="161" t="s">
        <v>543</v>
      </c>
      <c r="D384" s="127" t="s">
        <v>90</v>
      </c>
      <c r="E384" s="55">
        <v>2.7797999999999998</v>
      </c>
      <c r="F384" s="154"/>
      <c r="G384" s="150">
        <v>2.7797999999999998</v>
      </c>
      <c r="H384" s="126" t="s">
        <v>13</v>
      </c>
      <c r="I384" s="151">
        <v>0.35</v>
      </c>
      <c r="J384" s="41">
        <f t="shared" si="43"/>
        <v>1.80687</v>
      </c>
      <c r="K384" s="41"/>
      <c r="L384" s="155"/>
      <c r="M384" s="43">
        <f t="shared" si="42"/>
        <v>0</v>
      </c>
    </row>
    <row r="385" spans="1:13" ht="23.4" hidden="1" x14ac:dyDescent="0.45">
      <c r="A385" s="33" t="s">
        <v>544</v>
      </c>
      <c r="B385" s="34" t="s">
        <v>545</v>
      </c>
      <c r="C385" s="162">
        <v>7898108643501</v>
      </c>
      <c r="D385" s="127" t="s">
        <v>22</v>
      </c>
      <c r="E385" s="55">
        <v>13.511999999999999</v>
      </c>
      <c r="F385" s="154"/>
      <c r="G385" s="150">
        <v>13.511999999999999</v>
      </c>
      <c r="H385" s="126" t="s">
        <v>13</v>
      </c>
      <c r="I385" s="151">
        <v>0.35</v>
      </c>
      <c r="J385" s="41">
        <f t="shared" si="43"/>
        <v>8.7827999999999982</v>
      </c>
      <c r="K385" s="41"/>
      <c r="L385" s="155"/>
      <c r="M385" s="43">
        <f t="shared" si="42"/>
        <v>0</v>
      </c>
    </row>
    <row r="386" spans="1:13" ht="23.4" hidden="1" x14ac:dyDescent="0.45">
      <c r="A386" s="33" t="s">
        <v>546</v>
      </c>
      <c r="B386" s="34" t="s">
        <v>547</v>
      </c>
      <c r="C386" s="160">
        <v>7898108644683</v>
      </c>
      <c r="D386" s="157" t="s">
        <v>270</v>
      </c>
      <c r="E386" s="55">
        <v>10.989000000000001</v>
      </c>
      <c r="F386" s="154"/>
      <c r="G386" s="150">
        <v>10.989000000000001</v>
      </c>
      <c r="H386" s="126" t="s">
        <v>13</v>
      </c>
      <c r="I386" s="151">
        <v>0.35</v>
      </c>
      <c r="J386" s="41">
        <f t="shared" si="43"/>
        <v>7.142850000000001</v>
      </c>
      <c r="K386" s="41"/>
      <c r="L386" s="155"/>
      <c r="M386" s="43">
        <f t="shared" si="42"/>
        <v>0</v>
      </c>
    </row>
    <row r="387" spans="1:13" ht="23.4" hidden="1" x14ac:dyDescent="0.45">
      <c r="A387" s="33" t="s">
        <v>548</v>
      </c>
      <c r="B387" s="34" t="s">
        <v>549</v>
      </c>
      <c r="C387" s="160">
        <v>7898108644935</v>
      </c>
      <c r="D387" s="127" t="s">
        <v>15</v>
      </c>
      <c r="E387" s="55">
        <v>10.989000000000001</v>
      </c>
      <c r="F387" s="154"/>
      <c r="G387" s="150">
        <v>10.989000000000001</v>
      </c>
      <c r="H387" s="126" t="s">
        <v>13</v>
      </c>
      <c r="I387" s="151">
        <v>0.35</v>
      </c>
      <c r="J387" s="41">
        <f t="shared" si="43"/>
        <v>7.142850000000001</v>
      </c>
      <c r="K387" s="41"/>
      <c r="L387" s="155"/>
      <c r="M387" s="43">
        <f t="shared" si="42"/>
        <v>0</v>
      </c>
    </row>
    <row r="388" spans="1:13" ht="23.4" hidden="1" x14ac:dyDescent="0.45">
      <c r="A388" s="33" t="s">
        <v>550</v>
      </c>
      <c r="B388" s="34" t="s">
        <v>551</v>
      </c>
      <c r="C388" s="160">
        <v>7898108644294</v>
      </c>
      <c r="D388" s="127" t="s">
        <v>15</v>
      </c>
      <c r="E388" s="55">
        <v>21.587999999999997</v>
      </c>
      <c r="F388" s="154"/>
      <c r="G388" s="150">
        <v>21.587999999999997</v>
      </c>
      <c r="H388" s="126" t="s">
        <v>13</v>
      </c>
      <c r="I388" s="151">
        <v>0.35</v>
      </c>
      <c r="J388" s="41">
        <f t="shared" si="43"/>
        <v>14.0322</v>
      </c>
      <c r="K388" s="41"/>
      <c r="L388" s="155"/>
      <c r="M388" s="43">
        <f t="shared" si="42"/>
        <v>0</v>
      </c>
    </row>
    <row r="389" spans="1:13" ht="23.4" hidden="1" x14ac:dyDescent="0.45">
      <c r="A389" s="33" t="s">
        <v>552</v>
      </c>
      <c r="B389" s="34" t="s">
        <v>553</v>
      </c>
      <c r="C389" s="161" t="s">
        <v>554</v>
      </c>
      <c r="D389" s="127" t="s">
        <v>90</v>
      </c>
      <c r="E389" s="55">
        <v>2.7797999999999998</v>
      </c>
      <c r="F389" s="154"/>
      <c r="G389" s="150">
        <v>2.7797999999999998</v>
      </c>
      <c r="H389" s="126" t="s">
        <v>13</v>
      </c>
      <c r="I389" s="151">
        <v>0.35</v>
      </c>
      <c r="J389" s="41">
        <f t="shared" si="43"/>
        <v>1.80687</v>
      </c>
      <c r="K389" s="41"/>
      <c r="L389" s="155"/>
      <c r="M389" s="43">
        <f t="shared" si="42"/>
        <v>0</v>
      </c>
    </row>
    <row r="390" spans="1:13" ht="23.4" hidden="1" x14ac:dyDescent="0.45">
      <c r="A390" s="33" t="s">
        <v>555</v>
      </c>
      <c r="B390" s="34" t="s">
        <v>556</v>
      </c>
      <c r="C390" s="162">
        <v>7898108643518</v>
      </c>
      <c r="D390" s="127" t="s">
        <v>22</v>
      </c>
      <c r="E390" s="55">
        <v>13.511999999999999</v>
      </c>
      <c r="F390" s="154"/>
      <c r="G390" s="150">
        <v>13.511999999999999</v>
      </c>
      <c r="H390" s="126" t="s">
        <v>13</v>
      </c>
      <c r="I390" s="151">
        <v>0.35</v>
      </c>
      <c r="J390" s="41">
        <f t="shared" si="43"/>
        <v>8.7827999999999982</v>
      </c>
      <c r="K390" s="41"/>
      <c r="L390" s="155"/>
      <c r="M390" s="43">
        <f t="shared" si="42"/>
        <v>0</v>
      </c>
    </row>
    <row r="391" spans="1:13" ht="23.4" hidden="1" x14ac:dyDescent="0.45">
      <c r="A391" s="33" t="s">
        <v>557</v>
      </c>
      <c r="B391" s="34" t="s">
        <v>558</v>
      </c>
      <c r="C391" s="160">
        <v>7898108644775</v>
      </c>
      <c r="D391" s="157" t="s">
        <v>270</v>
      </c>
      <c r="E391" s="55">
        <v>10.989000000000001</v>
      </c>
      <c r="F391" s="154"/>
      <c r="G391" s="150">
        <v>10.989000000000001</v>
      </c>
      <c r="H391" s="126" t="s">
        <v>13</v>
      </c>
      <c r="I391" s="151">
        <v>0.35</v>
      </c>
      <c r="J391" s="41">
        <f t="shared" si="43"/>
        <v>7.142850000000001</v>
      </c>
      <c r="K391" s="41"/>
      <c r="L391" s="155"/>
      <c r="M391" s="43">
        <f t="shared" si="42"/>
        <v>0</v>
      </c>
    </row>
    <row r="392" spans="1:13" ht="23.4" hidden="1" x14ac:dyDescent="0.45">
      <c r="A392" s="33" t="s">
        <v>559</v>
      </c>
      <c r="B392" s="34" t="s">
        <v>560</v>
      </c>
      <c r="C392" s="160">
        <v>7898108645109</v>
      </c>
      <c r="D392" s="127" t="s">
        <v>15</v>
      </c>
      <c r="E392" s="55">
        <v>10.989000000000001</v>
      </c>
      <c r="F392" s="154"/>
      <c r="G392" s="150">
        <v>10.989000000000001</v>
      </c>
      <c r="H392" s="126" t="s">
        <v>13</v>
      </c>
      <c r="I392" s="151">
        <v>0.35</v>
      </c>
      <c r="J392" s="41">
        <f t="shared" si="43"/>
        <v>7.142850000000001</v>
      </c>
      <c r="K392" s="41"/>
      <c r="L392" s="155"/>
      <c r="M392" s="43">
        <f t="shared" si="42"/>
        <v>0</v>
      </c>
    </row>
    <row r="393" spans="1:13" ht="23.4" hidden="1" x14ac:dyDescent="0.45">
      <c r="A393" s="33" t="s">
        <v>561</v>
      </c>
      <c r="B393" s="34" t="s">
        <v>562</v>
      </c>
      <c r="C393" s="160">
        <v>7898108644300</v>
      </c>
      <c r="D393" s="127" t="s">
        <v>15</v>
      </c>
      <c r="E393" s="55">
        <v>21.587999999999997</v>
      </c>
      <c r="F393" s="154"/>
      <c r="G393" s="150">
        <v>21.587999999999997</v>
      </c>
      <c r="H393" s="126" t="s">
        <v>13</v>
      </c>
      <c r="I393" s="151">
        <v>0.35</v>
      </c>
      <c r="J393" s="41">
        <f t="shared" si="43"/>
        <v>14.0322</v>
      </c>
      <c r="K393" s="41"/>
      <c r="L393" s="155"/>
      <c r="M393" s="43">
        <f t="shared" si="42"/>
        <v>0</v>
      </c>
    </row>
    <row r="394" spans="1:13" ht="23.4" hidden="1" x14ac:dyDescent="0.45">
      <c r="A394" s="33" t="s">
        <v>563</v>
      </c>
      <c r="B394" s="34" t="s">
        <v>564</v>
      </c>
      <c r="C394" s="161" t="s">
        <v>565</v>
      </c>
      <c r="D394" s="127" t="s">
        <v>90</v>
      </c>
      <c r="E394" s="55">
        <v>2.7797999999999998</v>
      </c>
      <c r="F394" s="154"/>
      <c r="G394" s="150">
        <v>2.7797999999999998</v>
      </c>
      <c r="H394" s="126" t="s">
        <v>13</v>
      </c>
      <c r="I394" s="151">
        <v>0.35</v>
      </c>
      <c r="J394" s="41">
        <f t="shared" si="43"/>
        <v>1.80687</v>
      </c>
      <c r="K394" s="41"/>
      <c r="L394" s="155"/>
      <c r="M394" s="43">
        <f t="shared" si="42"/>
        <v>0</v>
      </c>
    </row>
    <row r="395" spans="1:13" ht="23.4" hidden="1" x14ac:dyDescent="0.45">
      <c r="A395" s="33" t="s">
        <v>566</v>
      </c>
      <c r="B395" s="34" t="s">
        <v>567</v>
      </c>
      <c r="C395" s="162">
        <v>7898108643709</v>
      </c>
      <c r="D395" s="127" t="s">
        <v>22</v>
      </c>
      <c r="E395" s="55">
        <v>13.511999999999999</v>
      </c>
      <c r="F395" s="154"/>
      <c r="G395" s="150">
        <v>13.511999999999999</v>
      </c>
      <c r="H395" s="126" t="s">
        <v>13</v>
      </c>
      <c r="I395" s="151">
        <v>0.35</v>
      </c>
      <c r="J395" s="41">
        <f t="shared" si="43"/>
        <v>8.7827999999999982</v>
      </c>
      <c r="K395" s="41"/>
      <c r="L395" s="155"/>
      <c r="M395" s="43">
        <f t="shared" si="42"/>
        <v>0</v>
      </c>
    </row>
    <row r="396" spans="1:13" ht="23.4" hidden="1" x14ac:dyDescent="0.45">
      <c r="A396" s="33" t="s">
        <v>568</v>
      </c>
      <c r="B396" s="34" t="s">
        <v>569</v>
      </c>
      <c r="C396" s="160">
        <v>7898108644690</v>
      </c>
      <c r="D396" s="157" t="s">
        <v>270</v>
      </c>
      <c r="E396" s="55">
        <v>10.989000000000001</v>
      </c>
      <c r="F396" s="154"/>
      <c r="G396" s="150">
        <v>10.989000000000001</v>
      </c>
      <c r="H396" s="126" t="s">
        <v>13</v>
      </c>
      <c r="I396" s="151">
        <v>0.35</v>
      </c>
      <c r="J396" s="41">
        <f t="shared" si="43"/>
        <v>7.142850000000001</v>
      </c>
      <c r="K396" s="41"/>
      <c r="L396" s="155"/>
      <c r="M396" s="43">
        <f t="shared" si="42"/>
        <v>0</v>
      </c>
    </row>
    <row r="397" spans="1:13" ht="23.4" hidden="1" x14ac:dyDescent="0.45">
      <c r="A397" s="33" t="s">
        <v>570</v>
      </c>
      <c r="B397" s="34" t="s">
        <v>571</v>
      </c>
      <c r="C397" s="160">
        <v>7898108644997</v>
      </c>
      <c r="D397" s="127" t="s">
        <v>15</v>
      </c>
      <c r="E397" s="55">
        <v>10.989000000000001</v>
      </c>
      <c r="F397" s="154"/>
      <c r="G397" s="150">
        <v>10.989000000000001</v>
      </c>
      <c r="H397" s="126" t="s">
        <v>13</v>
      </c>
      <c r="I397" s="151">
        <v>0.35</v>
      </c>
      <c r="J397" s="41">
        <f t="shared" si="43"/>
        <v>7.142850000000001</v>
      </c>
      <c r="K397" s="41"/>
      <c r="L397" s="155"/>
      <c r="M397" s="43">
        <f t="shared" si="42"/>
        <v>0</v>
      </c>
    </row>
    <row r="398" spans="1:13" ht="23.4" hidden="1" x14ac:dyDescent="0.45">
      <c r="A398" s="33" t="s">
        <v>572</v>
      </c>
      <c r="B398" s="34" t="s">
        <v>573</v>
      </c>
      <c r="C398" s="160">
        <v>7898108644317</v>
      </c>
      <c r="D398" s="127" t="s">
        <v>15</v>
      </c>
      <c r="E398" s="55">
        <v>21.587999999999997</v>
      </c>
      <c r="F398" s="154"/>
      <c r="G398" s="150">
        <v>21.587999999999997</v>
      </c>
      <c r="H398" s="126" t="s">
        <v>13</v>
      </c>
      <c r="I398" s="151">
        <v>0.35</v>
      </c>
      <c r="J398" s="41">
        <f t="shared" si="43"/>
        <v>14.0322</v>
      </c>
      <c r="K398" s="41"/>
      <c r="L398" s="155"/>
      <c r="M398" s="43">
        <f t="shared" si="42"/>
        <v>0</v>
      </c>
    </row>
    <row r="399" spans="1:13" ht="23.4" hidden="1" x14ac:dyDescent="0.45">
      <c r="A399" s="33" t="s">
        <v>574</v>
      </c>
      <c r="B399" s="34" t="s">
        <v>575</v>
      </c>
      <c r="C399" s="161">
        <v>7898108644188</v>
      </c>
      <c r="D399" s="127" t="s">
        <v>90</v>
      </c>
      <c r="E399" s="55">
        <v>2.7797999999999998</v>
      </c>
      <c r="F399" s="154"/>
      <c r="G399" s="150">
        <v>2.7797999999999998</v>
      </c>
      <c r="H399" s="126" t="s">
        <v>13</v>
      </c>
      <c r="I399" s="151">
        <v>0.35</v>
      </c>
      <c r="J399" s="41">
        <f t="shared" si="43"/>
        <v>1.80687</v>
      </c>
      <c r="K399" s="41"/>
      <c r="L399" s="155"/>
      <c r="M399" s="43">
        <f t="shared" si="42"/>
        <v>0</v>
      </c>
    </row>
    <row r="400" spans="1:13" ht="23.4" hidden="1" x14ac:dyDescent="0.45">
      <c r="A400" s="33" t="s">
        <v>576</v>
      </c>
      <c r="B400" s="34" t="s">
        <v>577</v>
      </c>
      <c r="C400" s="162">
        <v>7898108644119</v>
      </c>
      <c r="D400" s="127" t="s">
        <v>22</v>
      </c>
      <c r="E400" s="55">
        <v>13.511999999999999</v>
      </c>
      <c r="F400" s="154"/>
      <c r="G400" s="150">
        <v>13.511999999999999</v>
      </c>
      <c r="H400" s="126" t="s">
        <v>13</v>
      </c>
      <c r="I400" s="151">
        <v>0.35</v>
      </c>
      <c r="J400" s="41">
        <f t="shared" si="43"/>
        <v>8.7827999999999982</v>
      </c>
      <c r="K400" s="41"/>
      <c r="L400" s="155"/>
      <c r="M400" s="43">
        <f t="shared" si="42"/>
        <v>0</v>
      </c>
    </row>
    <row r="401" spans="1:13" ht="23.4" hidden="1" x14ac:dyDescent="0.45">
      <c r="A401" s="33" t="s">
        <v>578</v>
      </c>
      <c r="B401" s="34" t="s">
        <v>579</v>
      </c>
      <c r="C401" s="160">
        <v>7898108644768</v>
      </c>
      <c r="D401" s="157" t="s">
        <v>270</v>
      </c>
      <c r="E401" s="55">
        <v>10.989000000000001</v>
      </c>
      <c r="F401" s="154"/>
      <c r="G401" s="150">
        <v>10.989000000000001</v>
      </c>
      <c r="H401" s="126" t="s">
        <v>13</v>
      </c>
      <c r="I401" s="151">
        <v>0.35</v>
      </c>
      <c r="J401" s="41">
        <f t="shared" si="43"/>
        <v>7.142850000000001</v>
      </c>
      <c r="K401" s="41"/>
      <c r="L401" s="155"/>
      <c r="M401" s="43">
        <f t="shared" si="42"/>
        <v>0</v>
      </c>
    </row>
    <row r="402" spans="1:13" ht="23.4" hidden="1" x14ac:dyDescent="0.45">
      <c r="A402" s="33" t="s">
        <v>580</v>
      </c>
      <c r="B402" s="34" t="s">
        <v>581</v>
      </c>
      <c r="C402" s="160">
        <v>7898108645116</v>
      </c>
      <c r="D402" s="127" t="s">
        <v>15</v>
      </c>
      <c r="E402" s="55">
        <v>10.989000000000001</v>
      </c>
      <c r="F402" s="154"/>
      <c r="G402" s="150">
        <v>10.989000000000001</v>
      </c>
      <c r="H402" s="126" t="s">
        <v>13</v>
      </c>
      <c r="I402" s="151">
        <v>0.35</v>
      </c>
      <c r="J402" s="41">
        <f t="shared" si="43"/>
        <v>7.142850000000001</v>
      </c>
      <c r="K402" s="41"/>
      <c r="L402" s="155"/>
      <c r="M402" s="43">
        <f t="shared" si="42"/>
        <v>0</v>
      </c>
    </row>
    <row r="403" spans="1:13" ht="23.4" hidden="1" x14ac:dyDescent="0.45">
      <c r="A403" s="33" t="s">
        <v>582</v>
      </c>
      <c r="B403" s="34" t="s">
        <v>583</v>
      </c>
      <c r="C403" s="160">
        <v>7898108644324</v>
      </c>
      <c r="D403" s="127" t="s">
        <v>15</v>
      </c>
      <c r="E403" s="55">
        <v>21.587999999999997</v>
      </c>
      <c r="F403" s="154"/>
      <c r="G403" s="150">
        <v>21.587999999999997</v>
      </c>
      <c r="H403" s="126" t="s">
        <v>13</v>
      </c>
      <c r="I403" s="151">
        <v>0.35</v>
      </c>
      <c r="J403" s="41">
        <f t="shared" si="43"/>
        <v>14.0322</v>
      </c>
      <c r="K403" s="41"/>
      <c r="L403" s="155"/>
      <c r="M403" s="43">
        <f t="shared" si="42"/>
        <v>0</v>
      </c>
    </row>
    <row r="404" spans="1:13" ht="23.4" hidden="1" x14ac:dyDescent="0.45">
      <c r="A404" s="33" t="s">
        <v>584</v>
      </c>
      <c r="B404" s="34" t="s">
        <v>585</v>
      </c>
      <c r="C404" s="161" t="s">
        <v>586</v>
      </c>
      <c r="D404" s="127" t="s">
        <v>90</v>
      </c>
      <c r="E404" s="55">
        <v>2.7797999999999998</v>
      </c>
      <c r="F404" s="154"/>
      <c r="G404" s="150">
        <v>2.7797999999999998</v>
      </c>
      <c r="H404" s="126" t="s">
        <v>13</v>
      </c>
      <c r="I404" s="151">
        <v>0.35</v>
      </c>
      <c r="J404" s="41">
        <f t="shared" si="43"/>
        <v>1.80687</v>
      </c>
      <c r="K404" s="41"/>
      <c r="L404" s="155"/>
      <c r="M404" s="43">
        <f t="shared" si="42"/>
        <v>0</v>
      </c>
    </row>
    <row r="405" spans="1:13" ht="23.4" hidden="1" x14ac:dyDescent="0.45">
      <c r="A405" s="33" t="s">
        <v>587</v>
      </c>
      <c r="B405" s="34" t="s">
        <v>588</v>
      </c>
      <c r="C405" s="162">
        <v>7898108643716</v>
      </c>
      <c r="D405" s="127" t="s">
        <v>22</v>
      </c>
      <c r="E405" s="55">
        <v>13.511999999999999</v>
      </c>
      <c r="F405" s="154"/>
      <c r="G405" s="150">
        <v>13.511999999999999</v>
      </c>
      <c r="H405" s="126" t="s">
        <v>13</v>
      </c>
      <c r="I405" s="151">
        <v>0.35</v>
      </c>
      <c r="J405" s="41">
        <f t="shared" si="43"/>
        <v>8.7827999999999982</v>
      </c>
      <c r="K405" s="41"/>
      <c r="L405" s="155"/>
      <c r="M405" s="43">
        <f t="shared" si="42"/>
        <v>0</v>
      </c>
    </row>
    <row r="406" spans="1:13" ht="23.4" hidden="1" x14ac:dyDescent="0.45">
      <c r="A406" s="33" t="s">
        <v>589</v>
      </c>
      <c r="B406" s="34" t="s">
        <v>590</v>
      </c>
      <c r="C406" s="160">
        <v>7898108644706</v>
      </c>
      <c r="D406" s="157" t="s">
        <v>270</v>
      </c>
      <c r="E406" s="55">
        <v>10.989000000000001</v>
      </c>
      <c r="F406" s="154"/>
      <c r="G406" s="150">
        <v>10.989000000000001</v>
      </c>
      <c r="H406" s="126" t="s">
        <v>13</v>
      </c>
      <c r="I406" s="151">
        <v>0.35</v>
      </c>
      <c r="J406" s="41">
        <f t="shared" si="43"/>
        <v>7.142850000000001</v>
      </c>
      <c r="K406" s="41"/>
      <c r="L406" s="155"/>
      <c r="M406" s="43">
        <f t="shared" si="42"/>
        <v>0</v>
      </c>
    </row>
    <row r="407" spans="1:13" ht="23.4" hidden="1" x14ac:dyDescent="0.45">
      <c r="A407" s="33" t="s">
        <v>591</v>
      </c>
      <c r="B407" s="34" t="s">
        <v>592</v>
      </c>
      <c r="C407" s="160">
        <v>7898108645000</v>
      </c>
      <c r="D407" s="127" t="s">
        <v>15</v>
      </c>
      <c r="E407" s="55">
        <v>10.989000000000001</v>
      </c>
      <c r="F407" s="154"/>
      <c r="G407" s="150">
        <v>10.989000000000001</v>
      </c>
      <c r="H407" s="126" t="s">
        <v>13</v>
      </c>
      <c r="I407" s="151">
        <v>0.35</v>
      </c>
      <c r="J407" s="41">
        <f t="shared" si="43"/>
        <v>7.142850000000001</v>
      </c>
      <c r="K407" s="41"/>
      <c r="L407" s="155"/>
      <c r="M407" s="43">
        <f t="shared" si="42"/>
        <v>0</v>
      </c>
    </row>
    <row r="408" spans="1:13" ht="23.4" hidden="1" x14ac:dyDescent="0.45">
      <c r="A408" s="33" t="s">
        <v>593</v>
      </c>
      <c r="B408" s="34" t="s">
        <v>594</v>
      </c>
      <c r="C408" s="160">
        <v>7898108644225</v>
      </c>
      <c r="D408" s="127" t="s">
        <v>15</v>
      </c>
      <c r="E408" s="55">
        <v>21.587999999999997</v>
      </c>
      <c r="F408" s="154"/>
      <c r="G408" s="150">
        <v>21.587999999999997</v>
      </c>
      <c r="H408" s="126" t="s">
        <v>13</v>
      </c>
      <c r="I408" s="151">
        <v>0.35</v>
      </c>
      <c r="J408" s="41">
        <f t="shared" si="43"/>
        <v>14.0322</v>
      </c>
      <c r="K408" s="41"/>
      <c r="L408" s="155"/>
      <c r="M408" s="43">
        <f t="shared" si="42"/>
        <v>0</v>
      </c>
    </row>
    <row r="409" spans="1:13" ht="23.4" hidden="1" x14ac:dyDescent="0.45">
      <c r="A409" s="33" t="s">
        <v>595</v>
      </c>
      <c r="B409" s="34" t="s">
        <v>596</v>
      </c>
      <c r="C409" s="161" t="s">
        <v>597</v>
      </c>
      <c r="D409" s="127" t="s">
        <v>90</v>
      </c>
      <c r="E409" s="55">
        <v>2.7797999999999998</v>
      </c>
      <c r="F409" s="154"/>
      <c r="G409" s="150">
        <v>2.7797999999999998</v>
      </c>
      <c r="H409" s="126" t="s">
        <v>13</v>
      </c>
      <c r="I409" s="151">
        <v>0.35</v>
      </c>
      <c r="J409" s="41">
        <f t="shared" si="43"/>
        <v>1.80687</v>
      </c>
      <c r="K409" s="41"/>
      <c r="L409" s="155"/>
      <c r="M409" s="43">
        <f t="shared" si="42"/>
        <v>0</v>
      </c>
    </row>
    <row r="410" spans="1:13" ht="23.4" hidden="1" x14ac:dyDescent="0.45">
      <c r="A410" s="33" t="s">
        <v>598</v>
      </c>
      <c r="B410" s="34" t="s">
        <v>599</v>
      </c>
      <c r="C410" s="162">
        <v>7898108643525</v>
      </c>
      <c r="D410" s="127" t="s">
        <v>22</v>
      </c>
      <c r="E410" s="55">
        <v>13.511999999999999</v>
      </c>
      <c r="F410" s="154"/>
      <c r="G410" s="150">
        <v>13.511999999999999</v>
      </c>
      <c r="H410" s="126" t="s">
        <v>13</v>
      </c>
      <c r="I410" s="151">
        <v>0.35</v>
      </c>
      <c r="J410" s="41">
        <f t="shared" si="43"/>
        <v>8.7827999999999982</v>
      </c>
      <c r="K410" s="41"/>
      <c r="L410" s="155"/>
      <c r="M410" s="43">
        <f t="shared" si="42"/>
        <v>0</v>
      </c>
    </row>
    <row r="411" spans="1:13" ht="23.4" hidden="1" x14ac:dyDescent="0.45">
      <c r="A411" s="33" t="s">
        <v>600</v>
      </c>
      <c r="B411" s="34" t="s">
        <v>601</v>
      </c>
      <c r="C411" s="160">
        <v>7898108644751</v>
      </c>
      <c r="D411" s="157" t="s">
        <v>270</v>
      </c>
      <c r="E411" s="55">
        <v>10.989000000000001</v>
      </c>
      <c r="F411" s="154"/>
      <c r="G411" s="150">
        <v>10.989000000000001</v>
      </c>
      <c r="H411" s="126" t="s">
        <v>13</v>
      </c>
      <c r="I411" s="151">
        <v>0.35</v>
      </c>
      <c r="J411" s="41">
        <f t="shared" si="43"/>
        <v>7.142850000000001</v>
      </c>
      <c r="K411" s="41"/>
      <c r="L411" s="155"/>
      <c r="M411" s="43">
        <f t="shared" si="42"/>
        <v>0</v>
      </c>
    </row>
    <row r="412" spans="1:13" ht="23.4" hidden="1" x14ac:dyDescent="0.45">
      <c r="A412" s="33" t="s">
        <v>602</v>
      </c>
      <c r="B412" s="34" t="s">
        <v>603</v>
      </c>
      <c r="C412" s="160">
        <v>7898108645123</v>
      </c>
      <c r="D412" s="127" t="s">
        <v>15</v>
      </c>
      <c r="E412" s="55">
        <v>10.989000000000001</v>
      </c>
      <c r="F412" s="154"/>
      <c r="G412" s="150">
        <v>10.989000000000001</v>
      </c>
      <c r="H412" s="126" t="s">
        <v>13</v>
      </c>
      <c r="I412" s="151">
        <v>0.35</v>
      </c>
      <c r="J412" s="41">
        <f t="shared" si="43"/>
        <v>7.142850000000001</v>
      </c>
      <c r="K412" s="41"/>
      <c r="L412" s="155"/>
      <c r="M412" s="43">
        <f t="shared" si="42"/>
        <v>0</v>
      </c>
    </row>
    <row r="413" spans="1:13" ht="23.4" hidden="1" x14ac:dyDescent="0.45">
      <c r="A413" s="33" t="s">
        <v>604</v>
      </c>
      <c r="B413" s="34" t="s">
        <v>605</v>
      </c>
      <c r="C413" s="160">
        <v>7898108644331</v>
      </c>
      <c r="D413" s="127" t="s">
        <v>15</v>
      </c>
      <c r="E413" s="55">
        <v>21.587999999999997</v>
      </c>
      <c r="F413" s="154"/>
      <c r="G413" s="150">
        <v>21.587999999999997</v>
      </c>
      <c r="H413" s="126" t="s">
        <v>13</v>
      </c>
      <c r="I413" s="151">
        <v>0.35</v>
      </c>
      <c r="J413" s="41">
        <f t="shared" si="43"/>
        <v>14.0322</v>
      </c>
      <c r="K413" s="41"/>
      <c r="L413" s="155"/>
      <c r="M413" s="43">
        <f t="shared" si="42"/>
        <v>0</v>
      </c>
    </row>
    <row r="414" spans="1:13" ht="23.4" hidden="1" x14ac:dyDescent="0.45">
      <c r="A414" s="33" t="s">
        <v>606</v>
      </c>
      <c r="B414" s="34" t="s">
        <v>607</v>
      </c>
      <c r="C414" s="161" t="s">
        <v>608</v>
      </c>
      <c r="D414" s="127" t="s">
        <v>90</v>
      </c>
      <c r="E414" s="55">
        <v>2.7797999999999998</v>
      </c>
      <c r="F414" s="154"/>
      <c r="G414" s="150">
        <v>2.7797999999999998</v>
      </c>
      <c r="H414" s="126" t="s">
        <v>13</v>
      </c>
      <c r="I414" s="151">
        <v>0.35</v>
      </c>
      <c r="J414" s="41">
        <f t="shared" si="43"/>
        <v>1.80687</v>
      </c>
      <c r="K414" s="41"/>
      <c r="L414" s="155"/>
      <c r="M414" s="43">
        <f t="shared" si="42"/>
        <v>0</v>
      </c>
    </row>
    <row r="415" spans="1:13" ht="23.4" hidden="1" x14ac:dyDescent="0.45">
      <c r="A415" s="33" t="s">
        <v>609</v>
      </c>
      <c r="B415" s="34" t="s">
        <v>610</v>
      </c>
      <c r="C415" s="162">
        <v>7898108643723</v>
      </c>
      <c r="D415" s="127" t="s">
        <v>22</v>
      </c>
      <c r="E415" s="55">
        <v>13.511999999999999</v>
      </c>
      <c r="F415" s="154"/>
      <c r="G415" s="150">
        <v>13.511999999999999</v>
      </c>
      <c r="H415" s="126" t="s">
        <v>13</v>
      </c>
      <c r="I415" s="151">
        <v>0.35</v>
      </c>
      <c r="J415" s="41">
        <f t="shared" si="43"/>
        <v>8.7827999999999982</v>
      </c>
      <c r="K415" s="41"/>
      <c r="L415" s="155"/>
      <c r="M415" s="43">
        <f t="shared" si="42"/>
        <v>0</v>
      </c>
    </row>
    <row r="416" spans="1:13" ht="23.4" hidden="1" x14ac:dyDescent="0.45">
      <c r="A416" s="33" t="s">
        <v>611</v>
      </c>
      <c r="B416" s="34" t="s">
        <v>612</v>
      </c>
      <c r="C416" s="160">
        <v>7898108644713</v>
      </c>
      <c r="D416" s="157" t="s">
        <v>270</v>
      </c>
      <c r="E416" s="55">
        <v>10.989000000000001</v>
      </c>
      <c r="F416" s="154"/>
      <c r="G416" s="150">
        <v>10.989000000000001</v>
      </c>
      <c r="H416" s="126" t="s">
        <v>13</v>
      </c>
      <c r="I416" s="151">
        <v>0.35</v>
      </c>
      <c r="J416" s="41">
        <f t="shared" si="43"/>
        <v>7.142850000000001</v>
      </c>
      <c r="K416" s="41"/>
      <c r="L416" s="155"/>
      <c r="M416" s="43">
        <f t="shared" si="42"/>
        <v>0</v>
      </c>
    </row>
    <row r="417" spans="1:13" ht="23.4" hidden="1" x14ac:dyDescent="0.45">
      <c r="A417" s="33" t="s">
        <v>613</v>
      </c>
      <c r="B417" s="34" t="s">
        <v>614</v>
      </c>
      <c r="C417" s="160">
        <v>7898108644942</v>
      </c>
      <c r="D417" s="127" t="s">
        <v>15</v>
      </c>
      <c r="E417" s="55">
        <v>10.989000000000001</v>
      </c>
      <c r="F417" s="154"/>
      <c r="G417" s="150">
        <v>10.989000000000001</v>
      </c>
      <c r="H417" s="126" t="s">
        <v>13</v>
      </c>
      <c r="I417" s="151">
        <v>0.35</v>
      </c>
      <c r="J417" s="41">
        <f t="shared" si="43"/>
        <v>7.142850000000001</v>
      </c>
      <c r="K417" s="41"/>
      <c r="L417" s="155"/>
      <c r="M417" s="43">
        <f t="shared" si="42"/>
        <v>0</v>
      </c>
    </row>
    <row r="418" spans="1:13" ht="23.4" hidden="1" x14ac:dyDescent="0.45">
      <c r="A418" s="33" t="s">
        <v>615</v>
      </c>
      <c r="B418" s="34" t="s">
        <v>616</v>
      </c>
      <c r="C418" s="160">
        <v>7898108644348</v>
      </c>
      <c r="D418" s="127" t="s">
        <v>15</v>
      </c>
      <c r="E418" s="55">
        <v>21.587999999999997</v>
      </c>
      <c r="F418" s="154"/>
      <c r="G418" s="150">
        <v>21.587999999999997</v>
      </c>
      <c r="H418" s="126" t="s">
        <v>13</v>
      </c>
      <c r="I418" s="151">
        <v>0.35</v>
      </c>
      <c r="J418" s="41">
        <f t="shared" si="43"/>
        <v>14.0322</v>
      </c>
      <c r="K418" s="41"/>
      <c r="L418" s="155"/>
      <c r="M418" s="43">
        <f t="shared" si="42"/>
        <v>0</v>
      </c>
    </row>
    <row r="419" spans="1:13" ht="23.4" hidden="1" x14ac:dyDescent="0.45">
      <c r="A419" s="33" t="s">
        <v>617</v>
      </c>
      <c r="B419" s="34" t="s">
        <v>618</v>
      </c>
      <c r="C419" s="161">
        <v>7898108644164</v>
      </c>
      <c r="D419" s="127" t="s">
        <v>90</v>
      </c>
      <c r="E419" s="55">
        <v>2.7797999999999998</v>
      </c>
      <c r="F419" s="154"/>
      <c r="G419" s="150">
        <v>2.7797999999999998</v>
      </c>
      <c r="H419" s="126" t="s">
        <v>13</v>
      </c>
      <c r="I419" s="151">
        <v>0.35</v>
      </c>
      <c r="J419" s="41">
        <f t="shared" si="43"/>
        <v>1.80687</v>
      </c>
      <c r="K419" s="41"/>
      <c r="L419" s="155"/>
      <c r="M419" s="43">
        <f t="shared" si="42"/>
        <v>0</v>
      </c>
    </row>
    <row r="420" spans="1:13" ht="23.4" hidden="1" x14ac:dyDescent="0.45">
      <c r="A420" s="33" t="s">
        <v>619</v>
      </c>
      <c r="B420" s="34" t="s">
        <v>620</v>
      </c>
      <c r="C420" s="162">
        <v>7898108644096</v>
      </c>
      <c r="D420" s="127" t="s">
        <v>22</v>
      </c>
      <c r="E420" s="55">
        <v>13.511999999999999</v>
      </c>
      <c r="F420" s="154"/>
      <c r="G420" s="150">
        <v>13.511999999999999</v>
      </c>
      <c r="H420" s="126" t="s">
        <v>13</v>
      </c>
      <c r="I420" s="151">
        <v>0.35</v>
      </c>
      <c r="J420" s="41">
        <f t="shared" si="43"/>
        <v>8.7827999999999982</v>
      </c>
      <c r="K420" s="41"/>
      <c r="L420" s="155"/>
      <c r="M420" s="43">
        <f t="shared" si="42"/>
        <v>0</v>
      </c>
    </row>
    <row r="421" spans="1:13" ht="23.4" hidden="1" x14ac:dyDescent="0.45">
      <c r="A421" s="33" t="s">
        <v>621</v>
      </c>
      <c r="B421" s="34" t="s">
        <v>622</v>
      </c>
      <c r="C421" s="160">
        <v>7898108644720</v>
      </c>
      <c r="D421" s="157" t="s">
        <v>270</v>
      </c>
      <c r="E421" s="55">
        <v>10.989000000000001</v>
      </c>
      <c r="F421" s="154"/>
      <c r="G421" s="150">
        <v>10.989000000000001</v>
      </c>
      <c r="H421" s="126" t="s">
        <v>13</v>
      </c>
      <c r="I421" s="151">
        <v>0.35</v>
      </c>
      <c r="J421" s="41">
        <f t="shared" si="43"/>
        <v>7.142850000000001</v>
      </c>
      <c r="K421" s="41"/>
      <c r="L421" s="155"/>
      <c r="M421" s="43">
        <f t="shared" si="42"/>
        <v>0</v>
      </c>
    </row>
    <row r="422" spans="1:13" ht="23.4" hidden="1" x14ac:dyDescent="0.45">
      <c r="A422" s="33" t="s">
        <v>623</v>
      </c>
      <c r="B422" s="34" t="s">
        <v>624</v>
      </c>
      <c r="C422" s="160">
        <v>7898108645017</v>
      </c>
      <c r="D422" s="127" t="s">
        <v>625</v>
      </c>
      <c r="E422" s="55">
        <v>10.989000000000001</v>
      </c>
      <c r="F422" s="154"/>
      <c r="G422" s="150">
        <v>10.989000000000001</v>
      </c>
      <c r="H422" s="126" t="s">
        <v>13</v>
      </c>
      <c r="I422" s="151">
        <v>0.35</v>
      </c>
      <c r="J422" s="41">
        <f t="shared" si="43"/>
        <v>7.142850000000001</v>
      </c>
      <c r="K422" s="41"/>
      <c r="L422" s="155"/>
      <c r="M422" s="43">
        <f t="shared" si="42"/>
        <v>0</v>
      </c>
    </row>
    <row r="423" spans="1:13" ht="23.4" hidden="1" x14ac:dyDescent="0.45">
      <c r="A423" s="33" t="s">
        <v>626</v>
      </c>
      <c r="B423" s="34" t="s">
        <v>627</v>
      </c>
      <c r="C423" s="160">
        <v>7898108644355</v>
      </c>
      <c r="D423" s="127" t="s">
        <v>15</v>
      </c>
      <c r="E423" s="55">
        <v>21.587999999999997</v>
      </c>
      <c r="F423" s="154"/>
      <c r="G423" s="150">
        <v>21.587999999999997</v>
      </c>
      <c r="H423" s="126" t="s">
        <v>13</v>
      </c>
      <c r="I423" s="151">
        <v>0.35</v>
      </c>
      <c r="J423" s="41">
        <f t="shared" si="43"/>
        <v>14.0322</v>
      </c>
      <c r="K423" s="41"/>
      <c r="L423" s="155"/>
      <c r="M423" s="43">
        <f t="shared" si="42"/>
        <v>0</v>
      </c>
    </row>
    <row r="424" spans="1:13" ht="23.4" hidden="1" x14ac:dyDescent="0.45">
      <c r="A424" s="33" t="s">
        <v>628</v>
      </c>
      <c r="B424" s="34" t="s">
        <v>629</v>
      </c>
      <c r="C424" s="161">
        <v>7898108644157</v>
      </c>
      <c r="D424" s="127" t="s">
        <v>22</v>
      </c>
      <c r="E424" s="55">
        <v>2.7797999999999998</v>
      </c>
      <c r="F424" s="154"/>
      <c r="G424" s="150">
        <v>2.7797999999999998</v>
      </c>
      <c r="H424" s="126" t="s">
        <v>13</v>
      </c>
      <c r="I424" s="151">
        <v>0.35</v>
      </c>
      <c r="J424" s="41">
        <f t="shared" si="43"/>
        <v>1.80687</v>
      </c>
      <c r="K424" s="41"/>
      <c r="L424" s="155"/>
      <c r="M424" s="43">
        <f t="shared" si="42"/>
        <v>0</v>
      </c>
    </row>
    <row r="425" spans="1:13" ht="23.4" hidden="1" x14ac:dyDescent="0.45">
      <c r="A425" s="33" t="s">
        <v>630</v>
      </c>
      <c r="B425" s="34" t="s">
        <v>631</v>
      </c>
      <c r="C425" s="162">
        <v>7898108644089</v>
      </c>
      <c r="D425" s="127" t="s">
        <v>22</v>
      </c>
      <c r="E425" s="55">
        <v>13.511999999999999</v>
      </c>
      <c r="F425" s="154"/>
      <c r="G425" s="150">
        <v>13.511999999999999</v>
      </c>
      <c r="H425" s="126" t="s">
        <v>13</v>
      </c>
      <c r="I425" s="151">
        <v>0.35</v>
      </c>
      <c r="J425" s="41">
        <f t="shared" si="43"/>
        <v>8.7827999999999982</v>
      </c>
      <c r="K425" s="41"/>
      <c r="L425" s="155"/>
      <c r="M425" s="43">
        <f t="shared" si="42"/>
        <v>0</v>
      </c>
    </row>
    <row r="426" spans="1:13" ht="23.4" hidden="1" x14ac:dyDescent="0.45">
      <c r="A426" s="33" t="s">
        <v>632</v>
      </c>
      <c r="B426" s="34" t="s">
        <v>633</v>
      </c>
      <c r="C426" s="160">
        <v>7898108644744</v>
      </c>
      <c r="D426" s="157" t="s">
        <v>270</v>
      </c>
      <c r="E426" s="55">
        <v>10.989000000000001</v>
      </c>
      <c r="F426" s="154"/>
      <c r="G426" s="150">
        <v>10.989000000000001</v>
      </c>
      <c r="H426" s="126" t="s">
        <v>13</v>
      </c>
      <c r="I426" s="151">
        <v>0.35</v>
      </c>
      <c r="J426" s="41">
        <f t="shared" si="43"/>
        <v>7.142850000000001</v>
      </c>
      <c r="K426" s="41"/>
      <c r="L426" s="155"/>
      <c r="M426" s="43">
        <f t="shared" si="42"/>
        <v>0</v>
      </c>
    </row>
    <row r="427" spans="1:13" ht="23.4" hidden="1" x14ac:dyDescent="0.45">
      <c r="A427" s="33" t="s">
        <v>634</v>
      </c>
      <c r="B427" s="34" t="s">
        <v>635</v>
      </c>
      <c r="C427" s="160">
        <v>7898108645130</v>
      </c>
      <c r="D427" s="127" t="s">
        <v>15</v>
      </c>
      <c r="E427" s="55">
        <v>10.989000000000001</v>
      </c>
      <c r="F427" s="154"/>
      <c r="G427" s="150">
        <v>10.989000000000001</v>
      </c>
      <c r="H427" s="126" t="s">
        <v>13</v>
      </c>
      <c r="I427" s="151">
        <v>0.35</v>
      </c>
      <c r="J427" s="41">
        <f t="shared" si="43"/>
        <v>7.142850000000001</v>
      </c>
      <c r="K427" s="41"/>
      <c r="L427" s="155"/>
      <c r="M427" s="43">
        <f t="shared" si="42"/>
        <v>0</v>
      </c>
    </row>
    <row r="428" spans="1:13" ht="23.4" hidden="1" x14ac:dyDescent="0.45">
      <c r="A428" s="33" t="s">
        <v>636</v>
      </c>
      <c r="B428" s="34" t="s">
        <v>637</v>
      </c>
      <c r="C428" s="160">
        <v>7898108644362</v>
      </c>
      <c r="D428" s="127" t="s">
        <v>15</v>
      </c>
      <c r="E428" s="55">
        <v>21.587999999999997</v>
      </c>
      <c r="F428" s="154"/>
      <c r="G428" s="150">
        <v>21.587999999999997</v>
      </c>
      <c r="H428" s="126" t="s">
        <v>13</v>
      </c>
      <c r="I428" s="151">
        <v>0.35</v>
      </c>
      <c r="J428" s="41">
        <f t="shared" si="43"/>
        <v>14.0322</v>
      </c>
      <c r="K428" s="41"/>
      <c r="L428" s="155"/>
      <c r="M428" s="43">
        <f t="shared" si="42"/>
        <v>0</v>
      </c>
    </row>
    <row r="429" spans="1:13" ht="23.4" hidden="1" x14ac:dyDescent="0.45">
      <c r="A429" s="33" t="s">
        <v>638</v>
      </c>
      <c r="B429" s="34" t="s">
        <v>639</v>
      </c>
      <c r="C429" s="161" t="s">
        <v>640</v>
      </c>
      <c r="D429" s="127" t="s">
        <v>90</v>
      </c>
      <c r="E429" s="55">
        <v>2.7797999999999998</v>
      </c>
      <c r="F429" s="154"/>
      <c r="G429" s="150">
        <v>2.7797999999999998</v>
      </c>
      <c r="H429" s="126" t="s">
        <v>13</v>
      </c>
      <c r="I429" s="151">
        <v>0.35</v>
      </c>
      <c r="J429" s="41">
        <f t="shared" si="43"/>
        <v>1.80687</v>
      </c>
      <c r="K429" s="41"/>
      <c r="L429" s="155"/>
      <c r="M429" s="43">
        <f t="shared" si="42"/>
        <v>0</v>
      </c>
    </row>
    <row r="430" spans="1:13" ht="23.4" hidden="1" x14ac:dyDescent="0.45">
      <c r="A430" s="33" t="s">
        <v>641</v>
      </c>
      <c r="B430" s="34" t="s">
        <v>642</v>
      </c>
      <c r="C430" s="162">
        <v>7898108643693</v>
      </c>
      <c r="D430" s="127" t="s">
        <v>22</v>
      </c>
      <c r="E430" s="55">
        <v>13.511999999999999</v>
      </c>
      <c r="F430" s="154"/>
      <c r="G430" s="150">
        <v>13.511999999999999</v>
      </c>
      <c r="H430" s="126" t="s">
        <v>13</v>
      </c>
      <c r="I430" s="151">
        <v>0.35</v>
      </c>
      <c r="J430" s="41">
        <f t="shared" si="43"/>
        <v>8.7827999999999982</v>
      </c>
      <c r="K430" s="41"/>
      <c r="L430" s="155"/>
      <c r="M430" s="43">
        <f t="shared" si="42"/>
        <v>0</v>
      </c>
    </row>
    <row r="431" spans="1:13" ht="23.4" hidden="1" x14ac:dyDescent="0.45">
      <c r="A431" s="33" t="s">
        <v>643</v>
      </c>
      <c r="B431" s="34" t="s">
        <v>644</v>
      </c>
      <c r="C431" s="160">
        <v>7898108644737</v>
      </c>
      <c r="D431" s="157" t="s">
        <v>270</v>
      </c>
      <c r="E431" s="55">
        <v>10.989000000000001</v>
      </c>
      <c r="F431" s="154"/>
      <c r="G431" s="150">
        <v>10.989000000000001</v>
      </c>
      <c r="H431" s="126" t="s">
        <v>13</v>
      </c>
      <c r="I431" s="151">
        <v>0.35</v>
      </c>
      <c r="J431" s="41">
        <f t="shared" si="43"/>
        <v>7.142850000000001</v>
      </c>
      <c r="K431" s="41"/>
      <c r="L431" s="155"/>
      <c r="M431" s="43">
        <f t="shared" si="42"/>
        <v>0</v>
      </c>
    </row>
    <row r="432" spans="1:13" ht="23.4" hidden="1" x14ac:dyDescent="0.45">
      <c r="A432" s="33" t="s">
        <v>645</v>
      </c>
      <c r="B432" s="34" t="s">
        <v>646</v>
      </c>
      <c r="C432" s="160">
        <v>7898108645024</v>
      </c>
      <c r="D432" s="127" t="s">
        <v>15</v>
      </c>
      <c r="E432" s="55">
        <v>10.989000000000001</v>
      </c>
      <c r="F432" s="154"/>
      <c r="G432" s="150">
        <v>10.989000000000001</v>
      </c>
      <c r="H432" s="126" t="s">
        <v>13</v>
      </c>
      <c r="I432" s="151">
        <v>0.35</v>
      </c>
      <c r="J432" s="41">
        <f t="shared" si="43"/>
        <v>7.142850000000001</v>
      </c>
      <c r="K432" s="41"/>
      <c r="L432" s="155"/>
      <c r="M432" s="43">
        <f t="shared" si="42"/>
        <v>0</v>
      </c>
    </row>
    <row r="433" spans="1:13" ht="23.4" hidden="1" x14ac:dyDescent="0.45">
      <c r="A433" s="33" t="s">
        <v>647</v>
      </c>
      <c r="B433" s="34" t="s">
        <v>648</v>
      </c>
      <c r="C433" s="160">
        <v>7898108644379</v>
      </c>
      <c r="D433" s="127" t="s">
        <v>15</v>
      </c>
      <c r="E433" s="55">
        <v>21.587999999999997</v>
      </c>
      <c r="F433" s="154"/>
      <c r="G433" s="150">
        <v>21.587999999999997</v>
      </c>
      <c r="H433" s="126" t="s">
        <v>13</v>
      </c>
      <c r="I433" s="151">
        <v>0.35</v>
      </c>
      <c r="J433" s="41">
        <f t="shared" si="43"/>
        <v>14.0322</v>
      </c>
      <c r="K433" s="41"/>
      <c r="L433" s="155"/>
      <c r="M433" s="43">
        <f t="shared" si="42"/>
        <v>0</v>
      </c>
    </row>
    <row r="434" spans="1:13" ht="23.4" hidden="1" x14ac:dyDescent="0.45">
      <c r="A434" s="33" t="s">
        <v>649</v>
      </c>
      <c r="B434" s="34" t="s">
        <v>650</v>
      </c>
      <c r="C434" s="162">
        <v>7898108644065</v>
      </c>
      <c r="D434" s="127" t="s">
        <v>22</v>
      </c>
      <c r="E434" s="55">
        <v>2.7797999999999998</v>
      </c>
      <c r="F434" s="154"/>
      <c r="G434" s="150">
        <v>2.7797999999999998</v>
      </c>
      <c r="H434" s="126" t="s">
        <v>13</v>
      </c>
      <c r="I434" s="151">
        <v>0.35</v>
      </c>
      <c r="J434" s="41">
        <f t="shared" si="43"/>
        <v>1.80687</v>
      </c>
      <c r="K434" s="41"/>
      <c r="L434" s="155"/>
      <c r="M434" s="43">
        <f t="shared" si="42"/>
        <v>0</v>
      </c>
    </row>
    <row r="435" spans="1:13" ht="23.4" hidden="1" x14ac:dyDescent="0.45">
      <c r="A435" s="33" t="s">
        <v>651</v>
      </c>
      <c r="B435" s="34" t="s">
        <v>652</v>
      </c>
      <c r="C435" s="161">
        <v>7898108644126</v>
      </c>
      <c r="D435" s="127" t="s">
        <v>90</v>
      </c>
      <c r="E435" s="55">
        <v>13.511999999999999</v>
      </c>
      <c r="F435" s="154"/>
      <c r="G435" s="150">
        <v>13.511999999999999</v>
      </c>
      <c r="H435" s="126" t="s">
        <v>13</v>
      </c>
      <c r="I435" s="151">
        <v>0.35</v>
      </c>
      <c r="J435" s="41">
        <f t="shared" si="43"/>
        <v>8.7827999999999982</v>
      </c>
      <c r="K435" s="41"/>
      <c r="L435" s="155"/>
      <c r="M435" s="43">
        <f t="shared" si="42"/>
        <v>0</v>
      </c>
    </row>
    <row r="436" spans="1:13" ht="23.4" hidden="1" x14ac:dyDescent="0.45">
      <c r="A436" s="33" t="s">
        <v>653</v>
      </c>
      <c r="B436" s="34" t="s">
        <v>654</v>
      </c>
      <c r="C436" s="160">
        <v>7898108644795</v>
      </c>
      <c r="D436" s="157" t="s">
        <v>270</v>
      </c>
      <c r="E436" s="55">
        <v>10.989000000000001</v>
      </c>
      <c r="F436" s="154"/>
      <c r="G436" s="150">
        <v>10.989000000000001</v>
      </c>
      <c r="H436" s="126" t="s">
        <v>13</v>
      </c>
      <c r="I436" s="151">
        <v>0.35</v>
      </c>
      <c r="J436" s="41">
        <f t="shared" si="43"/>
        <v>7.142850000000001</v>
      </c>
      <c r="K436" s="41"/>
      <c r="L436" s="155"/>
      <c r="M436" s="43">
        <f t="shared" ref="M436:M440" si="44">L436*J436</f>
        <v>0</v>
      </c>
    </row>
    <row r="437" spans="1:13" ht="23.4" hidden="1" x14ac:dyDescent="0.45">
      <c r="A437" s="33" t="s">
        <v>655</v>
      </c>
      <c r="B437" s="34" t="s">
        <v>656</v>
      </c>
      <c r="C437" s="160">
        <v>7898108643860</v>
      </c>
      <c r="D437" s="127" t="s">
        <v>15</v>
      </c>
      <c r="E437" s="55">
        <v>10.989000000000001</v>
      </c>
      <c r="F437" s="154"/>
      <c r="G437" s="150">
        <v>10.989000000000001</v>
      </c>
      <c r="H437" s="126" t="s">
        <v>13</v>
      </c>
      <c r="I437" s="151">
        <v>0.35</v>
      </c>
      <c r="J437" s="41">
        <f t="shared" si="43"/>
        <v>7.142850000000001</v>
      </c>
      <c r="K437" s="41"/>
      <c r="L437" s="155"/>
      <c r="M437" s="43">
        <f t="shared" si="44"/>
        <v>0</v>
      </c>
    </row>
    <row r="438" spans="1:13" ht="23.4" hidden="1" x14ac:dyDescent="0.45">
      <c r="A438" s="33" t="s">
        <v>657</v>
      </c>
      <c r="B438" s="34" t="s">
        <v>658</v>
      </c>
      <c r="C438" s="160">
        <v>7898108643853</v>
      </c>
      <c r="D438" s="127" t="s">
        <v>15</v>
      </c>
      <c r="E438" s="55">
        <v>21.587999999999997</v>
      </c>
      <c r="F438" s="154"/>
      <c r="G438" s="150">
        <v>21.587999999999997</v>
      </c>
      <c r="H438" s="126" t="s">
        <v>13</v>
      </c>
      <c r="I438" s="151">
        <v>0.35</v>
      </c>
      <c r="J438" s="41">
        <f t="shared" si="43"/>
        <v>14.0322</v>
      </c>
      <c r="K438" s="41"/>
      <c r="L438" s="155"/>
      <c r="M438" s="43">
        <f t="shared" si="44"/>
        <v>0</v>
      </c>
    </row>
    <row r="439" spans="1:13" ht="23.4" hidden="1" x14ac:dyDescent="0.45">
      <c r="A439" s="33" t="s">
        <v>659</v>
      </c>
      <c r="B439" s="34" t="s">
        <v>660</v>
      </c>
      <c r="C439" s="161">
        <v>7898108643587</v>
      </c>
      <c r="D439" s="127" t="s">
        <v>90</v>
      </c>
      <c r="E439" s="55">
        <v>2.7797999999999998</v>
      </c>
      <c r="F439" s="154"/>
      <c r="G439" s="150">
        <v>2.7797999999999998</v>
      </c>
      <c r="H439" s="126" t="s">
        <v>13</v>
      </c>
      <c r="I439" s="151">
        <v>0.35</v>
      </c>
      <c r="J439" s="41">
        <f t="shared" si="43"/>
        <v>1.80687</v>
      </c>
      <c r="K439" s="41"/>
      <c r="L439" s="155"/>
      <c r="M439" s="43">
        <f t="shared" si="44"/>
        <v>0</v>
      </c>
    </row>
    <row r="440" spans="1:13" ht="23.4" hidden="1" x14ac:dyDescent="0.45">
      <c r="A440" s="33" t="s">
        <v>661</v>
      </c>
      <c r="B440" s="34" t="s">
        <v>662</v>
      </c>
      <c r="C440" s="162">
        <v>7898108643341</v>
      </c>
      <c r="D440" s="127" t="s">
        <v>22</v>
      </c>
      <c r="E440" s="55">
        <v>13.511999999999999</v>
      </c>
      <c r="F440" s="154"/>
      <c r="G440" s="150">
        <v>13.511999999999999</v>
      </c>
      <c r="H440" s="126" t="s">
        <v>13</v>
      </c>
      <c r="I440" s="151">
        <v>0.35</v>
      </c>
      <c r="J440" s="41">
        <f t="shared" si="43"/>
        <v>8.7827999999999982</v>
      </c>
      <c r="K440" s="41"/>
      <c r="L440" s="155"/>
      <c r="M440" s="43">
        <f t="shared" si="44"/>
        <v>0</v>
      </c>
    </row>
    <row r="441" spans="1:13" ht="21.75" customHeight="1" x14ac:dyDescent="0.4">
      <c r="L441" s="167" t="s">
        <v>663</v>
      </c>
      <c r="M441" s="168">
        <f>SUM(M8:M12,M14:M15,M17:M23,M29:M35,M37,M39:M41,M43:M57,M59:M61,M63:M65,M67:M98,M100:M107,M110:M142,M144:M154,M156:M160,M162:M164,M166:M173,M175:M178,M180:M242,M244:M246,M248:M284,M286:M314,M316:M330,M332:M334,M341:M440)</f>
        <v>0</v>
      </c>
    </row>
  </sheetData>
  <autoFilter ref="A6:N441" xr:uid="{16DA885E-FE9B-416E-A4E4-2E2845475D0F}"/>
  <conditionalFormatting sqref="J37:K37 J59:K61 J144:K150 J156:K160 J162:K164 J8:K9 J43:K48 J39:K41 J15:K15 J29:K33 J166:K173 J63:K63 J67:K70 J17:K23 J93:K97 J89:K89 J72:K81 J110:K142 J83:K85 J87:K87 J175:K178 J332:K334 J316:K330 J286:K314 J248:K284 J244:K246 J180:K242 J336:K440">
    <cfRule type="expression" dxfId="19" priority="20">
      <formula>J8&lt;#REF!</formula>
    </cfRule>
  </conditionalFormatting>
  <conditionalFormatting sqref="J34:K35">
    <cfRule type="expression" dxfId="18" priority="19">
      <formula>J34&lt;#REF!</formula>
    </cfRule>
  </conditionalFormatting>
  <conditionalFormatting sqref="J14:K14">
    <cfRule type="expression" dxfId="17" priority="18">
      <formula>J14&lt;#REF!</formula>
    </cfRule>
  </conditionalFormatting>
  <conditionalFormatting sqref="J92:K92 J10:K12 J98:K98">
    <cfRule type="expression" dxfId="16" priority="17">
      <formula>J10&lt;#REF!</formula>
    </cfRule>
  </conditionalFormatting>
  <conditionalFormatting sqref="J71:K71">
    <cfRule type="expression" dxfId="15" priority="16">
      <formula>J71&lt;#REF!</formula>
    </cfRule>
  </conditionalFormatting>
  <conditionalFormatting sqref="J90:K90">
    <cfRule type="expression" dxfId="14" priority="15">
      <formula>J90&lt;#REF!</formula>
    </cfRule>
  </conditionalFormatting>
  <conditionalFormatting sqref="J88:K88">
    <cfRule type="expression" dxfId="13" priority="14">
      <formula>J88&lt;#REF!</formula>
    </cfRule>
  </conditionalFormatting>
  <conditionalFormatting sqref="J64:K65">
    <cfRule type="expression" dxfId="12" priority="13">
      <formula>J64&lt;#REF!</formula>
    </cfRule>
  </conditionalFormatting>
  <conditionalFormatting sqref="J53:K53 J50:K50">
    <cfRule type="expression" dxfId="11" priority="12">
      <formula>J50&lt;#REF!</formula>
    </cfRule>
  </conditionalFormatting>
  <conditionalFormatting sqref="J51:K51">
    <cfRule type="expression" dxfId="10" priority="11">
      <formula>J51&lt;#REF!</formula>
    </cfRule>
  </conditionalFormatting>
  <conditionalFormatting sqref="J49:K49">
    <cfRule type="expression" dxfId="9" priority="10">
      <formula>J49&lt;#REF!</formula>
    </cfRule>
  </conditionalFormatting>
  <conditionalFormatting sqref="J54:K54">
    <cfRule type="expression" dxfId="8" priority="9">
      <formula>J54&lt;#REF!</formula>
    </cfRule>
  </conditionalFormatting>
  <conditionalFormatting sqref="J52:K52">
    <cfRule type="expression" dxfId="7" priority="8">
      <formula>J52&lt;#REF!</formula>
    </cfRule>
  </conditionalFormatting>
  <conditionalFormatting sqref="J82:K82">
    <cfRule type="expression" dxfId="6" priority="7">
      <formula>J82&lt;#REF!</formula>
    </cfRule>
  </conditionalFormatting>
  <conditionalFormatting sqref="J91:K91">
    <cfRule type="expression" dxfId="5" priority="6">
      <formula>J91&lt;#REF!</formula>
    </cfRule>
  </conditionalFormatting>
  <conditionalFormatting sqref="J55:K57">
    <cfRule type="expression" dxfId="4" priority="5">
      <formula>J55&lt;#REF!</formula>
    </cfRule>
  </conditionalFormatting>
  <conditionalFormatting sqref="J151:K154">
    <cfRule type="expression" dxfId="3" priority="4">
      <formula>J151&lt;#REF!</formula>
    </cfRule>
  </conditionalFormatting>
  <conditionalFormatting sqref="J86:K86">
    <cfRule type="expression" dxfId="2" priority="3">
      <formula>J86&lt;#REF!</formula>
    </cfRule>
  </conditionalFormatting>
  <conditionalFormatting sqref="J100:K107">
    <cfRule type="expression" dxfId="1" priority="2">
      <formula>J100&lt;#REF!</formula>
    </cfRule>
  </conditionalFormatting>
  <conditionalFormatting sqref="J25:K26">
    <cfRule type="expression" dxfId="0" priority="1">
      <formula>J25&lt;#REF!</formula>
    </cfRule>
  </conditionalFormatting>
  <pageMargins left="0.51181102362204722" right="0.51181102362204722" top="0" bottom="0" header="0.31496062992125984" footer="0.31496062992125984"/>
  <pageSetup paperSize="9" scale="28" fitToHeight="2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Sanfarma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Wliana Rodrigues</dc:creator>
  <cp:lastModifiedBy>Wliana Rodrigues</cp:lastModifiedBy>
  <dcterms:created xsi:type="dcterms:W3CDTF">2026-07-07T19:43:56Z</dcterms:created>
  <dcterms:modified xsi:type="dcterms:W3CDTF">2026-07-07T20:27:00Z</dcterms:modified>
</cp:coreProperties>
</file>