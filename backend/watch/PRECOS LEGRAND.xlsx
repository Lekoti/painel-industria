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spocbi-my.sharepoint.com/personal/g0059891_ems_com_br/Documents/IMPORTANTE/"/>
    </mc:Choice>
  </mc:AlternateContent>
  <xr:revisionPtr revIDLastSave="19" documentId="8_{71F2D50E-E84B-480D-AEFE-4C6D7ADB4BA3}" xr6:coauthVersionLast="47" xr6:coauthVersionMax="47" xr10:uidLastSave="{21EDB7D5-627C-4595-B3D2-0BE4B0B8D54A}"/>
  <bookViews>
    <workbookView xWindow="-120" yWindow="-120" windowWidth="29040" windowHeight="15720" xr2:uid="{F5C9A4B6-E408-4715-A84F-AE50B62D767F}"/>
  </bookViews>
  <sheets>
    <sheet name="Planilha1" sheetId="1" r:id="rId1"/>
  </sheets>
  <externalReferences>
    <externalReference r:id="rId2"/>
    <externalReference r:id="rId3"/>
  </externalReferences>
  <definedNames>
    <definedName name="_xlnm._FilterDatabase" localSheetId="0" hidden="1">Planilha1!$A$8:$U$142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42" i="1" l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H118" i="1"/>
  <c r="P117" i="1"/>
  <c r="P116" i="1"/>
  <c r="P115" i="1"/>
  <c r="P114" i="1"/>
  <c r="P113" i="1"/>
  <c r="P112" i="1"/>
  <c r="P111" i="1"/>
  <c r="P110" i="1"/>
  <c r="P109" i="1"/>
  <c r="H109" i="1"/>
  <c r="G109" i="1"/>
  <c r="F109" i="1"/>
  <c r="D109" i="1"/>
  <c r="P108" i="1"/>
  <c r="H108" i="1"/>
  <c r="G108" i="1"/>
  <c r="F108" i="1"/>
  <c r="D108" i="1"/>
  <c r="P107" i="1"/>
  <c r="H107" i="1"/>
  <c r="P106" i="1"/>
  <c r="H106" i="1"/>
  <c r="P105" i="1"/>
  <c r="H105" i="1"/>
  <c r="P104" i="1"/>
  <c r="P103" i="1"/>
  <c r="P102" i="1"/>
  <c r="P101" i="1"/>
  <c r="P100" i="1"/>
  <c r="P99" i="1"/>
  <c r="P98" i="1"/>
  <c r="P97" i="1"/>
  <c r="P96" i="1"/>
  <c r="P95" i="1"/>
  <c r="H95" i="1"/>
  <c r="P94" i="1"/>
  <c r="H94" i="1"/>
  <c r="P93" i="1"/>
  <c r="H93" i="1"/>
  <c r="P92" i="1"/>
  <c r="P91" i="1"/>
  <c r="P90" i="1"/>
  <c r="P89" i="1"/>
  <c r="P88" i="1"/>
  <c r="P87" i="1"/>
  <c r="P86" i="1"/>
  <c r="P85" i="1"/>
  <c r="H85" i="1"/>
  <c r="P84" i="1"/>
  <c r="H84" i="1"/>
  <c r="P83" i="1"/>
  <c r="H83" i="1"/>
  <c r="P82" i="1"/>
  <c r="H82" i="1"/>
  <c r="P81" i="1"/>
  <c r="H81" i="1"/>
  <c r="P80" i="1"/>
  <c r="P79" i="1"/>
  <c r="P78" i="1"/>
  <c r="P77" i="1"/>
  <c r="H77" i="1"/>
  <c r="P76" i="1"/>
  <c r="H76" i="1"/>
  <c r="P75" i="1"/>
  <c r="H75" i="1"/>
  <c r="P74" i="1"/>
  <c r="P73" i="1"/>
  <c r="P72" i="1"/>
  <c r="P71" i="1"/>
  <c r="P70" i="1"/>
  <c r="P69" i="1"/>
  <c r="P68" i="1"/>
  <c r="P67" i="1"/>
  <c r="P66" i="1"/>
  <c r="P65" i="1"/>
  <c r="P64" i="1"/>
  <c r="H64" i="1"/>
  <c r="P63" i="1"/>
  <c r="H63" i="1"/>
  <c r="P62" i="1"/>
  <c r="H62" i="1"/>
  <c r="F62" i="1"/>
  <c r="D62" i="1"/>
  <c r="P61" i="1"/>
  <c r="H61" i="1"/>
  <c r="F61" i="1"/>
  <c r="D61" i="1"/>
  <c r="P60" i="1"/>
  <c r="H60" i="1"/>
  <c r="F60" i="1"/>
  <c r="D60" i="1"/>
  <c r="P59" i="1"/>
  <c r="H59" i="1"/>
  <c r="F59" i="1"/>
  <c r="D59" i="1"/>
  <c r="P58" i="1"/>
  <c r="H58" i="1"/>
  <c r="G58" i="1"/>
  <c r="F58" i="1"/>
  <c r="D58" i="1"/>
  <c r="P57" i="1"/>
  <c r="H57" i="1"/>
  <c r="F57" i="1"/>
  <c r="D57" i="1"/>
  <c r="P56" i="1"/>
  <c r="H56" i="1"/>
  <c r="F56" i="1"/>
  <c r="D56" i="1"/>
  <c r="P55" i="1"/>
  <c r="H55" i="1"/>
  <c r="P54" i="1"/>
  <c r="H54" i="1"/>
  <c r="G54" i="1"/>
  <c r="F54" i="1"/>
  <c r="D54" i="1"/>
  <c r="P53" i="1"/>
  <c r="H53" i="1"/>
  <c r="P52" i="1"/>
  <c r="H52" i="1"/>
  <c r="F52" i="1"/>
  <c r="D52" i="1"/>
  <c r="P51" i="1"/>
  <c r="H51" i="1"/>
  <c r="F51" i="1"/>
  <c r="D51" i="1"/>
  <c r="P50" i="1"/>
  <c r="H50" i="1"/>
  <c r="P49" i="1"/>
  <c r="H49" i="1"/>
  <c r="F49" i="1"/>
  <c r="D49" i="1"/>
  <c r="P48" i="1"/>
  <c r="H48" i="1"/>
  <c r="F48" i="1"/>
  <c r="D48" i="1"/>
  <c r="P47" i="1"/>
  <c r="H47" i="1"/>
  <c r="F47" i="1"/>
  <c r="D47" i="1"/>
  <c r="P46" i="1"/>
  <c r="H46" i="1"/>
  <c r="P45" i="1"/>
  <c r="H45" i="1"/>
  <c r="P44" i="1"/>
  <c r="H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H30" i="1"/>
  <c r="G30" i="1"/>
  <c r="F30" i="1"/>
  <c r="D30" i="1"/>
  <c r="P29" i="1"/>
  <c r="H29" i="1"/>
  <c r="P28" i="1"/>
  <c r="H28" i="1"/>
  <c r="F28" i="1"/>
  <c r="D28" i="1"/>
  <c r="P27" i="1"/>
  <c r="H27" i="1"/>
  <c r="F27" i="1"/>
  <c r="D27" i="1"/>
  <c r="P26" i="1"/>
  <c r="H26" i="1"/>
  <c r="P25" i="1"/>
  <c r="H25" i="1"/>
  <c r="P24" i="1"/>
  <c r="H24" i="1"/>
  <c r="F24" i="1"/>
  <c r="D24" i="1"/>
  <c r="P23" i="1"/>
  <c r="H23" i="1"/>
  <c r="P22" i="1"/>
  <c r="P21" i="1"/>
  <c r="H21" i="1"/>
  <c r="F21" i="1"/>
  <c r="D21" i="1"/>
  <c r="P20" i="1"/>
  <c r="H20" i="1"/>
  <c r="G20" i="1"/>
  <c r="F20" i="1"/>
  <c r="D20" i="1"/>
  <c r="P19" i="1"/>
  <c r="H19" i="1"/>
  <c r="P18" i="1"/>
  <c r="H18" i="1"/>
  <c r="P17" i="1"/>
  <c r="H17" i="1"/>
  <c r="P16" i="1"/>
  <c r="H16" i="1"/>
  <c r="P15" i="1"/>
  <c r="H15" i="1"/>
  <c r="P14" i="1"/>
  <c r="H14" i="1"/>
  <c r="P13" i="1"/>
  <c r="P12" i="1"/>
  <c r="P11" i="1"/>
  <c r="P10" i="1"/>
  <c r="P9" i="1"/>
  <c r="H6" i="1"/>
  <c r="H5" i="1"/>
  <c r="H4" i="1"/>
  <c r="N44" i="1" s="1"/>
  <c r="I3" i="1"/>
  <c r="H3" i="1"/>
  <c r="U8" i="1" s="1"/>
  <c r="N81" i="1" l="1"/>
  <c r="N114" i="1"/>
  <c r="N64" i="1"/>
  <c r="N28" i="1"/>
  <c r="N30" i="1"/>
  <c r="N111" i="1"/>
  <c r="N90" i="1"/>
  <c r="N16" i="1"/>
  <c r="N73" i="1"/>
  <c r="N19" i="1"/>
  <c r="N50" i="1"/>
  <c r="N20" i="1"/>
  <c r="N22" i="1"/>
  <c r="N69" i="1"/>
  <c r="N104" i="1"/>
  <c r="N141" i="1"/>
  <c r="N127" i="1"/>
  <c r="N100" i="1"/>
  <c r="N46" i="1"/>
  <c r="N35" i="1"/>
  <c r="N21" i="1"/>
  <c r="N11" i="1"/>
  <c r="N57" i="1"/>
  <c r="N40" i="1"/>
  <c r="N32" i="1"/>
  <c r="N113" i="1"/>
  <c r="N102" i="1"/>
  <c r="N91" i="1"/>
  <c r="N71" i="1"/>
  <c r="N55" i="1"/>
  <c r="N53" i="1"/>
  <c r="N51" i="1"/>
  <c r="N49" i="1"/>
  <c r="N37" i="1"/>
  <c r="N68" i="1"/>
  <c r="N62" i="1"/>
  <c r="N13" i="1"/>
  <c r="N88" i="1"/>
  <c r="N10" i="1"/>
  <c r="N42" i="1"/>
  <c r="N34" i="1"/>
  <c r="N15" i="1"/>
  <c r="N130" i="1"/>
  <c r="N97" i="1"/>
  <c r="N94" i="1"/>
  <c r="N83" i="1"/>
  <c r="N133" i="1"/>
  <c r="N110" i="1"/>
  <c r="N136" i="1"/>
  <c r="N99" i="1"/>
  <c r="N12" i="1"/>
  <c r="N39" i="1"/>
  <c r="N118" i="1"/>
  <c r="N121" i="1"/>
  <c r="N124" i="1"/>
  <c r="N79" i="1"/>
  <c r="N93" i="1"/>
  <c r="N95" i="1"/>
  <c r="N109" i="1"/>
  <c r="N119" i="1"/>
  <c r="N122" i="1"/>
  <c r="N87" i="1"/>
  <c r="N89" i="1"/>
  <c r="N117" i="1"/>
  <c r="N125" i="1"/>
  <c r="N142" i="1"/>
  <c r="N98" i="1"/>
  <c r="N128" i="1"/>
  <c r="N131" i="1"/>
  <c r="N103" i="1"/>
  <c r="N52" i="1"/>
  <c r="N67" i="1"/>
  <c r="N74" i="1"/>
  <c r="N27" i="1"/>
  <c r="N33" i="1"/>
  <c r="N38" i="1"/>
  <c r="N47" i="1"/>
  <c r="N54" i="1"/>
  <c r="N65" i="1"/>
  <c r="N14" i="1"/>
  <c r="N31" i="1"/>
  <c r="N43" i="1"/>
  <c r="N56" i="1"/>
  <c r="N61" i="1"/>
  <c r="N82" i="1"/>
  <c r="N9" i="1"/>
  <c r="N18" i="1"/>
  <c r="N36" i="1"/>
  <c r="N41" i="1"/>
  <c r="N63" i="1"/>
  <c r="N70" i="1"/>
  <c r="N77" i="1"/>
  <c r="N80" i="1"/>
  <c r="N92" i="1"/>
  <c r="N108" i="1"/>
  <c r="N96" i="1"/>
  <c r="N101" i="1"/>
  <c r="N115" i="1"/>
  <c r="L108" i="1"/>
  <c r="L83" i="1"/>
  <c r="L57" i="1"/>
  <c r="L52" i="1"/>
  <c r="L82" i="1"/>
  <c r="L47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04" i="1"/>
  <c r="L103" i="1"/>
  <c r="L102" i="1"/>
  <c r="L101" i="1"/>
  <c r="L100" i="1"/>
  <c r="L99" i="1"/>
  <c r="L98" i="1"/>
  <c r="L97" i="1"/>
  <c r="L96" i="1"/>
  <c r="L95" i="1"/>
  <c r="L140" i="1"/>
  <c r="L115" i="1"/>
  <c r="L111" i="1"/>
  <c r="L70" i="1"/>
  <c r="L64" i="1"/>
  <c r="L53" i="1"/>
  <c r="L61" i="1"/>
  <c r="L51" i="1"/>
  <c r="L49" i="1"/>
  <c r="L141" i="1"/>
  <c r="L107" i="1"/>
  <c r="L110" i="1"/>
  <c r="L88" i="1"/>
  <c r="L79" i="1"/>
  <c r="L66" i="1"/>
  <c r="L44" i="1"/>
  <c r="L38" i="1"/>
  <c r="L32" i="1"/>
  <c r="L28" i="1"/>
  <c r="L19" i="1"/>
  <c r="L18" i="1"/>
  <c r="L71" i="1"/>
  <c r="L39" i="1"/>
  <c r="L89" i="1"/>
  <c r="L76" i="1"/>
  <c r="L67" i="1"/>
  <c r="L74" i="1"/>
  <c r="L58" i="1"/>
  <c r="L48" i="1"/>
  <c r="L45" i="1"/>
  <c r="L27" i="1"/>
  <c r="L26" i="1"/>
  <c r="L113" i="1"/>
  <c r="L105" i="1"/>
  <c r="L75" i="1"/>
  <c r="L59" i="1"/>
  <c r="L46" i="1"/>
  <c r="L33" i="1"/>
  <c r="L84" i="1"/>
  <c r="L116" i="1"/>
  <c r="L109" i="1"/>
  <c r="L94" i="1"/>
  <c r="L77" i="1"/>
  <c r="L63" i="1"/>
  <c r="L40" i="1"/>
  <c r="L25" i="1"/>
  <c r="L9" i="1"/>
  <c r="L37" i="1"/>
  <c r="L85" i="1"/>
  <c r="L60" i="1"/>
  <c r="L34" i="1"/>
  <c r="L114" i="1"/>
  <c r="L80" i="1"/>
  <c r="L69" i="1"/>
  <c r="L55" i="1"/>
  <c r="L15" i="1"/>
  <c r="L78" i="1"/>
  <c r="L21" i="1"/>
  <c r="L11" i="1"/>
  <c r="L35" i="1"/>
  <c r="L24" i="1"/>
  <c r="L90" i="1"/>
  <c r="L87" i="1"/>
  <c r="L68" i="1"/>
  <c r="L54" i="1"/>
  <c r="L13" i="1"/>
  <c r="L50" i="1"/>
  <c r="L30" i="1"/>
  <c r="L14" i="1"/>
  <c r="L10" i="1"/>
  <c r="L112" i="1"/>
  <c r="L72" i="1"/>
  <c r="L91" i="1"/>
  <c r="L29" i="1"/>
  <c r="L22" i="1"/>
  <c r="L43" i="1"/>
  <c r="L36" i="1"/>
  <c r="L142" i="1"/>
  <c r="L41" i="1"/>
  <c r="L31" i="1"/>
  <c r="L56" i="1"/>
  <c r="L16" i="1"/>
  <c r="L23" i="1"/>
  <c r="L17" i="1"/>
  <c r="L106" i="1"/>
  <c r="L73" i="1"/>
  <c r="L62" i="1"/>
  <c r="L42" i="1"/>
  <c r="L20" i="1"/>
  <c r="L92" i="1"/>
  <c r="L86" i="1"/>
  <c r="L12" i="1"/>
  <c r="L117" i="1"/>
  <c r="L93" i="1"/>
  <c r="L81" i="1"/>
  <c r="L65" i="1"/>
  <c r="N134" i="1"/>
  <c r="N137" i="1"/>
  <c r="N107" i="1"/>
  <c r="N76" i="1"/>
  <c r="N106" i="1"/>
  <c r="N75" i="1"/>
  <c r="N59" i="1"/>
  <c r="N45" i="1"/>
  <c r="N84" i="1"/>
  <c r="N17" i="1"/>
  <c r="N24" i="1"/>
  <c r="N86" i="1"/>
  <c r="N120" i="1"/>
  <c r="N123" i="1"/>
  <c r="N126" i="1"/>
  <c r="N129" i="1"/>
  <c r="N132" i="1"/>
  <c r="N135" i="1"/>
  <c r="N138" i="1"/>
  <c r="N48" i="1"/>
  <c r="N58" i="1"/>
  <c r="N60" i="1"/>
  <c r="N66" i="1"/>
  <c r="N72" i="1"/>
  <c r="N78" i="1"/>
  <c r="N85" i="1"/>
  <c r="N105" i="1"/>
  <c r="N112" i="1"/>
  <c r="N116" i="1"/>
  <c r="M141" i="1" l="1"/>
  <c r="O141" i="1" s="1"/>
  <c r="M117" i="1"/>
  <c r="O117" i="1" s="1"/>
  <c r="M56" i="1"/>
  <c r="O56" i="1" s="1"/>
  <c r="M14" i="1"/>
  <c r="O14" i="1" s="1"/>
  <c r="M78" i="1"/>
  <c r="O78" i="1" s="1"/>
  <c r="M40" i="1"/>
  <c r="O40" i="1" s="1"/>
  <c r="M113" i="1"/>
  <c r="O113" i="1" s="1"/>
  <c r="M18" i="1"/>
  <c r="O18" i="1" s="1"/>
  <c r="M49" i="1"/>
  <c r="O49" i="1" s="1"/>
  <c r="M98" i="1"/>
  <c r="O98" i="1" s="1"/>
  <c r="M123" i="1"/>
  <c r="O123" i="1" s="1"/>
  <c r="M135" i="1"/>
  <c r="O135" i="1" s="1"/>
  <c r="M12" i="1"/>
  <c r="O12" i="1" s="1"/>
  <c r="M31" i="1"/>
  <c r="O31" i="1" s="1"/>
  <c r="M30" i="1"/>
  <c r="O30" i="1" s="1"/>
  <c r="M15" i="1"/>
  <c r="O15" i="1" s="1"/>
  <c r="M63" i="1"/>
  <c r="O63" i="1" s="1"/>
  <c r="M26" i="1"/>
  <c r="O26" i="1" s="1"/>
  <c r="M19" i="1"/>
  <c r="O19" i="1" s="1"/>
  <c r="M51" i="1"/>
  <c r="O51" i="1" s="1"/>
  <c r="M99" i="1"/>
  <c r="O99" i="1" s="1"/>
  <c r="M124" i="1"/>
  <c r="O124" i="1" s="1"/>
  <c r="M136" i="1"/>
  <c r="O136" i="1" s="1"/>
  <c r="M16" i="1"/>
  <c r="O16" i="1" s="1"/>
  <c r="M25" i="1"/>
  <c r="O25" i="1" s="1"/>
  <c r="M97" i="1"/>
  <c r="O97" i="1" s="1"/>
  <c r="M55" i="1"/>
  <c r="O55" i="1" s="1"/>
  <c r="M28" i="1"/>
  <c r="O28" i="1" s="1"/>
  <c r="M125" i="1"/>
  <c r="O125" i="1" s="1"/>
  <c r="M92" i="1"/>
  <c r="O92" i="1" s="1"/>
  <c r="M45" i="1"/>
  <c r="O45" i="1" s="1"/>
  <c r="M126" i="1"/>
  <c r="O126" i="1" s="1"/>
  <c r="M36" i="1"/>
  <c r="O36" i="1" s="1"/>
  <c r="M48" i="1"/>
  <c r="O48" i="1" s="1"/>
  <c r="M127" i="1"/>
  <c r="O127" i="1" s="1"/>
  <c r="M68" i="1"/>
  <c r="O68" i="1" s="1"/>
  <c r="M116" i="1"/>
  <c r="O116" i="1" s="1"/>
  <c r="M70" i="1"/>
  <c r="O70" i="1" s="1"/>
  <c r="M128" i="1"/>
  <c r="O128" i="1" s="1"/>
  <c r="M87" i="1"/>
  <c r="O87" i="1" s="1"/>
  <c r="M34" i="1"/>
  <c r="O34" i="1" s="1"/>
  <c r="M111" i="1"/>
  <c r="O111" i="1" s="1"/>
  <c r="M129" i="1"/>
  <c r="O129" i="1" s="1"/>
  <c r="M29" i="1"/>
  <c r="O29" i="1" s="1"/>
  <c r="M90" i="1"/>
  <c r="O90" i="1" s="1"/>
  <c r="M60" i="1"/>
  <c r="O60" i="1" s="1"/>
  <c r="M33" i="1"/>
  <c r="O33" i="1" s="1"/>
  <c r="M67" i="1"/>
  <c r="O67" i="1" s="1"/>
  <c r="M79" i="1"/>
  <c r="O79" i="1" s="1"/>
  <c r="M115" i="1"/>
  <c r="O115" i="1" s="1"/>
  <c r="M118" i="1"/>
  <c r="O118" i="1" s="1"/>
  <c r="M130" i="1"/>
  <c r="O130" i="1" s="1"/>
  <c r="M52" i="1"/>
  <c r="O52" i="1" s="1"/>
  <c r="M21" i="1"/>
  <c r="O21" i="1" s="1"/>
  <c r="M134" i="1"/>
  <c r="O134" i="1" s="1"/>
  <c r="M50" i="1"/>
  <c r="O50" i="1" s="1"/>
  <c r="M27" i="1"/>
  <c r="O27" i="1" s="1"/>
  <c r="M100" i="1"/>
  <c r="O100" i="1" s="1"/>
  <c r="M142" i="1"/>
  <c r="O142" i="1" s="1"/>
  <c r="M94" i="1"/>
  <c r="O94" i="1" s="1"/>
  <c r="M32" i="1"/>
  <c r="O32" i="1" s="1"/>
  <c r="M138" i="1"/>
  <c r="O138" i="1" s="1"/>
  <c r="M54" i="1"/>
  <c r="O54" i="1" s="1"/>
  <c r="M80" i="1"/>
  <c r="O80" i="1" s="1"/>
  <c r="M38" i="1"/>
  <c r="O38" i="1" s="1"/>
  <c r="M102" i="1"/>
  <c r="O102" i="1" s="1"/>
  <c r="M42" i="1"/>
  <c r="O42" i="1" s="1"/>
  <c r="M114" i="1"/>
  <c r="O114" i="1" s="1"/>
  <c r="M44" i="1"/>
  <c r="O44" i="1" s="1"/>
  <c r="M103" i="1"/>
  <c r="O103" i="1" s="1"/>
  <c r="M62" i="1"/>
  <c r="O62" i="1" s="1"/>
  <c r="M84" i="1"/>
  <c r="O84" i="1" s="1"/>
  <c r="M66" i="1"/>
  <c r="O66" i="1" s="1"/>
  <c r="M104" i="1"/>
  <c r="O104" i="1" s="1"/>
  <c r="M106" i="1"/>
  <c r="O106" i="1" s="1"/>
  <c r="M91" i="1"/>
  <c r="O91" i="1" s="1"/>
  <c r="M24" i="1"/>
  <c r="O24" i="1" s="1"/>
  <c r="M85" i="1"/>
  <c r="O85" i="1" s="1"/>
  <c r="M46" i="1"/>
  <c r="O46" i="1" s="1"/>
  <c r="M76" i="1"/>
  <c r="O76" i="1" s="1"/>
  <c r="M88" i="1"/>
  <c r="O88" i="1" s="1"/>
  <c r="M140" i="1"/>
  <c r="O140" i="1" s="1"/>
  <c r="M119" i="1"/>
  <c r="O119" i="1" s="1"/>
  <c r="M131" i="1"/>
  <c r="O131" i="1" s="1"/>
  <c r="M57" i="1"/>
  <c r="O57" i="1" s="1"/>
  <c r="M93" i="1"/>
  <c r="O93" i="1" s="1"/>
  <c r="M105" i="1"/>
  <c r="O105" i="1" s="1"/>
  <c r="M122" i="1"/>
  <c r="O122" i="1" s="1"/>
  <c r="M86" i="1"/>
  <c r="O86" i="1" s="1"/>
  <c r="M77" i="1"/>
  <c r="O77" i="1" s="1"/>
  <c r="M137" i="1"/>
  <c r="O137" i="1" s="1"/>
  <c r="M69" i="1"/>
  <c r="O69" i="1" s="1"/>
  <c r="M53" i="1"/>
  <c r="O53" i="1" s="1"/>
  <c r="M20" i="1"/>
  <c r="O20" i="1" s="1"/>
  <c r="M109" i="1"/>
  <c r="O109" i="1" s="1"/>
  <c r="M139" i="1"/>
  <c r="O139" i="1" s="1"/>
  <c r="M43" i="1"/>
  <c r="O43" i="1" s="1"/>
  <c r="M58" i="1"/>
  <c r="O58" i="1" s="1"/>
  <c r="M47" i="1"/>
  <c r="O47" i="1" s="1"/>
  <c r="M22" i="1"/>
  <c r="O22" i="1" s="1"/>
  <c r="M74" i="1"/>
  <c r="O74" i="1" s="1"/>
  <c r="M82" i="1"/>
  <c r="O82" i="1" s="1"/>
  <c r="M73" i="1"/>
  <c r="O73" i="1" s="1"/>
  <c r="M65" i="1"/>
  <c r="O65" i="1" s="1"/>
  <c r="M17" i="1"/>
  <c r="O17" i="1" s="1"/>
  <c r="M72" i="1"/>
  <c r="O72" i="1" s="1"/>
  <c r="M35" i="1"/>
  <c r="O35" i="1" s="1"/>
  <c r="M37" i="1"/>
  <c r="O37" i="1" s="1"/>
  <c r="M59" i="1"/>
  <c r="O59" i="1" s="1"/>
  <c r="M89" i="1"/>
  <c r="O89" i="1" s="1"/>
  <c r="M110" i="1"/>
  <c r="O110" i="1" s="1"/>
  <c r="M95" i="1"/>
  <c r="O95" i="1" s="1"/>
  <c r="M120" i="1"/>
  <c r="O120" i="1" s="1"/>
  <c r="M132" i="1"/>
  <c r="O132" i="1" s="1"/>
  <c r="M83" i="1"/>
  <c r="O83" i="1" s="1"/>
  <c r="M10" i="1"/>
  <c r="O10" i="1" s="1"/>
  <c r="M71" i="1"/>
  <c r="O71" i="1" s="1"/>
  <c r="M41" i="1"/>
  <c r="O41" i="1" s="1"/>
  <c r="M61" i="1"/>
  <c r="O61" i="1" s="1"/>
  <c r="M13" i="1"/>
  <c r="O13" i="1" s="1"/>
  <c r="M101" i="1"/>
  <c r="O101" i="1" s="1"/>
  <c r="M64" i="1"/>
  <c r="O64" i="1" s="1"/>
  <c r="M81" i="1"/>
  <c r="O81" i="1" s="1"/>
  <c r="M23" i="1"/>
  <c r="O23" i="1" s="1"/>
  <c r="M112" i="1"/>
  <c r="O112" i="1" s="1"/>
  <c r="M11" i="1"/>
  <c r="O11" i="1" s="1"/>
  <c r="M9" i="1"/>
  <c r="O9" i="1" s="1"/>
  <c r="M75" i="1"/>
  <c r="O75" i="1" s="1"/>
  <c r="M39" i="1"/>
  <c r="O39" i="1" s="1"/>
  <c r="M107" i="1"/>
  <c r="O107" i="1" s="1"/>
  <c r="M96" i="1"/>
  <c r="O96" i="1" s="1"/>
  <c r="M121" i="1"/>
  <c r="O121" i="1" s="1"/>
  <c r="M133" i="1"/>
  <c r="O133" i="1" s="1"/>
  <c r="M108" i="1"/>
  <c r="O108" i="1" s="1"/>
</calcChain>
</file>

<file path=xl/sharedStrings.xml><?xml version="1.0" encoding="utf-8"?>
<sst xmlns="http://schemas.openxmlformats.org/spreadsheetml/2006/main" count="1063" uniqueCount="380">
  <si>
    <t>SELECIONE O ESTADO DESEJADO ---&gt;</t>
  </si>
  <si>
    <t>PR</t>
  </si>
  <si>
    <t xml:space="preserve">ALÍCOTA ICMS: </t>
  </si>
  <si>
    <t xml:space="preserve">% REPASSE: </t>
  </si>
  <si>
    <t>PROCV PF por UF--&gt;</t>
  </si>
  <si>
    <t>PROCV PF 18% --&gt;</t>
  </si>
  <si>
    <t>PARÂMETRO PROCV</t>
  </si>
  <si>
    <t>Linha</t>
  </si>
  <si>
    <t>SAP</t>
  </si>
  <si>
    <t>Ean</t>
  </si>
  <si>
    <t>Cluster</t>
  </si>
  <si>
    <t>Família</t>
  </si>
  <si>
    <t>Produto</t>
  </si>
  <si>
    <t>Lista</t>
  </si>
  <si>
    <t>Apresentação</t>
  </si>
  <si>
    <t>ESTRATEGICOS COMERCIAL</t>
  </si>
  <si>
    <t>FECP
RJ</t>
  </si>
  <si>
    <t>PF
R$</t>
  </si>
  <si>
    <t>Atacado</t>
  </si>
  <si>
    <t>% Repasse</t>
  </si>
  <si>
    <t>OTC</t>
  </si>
  <si>
    <t>7896004712673</t>
  </si>
  <si>
    <t>INVERNO</t>
  </si>
  <si>
    <t>ALERGALIV</t>
  </si>
  <si>
    <t>ALERGALIV CPR 10mg x 15</t>
  </si>
  <si>
    <t>NEGATIVA</t>
  </si>
  <si>
    <t>3 BLT X 5 COMP</t>
  </si>
  <si>
    <t>OUTROS</t>
  </si>
  <si>
    <t>NÃO</t>
  </si>
  <si>
    <t>%</t>
  </si>
  <si>
    <t>coluna</t>
  </si>
  <si>
    <t>7894916325684</t>
  </si>
  <si>
    <t>ALERGALIV XAR. 1.00MG 100ML x 1 /ML</t>
  </si>
  <si>
    <t>FR X 100 ML</t>
  </si>
  <si>
    <t>TAR</t>
  </si>
  <si>
    <t>7896004778334</t>
  </si>
  <si>
    <t>DERMA</t>
  </si>
  <si>
    <t xml:space="preserve">ALLOVITA </t>
  </si>
  <si>
    <t>ALLOVITA 50MG/ML SOL CAPI 2 FR50ML-L</t>
  </si>
  <si>
    <t>FR C/ 50ML</t>
  </si>
  <si>
    <t>SUPER MARCAS</t>
  </si>
  <si>
    <t>7896004778341</t>
  </si>
  <si>
    <t>ALLOVITA 50MG/ML SOL CAPI 3 FR50ML-L</t>
  </si>
  <si>
    <t>7894916325769</t>
  </si>
  <si>
    <t>ALLOVITA 50MG/ML SOL CAPILAR FR50ML-L</t>
  </si>
  <si>
    <t>7896004726793</t>
  </si>
  <si>
    <t>BENGUE</t>
  </si>
  <si>
    <t>BALSAMO BENGUE AEROSOL 60G</t>
  </si>
  <si>
    <t>7896004754130</t>
  </si>
  <si>
    <t>BALSAMO BENGUE AEROSSOL 120G</t>
  </si>
  <si>
    <t>7896004753638</t>
  </si>
  <si>
    <t>BALSAMO BENGUE GEL 60G - E</t>
  </si>
  <si>
    <t>7896004817576</t>
  </si>
  <si>
    <t>BALSAMO BENGUE GEL20G</t>
  </si>
  <si>
    <t>7896004817569</t>
  </si>
  <si>
    <t>BALSAMO BENGUE POM20G</t>
  </si>
  <si>
    <t>7896004753621</t>
  </si>
  <si>
    <t>BALSAMO BENGUE POMADA 60G - E</t>
  </si>
  <si>
    <t>BENGPRO AEROSOL 60G - E</t>
  </si>
  <si>
    <t>7896004810140</t>
  </si>
  <si>
    <t>GASTROINTESTINAL</t>
  </si>
  <si>
    <t>BISMU-JET</t>
  </si>
  <si>
    <t>BISMU-JET LIQD 20ML x 1</t>
  </si>
  <si>
    <t>FR X 20 ML</t>
  </si>
  <si>
    <t>7896004780085</t>
  </si>
  <si>
    <t>CALADRYL</t>
  </si>
  <si>
    <t>CALADRYL AEROSSOL POS SOL 150ML NP - E</t>
  </si>
  <si>
    <t>CALADRYL CALMANTE X 200 ML</t>
  </si>
  <si>
    <t>7896004780078</t>
  </si>
  <si>
    <t>CALADRYL CREME POS SOL 28G NP - E</t>
  </si>
  <si>
    <t>7896004780092</t>
  </si>
  <si>
    <t>CALADRYL GEL POS SOL REFRESC. 120G NP-E</t>
  </si>
  <si>
    <t>CALADRYL HIDRATANTE X 200 ML</t>
  </si>
  <si>
    <t>CALADRYL HIDRATANTE X 400 ML</t>
  </si>
  <si>
    <t>7896004780061</t>
  </si>
  <si>
    <t>CALADRYL LOCAO POS SOL 100ML NP - E</t>
  </si>
  <si>
    <t>7896004813226</t>
  </si>
  <si>
    <t>SAUDE FEMININA</t>
  </si>
  <si>
    <t>CANDERM</t>
  </si>
  <si>
    <t>CANDERM CPR 250MG x 20</t>
  </si>
  <si>
    <t>POSITIVA</t>
  </si>
  <si>
    <t>2 BL X 10</t>
  </si>
  <si>
    <t>7896004707570</t>
  </si>
  <si>
    <t>CANDERM CPR 400MG x 20</t>
  </si>
  <si>
    <t>7896004732510</t>
  </si>
  <si>
    <t>CARVEGRAN</t>
  </si>
  <si>
    <t>CARVEGRAN CPR 25mg x 30</t>
  </si>
  <si>
    <t>25mg x 30</t>
  </si>
  <si>
    <t>7896004732442</t>
  </si>
  <si>
    <t>CARVEGRAN CPR 3.12MG x 30</t>
  </si>
  <si>
    <t>3,125mg x 30</t>
  </si>
  <si>
    <t>7896004706528</t>
  </si>
  <si>
    <t>CELERG</t>
  </si>
  <si>
    <t>CELERG CPR x 20</t>
  </si>
  <si>
    <t>7896004706559</t>
  </si>
  <si>
    <t>CELERG XAR. 120ML x 1</t>
  </si>
  <si>
    <t>FR X 120 ML</t>
  </si>
  <si>
    <t>7896004774220</t>
  </si>
  <si>
    <t>MVM</t>
  </si>
  <si>
    <t>CENEVIT 1G</t>
  </si>
  <si>
    <t>CENEVIT CPR EFER 1.00G X 10</t>
  </si>
  <si>
    <t>NEUTRA</t>
  </si>
  <si>
    <t xml:space="preserve">TUBO X 10 </t>
  </si>
  <si>
    <t>7896004783871</t>
  </si>
  <si>
    <t>CENEVIT TRIPLA</t>
  </si>
  <si>
    <t>CENEVIT TRIPLA ACAO C/10 CPR EFER S.A-L</t>
  </si>
  <si>
    <t>C/10 CPR EFER S.A-L</t>
  </si>
  <si>
    <t>7896004783888</t>
  </si>
  <si>
    <t>CENEVIT TRIPLA ACAO C/30 CPR EFER S.A-L</t>
  </si>
  <si>
    <t>C/30 CPR EFER S.A-L</t>
  </si>
  <si>
    <t>7896004774237</t>
  </si>
  <si>
    <t>CENEVIT ZINCO</t>
  </si>
  <si>
    <t>CENEVIT ZINCO CPR EFER 1.00G X 10 /10</t>
  </si>
  <si>
    <t>7896004774244</t>
  </si>
  <si>
    <t>CENEVIT ZINCO CPR EFER 1.00G X 30 /10</t>
  </si>
  <si>
    <t>TUBO X 30</t>
  </si>
  <si>
    <t>7896004726199</t>
  </si>
  <si>
    <t>CLEANKINOL</t>
  </si>
  <si>
    <t>CLEANKINOL CREME 30G x 1</t>
  </si>
  <si>
    <t>CREME C/ 30G-L</t>
  </si>
  <si>
    <t>7896004788968</t>
  </si>
  <si>
    <t>COLIRIO</t>
  </si>
  <si>
    <t>COLIRIO LEGRAND COLIRIO 20ML x 1</t>
  </si>
  <si>
    <t>7896004790657</t>
  </si>
  <si>
    <t>DERMACYD</t>
  </si>
  <si>
    <t>DERMACYD BREEZE 24H 200ML LIQSO BT1 BR</t>
  </si>
  <si>
    <t>7896004790619</t>
  </si>
  <si>
    <t>DERMACYD DELICATA 24 200ML LIQSO BT1 BR</t>
  </si>
  <si>
    <t>7896004790633</t>
  </si>
  <si>
    <t>DERMACYD FEMINA 24H 200ML LIQSO BT1 BR</t>
  </si>
  <si>
    <t>DERMACYD INFANTIL 200ML LIQSO BT1 M36 BR</t>
  </si>
  <si>
    <t>DERMACYD KIT 2XDELI+2XFEM+2X INF 100ML-E</t>
  </si>
  <si>
    <t>DERMACYD KIT BREEZE 200ML+DELI 100ML - E</t>
  </si>
  <si>
    <t>7896004790688</t>
  </si>
  <si>
    <t>DERMACYD KIT DELI 200ML+DELI 100ML- E NP</t>
  </si>
  <si>
    <t>DERMACYD KIT FEM 200ML + INF 100ML - E</t>
  </si>
  <si>
    <t>DERMACYD KIT FEM 200ML+FEM 100ML</t>
  </si>
  <si>
    <t>7896004790695</t>
  </si>
  <si>
    <t>DERMACYD KIT FEM 200ML+FEM 100ML - E NP</t>
  </si>
  <si>
    <t>7891058018191</t>
  </si>
  <si>
    <t>DERMACYD KIT INF 200ML+INF 100ML - E</t>
  </si>
  <si>
    <t>DERMACYD KIT INF 200ML+INF 100ML - E NP</t>
  </si>
  <si>
    <t>DERMACYD KIT L3P2 2XFEM + BREEZ 200ML- E</t>
  </si>
  <si>
    <t>DERMACYD KIT LENÇOS 2X48UND - E</t>
  </si>
  <si>
    <t>DERMACYD LIQUIDO BREEZE 200 ML</t>
  </si>
  <si>
    <t>DERMACYD LIQUIDO DELICATA 200 ML</t>
  </si>
  <si>
    <t>DERMACYD LIQUIDO FEMINA 200 ML</t>
  </si>
  <si>
    <t>7897595901859</t>
  </si>
  <si>
    <t>DERMACYD LIQUIDO INFANTIL 200 ML - E</t>
  </si>
  <si>
    <t>7896004790664</t>
  </si>
  <si>
    <t>DERMACYD NEUTRALIZE 200ML LIQSO BT1 BR</t>
  </si>
  <si>
    <t>7896004810225</t>
  </si>
  <si>
    <t>DERMOBENE</t>
  </si>
  <si>
    <t>DERMOBENE ANTIMICO CREME 10mg 20G x 1 /G</t>
  </si>
  <si>
    <t>BISN X 20 G</t>
  </si>
  <si>
    <t>7896004810232</t>
  </si>
  <si>
    <t>DERMOBENE ANTIMICO SOLN 10mg 20ML x 1 /ML</t>
  </si>
  <si>
    <t>DESLORANA</t>
  </si>
  <si>
    <t>DESLORANA CPR REVEST 5.00MG X 10</t>
  </si>
  <si>
    <t>C/10 COMP REV - L</t>
  </si>
  <si>
    <t>7894916325776</t>
  </si>
  <si>
    <t>DESLORANA CPR REVEST 5.00MG X 30</t>
  </si>
  <si>
    <t>C/30 COM REV</t>
  </si>
  <si>
    <t>7896004769721</t>
  </si>
  <si>
    <t xml:space="preserve">DESLORANA </t>
  </si>
  <si>
    <t>DESLORANA XAR. 0.50MG 100ML X 1 /ML</t>
  </si>
  <si>
    <t>XPE 100ML-GL</t>
  </si>
  <si>
    <t>7896004769714</t>
  </si>
  <si>
    <t>DESLORANA XAR. 0.50MG 60ML X 1 /ML</t>
  </si>
  <si>
    <t>XPE 60ML-GL</t>
  </si>
  <si>
    <t>7896004726014</t>
  </si>
  <si>
    <t>DOR</t>
  </si>
  <si>
    <t>DICLOAIR</t>
  </si>
  <si>
    <t>DICLOAIR AERO 11.6MG 60G x 1 /G</t>
  </si>
  <si>
    <t>AEROSSOL C/60G</t>
  </si>
  <si>
    <t>7896004724157</t>
  </si>
  <si>
    <t>DOMPGRAN</t>
  </si>
  <si>
    <t>DOMPGRAN CPR 10mg x 30</t>
  </si>
  <si>
    <t>2BLTX15 COMP-L</t>
  </si>
  <si>
    <t>7896004715032</t>
  </si>
  <si>
    <t>DORILEN</t>
  </si>
  <si>
    <t>DORILEN CPR X 12</t>
  </si>
  <si>
    <t>1 BL X 12</t>
  </si>
  <si>
    <t>7896004715049</t>
  </si>
  <si>
    <t>DORILEN GOTAS 15ML X 1</t>
  </si>
  <si>
    <t>FR X 15 ML</t>
  </si>
  <si>
    <t>7896004774305</t>
  </si>
  <si>
    <t>ENERGIL</t>
  </si>
  <si>
    <t>ENERGIL C 1G C/10 COM. EFEV SUP - E</t>
  </si>
  <si>
    <t>7896004774329</t>
  </si>
  <si>
    <t>ENERGIL ZINCO 1G+10MG C/10COM EFEV SUP-E</t>
  </si>
  <si>
    <t>7896004774336</t>
  </si>
  <si>
    <t>ENERGIL ZINCO 1G+10MG C/30COM EFEV SUP-E</t>
  </si>
  <si>
    <t>7896004706535</t>
  </si>
  <si>
    <t>ESPASMO FLATOL</t>
  </si>
  <si>
    <t>ESPASMO FLATOL GOTAS 20ML X 1</t>
  </si>
  <si>
    <t>7896004812168</t>
  </si>
  <si>
    <t>EXPEC</t>
  </si>
  <si>
    <t>EXPEC XAR. 120ML x 1</t>
  </si>
  <si>
    <t>7896004731674</t>
  </si>
  <si>
    <t>EXPECTAMIN</t>
  </si>
  <si>
    <t>EXPECTAMIN SOLN ORAL 120ML x 1</t>
  </si>
  <si>
    <t xml:space="preserve">SOL.ORAL C/120ML-L </t>
  </si>
  <si>
    <t>7896004817460</t>
  </si>
  <si>
    <t>GELMAX</t>
  </si>
  <si>
    <t>GELMAX 4BLT C/6 COMP</t>
  </si>
  <si>
    <t>7896004817897</t>
  </si>
  <si>
    <t>GELMAX CP PAPAYA-CASSIS BLT 4X6=24</t>
  </si>
  <si>
    <t>7896004721361</t>
  </si>
  <si>
    <t>GELMAX DIM SUSP FR. C/240ML</t>
  </si>
  <si>
    <t>7896004817774</t>
  </si>
  <si>
    <t>GELMAX EFERV ABACAXI 100 SACHET C/5</t>
  </si>
  <si>
    <t>7896004802473</t>
  </si>
  <si>
    <t>GELMAX SUSP FR C/240ML</t>
  </si>
  <si>
    <t>7896004780481</t>
  </si>
  <si>
    <t>HEDRA</t>
  </si>
  <si>
    <t>HEDRA EXPEC</t>
  </si>
  <si>
    <t>7MG/ML SOL ORAL C/ 100 ML-L</t>
  </si>
  <si>
    <t>7896004747507</t>
  </si>
  <si>
    <t>IBUFLEX CAPS</t>
  </si>
  <si>
    <t>IBUFLEX CAPS GEL 400MG X 40</t>
  </si>
  <si>
    <t>10 BLT C/4CAPS GEL.MOLES-L</t>
  </si>
  <si>
    <t>7896004732930</t>
  </si>
  <si>
    <t>IBUFLEX CAPS GEL 400MG X 8</t>
  </si>
  <si>
    <t>2 BLT C/ 4CAPS GEL.MOLES-L</t>
  </si>
  <si>
    <t>7896004799902</t>
  </si>
  <si>
    <t>IBUFLEX</t>
  </si>
  <si>
    <t>IBUFLEX GOTAS 100MG 30ML x 1 /ML</t>
  </si>
  <si>
    <t>SUSP ORAL C/ 30 ML-L</t>
  </si>
  <si>
    <t>7896004756721</t>
  </si>
  <si>
    <t>INALAJET</t>
  </si>
  <si>
    <t>INALAJET SPRAY NASAL 32 Y X 120 (/DOS)</t>
  </si>
  <si>
    <t>SPR NAS 32MCG/DOSE</t>
  </si>
  <si>
    <t>7896004756738</t>
  </si>
  <si>
    <t>INALAJET SPRAY NASAL 64 Y X 120 (/DOS)</t>
  </si>
  <si>
    <t>SPR NAS 64MCG/DOSE</t>
  </si>
  <si>
    <t>7896004746531</t>
  </si>
  <si>
    <t>KELOSIL</t>
  </si>
  <si>
    <t>KELOSIL GEL SILICONE 15 G X 1</t>
  </si>
  <si>
    <t>BISN X 15 G</t>
  </si>
  <si>
    <t>7896004759975</t>
  </si>
  <si>
    <t>LACDAY</t>
  </si>
  <si>
    <t>LACDAY 10.000FCC COM MAST 6BLTX10 ALIM-E</t>
  </si>
  <si>
    <t>7896004762098</t>
  </si>
  <si>
    <t>LACDAY 10.000FCC COM MAST2BLX4ALIM-E</t>
  </si>
  <si>
    <t>7896004755519</t>
  </si>
  <si>
    <t>LACDAY 10.000FCC COM MAST3BLTX10ALIM-E</t>
  </si>
  <si>
    <t>7895296323017</t>
  </si>
  <si>
    <t>LACTANON</t>
  </si>
  <si>
    <t>LACTANON 10.000FCCCOM MAST3BLT10ALIM-NQ</t>
  </si>
  <si>
    <t>10.000FCCCOM MAST3BLT10ALIM-NQ</t>
  </si>
  <si>
    <t>7896004779089</t>
  </si>
  <si>
    <t>LACTULIV</t>
  </si>
  <si>
    <t>LACTULIV 667MG/ML SOL SEM SABOR 120ML-L</t>
  </si>
  <si>
    <t>7896004768465</t>
  </si>
  <si>
    <t>LACTULIV XAROPE AMEIX 667MG 120ML X 1 /ML</t>
  </si>
  <si>
    <t>7896004768472</t>
  </si>
  <si>
    <t>LACTULIV XAROPE S FRU 667MG 120ML X 1 /ML</t>
  </si>
  <si>
    <t>7896004785769</t>
  </si>
  <si>
    <t>LOZEPREL</t>
  </si>
  <si>
    <t>LOZEPREL 40MG 4BLx7COMP 28 CAP DURA-MLB</t>
  </si>
  <si>
    <t>40MG 4BLx7COMP 28 CAP DURA-MLB</t>
  </si>
  <si>
    <t>7896004779201</t>
  </si>
  <si>
    <t>MARACUJA CONCEN</t>
  </si>
  <si>
    <t>MARACUJA CONCENTRI LIQD S/ACUCA 100ML X 1</t>
  </si>
  <si>
    <t>S/ACUCAR FR100ML-L</t>
  </si>
  <si>
    <t>7896004729985</t>
  </si>
  <si>
    <t>MIOFIBRAX</t>
  </si>
  <si>
    <t>MIOFIBRAX CPR REVEST 10mg x 15</t>
  </si>
  <si>
    <t>1BLX15COM REV - L</t>
  </si>
  <si>
    <t>7894916996938</t>
  </si>
  <si>
    <t>MUCOS EXPEC XPE FR C/ 120 ML-L</t>
  </si>
  <si>
    <t>FR C/ 120 ML-L</t>
  </si>
  <si>
    <t>MUCOS EXPEC 600MG/5G X 10 - L</t>
  </si>
  <si>
    <t>600MG/5G X 10 - L</t>
  </si>
  <si>
    <t>7896472501823</t>
  </si>
  <si>
    <t>MULTIGRIP</t>
  </si>
  <si>
    <t>MULTIGRIP 20 CAPS</t>
  </si>
  <si>
    <t>7896472502738</t>
  </si>
  <si>
    <t>MULTIGRIP 50X4CAPS (MULTIPLA)</t>
  </si>
  <si>
    <t>7896472520244</t>
  </si>
  <si>
    <t>MULTIGRIP C/25BLTX4 CAP DURA - MLB</t>
  </si>
  <si>
    <t>NATUS</t>
  </si>
  <si>
    <t>NATUS GERIN 2BLSX15 CAPSULAS=30 CAPSULAS</t>
  </si>
  <si>
    <t>2BLSX15 CAPSULAS=30 CAPSULAS</t>
  </si>
  <si>
    <t>NATUS GERIN BLT 5X10= 50 CAP</t>
  </si>
  <si>
    <t>BLT 5X10= 50 CAP</t>
  </si>
  <si>
    <t>7896004811574</t>
  </si>
  <si>
    <t>NEOTRICIN</t>
  </si>
  <si>
    <t>NEOTRICIN POM. 15G x 1</t>
  </si>
  <si>
    <t>7896004744476</t>
  </si>
  <si>
    <t>NEOTRICIN POM. 50G x 1</t>
  </si>
  <si>
    <t>BISN X 50 G</t>
  </si>
  <si>
    <t>7896004773957</t>
  </si>
  <si>
    <t>NEXFLEN</t>
  </si>
  <si>
    <t>NEXFLEN 550MG 10 COM REV -L</t>
  </si>
  <si>
    <t>550MG 10 COM REV -L</t>
  </si>
  <si>
    <t>7896004709178</t>
  </si>
  <si>
    <t>ONCILEG</t>
  </si>
  <si>
    <t>ONCILEG CREME 30G x 1</t>
  </si>
  <si>
    <t>BIS X 30G</t>
  </si>
  <si>
    <t>7896004709161</t>
  </si>
  <si>
    <t>ONCILEG POM. 30G x 1</t>
  </si>
  <si>
    <t>7896004722689</t>
  </si>
  <si>
    <t>ONCILEG A</t>
  </si>
  <si>
    <t>ONCILEG-A POMADA BUCAL 1.00MG 10G x 1 /G</t>
  </si>
  <si>
    <t>BISN X 30G</t>
  </si>
  <si>
    <t>7896004786858</t>
  </si>
  <si>
    <t>PENVIR</t>
  </si>
  <si>
    <t>PENVIR LABIA CREME BG C/5G - E</t>
  </si>
  <si>
    <t>7896004712642</t>
  </si>
  <si>
    <t>PEPSOGEL</t>
  </si>
  <si>
    <t>PEPSOGEL SUSP ORAL 240ML x 1</t>
  </si>
  <si>
    <t>FR C/240ML</t>
  </si>
  <si>
    <t>7896004755410</t>
  </si>
  <si>
    <t>PRAZY</t>
  </si>
  <si>
    <t>PRAZY CPR REVEST 20MG X 28</t>
  </si>
  <si>
    <t>4BL C/7 COMP REV</t>
  </si>
  <si>
    <t>7896004755427</t>
  </si>
  <si>
    <t>PRAZY CPR REVEST 40MG X 28</t>
  </si>
  <si>
    <t>4 BLT C/ 7 COMP REV</t>
  </si>
  <si>
    <t>7896004727578</t>
  </si>
  <si>
    <t>PRURI-GRAN</t>
  </si>
  <si>
    <t>PRURI-GRAN SOLN ORAL 2.00MG 120ML x 1 /ML</t>
  </si>
  <si>
    <t>7896004769943</t>
  </si>
  <si>
    <t>REPOFLOR</t>
  </si>
  <si>
    <t>REPOFLOR 250 250MG C/10 SACHES - L</t>
  </si>
  <si>
    <t>250MG C/10 SACHES - L</t>
  </si>
  <si>
    <t>7894916325899</t>
  </si>
  <si>
    <t>REPOFLOR 250 250MG C/6 SACHES - L</t>
  </si>
  <si>
    <t>250 250MG C/6 SACHES - L</t>
  </si>
  <si>
    <t>7896004774626</t>
  </si>
  <si>
    <t>REPOFLOR 250 250MG FR C/10 CAP DURA - L</t>
  </si>
  <si>
    <t xml:space="preserve"> 250MG FR C/10 CAP DURA - L</t>
  </si>
  <si>
    <t>7894916325882</t>
  </si>
  <si>
    <t>REPOFLOR 250MG FR C/6 CAP DURA - L</t>
  </si>
  <si>
    <t>250 250MG FR C/6 CAP DURA - L</t>
  </si>
  <si>
    <t>7896004715247</t>
  </si>
  <si>
    <t>REPOFLOR CAPS 100MG X 12</t>
  </si>
  <si>
    <t xml:space="preserve">FR X 12 </t>
  </si>
  <si>
    <t>7896004720838</t>
  </si>
  <si>
    <t>REPOFLOR CAPS 200MG X 6</t>
  </si>
  <si>
    <t>FR X 6 CAPS</t>
  </si>
  <si>
    <t>7896004715230</t>
  </si>
  <si>
    <t>REPOFLOR PO ENVELOPE 200MG X 4 PAED</t>
  </si>
  <si>
    <t>4  SACHET</t>
  </si>
  <si>
    <t>7894916325677</t>
  </si>
  <si>
    <t xml:space="preserve">SUAVICID </t>
  </si>
  <si>
    <t>SUAVICID CREME 10G - L</t>
  </si>
  <si>
    <t>CREME 10G - L</t>
  </si>
  <si>
    <t>7896004726694</t>
  </si>
  <si>
    <t>SUAVICID</t>
  </si>
  <si>
    <t>SUAVICID CREME 15G x 1</t>
  </si>
  <si>
    <t>7896004728704</t>
  </si>
  <si>
    <t>SUAVICID CREME 30G x 1</t>
  </si>
  <si>
    <t>BISN X 30 G</t>
  </si>
  <si>
    <t>7894916996976</t>
  </si>
  <si>
    <t>NEXFLEN 550 MG 20 COM REV- L</t>
  </si>
  <si>
    <t>550 MG 20 COM REV- L</t>
  </si>
  <si>
    <t>7896004796338</t>
  </si>
  <si>
    <t>LACDAY DISP 7BLTX3 COMP SUPL. ALIM-E</t>
  </si>
  <si>
    <t>7896004795218</t>
  </si>
  <si>
    <t>LACDAY LONG ACTION 4BLT X 10 COM REV-E</t>
  </si>
  <si>
    <t>7896004795201</t>
  </si>
  <si>
    <t>LACDAY LONG ACTION 2BLT X 10 COM REV-E</t>
  </si>
  <si>
    <t>7896004822716</t>
  </si>
  <si>
    <t>OTC/ OTC</t>
  </si>
  <si>
    <t>DERMACYD KIT NEUTRA 200ML+ESPONJA - E</t>
  </si>
  <si>
    <t>7894916997034</t>
  </si>
  <si>
    <t>MUCOS EXPEC</t>
  </si>
  <si>
    <t>MUCOS EXPEC XPE INF 20MG/ML 120ML-L</t>
  </si>
  <si>
    <t>7896004822532</t>
  </si>
  <si>
    <t>ALLOVITA SHAMPOO ANTIQUEDA 200 ML- L</t>
  </si>
  <si>
    <t>FR C/ 200ML</t>
  </si>
  <si>
    <t>7896004822549</t>
  </si>
  <si>
    <t>ALLOVITA SHAMPOO ANTIQUEDA PACK2X200ML-L</t>
  </si>
  <si>
    <t>IBUFLEX GOTAS 100MG 20ML x 1 /ML</t>
  </si>
  <si>
    <t>DERMACYD 3X100 ML</t>
  </si>
  <si>
    <t>PREÇO S/REPASSE</t>
  </si>
  <si>
    <t>PREÇO C/REPASSE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</si>
</sst>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7"/>
      <color theme="1" tint="0.34998626667073579"/>
      <name val="Arial Black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rgb="FF8E6C00"/>
      <name val="Arial Black"/>
      <family val="2"/>
    </font>
    <font>
      <b/>
      <sz val="10"/>
      <color theme="7" tint="-0.249977111117893"/>
      <name val="Arial Black"/>
      <family val="2"/>
    </font>
    <font>
      <b/>
      <sz val="10"/>
      <color rgb="FFC00000"/>
      <name val="Arial Black"/>
      <family val="2"/>
    </font>
    <font>
      <sz val="10"/>
      <color theme="0"/>
      <name val="Arial"/>
      <family val="2"/>
    </font>
    <font>
      <b/>
      <sz val="8"/>
      <color theme="1" tint="0.34998626667073579"/>
      <name val="Arial Black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 tint="0.34998626667073579"/>
      <name val="Arial"/>
      <family val="2"/>
    </font>
    <font>
      <sz val="10"/>
      <color theme="0" tint="-4.9989318521683403E-2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0"/>
      <name val="Aptos Narrow"/>
      <family val="2"/>
      <scheme val="minor"/>
    </font>
    <font>
      <sz val="8"/>
      <color rgb="FFFF0000"/>
      <name val="Arial"/>
      <family val="2"/>
    </font>
    <font>
      <sz val="9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degree="180">
        <stop position="0">
          <color theme="0" tint="-0.1490218817712943"/>
        </stop>
        <stop position="1">
          <color theme="0" tint="-0.25098422193060094"/>
        </stop>
      </gradientFill>
    </fill>
    <fill>
      <gradientFill>
        <stop position="0">
          <color theme="9" tint="0.80001220740379042"/>
        </stop>
        <stop position="1">
          <color rgb="FFFFC000"/>
        </stop>
      </gradientFill>
    </fill>
    <fill>
      <patternFill patternType="solid">
        <fgColor theme="9" tint="0.39997558519241921"/>
        <bgColor auto="1"/>
      </patternFill>
    </fill>
    <fill>
      <patternFill patternType="solid">
        <fgColor theme="0" tint="-0.249977111117893"/>
        <bgColor indexed="64"/>
      </patternFill>
    </fill>
    <fill>
      <gradientFill degree="270">
        <stop position="0">
          <color theme="7" tint="0.59999389629810485"/>
        </stop>
        <stop position="1">
          <color theme="7" tint="-0.25098422193060094"/>
        </stop>
      </gradientFill>
    </fill>
    <fill>
      <gradientFill degree="90">
        <stop position="0">
          <color theme="5" tint="0.59999389629810485"/>
        </stop>
        <stop position="1">
          <color theme="5" tint="0.40000610370189521"/>
        </stop>
      </gradientFill>
    </fill>
    <fill>
      <gradientFill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2" tint="-0.249977111117893"/>
        <bgColor auto="1"/>
      </patternFill>
    </fill>
    <fill>
      <patternFill patternType="solid">
        <fgColor theme="2" tint="-0.249977111117893"/>
        <bgColor indexed="64"/>
      </patternFill>
    </fill>
    <fill>
      <gradientFill degree="270">
        <stop position="0">
          <color theme="5" tint="0.40000610370189521"/>
        </stop>
        <stop position="1">
          <color rgb="FFC00000"/>
        </stop>
      </gradient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89">
    <xf numFmtId="0" fontId="0" fillId="0" borderId="0" xfId="0"/>
    <xf numFmtId="0" fontId="2" fillId="0" borderId="0" xfId="0" applyFont="1" applyAlignment="1" applyProtection="1">
      <alignment horizontal="center" vertical="center"/>
      <protection hidden="1"/>
    </xf>
    <xf numFmtId="43" fontId="2" fillId="0" borderId="0" xfId="1" applyFont="1" applyFill="1" applyBorder="1" applyAlignment="1" applyProtection="1">
      <alignment vertical="center"/>
      <protection hidden="1"/>
    </xf>
    <xf numFmtId="43" fontId="2" fillId="0" borderId="0" xfId="1" applyFont="1" applyFill="1" applyBorder="1" applyAlignment="1" applyProtection="1">
      <alignment horizontal="center" vertical="center"/>
      <protection hidden="1"/>
    </xf>
    <xf numFmtId="4" fontId="2" fillId="0" borderId="0" xfId="1" applyNumberFormat="1" applyFont="1" applyFill="1" applyBorder="1" applyAlignment="1" applyProtection="1">
      <alignment vertical="center"/>
      <protection hidden="1"/>
    </xf>
    <xf numFmtId="43" fontId="2" fillId="0" borderId="0" xfId="1" applyFont="1" applyFill="1" applyBorder="1" applyAlignment="1" applyProtection="1">
      <alignment horizontal="left" vertical="center"/>
      <protection hidden="1"/>
    </xf>
    <xf numFmtId="1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 wrapText="1"/>
      <protection hidden="1"/>
    </xf>
    <xf numFmtId="0" fontId="3" fillId="2" borderId="2" xfId="0" applyFont="1" applyFill="1" applyBorder="1" applyAlignment="1" applyProtection="1">
      <alignment vertical="center" wrapText="1"/>
      <protection hidden="1"/>
    </xf>
    <xf numFmtId="43" fontId="4" fillId="3" borderId="2" xfId="1" applyFont="1" applyFill="1" applyBorder="1" applyAlignment="1" applyProtection="1">
      <alignment horizontal="right" vertical="center"/>
      <protection hidden="1"/>
    </xf>
    <xf numFmtId="43" fontId="5" fillId="4" borderId="2" xfId="1" applyFont="1" applyFill="1" applyBorder="1" applyAlignment="1" applyProtection="1">
      <alignment horizontal="left" vertical="center"/>
      <protection hidden="1"/>
    </xf>
    <xf numFmtId="4" fontId="0" fillId="0" borderId="0" xfId="0" applyNumberFormat="1"/>
    <xf numFmtId="4" fontId="2" fillId="6" borderId="0" xfId="1" applyNumberFormat="1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vertical="center" wrapText="1"/>
      <protection hidden="1"/>
    </xf>
    <xf numFmtId="0" fontId="3" fillId="2" borderId="0" xfId="0" applyFont="1" applyFill="1" applyAlignment="1" applyProtection="1">
      <alignment vertical="center" wrapText="1"/>
      <protection hidden="1"/>
    </xf>
    <xf numFmtId="43" fontId="4" fillId="3" borderId="0" xfId="1" applyFont="1" applyFill="1" applyBorder="1" applyAlignment="1" applyProtection="1">
      <alignment horizontal="right" vertical="center"/>
      <protection hidden="1"/>
    </xf>
    <xf numFmtId="10" fontId="4" fillId="9" borderId="0" xfId="2" applyNumberFormat="1" applyFont="1" applyFill="1" applyBorder="1" applyAlignment="1" applyProtection="1">
      <alignment horizontal="center" vertical="center"/>
      <protection hidden="1"/>
    </xf>
    <xf numFmtId="4" fontId="9" fillId="0" borderId="0" xfId="0" applyNumberFormat="1" applyFont="1"/>
    <xf numFmtId="0" fontId="10" fillId="2" borderId="3" xfId="0" applyFont="1" applyFill="1" applyBorder="1" applyAlignment="1" applyProtection="1">
      <alignment vertical="center" wrapText="1"/>
      <protection hidden="1"/>
    </xf>
    <xf numFmtId="0" fontId="10" fillId="2" borderId="0" xfId="0" applyFont="1" applyFill="1" applyAlignment="1" applyProtection="1">
      <alignment vertical="center" wrapText="1"/>
      <protection hidden="1"/>
    </xf>
    <xf numFmtId="43" fontId="11" fillId="10" borderId="0" xfId="1" applyFont="1" applyFill="1" applyBorder="1" applyAlignment="1" applyProtection="1">
      <alignment horizontal="right" vertical="center"/>
      <protection hidden="1"/>
    </xf>
    <xf numFmtId="3" fontId="11" fillId="11" borderId="0" xfId="1" applyNumberFormat="1" applyFont="1" applyFill="1" applyBorder="1" applyAlignment="1" applyProtection="1">
      <alignment horizontal="center" vertical="center"/>
      <protection hidden="1"/>
    </xf>
    <xf numFmtId="4" fontId="12" fillId="0" borderId="0" xfId="0" applyNumberFormat="1" applyFont="1"/>
    <xf numFmtId="43" fontId="12" fillId="6" borderId="0" xfId="1" applyFont="1" applyFill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2" borderId="3" xfId="0" applyFont="1" applyFill="1" applyBorder="1" applyAlignment="1" applyProtection="1">
      <alignment horizontal="left" vertical="center"/>
      <protection hidden="1"/>
    </xf>
    <xf numFmtId="43" fontId="4" fillId="2" borderId="0" xfId="1" applyFont="1" applyFill="1" applyBorder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43" fontId="14" fillId="2" borderId="0" xfId="1" applyFont="1" applyFill="1" applyBorder="1" applyAlignment="1" applyProtection="1">
      <alignment horizontal="right" vertical="center"/>
      <protection hidden="1"/>
    </xf>
    <xf numFmtId="43" fontId="15" fillId="12" borderId="0" xfId="1" applyFont="1" applyFill="1" applyBorder="1" applyAlignment="1" applyProtection="1">
      <alignment horizontal="center" vertical="center" wrapText="1"/>
      <protection hidden="1"/>
    </xf>
    <xf numFmtId="49" fontId="15" fillId="12" borderId="0" xfId="1" applyNumberFormat="1" applyFont="1" applyFill="1" applyBorder="1" applyAlignment="1" applyProtection="1">
      <alignment horizontal="center" vertical="center" wrapText="1"/>
      <protection hidden="1"/>
    </xf>
    <xf numFmtId="1" fontId="15" fillId="12" borderId="0" xfId="1" applyNumberFormat="1" applyFont="1" applyFill="1" applyBorder="1" applyAlignment="1" applyProtection="1">
      <alignment horizontal="center" vertical="center" wrapText="1"/>
      <protection hidden="1"/>
    </xf>
    <xf numFmtId="4" fontId="15" fillId="12" borderId="0" xfId="1" applyNumberFormat="1" applyFont="1" applyFill="1" applyBorder="1" applyAlignment="1" applyProtection="1">
      <alignment horizontal="center" vertical="center" wrapText="1"/>
      <protection hidden="1"/>
    </xf>
    <xf numFmtId="43" fontId="15" fillId="13" borderId="0" xfId="1" applyFont="1" applyFill="1" applyBorder="1" applyAlignment="1" applyProtection="1">
      <alignment horizontal="center" vertical="center" wrapText="1"/>
      <protection hidden="1"/>
    </xf>
    <xf numFmtId="9" fontId="16" fillId="14" borderId="0" xfId="2" applyFont="1" applyFill="1" applyBorder="1" applyAlignment="1" applyProtection="1">
      <alignment horizontal="center" vertical="center" wrapText="1"/>
      <protection hidden="1"/>
    </xf>
    <xf numFmtId="4" fontId="15" fillId="15" borderId="0" xfId="2" applyNumberFormat="1" applyFont="1" applyFill="1" applyBorder="1" applyAlignment="1" applyProtection="1">
      <alignment horizontal="center" vertical="center" wrapText="1"/>
      <protection hidden="1"/>
    </xf>
    <xf numFmtId="10" fontId="15" fillId="12" borderId="0" xfId="2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1" fontId="17" fillId="0" borderId="4" xfId="0" applyNumberFormat="1" applyFont="1" applyBorder="1" applyAlignment="1" applyProtection="1">
      <alignment horizontal="center"/>
      <protection hidden="1"/>
    </xf>
    <xf numFmtId="0" fontId="17" fillId="0" borderId="5" xfId="0" applyFont="1" applyBorder="1" applyAlignment="1" applyProtection="1">
      <alignment horizontal="center" vertical="center"/>
      <protection locked="0"/>
    </xf>
    <xf numFmtId="1" fontId="17" fillId="0" borderId="5" xfId="3" applyNumberFormat="1" applyFont="1" applyFill="1" applyBorder="1" applyAlignment="1" applyProtection="1">
      <alignment horizontal="center" vertical="center"/>
      <protection hidden="1"/>
    </xf>
    <xf numFmtId="1" fontId="17" fillId="0" borderId="4" xfId="3" applyNumberFormat="1" applyFont="1" applyFill="1" applyBorder="1" applyAlignment="1" applyProtection="1">
      <alignment horizontal="center" vertical="center"/>
      <protection hidden="1"/>
    </xf>
    <xf numFmtId="4" fontId="17" fillId="0" borderId="5" xfId="3" applyNumberFormat="1" applyFont="1" applyFill="1" applyBorder="1" applyAlignment="1" applyProtection="1">
      <alignment horizontal="center" vertical="center"/>
      <protection hidden="1"/>
    </xf>
    <xf numFmtId="4" fontId="17" fillId="0" borderId="5" xfId="3" applyNumberFormat="1" applyFont="1" applyFill="1" applyBorder="1" applyAlignment="1" applyProtection="1">
      <alignment horizontal="center"/>
      <protection hidden="1"/>
    </xf>
    <xf numFmtId="164" fontId="17" fillId="0" borderId="5" xfId="3" applyFont="1" applyFill="1" applyBorder="1" applyAlignment="1" applyProtection="1">
      <alignment horizontal="center" vertical="center"/>
      <protection hidden="1"/>
    </xf>
    <xf numFmtId="4" fontId="17" fillId="0" borderId="0" xfId="0" quotePrefix="1" applyNumberFormat="1" applyFont="1" applyAlignment="1">
      <alignment horizontal="center"/>
    </xf>
    <xf numFmtId="4" fontId="17" fillId="16" borderId="5" xfId="3" applyNumberFormat="1" applyFont="1" applyFill="1" applyBorder="1" applyAlignment="1" applyProtection="1">
      <alignment horizontal="center" vertical="center"/>
      <protection hidden="1"/>
    </xf>
    <xf numFmtId="10" fontId="17" fillId="0" borderId="5" xfId="2" applyNumberFormat="1" applyFont="1" applyFill="1" applyBorder="1" applyAlignment="1" applyProtection="1">
      <alignment horizontal="center" vertical="center"/>
      <protection hidden="1"/>
    </xf>
    <xf numFmtId="4" fontId="17" fillId="17" borderId="5" xfId="3" applyNumberFormat="1" applyFont="1" applyFill="1" applyBorder="1" applyAlignment="1" applyProtection="1">
      <alignment horizontal="center" vertical="center"/>
      <protection hidden="1"/>
    </xf>
    <xf numFmtId="10" fontId="18" fillId="18" borderId="5" xfId="2" applyNumberFormat="1" applyFont="1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1" fontId="17" fillId="0" borderId="5" xfId="3" quotePrefix="1" applyNumberFormat="1" applyFont="1" applyFill="1" applyBorder="1" applyAlignment="1" applyProtection="1">
      <alignment horizontal="center" vertical="center"/>
      <protection hidden="1"/>
    </xf>
    <xf numFmtId="4" fontId="17" fillId="0" borderId="6" xfId="3" applyNumberFormat="1" applyFont="1" applyFill="1" applyBorder="1" applyAlignment="1" applyProtection="1">
      <alignment horizontal="center" vertical="center"/>
      <protection hidden="1"/>
    </xf>
    <xf numFmtId="10" fontId="12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/>
    </xf>
    <xf numFmtId="4" fontId="17" fillId="0" borderId="0" xfId="3" applyNumberFormat="1" applyFont="1" applyFill="1" applyBorder="1" applyAlignment="1" applyProtection="1">
      <alignment horizontal="center"/>
      <protection hidden="1"/>
    </xf>
    <xf numFmtId="0" fontId="17" fillId="0" borderId="5" xfId="0" applyFont="1" applyBorder="1" applyAlignment="1">
      <alignment horizontal="center"/>
    </xf>
    <xf numFmtId="10" fontId="17" fillId="19" borderId="5" xfId="2" applyNumberFormat="1" applyFont="1" applyFill="1" applyBorder="1" applyAlignment="1" applyProtection="1">
      <alignment horizontal="center" vertical="center"/>
      <protection hidden="1"/>
    </xf>
    <xf numFmtId="0" fontId="17" fillId="0" borderId="5" xfId="0" quotePrefix="1" applyFont="1" applyBorder="1" applyAlignment="1" applyProtection="1">
      <alignment horizontal="center" vertical="center"/>
      <protection locked="0"/>
    </xf>
    <xf numFmtId="164" fontId="17" fillId="0" borderId="0" xfId="3" applyFont="1" applyFill="1" applyBorder="1" applyAlignment="1" applyProtection="1">
      <alignment horizontal="center" vertical="center"/>
      <protection hidden="1"/>
    </xf>
    <xf numFmtId="43" fontId="17" fillId="0" borderId="5" xfId="1" applyFont="1" applyBorder="1" applyAlignment="1" applyProtection="1">
      <alignment horizontal="center" vertical="center"/>
      <protection hidden="1"/>
    </xf>
    <xf numFmtId="1" fontId="18" fillId="0" borderId="4" xfId="0" applyNumberFormat="1" applyFont="1" applyBorder="1" applyAlignment="1" applyProtection="1">
      <alignment horizontal="center"/>
      <protection hidden="1"/>
    </xf>
    <xf numFmtId="0" fontId="18" fillId="0" borderId="5" xfId="4" applyFont="1" applyBorder="1" applyAlignment="1">
      <alignment horizontal="center" vertical="center"/>
    </xf>
    <xf numFmtId="49" fontId="18" fillId="0" borderId="5" xfId="4" applyNumberFormat="1" applyFont="1" applyBorder="1" applyAlignment="1">
      <alignment horizontal="center" vertical="center"/>
    </xf>
    <xf numFmtId="1" fontId="18" fillId="0" borderId="4" xfId="3" applyNumberFormat="1" applyFont="1" applyFill="1" applyBorder="1" applyAlignment="1" applyProtection="1">
      <alignment horizontal="center" vertical="center"/>
      <protection hidden="1"/>
    </xf>
    <xf numFmtId="4" fontId="18" fillId="0" borderId="5" xfId="3" applyNumberFormat="1" applyFont="1" applyFill="1" applyBorder="1" applyAlignment="1" applyProtection="1">
      <alignment horizontal="center" vertical="center"/>
      <protection hidden="1"/>
    </xf>
    <xf numFmtId="2" fontId="18" fillId="0" borderId="5" xfId="4" applyNumberFormat="1" applyFont="1" applyBorder="1" applyAlignment="1">
      <alignment horizontal="center" vertical="center"/>
    </xf>
    <xf numFmtId="164" fontId="18" fillId="0" borderId="5" xfId="3" applyFont="1" applyFill="1" applyBorder="1" applyAlignment="1" applyProtection="1">
      <alignment horizontal="center" vertical="center"/>
      <protection hidden="1"/>
    </xf>
    <xf numFmtId="4" fontId="18" fillId="0" borderId="0" xfId="0" quotePrefix="1" applyNumberFormat="1" applyFont="1" applyAlignment="1">
      <alignment horizontal="center"/>
    </xf>
    <xf numFmtId="2" fontId="17" fillId="0" borderId="5" xfId="0" applyNumberFormat="1" applyFont="1" applyBorder="1" applyAlignment="1">
      <alignment horizontal="center" vertical="center"/>
    </xf>
    <xf numFmtId="2" fontId="17" fillId="0" borderId="5" xfId="4" applyNumberFormat="1" applyFont="1" applyBorder="1" applyAlignment="1">
      <alignment horizontal="center" vertical="center"/>
    </xf>
    <xf numFmtId="2" fontId="17" fillId="0" borderId="6" xfId="4" applyNumberFormat="1" applyFont="1" applyBorder="1" applyAlignment="1">
      <alignment horizontal="center" vertical="center"/>
    </xf>
    <xf numFmtId="0" fontId="17" fillId="0" borderId="6" xfId="4" quotePrefix="1" applyFont="1" applyBorder="1" applyAlignment="1">
      <alignment horizontal="center" vertical="center"/>
    </xf>
    <xf numFmtId="49" fontId="17" fillId="0" borderId="6" xfId="4" applyNumberFormat="1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20" borderId="0" xfId="0" applyFont="1" applyFill="1" applyAlignment="1" applyProtection="1">
      <alignment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>
      <alignment horizontal="center"/>
    </xf>
    <xf numFmtId="43" fontId="17" fillId="0" borderId="0" xfId="1" applyFont="1" applyBorder="1" applyAlignment="1" applyProtection="1">
      <alignment horizontal="center" vertical="center"/>
      <protection hidden="1"/>
    </xf>
    <xf numFmtId="4" fontId="17" fillId="0" borderId="0" xfId="1" applyNumberFormat="1" applyFont="1" applyBorder="1" applyAlignment="1" applyProtection="1">
      <alignment horizontal="left" vertical="center"/>
      <protection hidden="1"/>
    </xf>
    <xf numFmtId="43" fontId="17" fillId="0" borderId="0" xfId="1" applyFont="1" applyBorder="1" applyAlignment="1" applyProtection="1">
      <alignment vertical="center"/>
      <protection hidden="1"/>
    </xf>
    <xf numFmtId="43" fontId="17" fillId="0" borderId="0" xfId="1" applyFont="1" applyBorder="1" applyAlignment="1" applyProtection="1">
      <alignment horizontal="left" vertical="center"/>
      <protection hidden="1"/>
    </xf>
    <xf numFmtId="10" fontId="17" fillId="0" borderId="0" xfId="2" applyNumberFormat="1" applyFont="1" applyBorder="1" applyAlignment="1" applyProtection="1">
      <alignment vertical="center"/>
      <protection hidden="1"/>
    </xf>
    <xf numFmtId="43" fontId="6" fillId="5" borderId="0" xfId="1" applyFont="1" applyFill="1" applyBorder="1" applyAlignment="1" applyProtection="1">
      <alignment horizontal="center" vertical="center" wrapText="1"/>
      <protection hidden="1"/>
    </xf>
    <xf numFmtId="43" fontId="7" fillId="7" borderId="0" xfId="1" applyFont="1" applyFill="1" applyBorder="1" applyAlignment="1" applyProtection="1">
      <alignment horizontal="center" vertical="center" wrapText="1"/>
      <protection hidden="1"/>
    </xf>
    <xf numFmtId="10" fontId="8" fillId="8" borderId="0" xfId="2" applyNumberFormat="1" applyFont="1" applyFill="1" applyBorder="1" applyAlignment="1" applyProtection="1">
      <alignment horizontal="center" vertical="center"/>
      <protection hidden="1"/>
    </xf>
  </cellXfs>
  <cellStyles count="5">
    <cellStyle name="Normal" xfId="0" builtinId="0"/>
    <cellStyle name="Normal 10" xfId="4" xr:uid="{D9DE7072-3533-4915-BD95-904CBB40F20C}"/>
    <cellStyle name="Porcentagem" xfId="2" builtinId="5"/>
    <cellStyle name="Vírgula" xfId="1" builtinId="3"/>
    <cellStyle name="Vírgula 2 2" xfId="3" xr:uid="{F2B34548-F2CD-4C87-89C5-9E23A36D4D23}"/>
  </cellStyles>
  <dxfs count="24"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100263</xdr:colOff>
      <xdr:row>0</xdr:row>
      <xdr:rowOff>0</xdr:rowOff>
    </xdr:from>
    <xdr:ext cx="2703882" cy="381708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4E67BE8-5BA0-4AE4-A154-64CEC2D6884D}"/>
            </a:ext>
          </a:extLst>
        </xdr:cNvPr>
        <xdr:cNvSpPr txBox="1"/>
      </xdr:nvSpPr>
      <xdr:spPr>
        <a:xfrm>
          <a:off x="170113" y="0"/>
          <a:ext cx="2703882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pt-BR" sz="160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</a:rPr>
            <a:t>POLÍTICA COMERCIAL</a:t>
          </a:r>
        </a:p>
      </xdr:txBody>
    </xdr:sp>
    <xdr:clientData/>
  </xdr:oneCellAnchor>
  <xdr:oneCellAnchor>
    <xdr:from>
      <xdr:col>2</xdr:col>
      <xdr:colOff>167106</xdr:colOff>
      <xdr:row>1</xdr:row>
      <xdr:rowOff>204000</xdr:rowOff>
    </xdr:from>
    <xdr:ext cx="1566711" cy="45397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183F38C-A6FE-4056-9AC9-19CB11EF63D5}"/>
            </a:ext>
          </a:extLst>
        </xdr:cNvPr>
        <xdr:cNvSpPr txBox="1"/>
      </xdr:nvSpPr>
      <xdr:spPr>
        <a:xfrm>
          <a:off x="706856" y="248450"/>
          <a:ext cx="1566711" cy="4539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pt-BR" sz="200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</a:rPr>
            <a:t>LEGRAND</a:t>
          </a:r>
        </a:p>
      </xdr:txBody>
    </xdr:sp>
    <xdr:clientData/>
  </xdr:oneCellAnchor>
  <xdr:oneCellAnchor>
    <xdr:from>
      <xdr:col>1</xdr:col>
      <xdr:colOff>111820</xdr:colOff>
      <xdr:row>3</xdr:row>
      <xdr:rowOff>108285</xdr:rowOff>
    </xdr:from>
    <xdr:ext cx="2527615" cy="282193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88F02C5-5474-4C7A-AFB3-F8903FD6D45D}"/>
            </a:ext>
          </a:extLst>
        </xdr:cNvPr>
        <xdr:cNvSpPr txBox="1"/>
      </xdr:nvSpPr>
      <xdr:spPr>
        <a:xfrm>
          <a:off x="178495" y="571835"/>
          <a:ext cx="2527615" cy="282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pt-BR" sz="1050" b="1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</a:rPr>
            <a:t>Validade: </a:t>
          </a:r>
          <a:r>
            <a:rPr lang="pt-BR" sz="1050" b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01</a:t>
          </a:r>
          <a:r>
            <a:rPr lang="pt-BR" sz="105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/01/2026</a:t>
          </a:r>
          <a:r>
            <a:rPr lang="pt-BR" sz="105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05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até 31/12/2026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0059891\AppData\Local\Microsoft\Windows\INetCache\Content.Outlook\DKYT33HP\Form.%20Pedido%20UNIFICADO%20-%20JUN_26%20-%20LEGRAND%20+%20EMS%20OTC.xlsm" TargetMode="External"/><Relationship Id="rId1" Type="http://schemas.openxmlformats.org/officeDocument/2006/relationships/externalLinkPath" Target="file:///C:\Users\g0059891\AppData\Local\Microsoft\Windows\INetCache\Content.Outlook\DKYT33HP\Form.%20Pedido%20UNIFICADO%20-%20JUN_26%20-%20LEGRAND%20+%20EMS%20OT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users\Marketing\Publico\Vendas%20EMS%20MARCAS\CAROL\LEGRAND\Politica%20Comercial_062025_LEGRAND.xlsx" TargetMode="External"/><Relationship Id="rId1" Type="http://schemas.openxmlformats.org/officeDocument/2006/relationships/externalLinkPath" Target="file:///V:\users\Marketing\Publico\Vendas%20EMS%20MARCAS\CAROL\LEGRAND\Politica%20Comercial_062025_LEGR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ÁRIO"/>
      <sheetName val="SIMULADOR"/>
      <sheetName val="FECP-RJ"/>
      <sheetName val="Imp - Fat. Liquido"/>
      <sheetName val="Im Importação - Fat. Bruto"/>
      <sheetName val="Chave"/>
      <sheetName val="Proc Atualização Imposto"/>
      <sheetName val="Orçamento e Travados"/>
      <sheetName val="TABELA_PREÇOS"/>
      <sheetName val="POLITICA"/>
      <sheetName val="ajuste venancio"/>
      <sheetName val="Planilha2"/>
      <sheetName val="Planilha3"/>
      <sheetName val="POLITICA REDES"/>
      <sheetName val="Planilha1"/>
      <sheetName val="LEGRAND COMERCIAL"/>
      <sheetName val="REPASSE"/>
      <sheetName val="CLASSIFICAÇÃO CLIENTE"/>
      <sheetName val="Grade Redes"/>
      <sheetName val="Cluster 2021"/>
      <sheetName val="Custo"/>
      <sheetName val="Desconto GRegional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</row>
        <row r="3">
          <cell r="B3" t="str">
            <v>CÓDIGO</v>
          </cell>
          <cell r="C3" t="str">
            <v>EAN</v>
          </cell>
          <cell r="D3" t="str">
            <v>CATEGORIA</v>
          </cell>
          <cell r="E3" t="str">
            <v>FAMILIA</v>
          </cell>
          <cell r="F3" t="str">
            <v>ESTRATEGIA COMERCIAL</v>
          </cell>
          <cell r="G3" t="str">
            <v>PRODUTO</v>
          </cell>
          <cell r="H3" t="str">
            <v>APRESENTAÇÃO</v>
          </cell>
          <cell r="I3" t="str">
            <v>ICMS</v>
          </cell>
          <cell r="J3" t="str">
            <v>LISTA</v>
          </cell>
          <cell r="K3" t="str">
            <v>PF</v>
          </cell>
          <cell r="L3" t="str">
            <v>PF</v>
          </cell>
          <cell r="M3" t="str">
            <v>PF</v>
          </cell>
          <cell r="N3" t="str">
            <v>PF</v>
          </cell>
          <cell r="O3" t="str">
            <v>PF</v>
          </cell>
          <cell r="P3" t="str">
            <v>PF</v>
          </cell>
          <cell r="Q3" t="str">
            <v>PF</v>
          </cell>
          <cell r="R3" t="str">
            <v>PF</v>
          </cell>
          <cell r="S3" t="str">
            <v>PF</v>
          </cell>
          <cell r="T3" t="str">
            <v>PF</v>
          </cell>
          <cell r="U3" t="str">
            <v>PF</v>
          </cell>
          <cell r="V3" t="str">
            <v>PF</v>
          </cell>
          <cell r="W3" t="str">
            <v>CAIXA PADRÃO</v>
          </cell>
        </row>
        <row r="4">
          <cell r="B4" t="str">
            <v>COD.</v>
          </cell>
          <cell r="C4" t="str">
            <v>EAN</v>
          </cell>
          <cell r="D4" t="str">
            <v>CATEGORIA</v>
          </cell>
          <cell r="E4" t="str">
            <v>FAMILIA</v>
          </cell>
          <cell r="F4" t="str">
            <v>EST. COM.</v>
          </cell>
          <cell r="G4" t="str">
            <v>DESCRIÇÃO</v>
          </cell>
          <cell r="H4" t="str">
            <v>APRESENTAÇÃO</v>
          </cell>
          <cell r="I4" t="str">
            <v>LINHA</v>
          </cell>
          <cell r="J4" t="str">
            <v>LISTA</v>
          </cell>
          <cell r="K4">
            <v>0.23</v>
          </cell>
          <cell r="L4">
            <v>0.22500000000000001</v>
          </cell>
          <cell r="M4">
            <v>0.22</v>
          </cell>
          <cell r="N4">
            <v>0.21</v>
          </cell>
          <cell r="O4">
            <v>0.20499999999999999</v>
          </cell>
          <cell r="P4">
            <v>0.2</v>
          </cell>
          <cell r="Q4">
            <v>0.19500000000000001</v>
          </cell>
          <cell r="R4">
            <v>0.19</v>
          </cell>
          <cell r="S4">
            <v>0.18</v>
          </cell>
          <cell r="T4">
            <v>0.17499999999999999</v>
          </cell>
          <cell r="U4">
            <v>0.17</v>
          </cell>
          <cell r="V4">
            <v>0.12</v>
          </cell>
          <cell r="W4" t="str">
            <v>CAIXA PADRÃO</v>
          </cell>
        </row>
        <row r="5">
          <cell r="B5">
            <v>32026</v>
          </cell>
          <cell r="C5" t="str">
            <v>7896004813226</v>
          </cell>
          <cell r="D5" t="str">
            <v>SAUDE FEMININA</v>
          </cell>
          <cell r="E5" t="str">
            <v>CANDERM</v>
          </cell>
          <cell r="F5" t="str">
            <v>OUTROS</v>
          </cell>
          <cell r="G5" t="str">
            <v>CANDERM  250MG COMP</v>
          </cell>
          <cell r="H5" t="str">
            <v>2 BL X 10</v>
          </cell>
          <cell r="I5" t="str">
            <v>TAR</v>
          </cell>
          <cell r="J5" t="str">
            <v>POSITIVA</v>
          </cell>
          <cell r="K5">
            <v>20.73</v>
          </cell>
          <cell r="L5">
            <v>20.59</v>
          </cell>
          <cell r="M5">
            <v>20.46</v>
          </cell>
          <cell r="N5">
            <v>20.2</v>
          </cell>
          <cell r="O5">
            <v>20.079999999999998</v>
          </cell>
          <cell r="P5">
            <v>19.95</v>
          </cell>
          <cell r="Q5">
            <v>19.829999999999998</v>
          </cell>
          <cell r="R5">
            <v>19.7</v>
          </cell>
          <cell r="S5">
            <v>19.46</v>
          </cell>
          <cell r="T5">
            <v>19.350000000000001</v>
          </cell>
          <cell r="U5">
            <v>19.23</v>
          </cell>
          <cell r="V5">
            <v>18.14</v>
          </cell>
          <cell r="W5">
            <v>60</v>
          </cell>
        </row>
        <row r="6">
          <cell r="B6">
            <v>32027</v>
          </cell>
          <cell r="C6" t="str">
            <v>7896004707570</v>
          </cell>
          <cell r="D6" t="str">
            <v>SAUDE FEMININA</v>
          </cell>
          <cell r="E6" t="str">
            <v>CANDERM</v>
          </cell>
          <cell r="F6" t="str">
            <v>OUTROS</v>
          </cell>
          <cell r="G6" t="str">
            <v>CANDERM 400MG COMP</v>
          </cell>
          <cell r="H6" t="str">
            <v>2 BL X 10</v>
          </cell>
          <cell r="I6" t="str">
            <v>TAR</v>
          </cell>
          <cell r="J6" t="str">
            <v>POSITIVA</v>
          </cell>
          <cell r="K6">
            <v>28.68</v>
          </cell>
          <cell r="L6">
            <v>28.49</v>
          </cell>
          <cell r="M6">
            <v>28.31</v>
          </cell>
          <cell r="N6">
            <v>27.95</v>
          </cell>
          <cell r="O6">
            <v>27.77</v>
          </cell>
          <cell r="P6">
            <v>27.6</v>
          </cell>
          <cell r="Q6">
            <v>27.43</v>
          </cell>
          <cell r="R6">
            <v>27.26</v>
          </cell>
          <cell r="S6">
            <v>26.93</v>
          </cell>
          <cell r="T6">
            <v>26.76</v>
          </cell>
          <cell r="U6">
            <v>26.6</v>
          </cell>
          <cell r="V6">
            <v>25.09</v>
          </cell>
          <cell r="W6">
            <v>60</v>
          </cell>
        </row>
        <row r="7">
          <cell r="B7">
            <v>31287</v>
          </cell>
          <cell r="C7" t="str">
            <v>7896004732510</v>
          </cell>
          <cell r="D7" t="str">
            <v>OUTROS</v>
          </cell>
          <cell r="E7" t="str">
            <v>CARVEGRAN</v>
          </cell>
          <cell r="F7" t="str">
            <v>OUTROS</v>
          </cell>
          <cell r="G7" t="str">
            <v>CARVEGRAN 25MG</v>
          </cell>
          <cell r="H7" t="str">
            <v>2 BLT X 15 COMP</v>
          </cell>
          <cell r="I7" t="str">
            <v>TAR</v>
          </cell>
          <cell r="J7" t="str">
            <v>POSITIVA</v>
          </cell>
          <cell r="K7">
            <v>75.08</v>
          </cell>
          <cell r="L7">
            <v>74.59</v>
          </cell>
          <cell r="M7">
            <v>74.12</v>
          </cell>
          <cell r="N7">
            <v>73.180000000000007</v>
          </cell>
          <cell r="O7">
            <v>72.72</v>
          </cell>
          <cell r="P7">
            <v>72.260000000000005</v>
          </cell>
          <cell r="Q7">
            <v>71.81</v>
          </cell>
          <cell r="R7">
            <v>71.37</v>
          </cell>
          <cell r="S7">
            <v>70.5</v>
          </cell>
          <cell r="T7">
            <v>70.069999999999993</v>
          </cell>
          <cell r="U7">
            <v>69.650000000000006</v>
          </cell>
          <cell r="V7">
            <v>65.69</v>
          </cell>
          <cell r="W7">
            <v>84</v>
          </cell>
        </row>
        <row r="8">
          <cell r="B8">
            <v>31281</v>
          </cell>
          <cell r="C8" t="str">
            <v>7896004732442</v>
          </cell>
          <cell r="D8" t="str">
            <v>OUTROS</v>
          </cell>
          <cell r="E8" t="str">
            <v>CARVEGRAN</v>
          </cell>
          <cell r="F8" t="str">
            <v>OUTROS</v>
          </cell>
          <cell r="G8" t="str">
            <v>CARVEGRAN 3,125MG</v>
          </cell>
          <cell r="H8" t="str">
            <v>2 BLT X 15 COMP</v>
          </cell>
          <cell r="I8" t="str">
            <v>TAR</v>
          </cell>
          <cell r="J8" t="str">
            <v>POSITIVA</v>
          </cell>
          <cell r="K8">
            <v>33.03</v>
          </cell>
          <cell r="L8">
            <v>32.81</v>
          </cell>
          <cell r="M8">
            <v>32.6</v>
          </cell>
          <cell r="N8">
            <v>32.19</v>
          </cell>
          <cell r="O8">
            <v>31.99</v>
          </cell>
          <cell r="P8">
            <v>31.79</v>
          </cell>
          <cell r="Q8">
            <v>31.59</v>
          </cell>
          <cell r="R8">
            <v>31.4</v>
          </cell>
          <cell r="S8">
            <v>31.01</v>
          </cell>
          <cell r="T8">
            <v>30.82</v>
          </cell>
          <cell r="U8">
            <v>30.64</v>
          </cell>
          <cell r="V8">
            <v>28.9</v>
          </cell>
          <cell r="W8">
            <v>84</v>
          </cell>
        </row>
        <row r="9">
          <cell r="B9">
            <v>32085</v>
          </cell>
          <cell r="C9" t="str">
            <v>7896004718309</v>
          </cell>
          <cell r="D9" t="str">
            <v>OUTROS</v>
          </cell>
          <cell r="E9" t="str">
            <v>CEDROXIL</v>
          </cell>
          <cell r="F9" t="str">
            <v>OUTROS</v>
          </cell>
          <cell r="G9" t="str">
            <v xml:space="preserve">CEDROXIL </v>
          </cell>
          <cell r="H9" t="str">
            <v>500MG CAPS 1 BL X 8</v>
          </cell>
          <cell r="I9" t="str">
            <v>TAR</v>
          </cell>
          <cell r="J9" t="str">
            <v>POSITIVA</v>
          </cell>
          <cell r="K9">
            <v>59.4</v>
          </cell>
          <cell r="L9">
            <v>59.02</v>
          </cell>
          <cell r="M9">
            <v>58.64</v>
          </cell>
          <cell r="N9">
            <v>57.9</v>
          </cell>
          <cell r="O9">
            <v>57.53</v>
          </cell>
          <cell r="P9">
            <v>57.18</v>
          </cell>
          <cell r="Q9">
            <v>56.82</v>
          </cell>
          <cell r="R9">
            <v>56.47</v>
          </cell>
          <cell r="S9">
            <v>55.78</v>
          </cell>
          <cell r="T9">
            <v>55.44</v>
          </cell>
          <cell r="U9">
            <v>55.11</v>
          </cell>
          <cell r="V9">
            <v>51.98</v>
          </cell>
          <cell r="W9">
            <v>48</v>
          </cell>
        </row>
        <row r="10">
          <cell r="B10">
            <v>32338</v>
          </cell>
          <cell r="C10" t="str">
            <v>7896004706528</v>
          </cell>
          <cell r="D10" t="str">
            <v>INVERNO</v>
          </cell>
          <cell r="E10" t="str">
            <v>CELERG</v>
          </cell>
          <cell r="F10" t="str">
            <v>OUTROS</v>
          </cell>
          <cell r="G10" t="str">
            <v xml:space="preserve">CELERG </v>
          </cell>
          <cell r="H10" t="str">
            <v>COMP. 2 BL X 10</v>
          </cell>
          <cell r="I10" t="str">
            <v>TAR</v>
          </cell>
          <cell r="J10" t="str">
            <v>NEGATIVA</v>
          </cell>
          <cell r="K10">
            <v>22.12</v>
          </cell>
          <cell r="L10">
            <v>21.98</v>
          </cell>
          <cell r="M10">
            <v>21.84</v>
          </cell>
          <cell r="N10">
            <v>21.56</v>
          </cell>
          <cell r="O10">
            <v>21.42</v>
          </cell>
          <cell r="P10">
            <v>21.29</v>
          </cell>
          <cell r="Q10">
            <v>21.16</v>
          </cell>
          <cell r="R10">
            <v>21.03</v>
          </cell>
          <cell r="S10">
            <v>20.77</v>
          </cell>
          <cell r="T10">
            <v>20.64</v>
          </cell>
          <cell r="U10">
            <v>20.52</v>
          </cell>
          <cell r="V10">
            <v>19.350000000000001</v>
          </cell>
          <cell r="W10">
            <v>60</v>
          </cell>
        </row>
        <row r="11">
          <cell r="B11">
            <v>31048</v>
          </cell>
          <cell r="C11" t="str">
            <v>7896004706559</v>
          </cell>
          <cell r="D11" t="str">
            <v>INVERNO</v>
          </cell>
          <cell r="E11" t="str">
            <v>CELERG</v>
          </cell>
          <cell r="F11" t="str">
            <v>OUTROS</v>
          </cell>
          <cell r="G11" t="str">
            <v>CELERG XAROPE</v>
          </cell>
          <cell r="H11" t="str">
            <v>FR X 120 ML</v>
          </cell>
          <cell r="I11" t="str">
            <v>TAR</v>
          </cell>
          <cell r="J11" t="str">
            <v>NEGATIVA</v>
          </cell>
          <cell r="K11">
            <v>30.69</v>
          </cell>
          <cell r="L11">
            <v>30.49</v>
          </cell>
          <cell r="M11">
            <v>30.3</v>
          </cell>
          <cell r="N11">
            <v>29.91</v>
          </cell>
          <cell r="O11">
            <v>29.73</v>
          </cell>
          <cell r="P11">
            <v>29.54</v>
          </cell>
          <cell r="Q11">
            <v>29.36</v>
          </cell>
          <cell r="R11">
            <v>29.18</v>
          </cell>
          <cell r="S11">
            <v>28.82</v>
          </cell>
          <cell r="T11">
            <v>28.65</v>
          </cell>
          <cell r="U11">
            <v>28.47</v>
          </cell>
          <cell r="V11">
            <v>26.86</v>
          </cell>
          <cell r="W11">
            <v>60</v>
          </cell>
        </row>
        <row r="12">
          <cell r="B12">
            <v>31153</v>
          </cell>
          <cell r="C12" t="str">
            <v>7896004726199</v>
          </cell>
          <cell r="D12" t="str">
            <v>DERMA</v>
          </cell>
          <cell r="E12" t="str">
            <v>CLEANKINOL</v>
          </cell>
          <cell r="F12" t="str">
            <v>OUTROS</v>
          </cell>
          <cell r="G12" t="str">
            <v>CLEANKINOL 40MG/G CREME</v>
          </cell>
          <cell r="H12" t="str">
            <v>BISN X 30 G</v>
          </cell>
          <cell r="I12" t="str">
            <v>TAR</v>
          </cell>
          <cell r="J12" t="str">
            <v>NEGATIVA</v>
          </cell>
          <cell r="K12">
            <v>51.71</v>
          </cell>
          <cell r="L12">
            <v>51.38</v>
          </cell>
          <cell r="M12">
            <v>51.05</v>
          </cell>
          <cell r="N12">
            <v>50.4</v>
          </cell>
          <cell r="O12">
            <v>50.09</v>
          </cell>
          <cell r="P12">
            <v>49.77</v>
          </cell>
          <cell r="Q12">
            <v>49.46</v>
          </cell>
          <cell r="R12">
            <v>49.16</v>
          </cell>
          <cell r="S12">
            <v>48.56</v>
          </cell>
          <cell r="T12">
            <v>48.27</v>
          </cell>
          <cell r="U12">
            <v>47.97</v>
          </cell>
          <cell r="V12">
            <v>45.25</v>
          </cell>
          <cell r="W12">
            <v>42</v>
          </cell>
        </row>
        <row r="13">
          <cell r="B13">
            <v>31118</v>
          </cell>
          <cell r="C13" t="str">
            <v>7896004724157</v>
          </cell>
          <cell r="D13" t="str">
            <v>GASTROINTESTINAL</v>
          </cell>
          <cell r="E13" t="str">
            <v>DOMPGRAN</v>
          </cell>
          <cell r="F13" t="str">
            <v>OUTROS</v>
          </cell>
          <cell r="G13" t="str">
            <v>DOMPGRAN 10MG</v>
          </cell>
          <cell r="H13" t="str">
            <v>2 BLT X 15 COMP</v>
          </cell>
          <cell r="I13" t="str">
            <v>TAR</v>
          </cell>
          <cell r="J13" t="str">
            <v>NEGATIVA</v>
          </cell>
          <cell r="K13">
            <v>20.28</v>
          </cell>
          <cell r="L13">
            <v>20.149999999999999</v>
          </cell>
          <cell r="M13">
            <v>20.02</v>
          </cell>
          <cell r="N13">
            <v>19.760000000000002</v>
          </cell>
          <cell r="O13">
            <v>19.64</v>
          </cell>
          <cell r="P13">
            <v>19.52</v>
          </cell>
          <cell r="Q13">
            <v>19.39</v>
          </cell>
          <cell r="R13">
            <v>19.28</v>
          </cell>
          <cell r="S13">
            <v>19.04</v>
          </cell>
          <cell r="T13">
            <v>18.920000000000002</v>
          </cell>
          <cell r="U13">
            <v>18.809999999999999</v>
          </cell>
          <cell r="V13">
            <v>17.739999999999998</v>
          </cell>
          <cell r="W13">
            <v>84</v>
          </cell>
        </row>
        <row r="14">
          <cell r="B14">
            <v>31262</v>
          </cell>
          <cell r="C14" t="str">
            <v>7896004731674</v>
          </cell>
          <cell r="D14" t="str">
            <v>INVERNO</v>
          </cell>
          <cell r="E14" t="str">
            <v>EXPECTAMIN</v>
          </cell>
          <cell r="F14" t="str">
            <v>SUPER MARCAS</v>
          </cell>
          <cell r="G14" t="str">
            <v xml:space="preserve">EXPECTAMIN </v>
          </cell>
          <cell r="H14" t="str">
            <v>0,4MG + 4,0MG + 20MG/ML XPE FR X 120 ML</v>
          </cell>
          <cell r="I14" t="str">
            <v>TAR</v>
          </cell>
          <cell r="J14" t="str">
            <v>NEGATIVA</v>
          </cell>
          <cell r="K14">
            <v>26.97</v>
          </cell>
          <cell r="L14">
            <v>26.8</v>
          </cell>
          <cell r="M14">
            <v>26.63</v>
          </cell>
          <cell r="N14">
            <v>26.29</v>
          </cell>
          <cell r="O14">
            <v>26.13</v>
          </cell>
          <cell r="P14">
            <v>25.96</v>
          </cell>
          <cell r="Q14">
            <v>25.8</v>
          </cell>
          <cell r="R14">
            <v>25.64</v>
          </cell>
          <cell r="S14">
            <v>25.33</v>
          </cell>
          <cell r="T14">
            <v>25.18</v>
          </cell>
          <cell r="U14">
            <v>25.02</v>
          </cell>
          <cell r="V14">
            <v>23.6</v>
          </cell>
          <cell r="W14">
            <v>60</v>
          </cell>
        </row>
        <row r="15">
          <cell r="B15">
            <v>31713</v>
          </cell>
          <cell r="C15" t="str">
            <v>7896004756721</v>
          </cell>
          <cell r="D15" t="str">
            <v>INVERNO</v>
          </cell>
          <cell r="E15" t="str">
            <v>INALAJET</v>
          </cell>
          <cell r="F15" t="str">
            <v>OUTROS</v>
          </cell>
          <cell r="G15" t="str">
            <v xml:space="preserve">INALAJET SUS SPR NAS </v>
          </cell>
          <cell r="H15" t="str">
            <v xml:space="preserve">32MCG/DOSE </v>
          </cell>
          <cell r="I15" t="str">
            <v>TAR</v>
          </cell>
          <cell r="J15" t="str">
            <v>POSITIVA</v>
          </cell>
          <cell r="K15">
            <v>24.83</v>
          </cell>
          <cell r="L15">
            <v>24.67</v>
          </cell>
          <cell r="M15">
            <v>24.51</v>
          </cell>
          <cell r="N15">
            <v>24.2</v>
          </cell>
          <cell r="O15">
            <v>24.05</v>
          </cell>
          <cell r="P15">
            <v>23.9</v>
          </cell>
          <cell r="Q15">
            <v>23.75</v>
          </cell>
          <cell r="R15">
            <v>23.6</v>
          </cell>
          <cell r="S15">
            <v>23.32</v>
          </cell>
          <cell r="T15">
            <v>23.18</v>
          </cell>
          <cell r="U15">
            <v>23.04</v>
          </cell>
          <cell r="V15">
            <v>21.73</v>
          </cell>
          <cell r="W15">
            <v>60</v>
          </cell>
        </row>
        <row r="16">
          <cell r="B16">
            <v>31714</v>
          </cell>
          <cell r="C16" t="str">
            <v>7896004756738</v>
          </cell>
          <cell r="D16" t="str">
            <v>INVERNO</v>
          </cell>
          <cell r="E16" t="str">
            <v>INALAJET</v>
          </cell>
          <cell r="F16" t="str">
            <v>OUTROS</v>
          </cell>
          <cell r="G16" t="str">
            <v xml:space="preserve">INALAJET SUS SPR NAS </v>
          </cell>
          <cell r="H16" t="str">
            <v xml:space="preserve">64MCG/DOSE </v>
          </cell>
          <cell r="I16" t="str">
            <v>TAR</v>
          </cell>
          <cell r="J16" t="str">
            <v>POSITIVA</v>
          </cell>
          <cell r="K16">
            <v>44.04</v>
          </cell>
          <cell r="L16">
            <v>43.75</v>
          </cell>
          <cell r="M16">
            <v>43.47</v>
          </cell>
          <cell r="N16">
            <v>42.92</v>
          </cell>
          <cell r="O16">
            <v>42.65</v>
          </cell>
          <cell r="P16">
            <v>42.39</v>
          </cell>
          <cell r="Q16">
            <v>42.12</v>
          </cell>
          <cell r="R16">
            <v>41.86</v>
          </cell>
          <cell r="S16">
            <v>41.35</v>
          </cell>
          <cell r="T16">
            <v>41.1</v>
          </cell>
          <cell r="U16">
            <v>40.86</v>
          </cell>
          <cell r="V16">
            <v>38.53</v>
          </cell>
          <cell r="W16">
            <v>60</v>
          </cell>
        </row>
        <row r="17">
          <cell r="B17">
            <v>31222</v>
          </cell>
          <cell r="C17" t="str">
            <v>7896004729985</v>
          </cell>
          <cell r="D17" t="str">
            <v>DOR</v>
          </cell>
          <cell r="E17" t="str">
            <v>MIOFIBRAX</v>
          </cell>
          <cell r="F17" t="str">
            <v>OUTROS</v>
          </cell>
          <cell r="G17" t="str">
            <v xml:space="preserve">MIOFIBRAX </v>
          </cell>
          <cell r="H17" t="str">
            <v>10MG 1 BLT X 15 COMP REV</v>
          </cell>
          <cell r="I17" t="str">
            <v>TAR</v>
          </cell>
          <cell r="J17" t="str">
            <v>NEGATIVA</v>
          </cell>
          <cell r="K17">
            <v>19.239999999999998</v>
          </cell>
          <cell r="L17">
            <v>19.12</v>
          </cell>
          <cell r="M17">
            <v>19</v>
          </cell>
          <cell r="N17">
            <v>18.760000000000002</v>
          </cell>
          <cell r="O17">
            <v>18.64</v>
          </cell>
          <cell r="P17">
            <v>18.52</v>
          </cell>
          <cell r="Q17">
            <v>18.41</v>
          </cell>
          <cell r="R17">
            <v>18.29</v>
          </cell>
          <cell r="S17">
            <v>18.07</v>
          </cell>
          <cell r="T17">
            <v>17.96</v>
          </cell>
          <cell r="U17">
            <v>17.850000000000001</v>
          </cell>
          <cell r="V17">
            <v>16.84</v>
          </cell>
          <cell r="W17">
            <v>48</v>
          </cell>
        </row>
        <row r="18">
          <cell r="B18">
            <v>33019</v>
          </cell>
          <cell r="C18" t="str">
            <v>7896004709178</v>
          </cell>
          <cell r="D18" t="str">
            <v>DERMA</v>
          </cell>
          <cell r="E18" t="str">
            <v>ONCILEG</v>
          </cell>
          <cell r="F18" t="str">
            <v>OUTROS</v>
          </cell>
          <cell r="G18" t="str">
            <v xml:space="preserve">ONCILEG </v>
          </cell>
          <cell r="H18" t="str">
            <v>30G CREME BIS X 30G</v>
          </cell>
          <cell r="I18" t="str">
            <v>TAR</v>
          </cell>
          <cell r="J18" t="str">
            <v>NEGATIVA</v>
          </cell>
          <cell r="K18">
            <v>33.36</v>
          </cell>
          <cell r="L18">
            <v>33.15</v>
          </cell>
          <cell r="M18">
            <v>32.94</v>
          </cell>
          <cell r="N18">
            <v>32.520000000000003</v>
          </cell>
          <cell r="O18">
            <v>32.32</v>
          </cell>
          <cell r="P18">
            <v>32.11</v>
          </cell>
          <cell r="Q18">
            <v>31.91</v>
          </cell>
          <cell r="R18">
            <v>31.72</v>
          </cell>
          <cell r="S18">
            <v>31.33</v>
          </cell>
          <cell r="T18">
            <v>31.14</v>
          </cell>
          <cell r="U18">
            <v>30.95</v>
          </cell>
          <cell r="V18">
            <v>29.19</v>
          </cell>
          <cell r="W18">
            <v>42</v>
          </cell>
        </row>
        <row r="19">
          <cell r="B19">
            <v>33018</v>
          </cell>
          <cell r="C19" t="str">
            <v>7896004709161</v>
          </cell>
          <cell r="D19" t="str">
            <v>DERMA</v>
          </cell>
          <cell r="E19" t="str">
            <v>ONCILEG</v>
          </cell>
          <cell r="F19" t="str">
            <v>OUTROS</v>
          </cell>
          <cell r="G19" t="str">
            <v>ONCILEG 30G POMADA</v>
          </cell>
          <cell r="H19" t="str">
            <v>BIS X 30G</v>
          </cell>
          <cell r="I19" t="str">
            <v>TAR</v>
          </cell>
          <cell r="J19" t="str">
            <v>NEGATIVA</v>
          </cell>
          <cell r="K19">
            <v>32.770000000000003</v>
          </cell>
          <cell r="L19">
            <v>32.549999999999997</v>
          </cell>
          <cell r="M19">
            <v>32.35</v>
          </cell>
          <cell r="N19">
            <v>31.94</v>
          </cell>
          <cell r="O19">
            <v>31.74</v>
          </cell>
          <cell r="P19">
            <v>31.54</v>
          </cell>
          <cell r="Q19">
            <v>31.34</v>
          </cell>
          <cell r="R19">
            <v>31.15</v>
          </cell>
          <cell r="S19">
            <v>30.77</v>
          </cell>
          <cell r="T19">
            <v>30.58</v>
          </cell>
          <cell r="U19">
            <v>30.4</v>
          </cell>
          <cell r="V19">
            <v>28.67</v>
          </cell>
          <cell r="W19">
            <v>42</v>
          </cell>
        </row>
        <row r="20">
          <cell r="B20">
            <v>31084</v>
          </cell>
          <cell r="C20" t="str">
            <v>7896004722689</v>
          </cell>
          <cell r="D20" t="str">
            <v>GASTROINTESTINAL</v>
          </cell>
          <cell r="E20" t="str">
            <v>ONCILEG A</v>
          </cell>
          <cell r="F20" t="str">
            <v>OUTROS</v>
          </cell>
          <cell r="G20" t="str">
            <v>ONCILEG A 1MG/G POMADA</v>
          </cell>
          <cell r="H20" t="str">
            <v>BISN X 10G</v>
          </cell>
          <cell r="I20" t="str">
            <v>TAR</v>
          </cell>
          <cell r="J20" t="str">
            <v>POSITIVA</v>
          </cell>
          <cell r="K20">
            <v>13.48</v>
          </cell>
          <cell r="L20">
            <v>13.39</v>
          </cell>
          <cell r="M20">
            <v>13.31</v>
          </cell>
          <cell r="N20">
            <v>13.14</v>
          </cell>
          <cell r="O20">
            <v>13.06</v>
          </cell>
          <cell r="P20">
            <v>12.98</v>
          </cell>
          <cell r="Q20">
            <v>12.89</v>
          </cell>
          <cell r="R20">
            <v>12.81</v>
          </cell>
          <cell r="S20">
            <v>12.66</v>
          </cell>
          <cell r="T20">
            <v>12.58</v>
          </cell>
          <cell r="U20">
            <v>12.51</v>
          </cell>
          <cell r="V20">
            <v>11.8</v>
          </cell>
          <cell r="W20">
            <v>56</v>
          </cell>
        </row>
        <row r="21">
          <cell r="B21">
            <v>31055</v>
          </cell>
          <cell r="C21" t="str">
            <v>7896004716640</v>
          </cell>
          <cell r="D21" t="str">
            <v>DOR</v>
          </cell>
          <cell r="E21" t="str">
            <v>PONSDRIL</v>
          </cell>
          <cell r="F21" t="str">
            <v>OUTROS</v>
          </cell>
          <cell r="G21" t="str">
            <v xml:space="preserve">PONSDRIL 500MG </v>
          </cell>
          <cell r="H21" t="str">
            <v>24 COMP</v>
          </cell>
          <cell r="I21" t="str">
            <v>TAR</v>
          </cell>
          <cell r="J21" t="str">
            <v>POSITIVA</v>
          </cell>
          <cell r="K21">
            <v>24.86</v>
          </cell>
          <cell r="L21">
            <v>24.7</v>
          </cell>
          <cell r="M21">
            <v>24.54</v>
          </cell>
          <cell r="N21">
            <v>24.23</v>
          </cell>
          <cell r="O21">
            <v>24.08</v>
          </cell>
          <cell r="P21">
            <v>23.93</v>
          </cell>
          <cell r="Q21">
            <v>23.78</v>
          </cell>
          <cell r="R21">
            <v>23.63</v>
          </cell>
          <cell r="S21">
            <v>23.34</v>
          </cell>
          <cell r="T21">
            <v>23.2</v>
          </cell>
          <cell r="U21">
            <v>23.06</v>
          </cell>
          <cell r="V21">
            <v>21.75</v>
          </cell>
          <cell r="W21">
            <v>48</v>
          </cell>
        </row>
        <row r="22">
          <cell r="B22">
            <v>31686</v>
          </cell>
          <cell r="C22" t="str">
            <v>7896004755410</v>
          </cell>
          <cell r="D22" t="str">
            <v>GASTROINTESTINAL</v>
          </cell>
          <cell r="E22" t="str">
            <v>PRAZY</v>
          </cell>
          <cell r="F22" t="str">
            <v>OUTROS</v>
          </cell>
          <cell r="G22" t="str">
            <v>PRAZY 20MG</v>
          </cell>
          <cell r="H22" t="str">
            <v>4 BLT X 7 COM REV</v>
          </cell>
          <cell r="I22" t="str">
            <v>TAR</v>
          </cell>
          <cell r="J22" t="str">
            <v>POSITIVA</v>
          </cell>
          <cell r="K22">
            <v>33.229999999999997</v>
          </cell>
          <cell r="L22">
            <v>33.020000000000003</v>
          </cell>
          <cell r="M22">
            <v>32.81</v>
          </cell>
          <cell r="N22">
            <v>32.39</v>
          </cell>
          <cell r="O22">
            <v>32.19</v>
          </cell>
          <cell r="P22">
            <v>31.99</v>
          </cell>
          <cell r="Q22">
            <v>31.79</v>
          </cell>
          <cell r="R22">
            <v>31.59</v>
          </cell>
          <cell r="S22">
            <v>31.21</v>
          </cell>
          <cell r="T22">
            <v>31.02</v>
          </cell>
          <cell r="U22">
            <v>30.83</v>
          </cell>
          <cell r="V22">
            <v>29.08</v>
          </cell>
          <cell r="W22">
            <v>56</v>
          </cell>
        </row>
        <row r="23">
          <cell r="B23">
            <v>31687</v>
          </cell>
          <cell r="C23" t="str">
            <v>7896004755427</v>
          </cell>
          <cell r="D23" t="str">
            <v>GASTROINTESTINAL</v>
          </cell>
          <cell r="E23" t="str">
            <v>PRAZY</v>
          </cell>
          <cell r="F23" t="str">
            <v>OUTROS</v>
          </cell>
          <cell r="G23" t="str">
            <v>PRAZY 40MG</v>
          </cell>
          <cell r="H23" t="str">
            <v>4 BLT X 7 COM REV</v>
          </cell>
          <cell r="I23" t="str">
            <v>TAR</v>
          </cell>
          <cell r="J23" t="str">
            <v>POSITIVA</v>
          </cell>
          <cell r="K23">
            <v>55.44</v>
          </cell>
          <cell r="L23">
            <v>55.08</v>
          </cell>
          <cell r="M23">
            <v>54.73</v>
          </cell>
          <cell r="N23">
            <v>54.04</v>
          </cell>
          <cell r="O23">
            <v>53.7</v>
          </cell>
          <cell r="P23">
            <v>53.36</v>
          </cell>
          <cell r="Q23">
            <v>53.03</v>
          </cell>
          <cell r="R23">
            <v>52.7</v>
          </cell>
          <cell r="S23">
            <v>52.06</v>
          </cell>
          <cell r="T23">
            <v>51.75</v>
          </cell>
          <cell r="U23">
            <v>51.43</v>
          </cell>
          <cell r="V23">
            <v>48.51</v>
          </cell>
          <cell r="W23">
            <v>56</v>
          </cell>
        </row>
        <row r="24">
          <cell r="B24">
            <v>32121</v>
          </cell>
          <cell r="C24" t="str">
            <v>7896004703831</v>
          </cell>
          <cell r="D24" t="str">
            <v>DOR</v>
          </cell>
          <cell r="E24" t="str">
            <v>PREDINIS</v>
          </cell>
          <cell r="F24" t="str">
            <v>OUTROS</v>
          </cell>
          <cell r="G24" t="str">
            <v>PREDINIS 20MG COMP</v>
          </cell>
          <cell r="H24" t="str">
            <v>1 BL X 10</v>
          </cell>
          <cell r="I24" t="str">
            <v>TAR</v>
          </cell>
          <cell r="J24" t="str">
            <v>POSITIVA</v>
          </cell>
          <cell r="K24">
            <v>13.36</v>
          </cell>
          <cell r="L24">
            <v>13.28</v>
          </cell>
          <cell r="M24">
            <v>13.19</v>
          </cell>
          <cell r="N24">
            <v>13.03</v>
          </cell>
          <cell r="O24">
            <v>12.94</v>
          </cell>
          <cell r="P24">
            <v>12.86</v>
          </cell>
          <cell r="Q24">
            <v>12.78</v>
          </cell>
          <cell r="R24">
            <v>12.7</v>
          </cell>
          <cell r="S24">
            <v>12.55</v>
          </cell>
          <cell r="T24">
            <v>12.47</v>
          </cell>
          <cell r="U24">
            <v>12.4</v>
          </cell>
          <cell r="V24">
            <v>11.69</v>
          </cell>
          <cell r="W24">
            <v>96</v>
          </cell>
        </row>
        <row r="25">
          <cell r="B25">
            <v>31180</v>
          </cell>
          <cell r="C25" t="str">
            <v>7896004727578</v>
          </cell>
          <cell r="D25" t="str">
            <v>INVERNO</v>
          </cell>
          <cell r="E25" t="str">
            <v>PRURI-GRAN</v>
          </cell>
          <cell r="F25" t="str">
            <v>OUTROS</v>
          </cell>
          <cell r="G25" t="str">
            <v xml:space="preserve">PRURI-GRAN </v>
          </cell>
          <cell r="H25" t="str">
            <v>2MG/ML FR X 120 ML</v>
          </cell>
          <cell r="I25" t="str">
            <v>TAR</v>
          </cell>
          <cell r="J25" t="str">
            <v>NEGATIVA</v>
          </cell>
          <cell r="K25">
            <v>40.4</v>
          </cell>
          <cell r="L25">
            <v>40.14</v>
          </cell>
          <cell r="M25">
            <v>39.89</v>
          </cell>
          <cell r="N25">
            <v>39.380000000000003</v>
          </cell>
          <cell r="O25">
            <v>39.130000000000003</v>
          </cell>
          <cell r="P25">
            <v>38.89</v>
          </cell>
          <cell r="Q25">
            <v>38.65</v>
          </cell>
          <cell r="R25">
            <v>38.409999999999997</v>
          </cell>
          <cell r="S25">
            <v>37.94</v>
          </cell>
          <cell r="T25">
            <v>37.71</v>
          </cell>
          <cell r="U25">
            <v>37.479999999999997</v>
          </cell>
          <cell r="V25">
            <v>35.35</v>
          </cell>
          <cell r="W25">
            <v>60</v>
          </cell>
        </row>
        <row r="26">
          <cell r="B26">
            <v>31166</v>
          </cell>
          <cell r="C26" t="str">
            <v>7896004726694</v>
          </cell>
          <cell r="D26" t="str">
            <v>DERMA</v>
          </cell>
          <cell r="E26" t="str">
            <v>SUAVICID</v>
          </cell>
          <cell r="F26" t="str">
            <v>SUPER MARCAS</v>
          </cell>
          <cell r="G26" t="str">
            <v xml:space="preserve">SUAVICID </v>
          </cell>
          <cell r="H26" t="str">
            <v>CREME BISN X 15 G</v>
          </cell>
          <cell r="I26" t="str">
            <v>TAR</v>
          </cell>
          <cell r="J26" t="str">
            <v>NEGATIVA</v>
          </cell>
          <cell r="K26">
            <v>101.81</v>
          </cell>
          <cell r="L26">
            <v>101.15</v>
          </cell>
          <cell r="M26">
            <v>100.5</v>
          </cell>
          <cell r="N26">
            <v>99.23</v>
          </cell>
          <cell r="O26">
            <v>98.61</v>
          </cell>
          <cell r="P26">
            <v>97.99</v>
          </cell>
          <cell r="Q26">
            <v>97.38</v>
          </cell>
          <cell r="R26">
            <v>96.78</v>
          </cell>
          <cell r="S26">
            <v>95.6</v>
          </cell>
          <cell r="T26">
            <v>95.02</v>
          </cell>
          <cell r="U26">
            <v>94.45</v>
          </cell>
          <cell r="V26">
            <v>89.08</v>
          </cell>
          <cell r="W26">
            <v>56</v>
          </cell>
        </row>
        <row r="27">
          <cell r="B27">
            <v>31205</v>
          </cell>
          <cell r="C27" t="str">
            <v>7896004728704</v>
          </cell>
          <cell r="D27" t="str">
            <v>DERMA</v>
          </cell>
          <cell r="E27" t="str">
            <v>SUAVICID</v>
          </cell>
          <cell r="F27" t="str">
            <v>SUPER MARCAS</v>
          </cell>
          <cell r="G27" t="str">
            <v xml:space="preserve">SUAVICID </v>
          </cell>
          <cell r="H27" t="str">
            <v>CREME BISN X 30 G</v>
          </cell>
          <cell r="I27" t="str">
            <v>TAR</v>
          </cell>
          <cell r="J27" t="str">
            <v>NEGATIVA</v>
          </cell>
          <cell r="K27">
            <v>185.22</v>
          </cell>
          <cell r="L27">
            <v>184.03</v>
          </cell>
          <cell r="M27">
            <v>182.85</v>
          </cell>
          <cell r="N27">
            <v>180.53</v>
          </cell>
          <cell r="O27">
            <v>179.4</v>
          </cell>
          <cell r="P27">
            <v>178.28</v>
          </cell>
          <cell r="Q27">
            <v>177.17</v>
          </cell>
          <cell r="R27">
            <v>176.08</v>
          </cell>
          <cell r="S27">
            <v>173.93</v>
          </cell>
          <cell r="T27">
            <v>172.88</v>
          </cell>
          <cell r="U27">
            <v>171.83</v>
          </cell>
          <cell r="V27">
            <v>162.07</v>
          </cell>
          <cell r="W27">
            <v>42</v>
          </cell>
        </row>
        <row r="28">
          <cell r="B28">
            <v>33022</v>
          </cell>
          <cell r="C28" t="str">
            <v>7896004712673</v>
          </cell>
          <cell r="D28" t="str">
            <v>INVERNO</v>
          </cell>
          <cell r="E28" t="str">
            <v>ALERGALIV</v>
          </cell>
          <cell r="F28" t="str">
            <v>OUTROS</v>
          </cell>
          <cell r="G28" t="str">
            <v>ALERGALIV 10MG</v>
          </cell>
          <cell r="H28" t="str">
            <v>3 BLT X 5 COMP</v>
          </cell>
          <cell r="I28" t="str">
            <v>OTC</v>
          </cell>
          <cell r="J28" t="str">
            <v>NEGATIVA</v>
          </cell>
          <cell r="K28">
            <v>19.100000000000001</v>
          </cell>
          <cell r="L28">
            <v>18.98</v>
          </cell>
          <cell r="M28">
            <v>18.86</v>
          </cell>
          <cell r="N28">
            <v>18.62</v>
          </cell>
          <cell r="O28">
            <v>18.5</v>
          </cell>
          <cell r="P28">
            <v>18.39</v>
          </cell>
          <cell r="Q28">
            <v>18.27</v>
          </cell>
          <cell r="R28">
            <v>18.16</v>
          </cell>
          <cell r="S28">
            <v>17.940000000000001</v>
          </cell>
          <cell r="T28">
            <v>17.829999999999998</v>
          </cell>
          <cell r="U28">
            <v>17.72</v>
          </cell>
          <cell r="V28">
            <v>16.72</v>
          </cell>
          <cell r="W28">
            <v>60</v>
          </cell>
        </row>
        <row r="29">
          <cell r="B29">
            <v>32568</v>
          </cell>
          <cell r="C29" t="str">
            <v>7894916325684</v>
          </cell>
          <cell r="D29" t="str">
            <v>INVERNO</v>
          </cell>
          <cell r="E29" t="str">
            <v>ALERGALIV</v>
          </cell>
          <cell r="F29" t="str">
            <v>OUTROS</v>
          </cell>
          <cell r="G29" t="str">
            <v xml:space="preserve">ALERGALIV 1MG/ML XAROPE </v>
          </cell>
          <cell r="H29" t="str">
            <v>FR X 100 ML</v>
          </cell>
          <cell r="I29" t="str">
            <v>OTC</v>
          </cell>
          <cell r="J29" t="str">
            <v>NEGATIVA</v>
          </cell>
          <cell r="K29">
            <v>50.3</v>
          </cell>
          <cell r="L29">
            <v>49.97</v>
          </cell>
          <cell r="M29">
            <v>49.65</v>
          </cell>
          <cell r="N29">
            <v>49.02</v>
          </cell>
          <cell r="O29">
            <v>48.72</v>
          </cell>
          <cell r="P29">
            <v>48.41</v>
          </cell>
          <cell r="Q29">
            <v>48.11</v>
          </cell>
          <cell r="R29">
            <v>47.81</v>
          </cell>
          <cell r="S29">
            <v>47.23</v>
          </cell>
          <cell r="T29">
            <v>46.94</v>
          </cell>
          <cell r="U29">
            <v>46.66</v>
          </cell>
          <cell r="V29">
            <v>44.01</v>
          </cell>
          <cell r="W29">
            <v>60</v>
          </cell>
        </row>
        <row r="30">
          <cell r="B30">
            <v>36003</v>
          </cell>
          <cell r="C30" t="str">
            <v>7896004810140</v>
          </cell>
          <cell r="D30" t="str">
            <v>GASTROINTESTINAL</v>
          </cell>
          <cell r="E30" t="str">
            <v>BISMU-JET</v>
          </cell>
          <cell r="F30" t="str">
            <v>SUPER MARCAS</v>
          </cell>
          <cell r="G30" t="str">
            <v xml:space="preserve">BISMU-JET GTS </v>
          </cell>
          <cell r="H30" t="str">
            <v>FR X 20 ML</v>
          </cell>
          <cell r="I30" t="str">
            <v>OTC</v>
          </cell>
          <cell r="J30" t="str">
            <v>NEGATIVA</v>
          </cell>
          <cell r="K30">
            <v>34.75</v>
          </cell>
          <cell r="L30">
            <v>34.520000000000003</v>
          </cell>
          <cell r="M30">
            <v>34.299999999999997</v>
          </cell>
          <cell r="N30">
            <v>33.869999999999997</v>
          </cell>
          <cell r="O30">
            <v>33.659999999999997</v>
          </cell>
          <cell r="P30">
            <v>33.450000000000003</v>
          </cell>
          <cell r="Q30">
            <v>33.24</v>
          </cell>
          <cell r="R30">
            <v>33.03</v>
          </cell>
          <cell r="S30">
            <v>32.630000000000003</v>
          </cell>
          <cell r="T30">
            <v>32.43</v>
          </cell>
          <cell r="U30">
            <v>32.24</v>
          </cell>
          <cell r="V30">
            <v>30.41</v>
          </cell>
          <cell r="W30">
            <v>100</v>
          </cell>
        </row>
        <row r="31">
          <cell r="B31">
            <v>19193</v>
          </cell>
          <cell r="C31" t="str">
            <v>7896004788968</v>
          </cell>
          <cell r="D31" t="str">
            <v>OUTROS</v>
          </cell>
          <cell r="E31" t="str">
            <v>COLIRIO</v>
          </cell>
          <cell r="F31" t="str">
            <v>OUTROS</v>
          </cell>
          <cell r="G31" t="str">
            <v xml:space="preserve">COLIRIO LEGRAND </v>
          </cell>
          <cell r="H31" t="str">
            <v>GOTAS FR C/20ML</v>
          </cell>
          <cell r="I31" t="str">
            <v>OTC</v>
          </cell>
          <cell r="J31" t="str">
            <v>NEGATIVA</v>
          </cell>
          <cell r="K31">
            <v>16.899999999999999</v>
          </cell>
          <cell r="L31">
            <v>16.79</v>
          </cell>
          <cell r="M31">
            <v>16.68</v>
          </cell>
          <cell r="N31">
            <v>16.47</v>
          </cell>
          <cell r="O31">
            <v>16.37</v>
          </cell>
          <cell r="P31">
            <v>16.27</v>
          </cell>
          <cell r="Q31">
            <v>16.170000000000002</v>
          </cell>
          <cell r="R31">
            <v>16.07</v>
          </cell>
          <cell r="S31">
            <v>15.87</v>
          </cell>
          <cell r="T31">
            <v>15.77</v>
          </cell>
          <cell r="U31">
            <v>15.68</v>
          </cell>
          <cell r="V31">
            <v>14.79</v>
          </cell>
          <cell r="W31">
            <v>100</v>
          </cell>
        </row>
        <row r="32">
          <cell r="B32">
            <v>33002</v>
          </cell>
          <cell r="C32" t="str">
            <v>7896004810225</v>
          </cell>
          <cell r="D32" t="str">
            <v>DERMA</v>
          </cell>
          <cell r="E32" t="str">
            <v>DERMOBENE</v>
          </cell>
          <cell r="F32" t="str">
            <v>OUTROS</v>
          </cell>
          <cell r="G32" t="str">
            <v>DERMOBENE CREME</v>
          </cell>
          <cell r="H32" t="str">
            <v>BISN X 20 G</v>
          </cell>
          <cell r="I32" t="str">
            <v>OTC</v>
          </cell>
          <cell r="J32" t="str">
            <v>NEGATIVA</v>
          </cell>
          <cell r="K32">
            <v>22.87</v>
          </cell>
          <cell r="L32">
            <v>22.73</v>
          </cell>
          <cell r="M32">
            <v>22.58</v>
          </cell>
          <cell r="N32">
            <v>22.3</v>
          </cell>
          <cell r="O32">
            <v>22.16</v>
          </cell>
          <cell r="P32">
            <v>22.02</v>
          </cell>
          <cell r="Q32">
            <v>21.88</v>
          </cell>
          <cell r="R32">
            <v>21.75</v>
          </cell>
          <cell r="S32">
            <v>21.48</v>
          </cell>
          <cell r="T32">
            <v>21.35</v>
          </cell>
          <cell r="U32">
            <v>21.22</v>
          </cell>
          <cell r="V32">
            <v>20.02</v>
          </cell>
          <cell r="W32">
            <v>56</v>
          </cell>
        </row>
        <row r="33">
          <cell r="B33">
            <v>36005</v>
          </cell>
          <cell r="C33" t="str">
            <v>7896004810232</v>
          </cell>
          <cell r="D33" t="str">
            <v>DERMA</v>
          </cell>
          <cell r="E33" t="str">
            <v>DERMOBENE</v>
          </cell>
          <cell r="F33" t="str">
            <v>OUTROS</v>
          </cell>
          <cell r="G33" t="str">
            <v xml:space="preserve">DERMOBENE SOL </v>
          </cell>
          <cell r="H33" t="str">
            <v>FR X 20 ML</v>
          </cell>
          <cell r="I33" t="str">
            <v>OTC</v>
          </cell>
          <cell r="J33" t="str">
            <v>NEGATIVA</v>
          </cell>
          <cell r="K33">
            <v>29.48</v>
          </cell>
          <cell r="L33">
            <v>29.29</v>
          </cell>
          <cell r="M33">
            <v>29.1</v>
          </cell>
          <cell r="N33">
            <v>28.73</v>
          </cell>
          <cell r="O33">
            <v>28.55</v>
          </cell>
          <cell r="P33">
            <v>28.37</v>
          </cell>
          <cell r="Q33">
            <v>28.2</v>
          </cell>
          <cell r="R33">
            <v>28.02</v>
          </cell>
          <cell r="S33">
            <v>27.68</v>
          </cell>
          <cell r="T33">
            <v>27.51</v>
          </cell>
          <cell r="U33">
            <v>27.35</v>
          </cell>
          <cell r="V33">
            <v>25.79</v>
          </cell>
          <cell r="W33">
            <v>100</v>
          </cell>
        </row>
        <row r="34">
          <cell r="B34">
            <v>31148</v>
          </cell>
          <cell r="C34" t="str">
            <v>7896004726014</v>
          </cell>
          <cell r="D34" t="str">
            <v>DOR</v>
          </cell>
          <cell r="E34" t="str">
            <v>DICLOAIR</v>
          </cell>
          <cell r="F34" t="str">
            <v>OUTROS</v>
          </cell>
          <cell r="G34" t="str">
            <v>DICLOAIR 11,6 MG</v>
          </cell>
          <cell r="H34" t="str">
            <v>FR X 60G</v>
          </cell>
          <cell r="I34" t="str">
            <v>OTC</v>
          </cell>
          <cell r="J34" t="str">
            <v>NEGATIVA</v>
          </cell>
          <cell r="K34">
            <v>26.19</v>
          </cell>
          <cell r="L34">
            <v>26.02</v>
          </cell>
          <cell r="M34">
            <v>25.85</v>
          </cell>
          <cell r="N34">
            <v>25.52</v>
          </cell>
          <cell r="O34">
            <v>25.36</v>
          </cell>
          <cell r="P34">
            <v>25.2</v>
          </cell>
          <cell r="Q34">
            <v>25.05</v>
          </cell>
          <cell r="R34">
            <v>24.89</v>
          </cell>
          <cell r="S34">
            <v>24.59</v>
          </cell>
          <cell r="T34">
            <v>24.44</v>
          </cell>
          <cell r="U34">
            <v>24.29</v>
          </cell>
          <cell r="V34">
            <v>22.91</v>
          </cell>
          <cell r="W34">
            <v>48</v>
          </cell>
        </row>
        <row r="35">
          <cell r="B35">
            <v>32068</v>
          </cell>
          <cell r="C35" t="str">
            <v>7896004715032</v>
          </cell>
          <cell r="D35" t="str">
            <v>DOR</v>
          </cell>
          <cell r="E35" t="str">
            <v>DORILEN</v>
          </cell>
          <cell r="F35" t="str">
            <v>OUTROS</v>
          </cell>
          <cell r="G35" t="str">
            <v xml:space="preserve">DORILEN </v>
          </cell>
          <cell r="H35" t="str">
            <v>1 BLT X 12 COMP</v>
          </cell>
          <cell r="I35" t="str">
            <v>OTC</v>
          </cell>
          <cell r="J35" t="str">
            <v>NEGATIVA</v>
          </cell>
          <cell r="K35">
            <v>27.3</v>
          </cell>
          <cell r="L35">
            <v>27.12</v>
          </cell>
          <cell r="M35">
            <v>26.95</v>
          </cell>
          <cell r="N35">
            <v>26.61</v>
          </cell>
          <cell r="O35">
            <v>26.44</v>
          </cell>
          <cell r="P35">
            <v>26.28</v>
          </cell>
          <cell r="Q35">
            <v>26.11</v>
          </cell>
          <cell r="R35">
            <v>25.95</v>
          </cell>
          <cell r="S35">
            <v>25.63</v>
          </cell>
          <cell r="T35">
            <v>25.48</v>
          </cell>
          <cell r="U35">
            <v>25.33</v>
          </cell>
          <cell r="V35">
            <v>23.89</v>
          </cell>
          <cell r="W35">
            <v>48</v>
          </cell>
        </row>
        <row r="36">
          <cell r="B36">
            <v>36019</v>
          </cell>
          <cell r="C36" t="str">
            <v>7896004715049</v>
          </cell>
          <cell r="D36" t="str">
            <v>DOR</v>
          </cell>
          <cell r="E36" t="str">
            <v>DORILEN</v>
          </cell>
          <cell r="F36" t="str">
            <v>OUTROS</v>
          </cell>
          <cell r="G36" t="str">
            <v>DORILEN GOTAS</v>
          </cell>
          <cell r="H36" t="str">
            <v>FR X 15 ML</v>
          </cell>
          <cell r="I36" t="str">
            <v>OTC</v>
          </cell>
          <cell r="J36" t="str">
            <v>NEGATIVA</v>
          </cell>
          <cell r="K36">
            <v>35.200000000000003</v>
          </cell>
          <cell r="L36">
            <v>34.97</v>
          </cell>
          <cell r="M36">
            <v>34.74</v>
          </cell>
          <cell r="N36">
            <v>34.31</v>
          </cell>
          <cell r="O36">
            <v>34.090000000000003</v>
          </cell>
          <cell r="P36">
            <v>33.880000000000003</v>
          </cell>
          <cell r="Q36">
            <v>33.67</v>
          </cell>
          <cell r="R36">
            <v>33.46</v>
          </cell>
          <cell r="S36">
            <v>33.049999999999997</v>
          </cell>
          <cell r="T36">
            <v>32.85</v>
          </cell>
          <cell r="U36">
            <v>32.65</v>
          </cell>
          <cell r="V36">
            <v>30.8</v>
          </cell>
          <cell r="W36">
            <v>120</v>
          </cell>
        </row>
        <row r="37">
          <cell r="B37">
            <v>31047</v>
          </cell>
          <cell r="C37" t="str">
            <v>7896004706535</v>
          </cell>
          <cell r="D37" t="str">
            <v>GASTROINTESTINAL</v>
          </cell>
          <cell r="E37" t="str">
            <v>ESPASMO FLATOL</v>
          </cell>
          <cell r="F37" t="str">
            <v>OUTROS</v>
          </cell>
          <cell r="G37" t="str">
            <v>ESPASMO FLATOL GOTAS</v>
          </cell>
          <cell r="H37" t="str">
            <v>FR X 20 ML</v>
          </cell>
          <cell r="I37" t="str">
            <v>OTC</v>
          </cell>
          <cell r="J37" t="str">
            <v>POSITIVA</v>
          </cell>
          <cell r="K37">
            <v>21.62</v>
          </cell>
          <cell r="L37">
            <v>21.48</v>
          </cell>
          <cell r="M37">
            <v>21.35</v>
          </cell>
          <cell r="N37">
            <v>21.08</v>
          </cell>
          <cell r="O37">
            <v>20.94</v>
          </cell>
          <cell r="P37">
            <v>20.81</v>
          </cell>
          <cell r="Q37">
            <v>20.68</v>
          </cell>
          <cell r="R37">
            <v>20.56</v>
          </cell>
          <cell r="S37">
            <v>20.3</v>
          </cell>
          <cell r="T37">
            <v>20.18</v>
          </cell>
          <cell r="U37">
            <v>20.059999999999999</v>
          </cell>
          <cell r="V37">
            <v>18.920000000000002</v>
          </cell>
          <cell r="W37">
            <v>120</v>
          </cell>
        </row>
        <row r="38">
          <cell r="B38">
            <v>31012</v>
          </cell>
          <cell r="C38" t="str">
            <v>7896004812168</v>
          </cell>
          <cell r="D38" t="str">
            <v>INVERNO</v>
          </cell>
          <cell r="E38" t="str">
            <v>EXPEC</v>
          </cell>
          <cell r="F38" t="str">
            <v>SUPER MARCAS</v>
          </cell>
          <cell r="G38" t="str">
            <v xml:space="preserve">EXPEC XPE </v>
          </cell>
          <cell r="H38" t="str">
            <v>FR X 120 ML</v>
          </cell>
          <cell r="I38" t="str">
            <v>OTC</v>
          </cell>
          <cell r="J38" t="str">
            <v>NEGATIVA</v>
          </cell>
          <cell r="K38">
            <v>42.73</v>
          </cell>
          <cell r="L38">
            <v>42.45</v>
          </cell>
          <cell r="M38">
            <v>42.18</v>
          </cell>
          <cell r="N38">
            <v>41.64</v>
          </cell>
          <cell r="O38">
            <v>41.38</v>
          </cell>
          <cell r="P38">
            <v>41.12</v>
          </cell>
          <cell r="Q38">
            <v>40.869999999999997</v>
          </cell>
          <cell r="R38">
            <v>40.619999999999997</v>
          </cell>
          <cell r="S38">
            <v>40.119999999999997</v>
          </cell>
          <cell r="T38">
            <v>39.880000000000003</v>
          </cell>
          <cell r="U38">
            <v>39.64</v>
          </cell>
          <cell r="V38">
            <v>37.380000000000003</v>
          </cell>
          <cell r="W38">
            <v>60</v>
          </cell>
        </row>
        <row r="39">
          <cell r="B39">
            <v>31225</v>
          </cell>
          <cell r="C39" t="str">
            <v>7896004799902</v>
          </cell>
          <cell r="D39" t="str">
            <v>DOR</v>
          </cell>
          <cell r="E39" t="str">
            <v>IBUFLEX</v>
          </cell>
          <cell r="F39" t="str">
            <v>SUPER MARCAS</v>
          </cell>
          <cell r="G39" t="str">
            <v>IBUFLEX 100MG/ML SUSP ORAL</v>
          </cell>
          <cell r="H39" t="str">
            <v>FR X 30 ML</v>
          </cell>
          <cell r="I39" t="str">
            <v>OTC</v>
          </cell>
          <cell r="J39" t="str">
            <v>NEGATIVA</v>
          </cell>
          <cell r="K39">
            <v>33.130000000000003</v>
          </cell>
          <cell r="L39">
            <v>32.92</v>
          </cell>
          <cell r="M39">
            <v>32.71</v>
          </cell>
          <cell r="N39">
            <v>32.29</v>
          </cell>
          <cell r="O39">
            <v>32.090000000000003</v>
          </cell>
          <cell r="P39">
            <v>31.89</v>
          </cell>
          <cell r="Q39">
            <v>31.69</v>
          </cell>
          <cell r="R39">
            <v>31.49</v>
          </cell>
          <cell r="S39">
            <v>31.11</v>
          </cell>
          <cell r="T39">
            <v>30.92</v>
          </cell>
          <cell r="U39">
            <v>30.74</v>
          </cell>
          <cell r="V39">
            <v>28.99</v>
          </cell>
          <cell r="W39">
            <v>60</v>
          </cell>
        </row>
        <row r="40">
          <cell r="B40">
            <v>31292</v>
          </cell>
          <cell r="C40" t="str">
            <v>7896004732930</v>
          </cell>
          <cell r="D40" t="str">
            <v>DOR</v>
          </cell>
          <cell r="E40" t="str">
            <v>IBUFLEX CAPS</v>
          </cell>
          <cell r="F40" t="str">
            <v>SUPER MARCAS</v>
          </cell>
          <cell r="G40" t="str">
            <v>IBUFLEX 400MG GEL.MOLES-L</v>
          </cell>
          <cell r="H40" t="str">
            <v xml:space="preserve">2 BLT X 4 CAPS </v>
          </cell>
          <cell r="I40" t="str">
            <v>OTC</v>
          </cell>
          <cell r="J40" t="str">
            <v>NEGATIVA</v>
          </cell>
          <cell r="K40">
            <v>24</v>
          </cell>
          <cell r="L40">
            <v>23.85</v>
          </cell>
          <cell r="M40">
            <v>23.7</v>
          </cell>
          <cell r="N40">
            <v>23.4</v>
          </cell>
          <cell r="O40">
            <v>23.25</v>
          </cell>
          <cell r="P40">
            <v>23.1</v>
          </cell>
          <cell r="Q40">
            <v>22.96</v>
          </cell>
          <cell r="R40">
            <v>22.82</v>
          </cell>
          <cell r="S40">
            <v>22.54</v>
          </cell>
          <cell r="T40">
            <v>22.4</v>
          </cell>
          <cell r="U40">
            <v>22.27</v>
          </cell>
          <cell r="V40">
            <v>21</v>
          </cell>
          <cell r="W40">
            <v>48</v>
          </cell>
        </row>
        <row r="41">
          <cell r="B41">
            <v>31516</v>
          </cell>
          <cell r="C41" t="str">
            <v>7896004747507</v>
          </cell>
          <cell r="D41" t="str">
            <v>DOR</v>
          </cell>
          <cell r="E41" t="str">
            <v>IBUFLEX CAPS</v>
          </cell>
          <cell r="F41" t="str">
            <v>SUPER MARCAS</v>
          </cell>
          <cell r="G41" t="str">
            <v>IBUFLEX 400MG GEL.MOLES-L</v>
          </cell>
          <cell r="H41" t="str">
            <v xml:space="preserve">10 BLT X 4 CAPS </v>
          </cell>
          <cell r="I41" t="str">
            <v>OTC</v>
          </cell>
          <cell r="J41" t="str">
            <v>NEGATIVA</v>
          </cell>
          <cell r="K41">
            <v>119.88</v>
          </cell>
          <cell r="L41">
            <v>119.11</v>
          </cell>
          <cell r="M41">
            <v>118.34</v>
          </cell>
          <cell r="N41">
            <v>116.84</v>
          </cell>
          <cell r="O41">
            <v>116.11</v>
          </cell>
          <cell r="P41">
            <v>115.38</v>
          </cell>
          <cell r="Q41">
            <v>114.67</v>
          </cell>
          <cell r="R41">
            <v>113.96</v>
          </cell>
          <cell r="S41">
            <v>112.57</v>
          </cell>
          <cell r="T41">
            <v>111.89</v>
          </cell>
          <cell r="U41">
            <v>111.21</v>
          </cell>
          <cell r="V41">
            <v>104.89</v>
          </cell>
          <cell r="W41">
            <v>16</v>
          </cell>
        </row>
        <row r="42">
          <cell r="B42">
            <v>31450</v>
          </cell>
          <cell r="C42" t="str">
            <v>7896004744476</v>
          </cell>
          <cell r="D42" t="str">
            <v>DERMA</v>
          </cell>
          <cell r="E42" t="str">
            <v>NEOTRICIN</v>
          </cell>
          <cell r="F42" t="str">
            <v>OUTROS</v>
          </cell>
          <cell r="G42" t="str">
            <v>NEOTRICIN POM</v>
          </cell>
          <cell r="H42" t="str">
            <v>BISN X 50G</v>
          </cell>
          <cell r="I42" t="str">
            <v>OTC</v>
          </cell>
          <cell r="J42" t="str">
            <v>NEGATIVA</v>
          </cell>
          <cell r="K42">
            <v>42.01</v>
          </cell>
          <cell r="L42">
            <v>41.74</v>
          </cell>
          <cell r="M42">
            <v>41.47</v>
          </cell>
          <cell r="N42">
            <v>40.950000000000003</v>
          </cell>
          <cell r="O42">
            <v>40.69</v>
          </cell>
          <cell r="P42">
            <v>40.44</v>
          </cell>
          <cell r="Q42">
            <v>40.19</v>
          </cell>
          <cell r="R42">
            <v>39.94</v>
          </cell>
          <cell r="S42">
            <v>39.450000000000003</v>
          </cell>
          <cell r="T42">
            <v>39.21</v>
          </cell>
          <cell r="U42">
            <v>38.97</v>
          </cell>
          <cell r="V42">
            <v>36.76</v>
          </cell>
          <cell r="W42">
            <v>56</v>
          </cell>
        </row>
        <row r="43">
          <cell r="B43">
            <v>33007</v>
          </cell>
          <cell r="C43" t="str">
            <v>7896004811574</v>
          </cell>
          <cell r="D43" t="str">
            <v>DERMA</v>
          </cell>
          <cell r="E43" t="str">
            <v>NEOTRICIN</v>
          </cell>
          <cell r="F43" t="str">
            <v>OUTROS</v>
          </cell>
          <cell r="G43" t="str">
            <v xml:space="preserve">NEOTRICIN POM </v>
          </cell>
          <cell r="H43" t="str">
            <v>BISN X 15 G</v>
          </cell>
          <cell r="I43" t="str">
            <v>OTC</v>
          </cell>
          <cell r="J43" t="str">
            <v>NEGATIVA</v>
          </cell>
          <cell r="K43">
            <v>20.65</v>
          </cell>
          <cell r="L43">
            <v>20.52</v>
          </cell>
          <cell r="M43">
            <v>20.38</v>
          </cell>
          <cell r="N43">
            <v>20.13</v>
          </cell>
          <cell r="O43">
            <v>20</v>
          </cell>
          <cell r="P43">
            <v>19.87</v>
          </cell>
          <cell r="Q43">
            <v>19.75</v>
          </cell>
          <cell r="R43">
            <v>19.63</v>
          </cell>
          <cell r="S43">
            <v>19.39</v>
          </cell>
          <cell r="T43">
            <v>19.27</v>
          </cell>
          <cell r="U43">
            <v>19.16</v>
          </cell>
          <cell r="V43">
            <v>18.07</v>
          </cell>
          <cell r="W43">
            <v>56</v>
          </cell>
        </row>
        <row r="44">
          <cell r="B44">
            <v>32411</v>
          </cell>
          <cell r="C44" t="str">
            <v>7896004773957</v>
          </cell>
          <cell r="D44" t="str">
            <v>DOR</v>
          </cell>
          <cell r="E44" t="str">
            <v>NEXFLEN</v>
          </cell>
          <cell r="F44" t="str">
            <v>SUPER MARCAS</v>
          </cell>
          <cell r="G44" t="str">
            <v xml:space="preserve">NEXFLEN </v>
          </cell>
          <cell r="H44" t="str">
            <v>550MG 10 COM REV -L</v>
          </cell>
          <cell r="I44" t="str">
            <v>OTC</v>
          </cell>
          <cell r="J44" t="str">
            <v>NEGATIVA</v>
          </cell>
          <cell r="K44">
            <v>28.18</v>
          </cell>
          <cell r="L44">
            <v>28</v>
          </cell>
          <cell r="M44">
            <v>27.82</v>
          </cell>
          <cell r="N44">
            <v>27.46</v>
          </cell>
          <cell r="O44">
            <v>27.29</v>
          </cell>
          <cell r="P44">
            <v>27.12</v>
          </cell>
          <cell r="Q44">
            <v>26.95</v>
          </cell>
          <cell r="R44">
            <v>26.79</v>
          </cell>
          <cell r="S44">
            <v>26.46</v>
          </cell>
          <cell r="T44">
            <v>26.3</v>
          </cell>
          <cell r="U44">
            <v>26.14</v>
          </cell>
          <cell r="V44">
            <v>24.66</v>
          </cell>
          <cell r="W44">
            <v>48</v>
          </cell>
        </row>
        <row r="45">
          <cell r="B45">
            <v>31019</v>
          </cell>
          <cell r="C45" t="str">
            <v>7896004712642</v>
          </cell>
          <cell r="D45" t="str">
            <v>GASTROINTESTINAL</v>
          </cell>
          <cell r="E45" t="str">
            <v>PEPSOGEL</v>
          </cell>
          <cell r="F45" t="str">
            <v>OUTROS</v>
          </cell>
          <cell r="G45" t="str">
            <v>PEPSOGEL SUSP</v>
          </cell>
          <cell r="H45" t="str">
            <v>FR X 240ML</v>
          </cell>
          <cell r="I45" t="str">
            <v>OTC</v>
          </cell>
          <cell r="J45" t="str">
            <v>NEGATIVA</v>
          </cell>
          <cell r="K45">
            <v>43.56</v>
          </cell>
          <cell r="L45">
            <v>43.27</v>
          </cell>
          <cell r="M45">
            <v>43</v>
          </cell>
          <cell r="N45">
            <v>42.45</v>
          </cell>
          <cell r="O45">
            <v>42.19</v>
          </cell>
          <cell r="P45">
            <v>41.92</v>
          </cell>
          <cell r="Q45">
            <v>41.66</v>
          </cell>
          <cell r="R45">
            <v>41.4</v>
          </cell>
          <cell r="S45">
            <v>40.9</v>
          </cell>
          <cell r="T45">
            <v>40.65</v>
          </cell>
          <cell r="U45">
            <v>40.409999999999997</v>
          </cell>
          <cell r="V45">
            <v>38.11</v>
          </cell>
          <cell r="W45">
            <v>35</v>
          </cell>
        </row>
        <row r="46">
          <cell r="B46">
            <v>32069</v>
          </cell>
          <cell r="C46" t="str">
            <v>7896004715247</v>
          </cell>
          <cell r="D46" t="str">
            <v>GASTROINTESTINAL</v>
          </cell>
          <cell r="E46" t="str">
            <v>REPOFLOR</v>
          </cell>
          <cell r="F46" t="str">
            <v>SUPER MARCAS</v>
          </cell>
          <cell r="G46" t="str">
            <v>REPOFLOR 100 MG</v>
          </cell>
          <cell r="H46" t="str">
            <v>FR X 12 CAPS</v>
          </cell>
          <cell r="I46" t="str">
            <v>OTC</v>
          </cell>
          <cell r="J46" t="str">
            <v>NEGATIVA</v>
          </cell>
          <cell r="K46">
            <v>52.33</v>
          </cell>
          <cell r="L46">
            <v>51.99</v>
          </cell>
          <cell r="M46">
            <v>51.66</v>
          </cell>
          <cell r="N46">
            <v>51.01</v>
          </cell>
          <cell r="O46">
            <v>50.69</v>
          </cell>
          <cell r="P46">
            <v>50.37</v>
          </cell>
          <cell r="Q46">
            <v>50.06</v>
          </cell>
          <cell r="R46">
            <v>49.75</v>
          </cell>
          <cell r="S46">
            <v>49.14</v>
          </cell>
          <cell r="T46">
            <v>48.84</v>
          </cell>
          <cell r="U46">
            <v>48.55</v>
          </cell>
          <cell r="V46">
            <v>45.79</v>
          </cell>
          <cell r="W46">
            <v>100</v>
          </cell>
        </row>
        <row r="47">
          <cell r="B47">
            <v>31064</v>
          </cell>
          <cell r="C47" t="str">
            <v>7896004720838</v>
          </cell>
          <cell r="D47" t="str">
            <v>GASTROINTESTINAL</v>
          </cell>
          <cell r="E47" t="str">
            <v>REPOFLOR</v>
          </cell>
          <cell r="F47" t="str">
            <v>SUPER MARCAS</v>
          </cell>
          <cell r="G47" t="str">
            <v>REPOFLOR 200MG</v>
          </cell>
          <cell r="H47" t="str">
            <v>FR X 6 CAPS</v>
          </cell>
          <cell r="I47" t="str">
            <v>OTC</v>
          </cell>
          <cell r="J47" t="str">
            <v>NEGATIVA</v>
          </cell>
          <cell r="K47">
            <v>44.19</v>
          </cell>
          <cell r="L47">
            <v>43.91</v>
          </cell>
          <cell r="M47">
            <v>43.63</v>
          </cell>
          <cell r="N47">
            <v>43.08</v>
          </cell>
          <cell r="O47">
            <v>42.81</v>
          </cell>
          <cell r="P47">
            <v>42.54</v>
          </cell>
          <cell r="Q47">
            <v>42.27</v>
          </cell>
          <cell r="R47">
            <v>42.01</v>
          </cell>
          <cell r="S47">
            <v>41.5</v>
          </cell>
          <cell r="T47">
            <v>41.25</v>
          </cell>
          <cell r="U47">
            <v>41</v>
          </cell>
          <cell r="V47">
            <v>38.67</v>
          </cell>
          <cell r="W47">
            <v>100</v>
          </cell>
        </row>
        <row r="48">
          <cell r="B48">
            <v>39018</v>
          </cell>
          <cell r="C48" t="str">
            <v>7896004715230</v>
          </cell>
          <cell r="D48" t="str">
            <v>GASTROINTESTINAL</v>
          </cell>
          <cell r="E48" t="str">
            <v>REPOFLOR</v>
          </cell>
          <cell r="F48" t="str">
            <v>SUPER MARCAS</v>
          </cell>
          <cell r="G48" t="str">
            <v>REPOFLOR 200MG PO ORAL</v>
          </cell>
          <cell r="H48" t="str">
            <v>4  SACHET</v>
          </cell>
          <cell r="I48" t="str">
            <v>OTC</v>
          </cell>
          <cell r="J48" t="str">
            <v>NEGATIVA</v>
          </cell>
          <cell r="K48">
            <v>38.01</v>
          </cell>
          <cell r="L48">
            <v>37.76</v>
          </cell>
          <cell r="M48">
            <v>37.520000000000003</v>
          </cell>
          <cell r="N48">
            <v>37.049999999999997</v>
          </cell>
          <cell r="O48">
            <v>36.81</v>
          </cell>
          <cell r="P48">
            <v>36.58</v>
          </cell>
          <cell r="Q48">
            <v>36.36</v>
          </cell>
          <cell r="R48">
            <v>36.130000000000003</v>
          </cell>
          <cell r="S48">
            <v>35.69</v>
          </cell>
          <cell r="T48">
            <v>35.47</v>
          </cell>
          <cell r="U48">
            <v>35.26</v>
          </cell>
          <cell r="V48">
            <v>33.26</v>
          </cell>
          <cell r="W48">
            <v>60</v>
          </cell>
        </row>
        <row r="49">
          <cell r="B49">
            <v>39042</v>
          </cell>
          <cell r="C49">
            <v>7896004793887</v>
          </cell>
          <cell r="D49" t="str">
            <v>GASTROINTESTINAL</v>
          </cell>
          <cell r="E49" t="str">
            <v>REPOFLOR</v>
          </cell>
          <cell r="F49" t="str">
            <v>SUPER MARCAS</v>
          </cell>
          <cell r="G49" t="str">
            <v>REPOFLOR 200MG PO ORAL</v>
          </cell>
          <cell r="H49" t="str">
            <v>4  SACHET</v>
          </cell>
          <cell r="I49" t="str">
            <v>OTC</v>
          </cell>
          <cell r="J49" t="str">
            <v>NEGATIVA</v>
          </cell>
          <cell r="K49">
            <v>37.1</v>
          </cell>
          <cell r="L49">
            <v>36.86</v>
          </cell>
          <cell r="M49">
            <v>36.630000000000003</v>
          </cell>
          <cell r="N49">
            <v>36.159999999999997</v>
          </cell>
          <cell r="O49">
            <v>35.94</v>
          </cell>
          <cell r="P49">
            <v>35.71</v>
          </cell>
          <cell r="Q49">
            <v>35.49</v>
          </cell>
          <cell r="R49">
            <v>35.270000000000003</v>
          </cell>
          <cell r="S49">
            <v>34.840000000000003</v>
          </cell>
          <cell r="T49">
            <v>34.630000000000003</v>
          </cell>
          <cell r="U49">
            <v>34.42</v>
          </cell>
          <cell r="V49">
            <v>32.46</v>
          </cell>
          <cell r="W49">
            <v>60</v>
          </cell>
        </row>
        <row r="50">
          <cell r="B50">
            <v>32487</v>
          </cell>
          <cell r="C50" t="str">
            <v>7896004774626</v>
          </cell>
          <cell r="D50" t="str">
            <v>GASTROINTESTINAL</v>
          </cell>
          <cell r="E50" t="str">
            <v>REPOFLOR</v>
          </cell>
          <cell r="F50" t="str">
            <v>SUPER MARCAS</v>
          </cell>
          <cell r="G50" t="str">
            <v>REPOFLOR</v>
          </cell>
          <cell r="H50" t="str">
            <v>250MG FR C/10 CAP DURA - L</v>
          </cell>
          <cell r="I50" t="str">
            <v>OTC</v>
          </cell>
          <cell r="J50" t="str">
            <v>NEGATIVA</v>
          </cell>
          <cell r="K50">
            <v>56.63</v>
          </cell>
          <cell r="L50">
            <v>56.27</v>
          </cell>
          <cell r="M50">
            <v>55.91</v>
          </cell>
          <cell r="N50">
            <v>55.2</v>
          </cell>
          <cell r="O50">
            <v>54.85</v>
          </cell>
          <cell r="P50">
            <v>54.51</v>
          </cell>
          <cell r="Q50">
            <v>54.17</v>
          </cell>
          <cell r="R50">
            <v>53.84</v>
          </cell>
          <cell r="S50">
            <v>53.18</v>
          </cell>
          <cell r="T50">
            <v>52.86</v>
          </cell>
          <cell r="U50">
            <v>52.54</v>
          </cell>
          <cell r="V50">
            <v>49.55</v>
          </cell>
          <cell r="W50">
            <v>100</v>
          </cell>
        </row>
        <row r="51">
          <cell r="B51">
            <v>31963</v>
          </cell>
          <cell r="C51" t="str">
            <v>7896004769943</v>
          </cell>
          <cell r="D51" t="str">
            <v>GASTROINTESTINAL</v>
          </cell>
          <cell r="E51" t="str">
            <v>REPOFLOR</v>
          </cell>
          <cell r="F51" t="str">
            <v>SUPER MARCAS</v>
          </cell>
          <cell r="G51" t="str">
            <v>REPOFLOR</v>
          </cell>
          <cell r="H51" t="str">
            <v>250MG C/10 SACHES - L</v>
          </cell>
          <cell r="I51" t="str">
            <v>OTC</v>
          </cell>
          <cell r="J51" t="str">
            <v>NEGATIVA</v>
          </cell>
          <cell r="K51">
            <v>60.49</v>
          </cell>
          <cell r="L51">
            <v>60.1</v>
          </cell>
          <cell r="M51">
            <v>59.71</v>
          </cell>
          <cell r="N51">
            <v>58.96</v>
          </cell>
          <cell r="O51">
            <v>58.59</v>
          </cell>
          <cell r="P51">
            <v>58.22</v>
          </cell>
          <cell r="Q51">
            <v>57.86</v>
          </cell>
          <cell r="R51">
            <v>57.5</v>
          </cell>
          <cell r="S51">
            <v>56.8</v>
          </cell>
          <cell r="T51">
            <v>56.46</v>
          </cell>
          <cell r="U51">
            <v>56.12</v>
          </cell>
          <cell r="V51">
            <v>52.93</v>
          </cell>
          <cell r="W51">
            <v>60</v>
          </cell>
        </row>
        <row r="52">
          <cell r="B52">
            <v>31497</v>
          </cell>
          <cell r="C52" t="str">
            <v>7896004746531</v>
          </cell>
          <cell r="D52" t="str">
            <v>DERMA</v>
          </cell>
          <cell r="E52" t="str">
            <v>KELOSIL</v>
          </cell>
          <cell r="F52" t="str">
            <v>SUPER MARCAS</v>
          </cell>
          <cell r="G52" t="str">
            <v>KELOSIL GEL DE SILICONE 15G - L</v>
          </cell>
          <cell r="H52" t="str">
            <v>BISN X 15 G</v>
          </cell>
          <cell r="I52" t="str">
            <v>OTC</v>
          </cell>
          <cell r="J52" t="str">
            <v>NEGATIVA</v>
          </cell>
          <cell r="K52">
            <v>89.44</v>
          </cell>
          <cell r="L52">
            <v>89.44</v>
          </cell>
          <cell r="M52">
            <v>89.44</v>
          </cell>
          <cell r="N52">
            <v>89.44</v>
          </cell>
          <cell r="O52">
            <v>89.44</v>
          </cell>
          <cell r="P52">
            <v>89.44</v>
          </cell>
          <cell r="Q52">
            <v>89.44</v>
          </cell>
          <cell r="R52">
            <v>89.44</v>
          </cell>
          <cell r="S52">
            <v>89.44</v>
          </cell>
          <cell r="T52">
            <v>89.44</v>
          </cell>
          <cell r="U52">
            <v>89.44</v>
          </cell>
          <cell r="V52">
            <v>89.44</v>
          </cell>
          <cell r="W52">
            <v>56</v>
          </cell>
        </row>
        <row r="53">
          <cell r="B53">
            <v>32052</v>
          </cell>
          <cell r="C53" t="str">
            <v>7896004718132</v>
          </cell>
          <cell r="D53" t="str">
            <v>DERMA</v>
          </cell>
          <cell r="E53" t="str">
            <v>NATUS</v>
          </cell>
          <cell r="F53" t="str">
            <v>OUTROS</v>
          </cell>
          <cell r="G53" t="str">
            <v>NATUS GERIN 2BLSX15 CAPSULAS=30 CAPSULAS</v>
          </cell>
          <cell r="H53" t="str">
            <v>2BLSX15 CAPSULAS=30 CAPSULAS</v>
          </cell>
          <cell r="I53" t="str">
            <v>OTC</v>
          </cell>
          <cell r="J53" t="str">
            <v>NEGATIVA</v>
          </cell>
          <cell r="K53">
            <v>81.95</v>
          </cell>
          <cell r="L53">
            <v>81.42</v>
          </cell>
          <cell r="M53">
            <v>80.900000000000006</v>
          </cell>
          <cell r="N53">
            <v>79.87</v>
          </cell>
          <cell r="O53">
            <v>79.37</v>
          </cell>
          <cell r="P53">
            <v>78.87</v>
          </cell>
          <cell r="Q53">
            <v>78.38</v>
          </cell>
          <cell r="R53">
            <v>77.900000000000006</v>
          </cell>
          <cell r="S53">
            <v>76.95</v>
          </cell>
          <cell r="T53">
            <v>76.48</v>
          </cell>
          <cell r="U53">
            <v>76.02</v>
          </cell>
          <cell r="V53">
            <v>71.7</v>
          </cell>
          <cell r="W53">
            <v>60</v>
          </cell>
        </row>
        <row r="54">
          <cell r="B54">
            <v>32028</v>
          </cell>
          <cell r="C54" t="str">
            <v>7896004815077</v>
          </cell>
          <cell r="D54" t="str">
            <v>DERMA</v>
          </cell>
          <cell r="E54" t="str">
            <v>NATUS</v>
          </cell>
          <cell r="F54" t="str">
            <v>OUTROS</v>
          </cell>
          <cell r="G54" t="str">
            <v>NATUS GERIN BLT 5X10= 50 CAP</v>
          </cell>
          <cell r="H54" t="str">
            <v>BLT 5X10= 50 CAP</v>
          </cell>
          <cell r="I54" t="str">
            <v>OTC</v>
          </cell>
          <cell r="J54" t="str">
            <v>NEGATIVA</v>
          </cell>
          <cell r="K54">
            <v>91.09</v>
          </cell>
          <cell r="L54">
            <v>90.51</v>
          </cell>
          <cell r="M54">
            <v>89.93</v>
          </cell>
          <cell r="N54">
            <v>88.79</v>
          </cell>
          <cell r="O54">
            <v>88.23</v>
          </cell>
          <cell r="P54">
            <v>87.68</v>
          </cell>
          <cell r="Q54">
            <v>87.13</v>
          </cell>
          <cell r="R54">
            <v>86.6</v>
          </cell>
          <cell r="S54">
            <v>85.54</v>
          </cell>
          <cell r="T54">
            <v>85.02</v>
          </cell>
          <cell r="U54">
            <v>84.51</v>
          </cell>
          <cell r="V54">
            <v>79.709999999999994</v>
          </cell>
          <cell r="W54">
            <v>50</v>
          </cell>
        </row>
        <row r="55">
          <cell r="B55">
            <v>32484</v>
          </cell>
          <cell r="C55" t="str">
            <v>7896004780481</v>
          </cell>
          <cell r="D55" t="str">
            <v>INVERNO</v>
          </cell>
          <cell r="E55" t="str">
            <v>HEDRA</v>
          </cell>
          <cell r="F55" t="str">
            <v>SUPER MARCAS</v>
          </cell>
          <cell r="G55" t="str">
            <v xml:space="preserve">HEDRA EXPEC </v>
          </cell>
          <cell r="H55" t="str">
            <v>7MG/ML SOL ORAL C/ 100 ML-L</v>
          </cell>
          <cell r="I55" t="str">
            <v>OTC</v>
          </cell>
          <cell r="J55" t="str">
            <v>NEGATIVA</v>
          </cell>
          <cell r="K55">
            <v>25.68</v>
          </cell>
          <cell r="L55">
            <v>25.51</v>
          </cell>
          <cell r="M55">
            <v>25.35</v>
          </cell>
          <cell r="N55">
            <v>25.03</v>
          </cell>
          <cell r="O55">
            <v>24.87</v>
          </cell>
          <cell r="P55">
            <v>24.71</v>
          </cell>
          <cell r="Q55">
            <v>24.56</v>
          </cell>
          <cell r="R55">
            <v>24.41</v>
          </cell>
          <cell r="S55">
            <v>24.11</v>
          </cell>
          <cell r="T55">
            <v>23.96</v>
          </cell>
          <cell r="U55">
            <v>23.82</v>
          </cell>
          <cell r="V55">
            <v>22.47</v>
          </cell>
          <cell r="W55">
            <v>60</v>
          </cell>
        </row>
        <row r="56">
          <cell r="B56">
            <v>31933</v>
          </cell>
          <cell r="C56" t="str">
            <v>7896004768465</v>
          </cell>
          <cell r="D56" t="str">
            <v>GASTROINTESTINAL</v>
          </cell>
          <cell r="E56" t="str">
            <v>LACTULIV</v>
          </cell>
          <cell r="F56" t="str">
            <v>OUTROS</v>
          </cell>
          <cell r="G56" t="str">
            <v>LACTULIV 667MG/ML SOL AMEIXA 120ML-L</v>
          </cell>
          <cell r="H56" t="str">
            <v>FR X 120 ML</v>
          </cell>
          <cell r="I56" t="str">
            <v>OTC</v>
          </cell>
          <cell r="J56" t="str">
            <v>NEUTRA</v>
          </cell>
          <cell r="K56">
            <v>47.49</v>
          </cell>
          <cell r="L56">
            <v>47.49</v>
          </cell>
          <cell r="M56">
            <v>47.49</v>
          </cell>
          <cell r="N56">
            <v>47.49</v>
          </cell>
          <cell r="O56">
            <v>47.49</v>
          </cell>
          <cell r="P56">
            <v>47.49</v>
          </cell>
          <cell r="Q56">
            <v>47.49</v>
          </cell>
          <cell r="R56">
            <v>47.49</v>
          </cell>
          <cell r="S56">
            <v>47.49</v>
          </cell>
          <cell r="T56">
            <v>47.49</v>
          </cell>
          <cell r="U56">
            <v>47.49</v>
          </cell>
          <cell r="V56">
            <v>47.49</v>
          </cell>
          <cell r="W56">
            <v>60</v>
          </cell>
        </row>
        <row r="57">
          <cell r="B57">
            <v>31936</v>
          </cell>
          <cell r="C57" t="str">
            <v>7896004768472</v>
          </cell>
          <cell r="D57" t="str">
            <v>GASTROINTESTINAL</v>
          </cell>
          <cell r="E57" t="str">
            <v>LACTULIV</v>
          </cell>
          <cell r="F57" t="str">
            <v>OUTROS</v>
          </cell>
          <cell r="G57" t="str">
            <v>LACTULIV 667MG/ML SOL SAL.FRUTAS 120ML-L</v>
          </cell>
          <cell r="H57" t="str">
            <v>FR X 120 ML</v>
          </cell>
          <cell r="I57" t="str">
            <v>OTC</v>
          </cell>
          <cell r="J57" t="str">
            <v>NEUTRA</v>
          </cell>
          <cell r="K57">
            <v>47.49</v>
          </cell>
          <cell r="L57">
            <v>47.49</v>
          </cell>
          <cell r="M57">
            <v>47.49</v>
          </cell>
          <cell r="N57">
            <v>47.49</v>
          </cell>
          <cell r="O57">
            <v>47.49</v>
          </cell>
          <cell r="P57">
            <v>47.49</v>
          </cell>
          <cell r="Q57">
            <v>47.49</v>
          </cell>
          <cell r="R57">
            <v>47.49</v>
          </cell>
          <cell r="S57">
            <v>47.49</v>
          </cell>
          <cell r="T57">
            <v>47.49</v>
          </cell>
          <cell r="U57">
            <v>47.49</v>
          </cell>
          <cell r="V57">
            <v>47.49</v>
          </cell>
          <cell r="W57">
            <v>60</v>
          </cell>
        </row>
        <row r="58">
          <cell r="B58">
            <v>32460</v>
          </cell>
          <cell r="C58" t="str">
            <v>7896004779089</v>
          </cell>
          <cell r="D58" t="str">
            <v>GASTROINTESTINAL</v>
          </cell>
          <cell r="E58" t="str">
            <v>LACTULIV</v>
          </cell>
          <cell r="F58" t="str">
            <v>OUTROS</v>
          </cell>
          <cell r="G58" t="str">
            <v>LACTULIV 667MG/ML SOL SEM SABOR 120ML-L</v>
          </cell>
          <cell r="H58" t="str">
            <v>FR X 120 ML</v>
          </cell>
          <cell r="I58" t="str">
            <v>OTC</v>
          </cell>
          <cell r="J58" t="str">
            <v>NEUTRA</v>
          </cell>
          <cell r="K58">
            <v>46.62</v>
          </cell>
          <cell r="L58">
            <v>46.62</v>
          </cell>
          <cell r="M58">
            <v>46.62</v>
          </cell>
          <cell r="N58">
            <v>46.62</v>
          </cell>
          <cell r="O58">
            <v>46.62</v>
          </cell>
          <cell r="P58">
            <v>46.62</v>
          </cell>
          <cell r="Q58">
            <v>46.62</v>
          </cell>
          <cell r="R58">
            <v>46.62</v>
          </cell>
          <cell r="S58">
            <v>46.62</v>
          </cell>
          <cell r="T58">
            <v>46.62</v>
          </cell>
          <cell r="U58">
            <v>46.62</v>
          </cell>
          <cell r="V58">
            <v>46.62</v>
          </cell>
          <cell r="W58">
            <v>60</v>
          </cell>
        </row>
        <row r="59">
          <cell r="B59">
            <v>31957</v>
          </cell>
          <cell r="C59" t="str">
            <v>7896004774237</v>
          </cell>
          <cell r="D59" t="str">
            <v>MULTIVITAMINICOS</v>
          </cell>
          <cell r="E59" t="str">
            <v>CENEVIT ZINCO</v>
          </cell>
          <cell r="F59" t="str">
            <v>SUPER MARCAS</v>
          </cell>
          <cell r="G59" t="str">
            <v>CENEVIT ZINCO 1G+10MG C/10COMP EFERV - L</v>
          </cell>
          <cell r="H59" t="str">
            <v xml:space="preserve">TUBO X 10 </v>
          </cell>
          <cell r="I59" t="str">
            <v>OTC</v>
          </cell>
          <cell r="J59" t="str">
            <v>NEUTRA</v>
          </cell>
          <cell r="K59">
            <v>18.02</v>
          </cell>
          <cell r="L59">
            <v>18.02</v>
          </cell>
          <cell r="M59">
            <v>18.02</v>
          </cell>
          <cell r="N59">
            <v>18.02</v>
          </cell>
          <cell r="O59">
            <v>18.02</v>
          </cell>
          <cell r="P59">
            <v>18.02</v>
          </cell>
          <cell r="Q59">
            <v>18.02</v>
          </cell>
          <cell r="R59">
            <v>18.02</v>
          </cell>
          <cell r="S59">
            <v>18.02</v>
          </cell>
          <cell r="T59">
            <v>18.02</v>
          </cell>
          <cell r="U59">
            <v>18.02</v>
          </cell>
          <cell r="V59">
            <v>18.02</v>
          </cell>
          <cell r="W59">
            <v>60</v>
          </cell>
        </row>
        <row r="60">
          <cell r="B60">
            <v>31958</v>
          </cell>
          <cell r="C60" t="str">
            <v>7896004774244</v>
          </cell>
          <cell r="D60" t="str">
            <v>MULTIVITAMINICOS</v>
          </cell>
          <cell r="E60" t="str">
            <v>CENEVIT ZINCO</v>
          </cell>
          <cell r="F60" t="str">
            <v>SUPER MARCAS</v>
          </cell>
          <cell r="G60" t="str">
            <v>CENEVIT ZINCO 1G+10MG C/30COMP EFERV - L</v>
          </cell>
          <cell r="H60" t="str">
            <v>TUBO X 30</v>
          </cell>
          <cell r="I60" t="str">
            <v>OTC</v>
          </cell>
          <cell r="J60" t="str">
            <v>NEUTRA</v>
          </cell>
          <cell r="K60">
            <v>54.07</v>
          </cell>
          <cell r="L60">
            <v>54.07</v>
          </cell>
          <cell r="M60">
            <v>54.07</v>
          </cell>
          <cell r="N60">
            <v>54.07</v>
          </cell>
          <cell r="O60">
            <v>54.07</v>
          </cell>
          <cell r="P60">
            <v>54.07</v>
          </cell>
          <cell r="Q60">
            <v>54.07</v>
          </cell>
          <cell r="R60">
            <v>54.07</v>
          </cell>
          <cell r="S60">
            <v>54.07</v>
          </cell>
          <cell r="T60">
            <v>54.07</v>
          </cell>
          <cell r="U60">
            <v>54.07</v>
          </cell>
          <cell r="V60">
            <v>54.07</v>
          </cell>
          <cell r="W60">
            <v>40</v>
          </cell>
        </row>
        <row r="61">
          <cell r="B61">
            <v>31960</v>
          </cell>
          <cell r="C61" t="str">
            <v>7896004774220</v>
          </cell>
          <cell r="D61" t="str">
            <v>MULTIVITAMINICOS</v>
          </cell>
          <cell r="E61" t="str">
            <v>CENEVIT 1G</v>
          </cell>
          <cell r="F61" t="str">
            <v>SUPER MARCAS</v>
          </cell>
          <cell r="G61" t="str">
            <v>CENEVIT 1G C/10 COMP EFERV -L</v>
          </cell>
          <cell r="H61" t="str">
            <v xml:space="preserve">TUBO X 10 </v>
          </cell>
          <cell r="I61" t="str">
            <v>OTC</v>
          </cell>
          <cell r="J61" t="str">
            <v>NEUTRA</v>
          </cell>
          <cell r="K61">
            <v>14.77</v>
          </cell>
          <cell r="L61">
            <v>14.77</v>
          </cell>
          <cell r="M61">
            <v>14.77</v>
          </cell>
          <cell r="N61">
            <v>14.77</v>
          </cell>
          <cell r="O61">
            <v>14.77</v>
          </cell>
          <cell r="P61">
            <v>14.77</v>
          </cell>
          <cell r="Q61">
            <v>14.77</v>
          </cell>
          <cell r="R61">
            <v>14.77</v>
          </cell>
          <cell r="S61">
            <v>14.77</v>
          </cell>
          <cell r="T61">
            <v>14.77</v>
          </cell>
          <cell r="U61">
            <v>14.77</v>
          </cell>
          <cell r="V61">
            <v>14.77</v>
          </cell>
          <cell r="W61">
            <v>60</v>
          </cell>
        </row>
        <row r="62">
          <cell r="B62">
            <v>32500</v>
          </cell>
          <cell r="C62" t="str">
            <v>7896004783871</v>
          </cell>
          <cell r="D62" t="str">
            <v>MULTIVITAMINICOS</v>
          </cell>
          <cell r="E62" t="str">
            <v>CENEVIT TRIPLA</v>
          </cell>
          <cell r="F62" t="str">
            <v>SUPER MARCAS</v>
          </cell>
          <cell r="G62" t="str">
            <v>CENEVIT TRIPLA ACAO C/10 CPR EFER S.A-L</v>
          </cell>
          <cell r="H62" t="str">
            <v>C/10 CPR EFER S.A-L</v>
          </cell>
          <cell r="I62" t="str">
            <v>OTC</v>
          </cell>
          <cell r="J62" t="str">
            <v>NEUTRA</v>
          </cell>
          <cell r="K62">
            <v>23.26</v>
          </cell>
          <cell r="L62">
            <v>23.26</v>
          </cell>
          <cell r="M62">
            <v>23.26</v>
          </cell>
          <cell r="N62">
            <v>23.26</v>
          </cell>
          <cell r="O62">
            <v>23.26</v>
          </cell>
          <cell r="P62">
            <v>23.26</v>
          </cell>
          <cell r="Q62">
            <v>23.26</v>
          </cell>
          <cell r="R62">
            <v>23.26</v>
          </cell>
          <cell r="S62">
            <v>23.26</v>
          </cell>
          <cell r="T62">
            <v>23.26</v>
          </cell>
          <cell r="U62">
            <v>23.26</v>
          </cell>
          <cell r="V62">
            <v>23.26</v>
          </cell>
          <cell r="W62">
            <v>60</v>
          </cell>
        </row>
        <row r="63">
          <cell r="B63">
            <v>32501</v>
          </cell>
          <cell r="C63" t="str">
            <v>7896004783888</v>
          </cell>
          <cell r="D63" t="str">
            <v>MULTIVITAMINICOS</v>
          </cell>
          <cell r="E63" t="str">
            <v>CENEVIT TRIPLA</v>
          </cell>
          <cell r="F63" t="str">
            <v>SUPER MARCAS</v>
          </cell>
          <cell r="G63" t="str">
            <v>CENEVIT TRIPLA ACAO C/30 CPR EFER S.A-L</v>
          </cell>
          <cell r="H63" t="str">
            <v>C/30 CPR EFER S.A-L</v>
          </cell>
          <cell r="I63" t="str">
            <v>OTC</v>
          </cell>
          <cell r="J63" t="str">
            <v>NEUTRA</v>
          </cell>
          <cell r="K63">
            <v>52.33</v>
          </cell>
          <cell r="L63">
            <v>52.33</v>
          </cell>
          <cell r="M63">
            <v>52.33</v>
          </cell>
          <cell r="N63">
            <v>52.33</v>
          </cell>
          <cell r="O63">
            <v>52.33</v>
          </cell>
          <cell r="P63">
            <v>52.33</v>
          </cell>
          <cell r="Q63">
            <v>52.33</v>
          </cell>
          <cell r="R63">
            <v>52.33</v>
          </cell>
          <cell r="S63">
            <v>52.33</v>
          </cell>
          <cell r="T63">
            <v>52.33</v>
          </cell>
          <cell r="U63">
            <v>52.33</v>
          </cell>
          <cell r="V63">
            <v>52.33</v>
          </cell>
          <cell r="W63">
            <v>40</v>
          </cell>
        </row>
        <row r="64">
          <cell r="B64">
            <v>32576</v>
          </cell>
          <cell r="C64" t="str">
            <v>7894916325769</v>
          </cell>
          <cell r="D64" t="str">
            <v>DERMA</v>
          </cell>
          <cell r="E64" t="str">
            <v xml:space="preserve">ALLOVITA </v>
          </cell>
          <cell r="F64" t="str">
            <v>SUPER MARCAS</v>
          </cell>
          <cell r="G64" t="str">
            <v xml:space="preserve">ALLOVITA </v>
          </cell>
          <cell r="H64" t="str">
            <v>50MG/ML SOL CAPILAR FR50ML-L</v>
          </cell>
          <cell r="I64" t="str">
            <v>TAR</v>
          </cell>
          <cell r="J64" t="str">
            <v>NEGATIVA</v>
          </cell>
          <cell r="K64">
            <v>50.49</v>
          </cell>
          <cell r="L64">
            <v>50.16</v>
          </cell>
          <cell r="M64">
            <v>49.84</v>
          </cell>
          <cell r="N64">
            <v>49.21</v>
          </cell>
          <cell r="O64">
            <v>48.9</v>
          </cell>
          <cell r="P64">
            <v>48.6</v>
          </cell>
          <cell r="Q64">
            <v>48.29</v>
          </cell>
          <cell r="R64">
            <v>48</v>
          </cell>
          <cell r="S64">
            <v>47.41</v>
          </cell>
          <cell r="T64">
            <v>47.12</v>
          </cell>
          <cell r="U64">
            <v>46.84</v>
          </cell>
          <cell r="V64">
            <v>44.18</v>
          </cell>
          <cell r="W64">
            <v>40</v>
          </cell>
        </row>
        <row r="65">
          <cell r="B65">
            <v>31952</v>
          </cell>
          <cell r="C65" t="str">
            <v>7896004769714</v>
          </cell>
          <cell r="D65" t="str">
            <v>INVERNO</v>
          </cell>
          <cell r="E65" t="str">
            <v xml:space="preserve">DESLORANA </v>
          </cell>
          <cell r="F65" t="str">
            <v>OUTROS</v>
          </cell>
          <cell r="G65" t="str">
            <v xml:space="preserve">DESLORANA </v>
          </cell>
          <cell r="H65" t="str">
            <v>0,5MG/ML XPE 60ML - L</v>
          </cell>
          <cell r="I65" t="str">
            <v>OTC</v>
          </cell>
          <cell r="J65" t="str">
            <v>NEGATIVA</v>
          </cell>
          <cell r="K65">
            <v>62.49</v>
          </cell>
          <cell r="L65">
            <v>62.09</v>
          </cell>
          <cell r="M65">
            <v>61.69</v>
          </cell>
          <cell r="N65">
            <v>60.91</v>
          </cell>
          <cell r="O65">
            <v>60.53</v>
          </cell>
          <cell r="P65">
            <v>60.15</v>
          </cell>
          <cell r="Q65">
            <v>59.77</v>
          </cell>
          <cell r="R65">
            <v>59.4</v>
          </cell>
          <cell r="S65">
            <v>58.68</v>
          </cell>
          <cell r="T65">
            <v>58.32</v>
          </cell>
          <cell r="U65">
            <v>57.97</v>
          </cell>
          <cell r="V65">
            <v>54.68</v>
          </cell>
          <cell r="W65">
            <v>25</v>
          </cell>
        </row>
        <row r="66">
          <cell r="B66">
            <v>31953</v>
          </cell>
          <cell r="C66" t="str">
            <v>7896004769721</v>
          </cell>
          <cell r="D66" t="str">
            <v>INVERNO</v>
          </cell>
          <cell r="E66" t="str">
            <v xml:space="preserve">DESLORANA </v>
          </cell>
          <cell r="F66" t="str">
            <v>OUTROS</v>
          </cell>
          <cell r="G66" t="str">
            <v xml:space="preserve">DESLORANA </v>
          </cell>
          <cell r="H66" t="str">
            <v>0,5MG/ML XPE 100ML - L</v>
          </cell>
          <cell r="I66" t="str">
            <v>OTC</v>
          </cell>
          <cell r="J66" t="str">
            <v>NEGATIVA</v>
          </cell>
          <cell r="K66">
            <v>103.22</v>
          </cell>
          <cell r="L66">
            <v>102.56</v>
          </cell>
          <cell r="M66">
            <v>101.9</v>
          </cell>
          <cell r="N66">
            <v>100.61</v>
          </cell>
          <cell r="O66">
            <v>99.98</v>
          </cell>
          <cell r="P66">
            <v>99.35</v>
          </cell>
          <cell r="Q66">
            <v>98.74</v>
          </cell>
          <cell r="R66">
            <v>98.13</v>
          </cell>
          <cell r="S66">
            <v>96.93</v>
          </cell>
          <cell r="T66">
            <v>96.34</v>
          </cell>
          <cell r="U66">
            <v>95.76</v>
          </cell>
          <cell r="V66">
            <v>90.32</v>
          </cell>
          <cell r="W66">
            <v>25</v>
          </cell>
        </row>
        <row r="67">
          <cell r="B67">
            <v>32465</v>
          </cell>
          <cell r="C67" t="str">
            <v>7896004779201</v>
          </cell>
          <cell r="D67" t="str">
            <v>OUTROS</v>
          </cell>
          <cell r="E67" t="str">
            <v>MARACUJA CONCEN</v>
          </cell>
          <cell r="F67" t="str">
            <v>OUTROS</v>
          </cell>
          <cell r="G67" t="str">
            <v>MARACUJA CONCENTRIXS/ACUCARFR100ML-L</v>
          </cell>
          <cell r="H67" t="str">
            <v>S/ACUCAR FR100ML-L</v>
          </cell>
          <cell r="I67" t="str">
            <v>OTC</v>
          </cell>
          <cell r="J67" t="str">
            <v>NEGATIVA</v>
          </cell>
          <cell r="K67">
            <v>40.46</v>
          </cell>
          <cell r="L67">
            <v>40.200000000000003</v>
          </cell>
          <cell r="M67">
            <v>39.94</v>
          </cell>
          <cell r="N67">
            <v>39.43</v>
          </cell>
          <cell r="O67">
            <v>39.18</v>
          </cell>
          <cell r="P67">
            <v>38.94</v>
          </cell>
          <cell r="Q67">
            <v>38.700000000000003</v>
          </cell>
          <cell r="R67">
            <v>38.46</v>
          </cell>
          <cell r="S67">
            <v>37.99</v>
          </cell>
          <cell r="T67">
            <v>37.76</v>
          </cell>
          <cell r="U67">
            <v>37.53</v>
          </cell>
          <cell r="V67">
            <v>35.4</v>
          </cell>
          <cell r="W67">
            <v>60</v>
          </cell>
        </row>
        <row r="68">
          <cell r="B68">
            <v>32567</v>
          </cell>
          <cell r="C68" t="str">
            <v>7894916325677</v>
          </cell>
          <cell r="D68" t="str">
            <v>DERMA</v>
          </cell>
          <cell r="E68" t="str">
            <v xml:space="preserve">SUAVICID </v>
          </cell>
          <cell r="F68" t="str">
            <v>SUPER MARCAS</v>
          </cell>
          <cell r="G68" t="str">
            <v xml:space="preserve">SUAVICID </v>
          </cell>
          <cell r="H68" t="str">
            <v>CREME 10G - L</v>
          </cell>
          <cell r="I68" t="str">
            <v>TAR</v>
          </cell>
          <cell r="J68" t="str">
            <v>NEGATIVA</v>
          </cell>
          <cell r="K68">
            <v>81.53</v>
          </cell>
          <cell r="L68">
            <v>81.010000000000005</v>
          </cell>
          <cell r="M68">
            <v>80.489999999999995</v>
          </cell>
          <cell r="N68">
            <v>79.47</v>
          </cell>
          <cell r="O68">
            <v>78.97</v>
          </cell>
          <cell r="P68">
            <v>78.47</v>
          </cell>
          <cell r="Q68">
            <v>77.989999999999995</v>
          </cell>
          <cell r="R68">
            <v>77.510000000000005</v>
          </cell>
          <cell r="S68">
            <v>76.56</v>
          </cell>
          <cell r="T68">
            <v>76.099999999999994</v>
          </cell>
          <cell r="U68">
            <v>75.64</v>
          </cell>
          <cell r="V68">
            <v>71.34</v>
          </cell>
          <cell r="W68">
            <v>56</v>
          </cell>
        </row>
        <row r="69">
          <cell r="B69">
            <v>32469</v>
          </cell>
          <cell r="C69" t="str">
            <v>7896004778341</v>
          </cell>
          <cell r="D69" t="str">
            <v>DERMA</v>
          </cell>
          <cell r="E69" t="str">
            <v xml:space="preserve">ALLOVITA </v>
          </cell>
          <cell r="F69" t="str">
            <v>SUPER MARCAS</v>
          </cell>
          <cell r="G69" t="str">
            <v xml:space="preserve">ALLOVITA </v>
          </cell>
          <cell r="H69" t="str">
            <v>50MG/ML SOL CAPI 3 FR50ML</v>
          </cell>
          <cell r="I69" t="str">
            <v>TAR</v>
          </cell>
          <cell r="J69" t="str">
            <v>NEGATIVA</v>
          </cell>
          <cell r="K69">
            <v>107.85</v>
          </cell>
          <cell r="L69">
            <v>107.15</v>
          </cell>
          <cell r="M69">
            <v>106.46</v>
          </cell>
          <cell r="N69">
            <v>105.12</v>
          </cell>
          <cell r="O69">
            <v>104.45</v>
          </cell>
          <cell r="P69">
            <v>103.8</v>
          </cell>
          <cell r="Q69">
            <v>103.16</v>
          </cell>
          <cell r="R69">
            <v>102.52</v>
          </cell>
          <cell r="S69">
            <v>101.27</v>
          </cell>
          <cell r="T69">
            <v>100.66</v>
          </cell>
          <cell r="U69">
            <v>100.05</v>
          </cell>
          <cell r="V69">
            <v>94.37</v>
          </cell>
          <cell r="W69">
            <v>10</v>
          </cell>
        </row>
        <row r="70">
          <cell r="B70">
            <v>32468</v>
          </cell>
          <cell r="C70" t="str">
            <v>7896004778334</v>
          </cell>
          <cell r="D70" t="str">
            <v>DERMA</v>
          </cell>
          <cell r="E70" t="str">
            <v xml:space="preserve">ALLOVITA </v>
          </cell>
          <cell r="F70" t="str">
            <v>SUPER MARCAS</v>
          </cell>
          <cell r="G70" t="str">
            <v xml:space="preserve">ALLOVITA </v>
          </cell>
          <cell r="H70" t="str">
            <v>50MG/ML SOL CAPI 2 FR50ML-L</v>
          </cell>
          <cell r="I70" t="str">
            <v>TAR</v>
          </cell>
          <cell r="J70" t="str">
            <v>NEGATIVA</v>
          </cell>
          <cell r="K70">
            <v>75.08</v>
          </cell>
          <cell r="L70">
            <v>74.59</v>
          </cell>
          <cell r="M70">
            <v>74.12</v>
          </cell>
          <cell r="N70">
            <v>73.180000000000007</v>
          </cell>
          <cell r="O70">
            <v>72.72</v>
          </cell>
          <cell r="P70">
            <v>72.260000000000005</v>
          </cell>
          <cell r="Q70">
            <v>71.81</v>
          </cell>
          <cell r="R70">
            <v>71.37</v>
          </cell>
          <cell r="S70">
            <v>70.5</v>
          </cell>
          <cell r="T70">
            <v>70.069999999999993</v>
          </cell>
          <cell r="U70">
            <v>69.650000000000006</v>
          </cell>
          <cell r="V70">
            <v>65.69</v>
          </cell>
          <cell r="W70">
            <v>40</v>
          </cell>
        </row>
        <row r="71">
          <cell r="B71">
            <v>32588</v>
          </cell>
          <cell r="C71" t="str">
            <v>7894916325882</v>
          </cell>
          <cell r="D71" t="str">
            <v>GASTROINTESTINAL</v>
          </cell>
          <cell r="E71" t="str">
            <v>REPOFLOR</v>
          </cell>
          <cell r="F71" t="str">
            <v>SUPER MARCAS</v>
          </cell>
          <cell r="G71" t="str">
            <v>REPOFLOR 250MG FR C/6 CAP DURA - L</v>
          </cell>
          <cell r="H71" t="str">
            <v>250 250MG FR C/6 CAP DURA - L</v>
          </cell>
          <cell r="I71" t="str">
            <v>OTC</v>
          </cell>
          <cell r="J71" t="str">
            <v>NEGATIVA</v>
          </cell>
          <cell r="K71">
            <v>37.729999999999997</v>
          </cell>
          <cell r="L71">
            <v>37.49</v>
          </cell>
          <cell r="M71">
            <v>37.25</v>
          </cell>
          <cell r="N71">
            <v>36.78</v>
          </cell>
          <cell r="O71">
            <v>36.54</v>
          </cell>
          <cell r="P71">
            <v>36.32</v>
          </cell>
          <cell r="Q71">
            <v>36.090000000000003</v>
          </cell>
          <cell r="R71">
            <v>35.869999999999997</v>
          </cell>
          <cell r="S71">
            <v>35.43</v>
          </cell>
          <cell r="T71">
            <v>35.22</v>
          </cell>
          <cell r="U71">
            <v>35</v>
          </cell>
          <cell r="V71">
            <v>33.01</v>
          </cell>
          <cell r="W71">
            <v>100</v>
          </cell>
        </row>
        <row r="72">
          <cell r="B72">
            <v>32589</v>
          </cell>
          <cell r="C72" t="str">
            <v>7894916325899</v>
          </cell>
          <cell r="D72" t="str">
            <v>GASTROINTESTINAL</v>
          </cell>
          <cell r="E72" t="str">
            <v>REPOFLOR</v>
          </cell>
          <cell r="F72" t="str">
            <v>SUPER MARCAS</v>
          </cell>
          <cell r="G72" t="str">
            <v>REPOFLOR 250 250MG C/6 SACHES - L</v>
          </cell>
          <cell r="H72" t="str">
            <v>250 250MG C/6 SACHES - L</v>
          </cell>
          <cell r="I72" t="str">
            <v>OTC</v>
          </cell>
          <cell r="J72" t="str">
            <v>NEGATIVA</v>
          </cell>
          <cell r="K72">
            <v>40.28</v>
          </cell>
          <cell r="L72">
            <v>40.020000000000003</v>
          </cell>
          <cell r="M72">
            <v>39.76</v>
          </cell>
          <cell r="N72">
            <v>39.26</v>
          </cell>
          <cell r="O72">
            <v>39.01</v>
          </cell>
          <cell r="P72">
            <v>38.770000000000003</v>
          </cell>
          <cell r="Q72">
            <v>38.520000000000003</v>
          </cell>
          <cell r="R72">
            <v>38.29</v>
          </cell>
          <cell r="S72">
            <v>37.82</v>
          </cell>
          <cell r="T72">
            <v>37.590000000000003</v>
          </cell>
          <cell r="U72">
            <v>37.36</v>
          </cell>
          <cell r="V72">
            <v>35.24</v>
          </cell>
          <cell r="W72">
            <v>60</v>
          </cell>
        </row>
        <row r="73">
          <cell r="B73">
            <v>32580</v>
          </cell>
          <cell r="C73" t="str">
            <v>7894916325806</v>
          </cell>
          <cell r="D73" t="str">
            <v>INVERNO</v>
          </cell>
          <cell r="E73" t="str">
            <v>DESLORANA</v>
          </cell>
          <cell r="F73" t="str">
            <v>OUTROS</v>
          </cell>
          <cell r="G73" t="str">
            <v>DESLORANA 5MG</v>
          </cell>
          <cell r="H73" t="str">
            <v>1 BLT X 10 COMP REV</v>
          </cell>
          <cell r="I73" t="str">
            <v>OTC</v>
          </cell>
          <cell r="J73" t="str">
            <v>NEGATIVA</v>
          </cell>
          <cell r="K73">
            <v>57.29</v>
          </cell>
          <cell r="L73">
            <v>56.92</v>
          </cell>
          <cell r="M73">
            <v>56.56</v>
          </cell>
          <cell r="N73">
            <v>55.84</v>
          </cell>
          <cell r="O73">
            <v>55.49</v>
          </cell>
          <cell r="P73">
            <v>55.15</v>
          </cell>
          <cell r="Q73">
            <v>54.8</v>
          </cell>
          <cell r="R73">
            <v>54.46</v>
          </cell>
          <cell r="S73">
            <v>53.8</v>
          </cell>
          <cell r="T73">
            <v>53.47</v>
          </cell>
          <cell r="U73">
            <v>53.15</v>
          </cell>
          <cell r="V73">
            <v>50.13</v>
          </cell>
          <cell r="W73">
            <v>48</v>
          </cell>
        </row>
        <row r="74">
          <cell r="B74">
            <v>32577</v>
          </cell>
          <cell r="C74" t="str">
            <v>7894916325776</v>
          </cell>
          <cell r="D74" t="str">
            <v>INVERNO</v>
          </cell>
          <cell r="E74" t="str">
            <v>DESLORANA</v>
          </cell>
          <cell r="F74" t="str">
            <v>OUTROS</v>
          </cell>
          <cell r="G74" t="str">
            <v xml:space="preserve">DESLORANA 5MG </v>
          </cell>
          <cell r="H74" t="str">
            <v>1 BLT C/30 COM REV - L</v>
          </cell>
          <cell r="I74" t="str">
            <v>OTC</v>
          </cell>
          <cell r="J74" t="str">
            <v>NEGATIVA</v>
          </cell>
          <cell r="K74">
            <v>123.26</v>
          </cell>
          <cell r="L74">
            <v>122.46</v>
          </cell>
          <cell r="M74">
            <v>121.68</v>
          </cell>
          <cell r="N74">
            <v>120.14</v>
          </cell>
          <cell r="O74">
            <v>119.38</v>
          </cell>
          <cell r="P74">
            <v>118.63</v>
          </cell>
          <cell r="Q74">
            <v>117.9</v>
          </cell>
          <cell r="R74">
            <v>117.17</v>
          </cell>
          <cell r="S74">
            <v>115.74</v>
          </cell>
          <cell r="T74">
            <v>115.04</v>
          </cell>
          <cell r="U74">
            <v>114.35</v>
          </cell>
          <cell r="V74">
            <v>107.85</v>
          </cell>
          <cell r="W74">
            <v>56</v>
          </cell>
        </row>
        <row r="75">
          <cell r="B75">
            <v>32586</v>
          </cell>
          <cell r="C75" t="str">
            <v>7894916325868</v>
          </cell>
          <cell r="D75" t="str">
            <v>INVERNO</v>
          </cell>
          <cell r="E75" t="str">
            <v>MUCOS EXPEC</v>
          </cell>
          <cell r="F75" t="str">
            <v>SUPER MARCAS</v>
          </cell>
          <cell r="G75" t="str">
            <v>MUCOS EXPEC 600MG/5G X 10 - L</v>
          </cell>
          <cell r="H75" t="str">
            <v>600MG/5G X 10 - L</v>
          </cell>
          <cell r="I75" t="str">
            <v>OTC</v>
          </cell>
          <cell r="J75" t="str">
            <v>NEGATIVA</v>
          </cell>
          <cell r="K75">
            <v>38.880000000000003</v>
          </cell>
          <cell r="L75">
            <v>38.630000000000003</v>
          </cell>
          <cell r="M75">
            <v>38.380000000000003</v>
          </cell>
          <cell r="N75">
            <v>37.9</v>
          </cell>
          <cell r="O75">
            <v>37.659999999999997</v>
          </cell>
          <cell r="P75">
            <v>37.42</v>
          </cell>
          <cell r="Q75">
            <v>37.19</v>
          </cell>
          <cell r="R75">
            <v>36.96</v>
          </cell>
          <cell r="S75">
            <v>36.51</v>
          </cell>
          <cell r="T75">
            <v>36.29</v>
          </cell>
          <cell r="U75">
            <v>36.07</v>
          </cell>
          <cell r="V75">
            <v>34.020000000000003</v>
          </cell>
          <cell r="W75">
            <v>36</v>
          </cell>
        </row>
        <row r="76">
          <cell r="B76">
            <v>19161</v>
          </cell>
          <cell r="C76" t="str">
            <v>7896004785769</v>
          </cell>
          <cell r="D76" t="str">
            <v>GASTROINTESTINAL</v>
          </cell>
          <cell r="E76" t="str">
            <v>LOZEPREL</v>
          </cell>
          <cell r="F76" t="str">
            <v>OUTROS</v>
          </cell>
          <cell r="G76" t="str">
            <v xml:space="preserve">LOZEPREL </v>
          </cell>
          <cell r="H76" t="str">
            <v>40MG 4BLx7COMP 28 CAP DURA-MLB</v>
          </cell>
          <cell r="I76" t="str">
            <v>TAR</v>
          </cell>
          <cell r="J76" t="str">
            <v>POSITIVA</v>
          </cell>
          <cell r="K76">
            <v>67.599999999999994</v>
          </cell>
          <cell r="L76">
            <v>67.16</v>
          </cell>
          <cell r="M76">
            <v>66.73</v>
          </cell>
          <cell r="N76">
            <v>65.89</v>
          </cell>
          <cell r="O76">
            <v>65.47</v>
          </cell>
          <cell r="P76">
            <v>65.06</v>
          </cell>
          <cell r="Q76">
            <v>64.66</v>
          </cell>
          <cell r="R76">
            <v>64.260000000000005</v>
          </cell>
          <cell r="S76">
            <v>63.48</v>
          </cell>
          <cell r="T76">
            <v>63.09</v>
          </cell>
          <cell r="U76">
            <v>62.71</v>
          </cell>
          <cell r="V76">
            <v>59.15</v>
          </cell>
          <cell r="W76">
            <v>56</v>
          </cell>
        </row>
        <row r="77">
          <cell r="B77">
            <v>17285</v>
          </cell>
          <cell r="C77" t="str">
            <v>7895296323017</v>
          </cell>
          <cell r="D77" t="str">
            <v>GASTROINTESTINAL</v>
          </cell>
          <cell r="E77" t="str">
            <v>LACTANON</v>
          </cell>
          <cell r="F77" t="str">
            <v>OUTROS</v>
          </cell>
          <cell r="G77" t="str">
            <v>LACTANON 10.000FCCCOM MAST3BLT10ALIM-NQ</v>
          </cell>
          <cell r="I77" t="str">
            <v>OTC</v>
          </cell>
          <cell r="J77" t="str">
            <v>NEUTRA</v>
          </cell>
          <cell r="K77">
            <v>109.5</v>
          </cell>
          <cell r="L77">
            <v>109.5</v>
          </cell>
          <cell r="M77">
            <v>109.5</v>
          </cell>
          <cell r="N77">
            <v>109.5</v>
          </cell>
          <cell r="O77">
            <v>109.5</v>
          </cell>
          <cell r="P77">
            <v>109.5</v>
          </cell>
          <cell r="Q77">
            <v>109.5</v>
          </cell>
          <cell r="R77">
            <v>109.5</v>
          </cell>
          <cell r="S77">
            <v>109.5</v>
          </cell>
          <cell r="T77">
            <v>109.5</v>
          </cell>
          <cell r="U77">
            <v>109.5</v>
          </cell>
          <cell r="V77">
            <v>109.5</v>
          </cell>
          <cell r="W77">
            <v>56</v>
          </cell>
        </row>
        <row r="78">
          <cell r="B78">
            <v>32585</v>
          </cell>
          <cell r="C78" t="str">
            <v>7896004822532</v>
          </cell>
          <cell r="D78" t="str">
            <v>DERMA</v>
          </cell>
          <cell r="E78" t="str">
            <v xml:space="preserve">ALLOVITA </v>
          </cell>
          <cell r="G78" t="str">
            <v>ALLOVITA SHAMPOO ANTIQUEDA 200 ML- L</v>
          </cell>
          <cell r="I78" t="str">
            <v>OTC</v>
          </cell>
          <cell r="J78" t="str">
            <v>NEGATIVA</v>
          </cell>
          <cell r="K78">
            <v>42.66</v>
          </cell>
          <cell r="L78">
            <v>42.66</v>
          </cell>
          <cell r="M78">
            <v>42.66</v>
          </cell>
          <cell r="N78">
            <v>42.66</v>
          </cell>
          <cell r="O78">
            <v>42.66</v>
          </cell>
          <cell r="P78">
            <v>42.66</v>
          </cell>
          <cell r="Q78">
            <v>42.66</v>
          </cell>
          <cell r="R78">
            <v>42.66</v>
          </cell>
          <cell r="S78">
            <v>42.66</v>
          </cell>
          <cell r="T78">
            <v>42.66</v>
          </cell>
          <cell r="U78">
            <v>42.66</v>
          </cell>
          <cell r="V78">
            <v>42.66</v>
          </cell>
        </row>
        <row r="79">
          <cell r="B79">
            <v>32587</v>
          </cell>
          <cell r="C79" t="str">
            <v>7896004822549</v>
          </cell>
          <cell r="D79" t="str">
            <v>DERMA</v>
          </cell>
          <cell r="E79" t="str">
            <v xml:space="preserve">ALLOVITA </v>
          </cell>
          <cell r="G79" t="str">
            <v>ALLOVITA SHAMPOO ANTIQUEDA PACK2X200ML-L</v>
          </cell>
          <cell r="I79" t="str">
            <v>OTC</v>
          </cell>
          <cell r="J79" t="str">
            <v>NEGATIVA</v>
          </cell>
          <cell r="K79">
            <v>85.33</v>
          </cell>
          <cell r="L79">
            <v>85.33</v>
          </cell>
          <cell r="M79">
            <v>85.33</v>
          </cell>
          <cell r="N79">
            <v>85.33</v>
          </cell>
          <cell r="O79">
            <v>85.33</v>
          </cell>
          <cell r="P79">
            <v>85.33</v>
          </cell>
          <cell r="Q79">
            <v>85.33</v>
          </cell>
          <cell r="R79">
            <v>85.33</v>
          </cell>
          <cell r="S79">
            <v>85.33</v>
          </cell>
          <cell r="T79">
            <v>85.33</v>
          </cell>
          <cell r="U79">
            <v>85.33</v>
          </cell>
          <cell r="V79">
            <v>85.33</v>
          </cell>
          <cell r="W79">
            <v>12</v>
          </cell>
        </row>
        <row r="80">
          <cell r="B80">
            <v>32603</v>
          </cell>
          <cell r="C80" t="str">
            <v>7894916997034</v>
          </cell>
          <cell r="D80" t="str">
            <v>INVERNO</v>
          </cell>
          <cell r="E80" t="str">
            <v>MUCOS EXPEC</v>
          </cell>
          <cell r="F80" t="str">
            <v>SUPER MARCAS</v>
          </cell>
          <cell r="G80" t="str">
            <v xml:space="preserve">MUCOS EXPEC XPE INF </v>
          </cell>
          <cell r="H80" t="str">
            <v>20MG/ML 120ML-L</v>
          </cell>
          <cell r="I80" t="str">
            <v>OTC</v>
          </cell>
          <cell r="J80" t="str">
            <v>NEGATIVA</v>
          </cell>
          <cell r="K80">
            <v>33.340000000000003</v>
          </cell>
          <cell r="L80">
            <v>33.130000000000003</v>
          </cell>
          <cell r="M80">
            <v>32.92</v>
          </cell>
          <cell r="N80">
            <v>32.5</v>
          </cell>
          <cell r="O80">
            <v>32.29</v>
          </cell>
          <cell r="P80">
            <v>32.090000000000003</v>
          </cell>
          <cell r="Q80">
            <v>31.89</v>
          </cell>
          <cell r="R80">
            <v>31.7</v>
          </cell>
          <cell r="S80">
            <v>31.31</v>
          </cell>
          <cell r="T80">
            <v>31.12</v>
          </cell>
          <cell r="U80">
            <v>30.93</v>
          </cell>
          <cell r="V80">
            <v>29.18</v>
          </cell>
          <cell r="W80">
            <v>60</v>
          </cell>
        </row>
        <row r="81">
          <cell r="B81">
            <v>32598</v>
          </cell>
          <cell r="C81" t="str">
            <v>7894916996976</v>
          </cell>
          <cell r="D81" t="str">
            <v>DOR</v>
          </cell>
          <cell r="E81" t="str">
            <v>NEXFLEN</v>
          </cell>
          <cell r="F81" t="str">
            <v>SUPER MARCAS</v>
          </cell>
          <cell r="G81" t="str">
            <v xml:space="preserve">NEXFLEN </v>
          </cell>
          <cell r="H81" t="str">
            <v>550 MG 20 COM REV- L</v>
          </cell>
          <cell r="I81" t="str">
            <v>OTC</v>
          </cell>
          <cell r="J81" t="str">
            <v>NEGATIVA</v>
          </cell>
          <cell r="K81">
            <v>32.26</v>
          </cell>
          <cell r="L81">
            <v>32.049999999999997</v>
          </cell>
          <cell r="M81">
            <v>31.84</v>
          </cell>
          <cell r="N81">
            <v>31.44</v>
          </cell>
          <cell r="O81">
            <v>31.24</v>
          </cell>
          <cell r="P81">
            <v>31.05</v>
          </cell>
          <cell r="Q81">
            <v>30.85</v>
          </cell>
          <cell r="R81">
            <v>30.66</v>
          </cell>
          <cell r="S81">
            <v>30.29</v>
          </cell>
          <cell r="T81">
            <v>30.11</v>
          </cell>
          <cell r="U81">
            <v>29.93</v>
          </cell>
          <cell r="V81">
            <v>28.22</v>
          </cell>
          <cell r="W81">
            <v>48</v>
          </cell>
        </row>
        <row r="82">
          <cell r="B82">
            <v>32600</v>
          </cell>
          <cell r="C82" t="str">
            <v>7894916996938</v>
          </cell>
          <cell r="D82" t="str">
            <v>INVERNO</v>
          </cell>
          <cell r="E82" t="str">
            <v>MUCOS EXPEC</v>
          </cell>
          <cell r="F82" t="str">
            <v>SUPER MARCAS</v>
          </cell>
          <cell r="G82" t="str">
            <v>MUCOS EXPEC XPE FR C/ 120 ML-L</v>
          </cell>
          <cell r="H82" t="str">
            <v>FR C/ 120 ML-L</v>
          </cell>
          <cell r="I82" t="str">
            <v>OTC</v>
          </cell>
          <cell r="J82" t="str">
            <v>NEGATIVA</v>
          </cell>
          <cell r="K82">
            <v>39</v>
          </cell>
          <cell r="L82">
            <v>38.75</v>
          </cell>
          <cell r="M82">
            <v>38.5</v>
          </cell>
          <cell r="N82">
            <v>38.01</v>
          </cell>
          <cell r="O82">
            <v>37.770000000000003</v>
          </cell>
          <cell r="P82">
            <v>37.54</v>
          </cell>
          <cell r="Q82">
            <v>37.299999999999997</v>
          </cell>
          <cell r="R82">
            <v>37.07</v>
          </cell>
          <cell r="S82">
            <v>36.619999999999997</v>
          </cell>
          <cell r="T82">
            <v>36.4</v>
          </cell>
          <cell r="U82">
            <v>36.18</v>
          </cell>
          <cell r="V82">
            <v>34.119999999999997</v>
          </cell>
          <cell r="W82">
            <v>60</v>
          </cell>
        </row>
        <row r="83">
          <cell r="B83">
            <v>1820</v>
          </cell>
          <cell r="C83" t="str">
            <v>7896004755519</v>
          </cell>
          <cell r="D83" t="str">
            <v>OTC/ OTC</v>
          </cell>
          <cell r="E83" t="str">
            <v>LACDAY</v>
          </cell>
          <cell r="F83" t="str">
            <v>OTC</v>
          </cell>
          <cell r="G83" t="str">
            <v>LACDAY 10.000FCC COM MAST3BLTX10ALIM-E</v>
          </cell>
          <cell r="I83" t="str">
            <v>OTC</v>
          </cell>
          <cell r="J83" t="str">
            <v>NEUTRA</v>
          </cell>
          <cell r="K83">
            <v>60.77</v>
          </cell>
          <cell r="L83">
            <v>60.77</v>
          </cell>
          <cell r="M83">
            <v>60.77</v>
          </cell>
          <cell r="N83">
            <v>60.77</v>
          </cell>
          <cell r="O83">
            <v>60.77</v>
          </cell>
          <cell r="P83">
            <v>60.77</v>
          </cell>
          <cell r="Q83">
            <v>60.77</v>
          </cell>
          <cell r="R83">
            <v>60.77</v>
          </cell>
          <cell r="S83">
            <v>60.77</v>
          </cell>
          <cell r="T83">
            <v>60.77</v>
          </cell>
          <cell r="U83">
            <v>60.77</v>
          </cell>
          <cell r="V83">
            <v>60.77</v>
          </cell>
          <cell r="W83">
            <v>56</v>
          </cell>
        </row>
        <row r="84">
          <cell r="B84">
            <v>1915</v>
          </cell>
          <cell r="C84" t="str">
            <v>7896004759975</v>
          </cell>
          <cell r="D84" t="str">
            <v>OTC/ OTC</v>
          </cell>
          <cell r="E84" t="str">
            <v>LACDAY</v>
          </cell>
          <cell r="F84" t="str">
            <v>OTC</v>
          </cell>
          <cell r="G84" t="str">
            <v>LACDAY 10.000FCC COM MAST 6BLTX10 ALIM-E</v>
          </cell>
          <cell r="I84" t="str">
            <v>OTC</v>
          </cell>
          <cell r="J84" t="str">
            <v>NEUTRA</v>
          </cell>
          <cell r="K84">
            <v>112.94</v>
          </cell>
          <cell r="L84">
            <v>112.94</v>
          </cell>
          <cell r="M84">
            <v>112.94</v>
          </cell>
          <cell r="N84">
            <v>112.94</v>
          </cell>
          <cell r="O84">
            <v>112.94</v>
          </cell>
          <cell r="P84">
            <v>112.94</v>
          </cell>
          <cell r="Q84">
            <v>112.94</v>
          </cell>
          <cell r="R84">
            <v>112.94</v>
          </cell>
          <cell r="S84">
            <v>112.94</v>
          </cell>
          <cell r="T84">
            <v>112.94</v>
          </cell>
          <cell r="U84">
            <v>112.94</v>
          </cell>
          <cell r="V84">
            <v>112.94</v>
          </cell>
          <cell r="W84">
            <v>40</v>
          </cell>
        </row>
        <row r="85">
          <cell r="B85">
            <v>1962</v>
          </cell>
          <cell r="C85" t="str">
            <v>7896004762098</v>
          </cell>
          <cell r="D85" t="str">
            <v>OTC/ OTC</v>
          </cell>
          <cell r="E85" t="str">
            <v>LACDAY</v>
          </cell>
          <cell r="F85" t="str">
            <v>OTC</v>
          </cell>
          <cell r="G85" t="str">
            <v>LACDAY 10.000FCC COM MAST2BLX4ALIM-E</v>
          </cell>
          <cell r="I85" t="str">
            <v>OTC</v>
          </cell>
          <cell r="J85" t="str">
            <v>NEUTRA</v>
          </cell>
          <cell r="K85">
            <v>20.78</v>
          </cell>
          <cell r="L85">
            <v>20.78</v>
          </cell>
          <cell r="M85">
            <v>20.78</v>
          </cell>
          <cell r="N85">
            <v>20.78</v>
          </cell>
          <cell r="O85">
            <v>20.78</v>
          </cell>
          <cell r="P85">
            <v>20.78</v>
          </cell>
          <cell r="Q85">
            <v>20.78</v>
          </cell>
          <cell r="R85">
            <v>20.78</v>
          </cell>
          <cell r="S85">
            <v>20.78</v>
          </cell>
          <cell r="T85">
            <v>20.78</v>
          </cell>
          <cell r="U85">
            <v>20.78</v>
          </cell>
          <cell r="V85">
            <v>20.78</v>
          </cell>
          <cell r="W85">
            <v>60</v>
          </cell>
        </row>
        <row r="86">
          <cell r="B86">
            <v>2309</v>
          </cell>
          <cell r="C86" t="str">
            <v>7896004774336</v>
          </cell>
          <cell r="D86" t="str">
            <v>OTC/ OTC</v>
          </cell>
          <cell r="E86" t="str">
            <v>ENERGIL</v>
          </cell>
          <cell r="F86" t="str">
            <v>OTC</v>
          </cell>
          <cell r="G86" t="str">
            <v>ENERGIL ZINCO 1G+10MG C/30COM EFEV SUP-E</v>
          </cell>
          <cell r="I86" t="str">
            <v>OTC</v>
          </cell>
          <cell r="J86" t="str">
            <v>NEUTRA</v>
          </cell>
          <cell r="K86">
            <v>50.38</v>
          </cell>
          <cell r="L86">
            <v>50.38</v>
          </cell>
          <cell r="M86">
            <v>50.38</v>
          </cell>
          <cell r="N86">
            <v>50.38</v>
          </cell>
          <cell r="O86">
            <v>50.38</v>
          </cell>
          <cell r="P86">
            <v>50.38</v>
          </cell>
          <cell r="Q86">
            <v>50.38</v>
          </cell>
          <cell r="R86">
            <v>50.38</v>
          </cell>
          <cell r="S86">
            <v>50.38</v>
          </cell>
          <cell r="T86">
            <v>50.38</v>
          </cell>
          <cell r="U86">
            <v>50.38</v>
          </cell>
          <cell r="V86">
            <v>50.38</v>
          </cell>
          <cell r="W86">
            <v>40</v>
          </cell>
        </row>
        <row r="87">
          <cell r="B87">
            <v>2312</v>
          </cell>
          <cell r="C87" t="str">
            <v>7896004774305</v>
          </cell>
          <cell r="D87" t="str">
            <v>OTC/ OTC</v>
          </cell>
          <cell r="E87" t="str">
            <v>ENERGIL</v>
          </cell>
          <cell r="F87" t="str">
            <v>OTC</v>
          </cell>
          <cell r="G87" t="str">
            <v>ENERGIL C 1G C/10 COM. EFEV SUP - E</v>
          </cell>
          <cell r="I87" t="str">
            <v>OTC</v>
          </cell>
          <cell r="J87" t="str">
            <v>NEUTRA</v>
          </cell>
          <cell r="K87">
            <v>16.75</v>
          </cell>
          <cell r="L87">
            <v>16.75</v>
          </cell>
          <cell r="M87">
            <v>16.75</v>
          </cell>
          <cell r="N87">
            <v>16.75</v>
          </cell>
          <cell r="O87">
            <v>16.75</v>
          </cell>
          <cell r="P87">
            <v>16.75</v>
          </cell>
          <cell r="Q87">
            <v>16.75</v>
          </cell>
          <cell r="R87">
            <v>16.75</v>
          </cell>
          <cell r="S87">
            <v>16.75</v>
          </cell>
          <cell r="T87">
            <v>16.75</v>
          </cell>
          <cell r="U87">
            <v>16.75</v>
          </cell>
          <cell r="V87">
            <v>16.75</v>
          </cell>
          <cell r="W87">
            <v>60</v>
          </cell>
        </row>
        <row r="88">
          <cell r="B88">
            <v>2315</v>
          </cell>
          <cell r="C88" t="str">
            <v>7896004774329</v>
          </cell>
          <cell r="D88" t="str">
            <v>OTC/ OTC</v>
          </cell>
          <cell r="E88" t="str">
            <v>ENERGIL</v>
          </cell>
          <cell r="F88" t="str">
            <v>OTC</v>
          </cell>
          <cell r="G88" t="str">
            <v>ENERGIL ZINCO 1G+10MG C/10COM EFEV SUP-E</v>
          </cell>
          <cell r="I88" t="str">
            <v>OTC</v>
          </cell>
          <cell r="J88" t="str">
            <v>NEUTRA</v>
          </cell>
          <cell r="K88">
            <v>20.97</v>
          </cell>
          <cell r="L88">
            <v>20.97</v>
          </cell>
          <cell r="M88">
            <v>20.97</v>
          </cell>
          <cell r="N88">
            <v>20.97</v>
          </cell>
          <cell r="O88">
            <v>20.97</v>
          </cell>
          <cell r="P88">
            <v>20.97</v>
          </cell>
          <cell r="Q88">
            <v>20.97</v>
          </cell>
          <cell r="R88">
            <v>20.97</v>
          </cell>
          <cell r="S88">
            <v>20.97</v>
          </cell>
          <cell r="T88">
            <v>20.97</v>
          </cell>
          <cell r="U88">
            <v>20.97</v>
          </cell>
          <cell r="V88">
            <v>20.97</v>
          </cell>
          <cell r="W88">
            <v>60</v>
          </cell>
        </row>
        <row r="89">
          <cell r="B89">
            <v>2530</v>
          </cell>
          <cell r="C89" t="str">
            <v>7896004780061</v>
          </cell>
          <cell r="D89" t="str">
            <v>OTC/ OTC</v>
          </cell>
          <cell r="E89" t="str">
            <v>CALADRYL</v>
          </cell>
          <cell r="F89" t="str">
            <v>OTC</v>
          </cell>
          <cell r="G89" t="str">
            <v>CALADRYL LOCAO POS SOL 100ML NP - E</v>
          </cell>
          <cell r="I89" t="str">
            <v>OTC</v>
          </cell>
          <cell r="J89" t="str">
            <v>NEGATIVA</v>
          </cell>
          <cell r="K89">
            <v>30.76</v>
          </cell>
          <cell r="L89">
            <v>30.76</v>
          </cell>
          <cell r="M89">
            <v>30.76</v>
          </cell>
          <cell r="N89">
            <v>30.76</v>
          </cell>
          <cell r="O89">
            <v>30.76</v>
          </cell>
          <cell r="P89">
            <v>30.76</v>
          </cell>
          <cell r="Q89">
            <v>30.76</v>
          </cell>
          <cell r="R89">
            <v>30.76</v>
          </cell>
          <cell r="S89">
            <v>30.76</v>
          </cell>
          <cell r="T89">
            <v>30.76</v>
          </cell>
          <cell r="U89">
            <v>30.76</v>
          </cell>
          <cell r="V89">
            <v>30.76</v>
          </cell>
          <cell r="W89">
            <v>25</v>
          </cell>
        </row>
        <row r="90">
          <cell r="B90">
            <v>2531</v>
          </cell>
          <cell r="C90" t="str">
            <v>7896004780078</v>
          </cell>
          <cell r="D90" t="str">
            <v>OTC/ OTC</v>
          </cell>
          <cell r="E90" t="str">
            <v>CALADRYL</v>
          </cell>
          <cell r="F90" t="str">
            <v>OTC</v>
          </cell>
          <cell r="G90" t="str">
            <v>CALADRYL CREME POS SOL 28G NP - E</v>
          </cell>
          <cell r="I90" t="str">
            <v>OTC</v>
          </cell>
          <cell r="J90" t="str">
            <v>NEGATIVA</v>
          </cell>
          <cell r="K90">
            <v>23.46</v>
          </cell>
          <cell r="L90">
            <v>23.46</v>
          </cell>
          <cell r="M90">
            <v>23.46</v>
          </cell>
          <cell r="N90">
            <v>23.46</v>
          </cell>
          <cell r="O90">
            <v>23.46</v>
          </cell>
          <cell r="P90">
            <v>23.46</v>
          </cell>
          <cell r="Q90">
            <v>23.46</v>
          </cell>
          <cell r="R90">
            <v>23.46</v>
          </cell>
          <cell r="S90">
            <v>23.46</v>
          </cell>
          <cell r="T90">
            <v>23.46</v>
          </cell>
          <cell r="U90">
            <v>23.46</v>
          </cell>
          <cell r="V90">
            <v>23.46</v>
          </cell>
          <cell r="W90">
            <v>50</v>
          </cell>
        </row>
        <row r="91">
          <cell r="B91">
            <v>2532</v>
          </cell>
          <cell r="C91" t="str">
            <v>7896004780085</v>
          </cell>
          <cell r="D91" t="str">
            <v>OTC/ OTC</v>
          </cell>
          <cell r="E91" t="str">
            <v>CALADRYL</v>
          </cell>
          <cell r="F91" t="str">
            <v>OTC</v>
          </cell>
          <cell r="G91" t="str">
            <v>CALADRYL AEROSSOL POS SOL 150ML NP - E</v>
          </cell>
          <cell r="I91" t="str">
            <v>OTC</v>
          </cell>
          <cell r="J91" t="str">
            <v>NEGATIVA</v>
          </cell>
          <cell r="K91">
            <v>40.130000000000003</v>
          </cell>
          <cell r="L91">
            <v>40.130000000000003</v>
          </cell>
          <cell r="M91">
            <v>40.130000000000003</v>
          </cell>
          <cell r="N91">
            <v>40.130000000000003</v>
          </cell>
          <cell r="O91">
            <v>40.130000000000003</v>
          </cell>
          <cell r="P91">
            <v>40.130000000000003</v>
          </cell>
          <cell r="Q91">
            <v>40.130000000000003</v>
          </cell>
          <cell r="R91">
            <v>40.130000000000003</v>
          </cell>
          <cell r="S91">
            <v>40.130000000000003</v>
          </cell>
          <cell r="T91">
            <v>40.130000000000003</v>
          </cell>
          <cell r="U91">
            <v>40.130000000000003</v>
          </cell>
          <cell r="V91">
            <v>40.130000000000003</v>
          </cell>
          <cell r="W91">
            <v>12</v>
          </cell>
        </row>
        <row r="92">
          <cell r="B92">
            <v>2533</v>
          </cell>
          <cell r="C92" t="str">
            <v>7896004780092</v>
          </cell>
          <cell r="D92" t="str">
            <v>OTC/ OTC</v>
          </cell>
          <cell r="E92" t="str">
            <v>CALADRYL</v>
          </cell>
          <cell r="F92" t="str">
            <v>OTC</v>
          </cell>
          <cell r="G92" t="str">
            <v>CALADRYL GEL POS SOL REFRESC. 120G NP-E</v>
          </cell>
          <cell r="I92" t="str">
            <v>OTC</v>
          </cell>
          <cell r="J92" t="str">
            <v>NEGATIVA</v>
          </cell>
          <cell r="K92">
            <v>25.93</v>
          </cell>
          <cell r="L92">
            <v>25.93</v>
          </cell>
          <cell r="M92">
            <v>25.93</v>
          </cell>
          <cell r="N92">
            <v>25.93</v>
          </cell>
          <cell r="O92">
            <v>25.93</v>
          </cell>
          <cell r="P92">
            <v>25.93</v>
          </cell>
          <cell r="Q92">
            <v>25.93</v>
          </cell>
          <cell r="R92">
            <v>25.93</v>
          </cell>
          <cell r="S92">
            <v>25.93</v>
          </cell>
          <cell r="T92">
            <v>25.93</v>
          </cell>
          <cell r="U92">
            <v>25.93</v>
          </cell>
          <cell r="V92">
            <v>25.93</v>
          </cell>
          <cell r="W92">
            <v>30</v>
          </cell>
        </row>
        <row r="93">
          <cell r="B93">
            <v>2633</v>
          </cell>
          <cell r="C93" t="str">
            <v>7896004822556</v>
          </cell>
          <cell r="D93" t="str">
            <v>OTC/ OTC</v>
          </cell>
          <cell r="E93" t="str">
            <v>CALADRYL</v>
          </cell>
          <cell r="F93" t="str">
            <v>OTC</v>
          </cell>
          <cell r="G93" t="str">
            <v>CALADRYL HIDRACARE FR 400ML - E</v>
          </cell>
          <cell r="I93" t="str">
            <v>OTC</v>
          </cell>
          <cell r="J93" t="str">
            <v>NEGATIVA</v>
          </cell>
          <cell r="K93">
            <v>97.08</v>
          </cell>
          <cell r="L93">
            <v>97.08</v>
          </cell>
          <cell r="M93">
            <v>97.08</v>
          </cell>
          <cell r="N93">
            <v>97.08</v>
          </cell>
          <cell r="O93">
            <v>97.08</v>
          </cell>
          <cell r="P93">
            <v>97.08</v>
          </cell>
          <cell r="Q93">
            <v>97.08</v>
          </cell>
          <cell r="R93">
            <v>97.08</v>
          </cell>
          <cell r="S93">
            <v>97.08</v>
          </cell>
          <cell r="T93">
            <v>97.08</v>
          </cell>
          <cell r="U93">
            <v>97.08</v>
          </cell>
          <cell r="V93">
            <v>97.08</v>
          </cell>
          <cell r="W93">
            <v>18</v>
          </cell>
        </row>
        <row r="94">
          <cell r="B94">
            <v>2699</v>
          </cell>
          <cell r="C94" t="str">
            <v>7891058018191</v>
          </cell>
          <cell r="D94" t="str">
            <v>OTC/ OTC</v>
          </cell>
          <cell r="E94" t="str">
            <v>DERMACYD</v>
          </cell>
          <cell r="F94" t="str">
            <v>OTC</v>
          </cell>
          <cell r="G94" t="str">
            <v>DERMACYD KIT INF 200ML+INF 100ML - E</v>
          </cell>
          <cell r="I94" t="str">
            <v>OTC</v>
          </cell>
          <cell r="J94" t="str">
            <v>NEUTRA</v>
          </cell>
          <cell r="K94">
            <v>28.26</v>
          </cell>
          <cell r="L94">
            <v>28.26</v>
          </cell>
          <cell r="M94">
            <v>28.26</v>
          </cell>
          <cell r="N94">
            <v>28.26</v>
          </cell>
          <cell r="O94">
            <v>28.26</v>
          </cell>
          <cell r="P94">
            <v>28.26</v>
          </cell>
          <cell r="Q94">
            <v>28.26</v>
          </cell>
          <cell r="R94">
            <v>28.26</v>
          </cell>
          <cell r="S94">
            <v>28.26</v>
          </cell>
          <cell r="T94">
            <v>28.26</v>
          </cell>
          <cell r="U94">
            <v>28.26</v>
          </cell>
          <cell r="V94">
            <v>28.26</v>
          </cell>
          <cell r="W94">
            <v>11</v>
          </cell>
        </row>
        <row r="95">
          <cell r="B95">
            <v>2677</v>
          </cell>
          <cell r="C95" t="str">
            <v>7897595901859</v>
          </cell>
          <cell r="D95" t="str">
            <v>OTC/ OTC</v>
          </cell>
          <cell r="E95" t="str">
            <v>DERMACYD</v>
          </cell>
          <cell r="F95" t="str">
            <v>OTC</v>
          </cell>
          <cell r="G95" t="str">
            <v>DERMACYD LIQUIDO INFANTIL 200 ML - E</v>
          </cell>
          <cell r="I95" t="str">
            <v>OTC</v>
          </cell>
          <cell r="J95" t="str">
            <v>NEUTRA</v>
          </cell>
          <cell r="K95">
            <v>22.53</v>
          </cell>
          <cell r="L95">
            <v>22.53</v>
          </cell>
          <cell r="M95">
            <v>22.53</v>
          </cell>
          <cell r="N95">
            <v>22.53</v>
          </cell>
          <cell r="O95">
            <v>22.53</v>
          </cell>
          <cell r="P95">
            <v>22.53</v>
          </cell>
          <cell r="Q95">
            <v>22.53</v>
          </cell>
          <cell r="R95">
            <v>22.53</v>
          </cell>
          <cell r="S95">
            <v>22.53</v>
          </cell>
          <cell r="T95">
            <v>22.53</v>
          </cell>
          <cell r="U95">
            <v>22.53</v>
          </cell>
          <cell r="V95">
            <v>22.53</v>
          </cell>
          <cell r="W95">
            <v>24</v>
          </cell>
        </row>
        <row r="96">
          <cell r="B96">
            <v>2680</v>
          </cell>
          <cell r="C96" t="str">
            <v>7897595901866</v>
          </cell>
          <cell r="D96" t="str">
            <v>OTC/ OTC</v>
          </cell>
          <cell r="E96" t="str">
            <v>DERMACYD</v>
          </cell>
          <cell r="F96" t="str">
            <v>OTC</v>
          </cell>
          <cell r="G96" t="str">
            <v>DERMACYD LIQUIDO FEMINA 200 ML - E</v>
          </cell>
          <cell r="I96" t="str">
            <v>OTC</v>
          </cell>
          <cell r="J96" t="str">
            <v>NEUTRA</v>
          </cell>
          <cell r="K96">
            <v>22.53</v>
          </cell>
          <cell r="L96">
            <v>22.53</v>
          </cell>
          <cell r="M96">
            <v>22.53</v>
          </cell>
          <cell r="N96">
            <v>22.53</v>
          </cell>
          <cell r="O96">
            <v>22.53</v>
          </cell>
          <cell r="P96">
            <v>22.53</v>
          </cell>
          <cell r="Q96">
            <v>22.53</v>
          </cell>
          <cell r="R96">
            <v>22.53</v>
          </cell>
          <cell r="S96">
            <v>22.53</v>
          </cell>
          <cell r="T96">
            <v>22.53</v>
          </cell>
          <cell r="U96">
            <v>22.53</v>
          </cell>
          <cell r="V96">
            <v>22.53</v>
          </cell>
          <cell r="W96">
            <v>24</v>
          </cell>
        </row>
        <row r="97">
          <cell r="B97">
            <v>2679</v>
          </cell>
          <cell r="C97" t="str">
            <v>7897595903914</v>
          </cell>
          <cell r="D97" t="str">
            <v>OTC/ OTC</v>
          </cell>
          <cell r="E97" t="str">
            <v>DERMACYD</v>
          </cell>
          <cell r="F97" t="str">
            <v>OTC</v>
          </cell>
          <cell r="G97" t="str">
            <v>DERMACYD LIQUIDO DELICATA 200 ML - E</v>
          </cell>
          <cell r="I97" t="str">
            <v>OTC</v>
          </cell>
          <cell r="J97" t="str">
            <v>NEUTRA</v>
          </cell>
          <cell r="K97">
            <v>22.53</v>
          </cell>
          <cell r="L97">
            <v>22.53</v>
          </cell>
          <cell r="M97">
            <v>22.53</v>
          </cell>
          <cell r="N97">
            <v>22.53</v>
          </cell>
          <cell r="O97">
            <v>22.53</v>
          </cell>
          <cell r="P97">
            <v>22.53</v>
          </cell>
          <cell r="Q97">
            <v>22.53</v>
          </cell>
          <cell r="R97">
            <v>22.53</v>
          </cell>
          <cell r="S97">
            <v>22.53</v>
          </cell>
          <cell r="T97">
            <v>22.53</v>
          </cell>
          <cell r="U97">
            <v>22.53</v>
          </cell>
          <cell r="V97">
            <v>22.53</v>
          </cell>
          <cell r="W97">
            <v>24</v>
          </cell>
        </row>
        <row r="98">
          <cell r="B98">
            <v>2700</v>
          </cell>
          <cell r="C98" t="str">
            <v>7891058018238</v>
          </cell>
          <cell r="D98" t="str">
            <v>OTC/ OTC</v>
          </cell>
          <cell r="E98" t="str">
            <v>DERMACYD</v>
          </cell>
          <cell r="F98" t="str">
            <v>OTC</v>
          </cell>
          <cell r="G98" t="str">
            <v>DERMACYD KIT FEM 200ML+FEM 100ML - E</v>
          </cell>
          <cell r="I98" t="str">
            <v>OTC</v>
          </cell>
          <cell r="J98" t="str">
            <v>NEUTRA</v>
          </cell>
          <cell r="K98">
            <v>28.26</v>
          </cell>
          <cell r="L98">
            <v>28.26</v>
          </cell>
          <cell r="M98">
            <v>28.26</v>
          </cell>
          <cell r="N98">
            <v>28.26</v>
          </cell>
          <cell r="O98">
            <v>28.26</v>
          </cell>
          <cell r="P98">
            <v>28.26</v>
          </cell>
          <cell r="Q98">
            <v>28.26</v>
          </cell>
          <cell r="R98">
            <v>28.26</v>
          </cell>
          <cell r="S98">
            <v>28.26</v>
          </cell>
          <cell r="T98">
            <v>28.26</v>
          </cell>
          <cell r="U98">
            <v>28.26</v>
          </cell>
          <cell r="V98">
            <v>28.26</v>
          </cell>
          <cell r="W98">
            <v>11</v>
          </cell>
        </row>
        <row r="99">
          <cell r="B99">
            <v>2678</v>
          </cell>
          <cell r="C99" t="str">
            <v>7891058003661</v>
          </cell>
          <cell r="D99" t="str">
            <v>OTC/ OTC</v>
          </cell>
          <cell r="E99" t="str">
            <v>DERMACYD</v>
          </cell>
          <cell r="F99" t="str">
            <v>OTC</v>
          </cell>
          <cell r="G99" t="str">
            <v>DERMACYD LIQUIDO BREEZE 200 ML - E</v>
          </cell>
          <cell r="I99" t="str">
            <v>OTC</v>
          </cell>
          <cell r="J99" t="str">
            <v>NEUTRA</v>
          </cell>
          <cell r="K99">
            <v>22.53</v>
          </cell>
          <cell r="L99">
            <v>22.53</v>
          </cell>
          <cell r="M99">
            <v>22.53</v>
          </cell>
          <cell r="N99">
            <v>22.53</v>
          </cell>
          <cell r="O99">
            <v>22.53</v>
          </cell>
          <cell r="P99">
            <v>22.53</v>
          </cell>
          <cell r="Q99">
            <v>22.53</v>
          </cell>
          <cell r="R99">
            <v>22.53</v>
          </cell>
          <cell r="S99">
            <v>22.53</v>
          </cell>
          <cell r="T99">
            <v>22.53</v>
          </cell>
          <cell r="U99">
            <v>22.53</v>
          </cell>
          <cell r="V99">
            <v>22.53</v>
          </cell>
          <cell r="W99">
            <v>24</v>
          </cell>
        </row>
        <row r="100">
          <cell r="B100">
            <v>2703</v>
          </cell>
          <cell r="C100" t="str">
            <v>7896004790695</v>
          </cell>
          <cell r="D100" t="str">
            <v>OTC/ OTC</v>
          </cell>
          <cell r="E100" t="str">
            <v>DERMACYD</v>
          </cell>
          <cell r="F100" t="str">
            <v>OTC</v>
          </cell>
          <cell r="G100" t="str">
            <v>DERMACYD KIT FEM 200ML+FEM 100ML - E NP</v>
          </cell>
          <cell r="I100" t="str">
            <v>OTC</v>
          </cell>
          <cell r="J100" t="str">
            <v>NEUTRA</v>
          </cell>
          <cell r="K100">
            <v>29.13</v>
          </cell>
          <cell r="L100">
            <v>29.13</v>
          </cell>
          <cell r="M100">
            <v>29.13</v>
          </cell>
          <cell r="N100">
            <v>29.13</v>
          </cell>
          <cell r="O100">
            <v>29.13</v>
          </cell>
          <cell r="P100">
            <v>29.13</v>
          </cell>
          <cell r="Q100">
            <v>29.13</v>
          </cell>
          <cell r="R100">
            <v>29.13</v>
          </cell>
          <cell r="S100">
            <v>29.13</v>
          </cell>
          <cell r="T100">
            <v>29.13</v>
          </cell>
          <cell r="U100">
            <v>29.13</v>
          </cell>
          <cell r="V100">
            <v>29.13</v>
          </cell>
          <cell r="W100">
            <v>11</v>
          </cell>
        </row>
        <row r="101">
          <cell r="B101">
            <v>2701</v>
          </cell>
          <cell r="C101" t="str">
            <v>7896004790688</v>
          </cell>
          <cell r="D101" t="str">
            <v>OTC/ OTC</v>
          </cell>
          <cell r="E101" t="str">
            <v>DERMACYD</v>
          </cell>
          <cell r="F101" t="str">
            <v>OTC</v>
          </cell>
          <cell r="G101" t="str">
            <v>DERMACYD KIT DELI 200ML+DELI 100ML- E NP</v>
          </cell>
          <cell r="I101" t="str">
            <v>OTC</v>
          </cell>
          <cell r="J101" t="str">
            <v>NEUTRA</v>
          </cell>
          <cell r="K101">
            <v>29.13</v>
          </cell>
          <cell r="L101">
            <v>29.13</v>
          </cell>
          <cell r="M101">
            <v>29.13</v>
          </cell>
          <cell r="N101">
            <v>29.13</v>
          </cell>
          <cell r="O101">
            <v>29.13</v>
          </cell>
          <cell r="P101">
            <v>29.13</v>
          </cell>
          <cell r="Q101">
            <v>29.13</v>
          </cell>
          <cell r="R101">
            <v>29.13</v>
          </cell>
          <cell r="S101">
            <v>29.13</v>
          </cell>
          <cell r="T101">
            <v>29.13</v>
          </cell>
          <cell r="U101">
            <v>29.13</v>
          </cell>
          <cell r="V101">
            <v>29.13</v>
          </cell>
          <cell r="W101">
            <v>11</v>
          </cell>
        </row>
        <row r="102">
          <cell r="B102">
            <v>893435</v>
          </cell>
          <cell r="C102" t="str">
            <v>7896004790633</v>
          </cell>
          <cell r="D102" t="str">
            <v>OTC/ OTC</v>
          </cell>
          <cell r="E102" t="str">
            <v>DERMACYD</v>
          </cell>
          <cell r="F102" t="str">
            <v>OTC</v>
          </cell>
          <cell r="G102" t="str">
            <v>DERMACYD FEMINA 24H 200ML LIQSO BT1 BR</v>
          </cell>
          <cell r="I102" t="str">
            <v>OTC</v>
          </cell>
          <cell r="J102" t="str">
            <v>NEUTRA</v>
          </cell>
          <cell r="K102">
            <v>23.22</v>
          </cell>
          <cell r="L102">
            <v>23.22</v>
          </cell>
          <cell r="M102">
            <v>23.22</v>
          </cell>
          <cell r="N102">
            <v>23.22</v>
          </cell>
          <cell r="O102">
            <v>23.22</v>
          </cell>
          <cell r="P102">
            <v>23.22</v>
          </cell>
          <cell r="Q102">
            <v>23.22</v>
          </cell>
          <cell r="R102">
            <v>23.22</v>
          </cell>
          <cell r="S102">
            <v>23.22</v>
          </cell>
          <cell r="T102">
            <v>23.22</v>
          </cell>
          <cell r="U102">
            <v>23.22</v>
          </cell>
          <cell r="V102">
            <v>23.22</v>
          </cell>
          <cell r="W102">
            <v>24</v>
          </cell>
        </row>
        <row r="103">
          <cell r="B103">
            <v>893559</v>
          </cell>
          <cell r="C103" t="str">
            <v>7896004790619</v>
          </cell>
          <cell r="D103" t="str">
            <v>OTC/ OTC</v>
          </cell>
          <cell r="E103" t="str">
            <v>DERMACYD</v>
          </cell>
          <cell r="F103" t="str">
            <v>OTC</v>
          </cell>
          <cell r="G103" t="str">
            <v>DERMACYD DELICATA 24 200ML LIQSO BT1 BR</v>
          </cell>
          <cell r="I103" t="str">
            <v>OTC</v>
          </cell>
          <cell r="J103" t="str">
            <v>NEUTRA</v>
          </cell>
          <cell r="K103">
            <v>23.22</v>
          </cell>
          <cell r="L103">
            <v>23.22</v>
          </cell>
          <cell r="M103">
            <v>23.22</v>
          </cell>
          <cell r="N103">
            <v>23.22</v>
          </cell>
          <cell r="O103">
            <v>23.22</v>
          </cell>
          <cell r="P103">
            <v>23.22</v>
          </cell>
          <cell r="Q103">
            <v>23.22</v>
          </cell>
          <cell r="R103">
            <v>23.22</v>
          </cell>
          <cell r="S103">
            <v>23.22</v>
          </cell>
          <cell r="T103">
            <v>23.22</v>
          </cell>
          <cell r="U103">
            <v>23.22</v>
          </cell>
          <cell r="V103">
            <v>23.22</v>
          </cell>
          <cell r="W103">
            <v>24</v>
          </cell>
        </row>
        <row r="104">
          <cell r="B104">
            <v>2740</v>
          </cell>
          <cell r="C104" t="str">
            <v>7896004822754</v>
          </cell>
          <cell r="D104" t="str">
            <v>OTC/ OTC</v>
          </cell>
          <cell r="E104" t="str">
            <v>DERMACYD</v>
          </cell>
          <cell r="F104" t="str">
            <v>OTC</v>
          </cell>
          <cell r="G104" t="str">
            <v>DERMACYD KIT L3P2 2XFEM + BREEZ 200ML- E</v>
          </cell>
          <cell r="I104" t="str">
            <v>OTC</v>
          </cell>
          <cell r="J104" t="str">
            <v>NEUTRA</v>
          </cell>
          <cell r="K104">
            <v>46.45</v>
          </cell>
          <cell r="L104">
            <v>46.45</v>
          </cell>
          <cell r="M104">
            <v>46.45</v>
          </cell>
          <cell r="N104">
            <v>46.45</v>
          </cell>
          <cell r="O104">
            <v>46.45</v>
          </cell>
          <cell r="P104">
            <v>46.45</v>
          </cell>
          <cell r="Q104">
            <v>46.45</v>
          </cell>
          <cell r="R104">
            <v>46.45</v>
          </cell>
          <cell r="S104">
            <v>46.45</v>
          </cell>
          <cell r="T104">
            <v>46.45</v>
          </cell>
          <cell r="U104">
            <v>46.45</v>
          </cell>
          <cell r="V104">
            <v>46.45</v>
          </cell>
          <cell r="W104">
            <v>5</v>
          </cell>
        </row>
        <row r="105">
          <cell r="B105">
            <v>2738</v>
          </cell>
          <cell r="C105" t="str">
            <v>7896004822730</v>
          </cell>
          <cell r="D105" t="str">
            <v>OTC/ OTC</v>
          </cell>
          <cell r="E105" t="str">
            <v>DERMACYD</v>
          </cell>
          <cell r="F105" t="str">
            <v>OTC</v>
          </cell>
          <cell r="G105" t="str">
            <v>DERMACYD KIT FEM 200ML+LENCO 16UND- E</v>
          </cell>
          <cell r="I105" t="str">
            <v>OTC</v>
          </cell>
          <cell r="J105" t="str">
            <v>NEUTRA</v>
          </cell>
          <cell r="K105">
            <v>33.78</v>
          </cell>
          <cell r="L105">
            <v>33.78</v>
          </cell>
          <cell r="M105">
            <v>33.78</v>
          </cell>
          <cell r="N105">
            <v>33.78</v>
          </cell>
          <cell r="O105">
            <v>33.78</v>
          </cell>
          <cell r="P105">
            <v>33.78</v>
          </cell>
          <cell r="Q105">
            <v>33.78</v>
          </cell>
          <cell r="R105">
            <v>33.78</v>
          </cell>
          <cell r="S105">
            <v>33.78</v>
          </cell>
          <cell r="T105">
            <v>33.78</v>
          </cell>
          <cell r="U105">
            <v>33.78</v>
          </cell>
          <cell r="V105">
            <v>33.78</v>
          </cell>
          <cell r="W105">
            <v>10</v>
          </cell>
        </row>
        <row r="106">
          <cell r="B106">
            <v>2743</v>
          </cell>
          <cell r="C106" t="str">
            <v>7896004822785</v>
          </cell>
          <cell r="D106" t="str">
            <v>OTC/ OTC</v>
          </cell>
          <cell r="E106" t="str">
            <v>DERMACYD</v>
          </cell>
          <cell r="F106" t="str">
            <v>OTC</v>
          </cell>
          <cell r="G106" t="str">
            <v>DERMACYD KIT BREEZE 200ML+DELI 100ML - E</v>
          </cell>
          <cell r="I106" t="str">
            <v>OTC</v>
          </cell>
          <cell r="J106" t="str">
            <v>NEUTRA</v>
          </cell>
          <cell r="K106">
            <v>29.13</v>
          </cell>
          <cell r="L106">
            <v>29.13</v>
          </cell>
          <cell r="M106">
            <v>29.13</v>
          </cell>
          <cell r="N106">
            <v>29.13</v>
          </cell>
          <cell r="O106">
            <v>29.13</v>
          </cell>
          <cell r="P106">
            <v>29.13</v>
          </cell>
          <cell r="Q106">
            <v>29.13</v>
          </cell>
          <cell r="R106">
            <v>29.13</v>
          </cell>
          <cell r="S106">
            <v>29.13</v>
          </cell>
          <cell r="T106">
            <v>29.13</v>
          </cell>
          <cell r="U106">
            <v>29.13</v>
          </cell>
          <cell r="V106">
            <v>29.13</v>
          </cell>
          <cell r="W106">
            <v>10</v>
          </cell>
        </row>
        <row r="107">
          <cell r="B107">
            <v>2742</v>
          </cell>
          <cell r="C107" t="str">
            <v>7898655871310</v>
          </cell>
          <cell r="D107" t="str">
            <v>OTC/ OTC</v>
          </cell>
          <cell r="E107" t="str">
            <v>DERMACYD</v>
          </cell>
          <cell r="F107" t="str">
            <v>OTC</v>
          </cell>
          <cell r="G107" t="str">
            <v>DERMACYD KIT LENÇOS 2X48UND  - E</v>
          </cell>
          <cell r="I107" t="str">
            <v>OTC</v>
          </cell>
          <cell r="J107" t="str">
            <v>NEUTRA</v>
          </cell>
          <cell r="K107">
            <v>53.67</v>
          </cell>
          <cell r="L107">
            <v>53.67</v>
          </cell>
          <cell r="M107">
            <v>53.67</v>
          </cell>
          <cell r="N107">
            <v>53.67</v>
          </cell>
          <cell r="O107">
            <v>53.67</v>
          </cell>
          <cell r="P107">
            <v>53.67</v>
          </cell>
          <cell r="Q107">
            <v>53.67</v>
          </cell>
          <cell r="R107">
            <v>53.67</v>
          </cell>
          <cell r="S107">
            <v>53.67</v>
          </cell>
          <cell r="T107">
            <v>53.67</v>
          </cell>
          <cell r="U107">
            <v>53.67</v>
          </cell>
          <cell r="V107">
            <v>53.67</v>
          </cell>
          <cell r="W107">
            <v>12</v>
          </cell>
        </row>
        <row r="108">
          <cell r="B108">
            <v>2741</v>
          </cell>
          <cell r="C108" t="str">
            <v>7896004822761</v>
          </cell>
          <cell r="D108" t="str">
            <v>OTC/ OTC</v>
          </cell>
          <cell r="E108" t="str">
            <v>DERMACYD</v>
          </cell>
          <cell r="F108" t="str">
            <v>OTC</v>
          </cell>
          <cell r="G108" t="str">
            <v>DERMACYD KIT 2XDELI+2XFEM+2X INF 100ML-E</v>
          </cell>
          <cell r="I108" t="str">
            <v>OTC</v>
          </cell>
          <cell r="J108" t="str">
            <v>NEUTRA</v>
          </cell>
          <cell r="K108">
            <v>73.16</v>
          </cell>
          <cell r="L108">
            <v>73.16</v>
          </cell>
          <cell r="M108">
            <v>73.16</v>
          </cell>
          <cell r="N108">
            <v>73.16</v>
          </cell>
          <cell r="O108">
            <v>73.16</v>
          </cell>
          <cell r="P108">
            <v>73.16</v>
          </cell>
          <cell r="Q108">
            <v>73.16</v>
          </cell>
          <cell r="R108">
            <v>73.16</v>
          </cell>
          <cell r="S108">
            <v>73.16</v>
          </cell>
          <cell r="T108">
            <v>73.16</v>
          </cell>
          <cell r="U108">
            <v>73.16</v>
          </cell>
          <cell r="V108">
            <v>73.16</v>
          </cell>
          <cell r="W108">
            <v>5</v>
          </cell>
        </row>
        <row r="109">
          <cell r="B109">
            <v>2744</v>
          </cell>
          <cell r="C109" t="str">
            <v>7896004822792</v>
          </cell>
          <cell r="D109" t="str">
            <v>OTC/ OTC</v>
          </cell>
          <cell r="E109" t="str">
            <v>DERMACYD</v>
          </cell>
          <cell r="F109" t="str">
            <v>OTC</v>
          </cell>
          <cell r="G109" t="str">
            <v>DERMACYD KIT FEM 200ML + INF 100ML - E</v>
          </cell>
          <cell r="I109" t="str">
            <v>OTC</v>
          </cell>
          <cell r="J109" t="str">
            <v>NEUTRA</v>
          </cell>
          <cell r="K109">
            <v>29.13</v>
          </cell>
          <cell r="L109">
            <v>29.13</v>
          </cell>
          <cell r="M109">
            <v>29.13</v>
          </cell>
          <cell r="N109">
            <v>29.13</v>
          </cell>
          <cell r="O109">
            <v>29.13</v>
          </cell>
          <cell r="P109">
            <v>29.13</v>
          </cell>
          <cell r="Q109">
            <v>29.13</v>
          </cell>
          <cell r="R109">
            <v>29.13</v>
          </cell>
          <cell r="S109">
            <v>29.13</v>
          </cell>
          <cell r="T109">
            <v>29.13</v>
          </cell>
          <cell r="U109">
            <v>29.13</v>
          </cell>
          <cell r="V109">
            <v>29.13</v>
          </cell>
          <cell r="W109">
            <v>10</v>
          </cell>
        </row>
        <row r="110">
          <cell r="B110">
            <v>2632</v>
          </cell>
          <cell r="C110" t="str">
            <v>7896004822464</v>
          </cell>
          <cell r="D110" t="str">
            <v>OTC/ OTC</v>
          </cell>
          <cell r="E110" t="str">
            <v>CALADRYL</v>
          </cell>
          <cell r="F110" t="str">
            <v>OTC</v>
          </cell>
          <cell r="G110" t="str">
            <v>CALADRYL HIDRACARE BG 200ML - E</v>
          </cell>
          <cell r="I110" t="str">
            <v>OTC</v>
          </cell>
          <cell r="J110" t="str">
            <v>NEGATIVA</v>
          </cell>
          <cell r="K110">
            <v>62.15</v>
          </cell>
          <cell r="L110">
            <v>62.15</v>
          </cell>
          <cell r="M110">
            <v>62.15</v>
          </cell>
          <cell r="N110">
            <v>62.15</v>
          </cell>
          <cell r="O110">
            <v>62.15</v>
          </cell>
          <cell r="P110">
            <v>62.15</v>
          </cell>
          <cell r="Q110">
            <v>62.15</v>
          </cell>
          <cell r="R110">
            <v>62.15</v>
          </cell>
          <cell r="S110">
            <v>62.15</v>
          </cell>
          <cell r="T110">
            <v>62.15</v>
          </cell>
          <cell r="U110">
            <v>62.15</v>
          </cell>
          <cell r="V110">
            <v>62.15</v>
          </cell>
          <cell r="W110">
            <v>18</v>
          </cell>
        </row>
        <row r="111">
          <cell r="B111">
            <v>2631</v>
          </cell>
          <cell r="C111" t="str">
            <v>7896004800004</v>
          </cell>
          <cell r="D111" t="str">
            <v>OTC/ OTC</v>
          </cell>
          <cell r="E111" t="str">
            <v>CALADRYL</v>
          </cell>
          <cell r="F111" t="str">
            <v>OTC</v>
          </cell>
          <cell r="G111" t="str">
            <v>CALADRYL SENSICARE BG 200ML - E</v>
          </cell>
          <cell r="I111" t="str">
            <v>OTC</v>
          </cell>
          <cell r="J111" t="str">
            <v>NEGATIVA</v>
          </cell>
          <cell r="K111">
            <v>67.8</v>
          </cell>
          <cell r="L111">
            <v>67.8</v>
          </cell>
          <cell r="M111">
            <v>67.8</v>
          </cell>
          <cell r="N111">
            <v>67.8</v>
          </cell>
          <cell r="O111">
            <v>67.8</v>
          </cell>
          <cell r="P111">
            <v>67.8</v>
          </cell>
          <cell r="Q111">
            <v>67.8</v>
          </cell>
          <cell r="R111">
            <v>67.8</v>
          </cell>
          <cell r="S111">
            <v>67.8</v>
          </cell>
          <cell r="T111">
            <v>67.8</v>
          </cell>
          <cell r="U111">
            <v>67.8</v>
          </cell>
          <cell r="V111">
            <v>67.8</v>
          </cell>
          <cell r="W111">
            <v>18</v>
          </cell>
        </row>
        <row r="112">
          <cell r="B112">
            <v>2763</v>
          </cell>
          <cell r="C112" t="str">
            <v>7898322242115</v>
          </cell>
          <cell r="D112" t="str">
            <v>OTC/ OTC</v>
          </cell>
          <cell r="E112" t="str">
            <v>MULTIMIX</v>
          </cell>
          <cell r="F112" t="str">
            <v>OTC</v>
          </cell>
          <cell r="G112" t="str">
            <v>MULTIMIX PASTILHAS ADULT LIM-MEN DISPL-E</v>
          </cell>
          <cell r="I112" t="str">
            <v>OTC</v>
          </cell>
          <cell r="J112" t="str">
            <v>NEUTRA</v>
          </cell>
          <cell r="K112">
            <v>103.29</v>
          </cell>
          <cell r="L112">
            <v>103.29</v>
          </cell>
          <cell r="M112">
            <v>103.29</v>
          </cell>
          <cell r="N112">
            <v>103.29</v>
          </cell>
          <cell r="O112">
            <v>103.29</v>
          </cell>
          <cell r="P112">
            <v>103.29</v>
          </cell>
          <cell r="Q112">
            <v>103.29</v>
          </cell>
          <cell r="R112">
            <v>103.29</v>
          </cell>
          <cell r="S112">
            <v>103.29</v>
          </cell>
          <cell r="T112">
            <v>103.29</v>
          </cell>
          <cell r="U112">
            <v>103.29</v>
          </cell>
          <cell r="V112">
            <v>103.29</v>
          </cell>
          <cell r="W112">
            <v>10</v>
          </cell>
        </row>
        <row r="113">
          <cell r="B113">
            <v>2764</v>
          </cell>
          <cell r="C113" t="str">
            <v>7898322242139</v>
          </cell>
          <cell r="D113" t="str">
            <v>OTC/ OTC</v>
          </cell>
          <cell r="E113" t="str">
            <v>MULTIMIX</v>
          </cell>
          <cell r="F113" t="str">
            <v>OTC</v>
          </cell>
          <cell r="G113" t="str">
            <v>MULTIMIX PASTILHAS INFAN LIM-MEN DISPL-E</v>
          </cell>
          <cell r="I113" t="str">
            <v>OTC</v>
          </cell>
          <cell r="J113" t="str">
            <v>NEUTRA</v>
          </cell>
          <cell r="K113">
            <v>103.29</v>
          </cell>
          <cell r="L113">
            <v>103.29</v>
          </cell>
          <cell r="M113">
            <v>103.29</v>
          </cell>
          <cell r="N113">
            <v>103.29</v>
          </cell>
          <cell r="O113">
            <v>103.29</v>
          </cell>
          <cell r="P113">
            <v>103.29</v>
          </cell>
          <cell r="Q113">
            <v>103.29</v>
          </cell>
          <cell r="R113">
            <v>103.29</v>
          </cell>
          <cell r="S113">
            <v>103.29</v>
          </cell>
          <cell r="T113">
            <v>103.29</v>
          </cell>
          <cell r="U113">
            <v>103.29</v>
          </cell>
          <cell r="V113">
            <v>103.29</v>
          </cell>
          <cell r="W113">
            <v>10</v>
          </cell>
        </row>
        <row r="114">
          <cell r="B114">
            <v>2725</v>
          </cell>
          <cell r="C114" t="str">
            <v>7896004822525</v>
          </cell>
          <cell r="D114" t="str">
            <v>OTC/ OTC</v>
          </cell>
          <cell r="E114" t="str">
            <v>CALADRYL</v>
          </cell>
          <cell r="F114" t="str">
            <v>OTC</v>
          </cell>
          <cell r="G114" t="str">
            <v>CALADRYL REPEL 100ML- E</v>
          </cell>
          <cell r="I114" t="str">
            <v>OTC</v>
          </cell>
          <cell r="J114" t="str">
            <v>NEUTRA</v>
          </cell>
          <cell r="K114">
            <v>23.96</v>
          </cell>
          <cell r="L114">
            <v>23.96</v>
          </cell>
          <cell r="M114">
            <v>23.96</v>
          </cell>
          <cell r="N114">
            <v>23.96</v>
          </cell>
          <cell r="O114">
            <v>23.96</v>
          </cell>
          <cell r="P114">
            <v>23.96</v>
          </cell>
          <cell r="Q114">
            <v>23.96</v>
          </cell>
          <cell r="R114">
            <v>23.96</v>
          </cell>
          <cell r="S114">
            <v>23.96</v>
          </cell>
          <cell r="T114">
            <v>23.96</v>
          </cell>
          <cell r="U114">
            <v>23.96</v>
          </cell>
          <cell r="V114">
            <v>23.96</v>
          </cell>
          <cell r="W114">
            <v>20</v>
          </cell>
        </row>
        <row r="115">
          <cell r="B115">
            <v>2771</v>
          </cell>
          <cell r="C115" t="str">
            <v>7898655871303</v>
          </cell>
          <cell r="D115" t="str">
            <v>OTC/ OTC</v>
          </cell>
          <cell r="E115" t="str">
            <v>DERMACYD</v>
          </cell>
          <cell r="F115" t="str">
            <v>OTC</v>
          </cell>
          <cell r="G115" t="str">
            <v>DERMACYD KIT LENÇOS 1X48UND - E</v>
          </cell>
          <cell r="I115" t="str">
            <v>OTC</v>
          </cell>
          <cell r="J115" t="str">
            <v>NEUTRA</v>
          </cell>
          <cell r="K115">
            <v>29.07</v>
          </cell>
          <cell r="L115">
            <v>29.07</v>
          </cell>
          <cell r="M115">
            <v>29.07</v>
          </cell>
          <cell r="N115">
            <v>29.07</v>
          </cell>
          <cell r="O115">
            <v>29.07</v>
          </cell>
          <cell r="P115">
            <v>29.07</v>
          </cell>
          <cell r="Q115">
            <v>29.07</v>
          </cell>
          <cell r="R115">
            <v>29.07</v>
          </cell>
          <cell r="S115">
            <v>29.07</v>
          </cell>
          <cell r="T115">
            <v>29.07</v>
          </cell>
          <cell r="U115">
            <v>29.07</v>
          </cell>
          <cell r="V115">
            <v>29.07</v>
          </cell>
          <cell r="W115">
            <v>24</v>
          </cell>
        </row>
        <row r="116">
          <cell r="B116">
            <v>2702</v>
          </cell>
          <cell r="C116" t="str">
            <v>7896004790671</v>
          </cell>
          <cell r="D116" t="str">
            <v>OTC/ OTC</v>
          </cell>
          <cell r="E116" t="str">
            <v>DERMACYD</v>
          </cell>
          <cell r="F116" t="str">
            <v>OTC</v>
          </cell>
          <cell r="G116" t="str">
            <v>DERMACYD KIT INF 200ML+INF 100ML - E NP</v>
          </cell>
          <cell r="I116" t="str">
            <v>OTC</v>
          </cell>
          <cell r="J116" t="str">
            <v>NEUTRA</v>
          </cell>
          <cell r="K116">
            <v>29.13</v>
          </cell>
          <cell r="L116">
            <v>29.13</v>
          </cell>
          <cell r="M116">
            <v>29.13</v>
          </cell>
          <cell r="N116">
            <v>29.13</v>
          </cell>
          <cell r="O116">
            <v>29.13</v>
          </cell>
          <cell r="P116">
            <v>29.13</v>
          </cell>
          <cell r="Q116">
            <v>29.13</v>
          </cell>
          <cell r="R116">
            <v>29.13</v>
          </cell>
          <cell r="S116">
            <v>29.13</v>
          </cell>
          <cell r="T116">
            <v>29.13</v>
          </cell>
          <cell r="U116">
            <v>29.13</v>
          </cell>
          <cell r="V116">
            <v>29.13</v>
          </cell>
          <cell r="W116">
            <v>11</v>
          </cell>
        </row>
        <row r="117">
          <cell r="B117">
            <v>893563</v>
          </cell>
          <cell r="C117" t="str">
            <v>7896004790657</v>
          </cell>
          <cell r="D117" t="str">
            <v>OTC/ OTC</v>
          </cell>
          <cell r="E117" t="str">
            <v>DERMACYD</v>
          </cell>
          <cell r="F117" t="str">
            <v>OTC</v>
          </cell>
          <cell r="G117" t="str">
            <v>DERMACYD BREEZE 24H 200ML LIQSO BT1 BR</v>
          </cell>
          <cell r="I117" t="str">
            <v>OTC</v>
          </cell>
          <cell r="J117" t="str">
            <v>NEUTRA</v>
          </cell>
          <cell r="K117">
            <v>23.22</v>
          </cell>
          <cell r="L117">
            <v>23.22</v>
          </cell>
          <cell r="M117">
            <v>23.22</v>
          </cell>
          <cell r="N117">
            <v>23.22</v>
          </cell>
          <cell r="O117">
            <v>23.22</v>
          </cell>
          <cell r="P117">
            <v>23.22</v>
          </cell>
          <cell r="Q117">
            <v>23.22</v>
          </cell>
          <cell r="R117">
            <v>23.22</v>
          </cell>
          <cell r="S117">
            <v>23.22</v>
          </cell>
          <cell r="T117">
            <v>23.22</v>
          </cell>
          <cell r="U117">
            <v>23.22</v>
          </cell>
          <cell r="V117">
            <v>23.22</v>
          </cell>
          <cell r="W117">
            <v>24</v>
          </cell>
        </row>
        <row r="118">
          <cell r="B118">
            <v>893681</v>
          </cell>
          <cell r="C118" t="str">
            <v>7896004790664</v>
          </cell>
          <cell r="D118" t="str">
            <v>OTC/ OTC</v>
          </cell>
          <cell r="E118" t="str">
            <v>DERMACYD</v>
          </cell>
          <cell r="F118" t="str">
            <v>OTC</v>
          </cell>
          <cell r="G118" t="str">
            <v>DERMACYD NEUTRALIZE 200ML LIQSO BT1 BR</v>
          </cell>
          <cell r="I118" t="str">
            <v>OTC</v>
          </cell>
          <cell r="J118" t="str">
            <v>NEUTRA</v>
          </cell>
          <cell r="K118">
            <v>25.55</v>
          </cell>
          <cell r="L118">
            <v>25.55</v>
          </cell>
          <cell r="M118">
            <v>25.55</v>
          </cell>
          <cell r="N118">
            <v>25.55</v>
          </cell>
          <cell r="O118">
            <v>25.55</v>
          </cell>
          <cell r="P118">
            <v>25.55</v>
          </cell>
          <cell r="Q118">
            <v>25.55</v>
          </cell>
          <cell r="R118">
            <v>25.55</v>
          </cell>
          <cell r="S118">
            <v>25.55</v>
          </cell>
          <cell r="T118">
            <v>25.55</v>
          </cell>
          <cell r="U118">
            <v>25.55</v>
          </cell>
          <cell r="V118">
            <v>25.55</v>
          </cell>
          <cell r="W118">
            <v>24</v>
          </cell>
        </row>
        <row r="119">
          <cell r="B119">
            <v>893682</v>
          </cell>
          <cell r="C119" t="str">
            <v>7896004790596</v>
          </cell>
          <cell r="D119" t="str">
            <v>OTC/ OTC</v>
          </cell>
          <cell r="E119" t="str">
            <v>DERMACYD</v>
          </cell>
          <cell r="F119" t="str">
            <v>OTC</v>
          </cell>
          <cell r="G119" t="str">
            <v>DERMACYD INFANTIL 200ML LIQSO BT1 M36 BR</v>
          </cell>
          <cell r="I119" t="str">
            <v>OTC</v>
          </cell>
          <cell r="J119" t="str">
            <v>NEUTRA</v>
          </cell>
          <cell r="K119">
            <v>23.22</v>
          </cell>
          <cell r="L119">
            <v>23.22</v>
          </cell>
          <cell r="M119">
            <v>23.22</v>
          </cell>
          <cell r="N119">
            <v>23.22</v>
          </cell>
          <cell r="O119">
            <v>23.22</v>
          </cell>
          <cell r="P119">
            <v>23.22</v>
          </cell>
          <cell r="Q119">
            <v>23.22</v>
          </cell>
          <cell r="R119">
            <v>23.22</v>
          </cell>
          <cell r="S119">
            <v>23.22</v>
          </cell>
          <cell r="T119">
            <v>23.22</v>
          </cell>
          <cell r="U119">
            <v>23.22</v>
          </cell>
          <cell r="V119">
            <v>23.22</v>
          </cell>
          <cell r="W119">
            <v>24</v>
          </cell>
        </row>
        <row r="120">
          <cell r="B120">
            <v>60016</v>
          </cell>
          <cell r="C120" t="str">
            <v>7896004817576</v>
          </cell>
          <cell r="D120" t="str">
            <v>OTC/ OTC</v>
          </cell>
          <cell r="E120" t="str">
            <v>BALSAMO BENGUE</v>
          </cell>
          <cell r="F120" t="str">
            <v>OTC</v>
          </cell>
          <cell r="G120" t="str">
            <v xml:space="preserve">BALSAMO BENGUE GEL </v>
          </cell>
          <cell r="H120" t="str">
            <v>BISN X 20 G</v>
          </cell>
          <cell r="I120" t="str">
            <v>OTC</v>
          </cell>
          <cell r="J120" t="str">
            <v>NEGATIVA</v>
          </cell>
          <cell r="K120">
            <v>22.33</v>
          </cell>
          <cell r="L120">
            <v>22.19</v>
          </cell>
          <cell r="M120">
            <v>22.05</v>
          </cell>
          <cell r="N120">
            <v>21.77</v>
          </cell>
          <cell r="O120">
            <v>21.63</v>
          </cell>
          <cell r="P120">
            <v>21.49</v>
          </cell>
          <cell r="Q120">
            <v>21.36</v>
          </cell>
          <cell r="R120">
            <v>21.23</v>
          </cell>
          <cell r="S120">
            <v>20.97</v>
          </cell>
          <cell r="T120">
            <v>20.84</v>
          </cell>
          <cell r="U120">
            <v>20.72</v>
          </cell>
          <cell r="V120">
            <v>19.54</v>
          </cell>
          <cell r="W120">
            <v>56</v>
          </cell>
        </row>
        <row r="121">
          <cell r="B121">
            <v>1583</v>
          </cell>
          <cell r="C121" t="str">
            <v>7896004753638</v>
          </cell>
          <cell r="D121" t="str">
            <v>OTC/ OTC</v>
          </cell>
          <cell r="E121" t="str">
            <v>BALSAMO BENGUE</v>
          </cell>
          <cell r="F121" t="str">
            <v>OTC</v>
          </cell>
          <cell r="G121" t="str">
            <v>BALSAMO BENGUE GEL</v>
          </cell>
          <cell r="H121" t="str">
            <v>BISN X 60 G</v>
          </cell>
          <cell r="I121" t="str">
            <v>OTC</v>
          </cell>
          <cell r="J121" t="str">
            <v>NEGATIVA</v>
          </cell>
          <cell r="K121">
            <v>37.909999999999997</v>
          </cell>
          <cell r="L121">
            <v>37.67</v>
          </cell>
          <cell r="M121">
            <v>37.43</v>
          </cell>
          <cell r="N121">
            <v>36.950000000000003</v>
          </cell>
          <cell r="O121">
            <v>36.72</v>
          </cell>
          <cell r="P121">
            <v>36.49</v>
          </cell>
          <cell r="Q121">
            <v>36.26</v>
          </cell>
          <cell r="R121">
            <v>36.04</v>
          </cell>
          <cell r="S121">
            <v>35.6</v>
          </cell>
          <cell r="T121">
            <v>35.380000000000003</v>
          </cell>
          <cell r="U121">
            <v>35.17</v>
          </cell>
          <cell r="V121">
            <v>33.17</v>
          </cell>
          <cell r="W121">
            <v>56</v>
          </cell>
        </row>
        <row r="122">
          <cell r="B122">
            <v>60015</v>
          </cell>
          <cell r="C122" t="str">
            <v>7896004817569</v>
          </cell>
          <cell r="D122" t="str">
            <v>OTC/ OTC</v>
          </cell>
          <cell r="E122" t="str">
            <v>BALSAMO BENGUE</v>
          </cell>
          <cell r="F122" t="str">
            <v>OTC</v>
          </cell>
          <cell r="G122" t="str">
            <v>BALSAMO BENGUE POM</v>
          </cell>
          <cell r="H122" t="str">
            <v>BISN X 20 G</v>
          </cell>
          <cell r="I122" t="str">
            <v>OTC</v>
          </cell>
          <cell r="J122" t="str">
            <v>NEGATIVA</v>
          </cell>
          <cell r="K122">
            <v>23.51</v>
          </cell>
          <cell r="L122">
            <v>23.36</v>
          </cell>
          <cell r="M122">
            <v>23.21</v>
          </cell>
          <cell r="N122">
            <v>22.92</v>
          </cell>
          <cell r="O122">
            <v>22.77</v>
          </cell>
          <cell r="P122">
            <v>22.63</v>
          </cell>
          <cell r="Q122">
            <v>22.49</v>
          </cell>
          <cell r="R122">
            <v>22.35</v>
          </cell>
          <cell r="S122">
            <v>22.08</v>
          </cell>
          <cell r="T122">
            <v>21.95</v>
          </cell>
          <cell r="U122">
            <v>21.81</v>
          </cell>
          <cell r="V122">
            <v>20.57</v>
          </cell>
          <cell r="W122">
            <v>56</v>
          </cell>
        </row>
        <row r="123">
          <cell r="B123">
            <v>1582</v>
          </cell>
          <cell r="C123" t="str">
            <v>7896004753621</v>
          </cell>
          <cell r="D123" t="str">
            <v>OTC/ OTC</v>
          </cell>
          <cell r="E123" t="str">
            <v>BALSAMO BENGUE</v>
          </cell>
          <cell r="F123" t="str">
            <v>OTC</v>
          </cell>
          <cell r="G123" t="str">
            <v>BALSAMO BENGUE POM</v>
          </cell>
          <cell r="H123" t="str">
            <v>BISN X 60 G</v>
          </cell>
          <cell r="I123" t="str">
            <v>OTC</v>
          </cell>
          <cell r="J123" t="str">
            <v>NEGATIVA</v>
          </cell>
          <cell r="K123">
            <v>39.840000000000003</v>
          </cell>
          <cell r="L123">
            <v>39.58</v>
          </cell>
          <cell r="M123">
            <v>39.33</v>
          </cell>
          <cell r="N123">
            <v>38.83</v>
          </cell>
          <cell r="O123">
            <v>38.590000000000003</v>
          </cell>
          <cell r="P123">
            <v>38.35</v>
          </cell>
          <cell r="Q123">
            <v>38.11</v>
          </cell>
          <cell r="R123">
            <v>37.869999999999997</v>
          </cell>
          <cell r="S123">
            <v>37.409999999999997</v>
          </cell>
          <cell r="T123">
            <v>37.18</v>
          </cell>
          <cell r="U123">
            <v>36.96</v>
          </cell>
          <cell r="V123">
            <v>34.86</v>
          </cell>
          <cell r="W123">
            <v>56</v>
          </cell>
        </row>
        <row r="124">
          <cell r="B124">
            <v>60638</v>
          </cell>
          <cell r="C124" t="str">
            <v>7896004726793</v>
          </cell>
          <cell r="D124" t="str">
            <v>OTC/ OTC</v>
          </cell>
          <cell r="E124" t="str">
            <v>BALSAMO BENGUE</v>
          </cell>
          <cell r="F124" t="str">
            <v>OTC</v>
          </cell>
          <cell r="G124" t="str">
            <v>BALSAMO BENGUE AEROSOL</v>
          </cell>
          <cell r="H124" t="str">
            <v>FR X 60G</v>
          </cell>
          <cell r="I124" t="str">
            <v>OTC</v>
          </cell>
          <cell r="J124" t="str">
            <v>NEGATIVA</v>
          </cell>
          <cell r="K124">
            <v>38.85</v>
          </cell>
          <cell r="L124">
            <v>38.6</v>
          </cell>
          <cell r="M124">
            <v>38.35</v>
          </cell>
          <cell r="N124">
            <v>37.869999999999997</v>
          </cell>
          <cell r="O124">
            <v>37.630000000000003</v>
          </cell>
          <cell r="P124">
            <v>37.39</v>
          </cell>
          <cell r="Q124">
            <v>37.159999999999997</v>
          </cell>
          <cell r="R124">
            <v>36.93</v>
          </cell>
          <cell r="S124">
            <v>36.479999999999997</v>
          </cell>
          <cell r="T124">
            <v>36.26</v>
          </cell>
          <cell r="U124">
            <v>36.04</v>
          </cell>
          <cell r="V124">
            <v>33.99</v>
          </cell>
          <cell r="W124">
            <v>48</v>
          </cell>
        </row>
        <row r="125">
          <cell r="B125">
            <v>60649</v>
          </cell>
          <cell r="C125" t="str">
            <v>7896004754130</v>
          </cell>
          <cell r="D125" t="str">
            <v>OTC/ OTC</v>
          </cell>
          <cell r="E125" t="str">
            <v>BALSAMO BENGUE</v>
          </cell>
          <cell r="F125" t="str">
            <v>OTC</v>
          </cell>
          <cell r="G125" t="str">
            <v>BALSAMO BENGUE AEROSOL</v>
          </cell>
          <cell r="H125" t="str">
            <v>FR X 120G</v>
          </cell>
          <cell r="I125" t="str">
            <v>OTC</v>
          </cell>
          <cell r="J125" t="str">
            <v>NEGATIVA</v>
          </cell>
          <cell r="K125">
            <v>60.72</v>
          </cell>
          <cell r="L125">
            <v>60.33</v>
          </cell>
          <cell r="M125">
            <v>59.94</v>
          </cell>
          <cell r="N125">
            <v>59.19</v>
          </cell>
          <cell r="O125">
            <v>58.81</v>
          </cell>
          <cell r="P125">
            <v>58.45</v>
          </cell>
          <cell r="Q125">
            <v>58.08</v>
          </cell>
          <cell r="R125">
            <v>57.72</v>
          </cell>
          <cell r="S125">
            <v>57.02</v>
          </cell>
          <cell r="T125">
            <v>56.67</v>
          </cell>
          <cell r="U125">
            <v>56.33</v>
          </cell>
          <cell r="V125">
            <v>53.13</v>
          </cell>
          <cell r="W125">
            <v>12</v>
          </cell>
        </row>
        <row r="126">
          <cell r="B126">
            <v>2724</v>
          </cell>
          <cell r="C126" t="str">
            <v>7896004793757</v>
          </cell>
          <cell r="D126" t="str">
            <v>OTC/ OTC</v>
          </cell>
          <cell r="E126" t="str">
            <v>BALSAMO BENGUE</v>
          </cell>
          <cell r="F126" t="str">
            <v>OTC</v>
          </cell>
          <cell r="G126" t="str">
            <v xml:space="preserve">BENGPRO </v>
          </cell>
          <cell r="H126" t="str">
            <v>AEROSOL 60G - E</v>
          </cell>
          <cell r="I126" t="str">
            <v>OTC</v>
          </cell>
          <cell r="J126" t="str">
            <v>NEGATIVA</v>
          </cell>
          <cell r="K126">
            <v>42.35</v>
          </cell>
          <cell r="L126">
            <v>42.08</v>
          </cell>
          <cell r="M126">
            <v>41.81</v>
          </cell>
          <cell r="N126">
            <v>41.28</v>
          </cell>
          <cell r="O126">
            <v>41.02</v>
          </cell>
          <cell r="P126">
            <v>40.76</v>
          </cell>
          <cell r="Q126">
            <v>40.51</v>
          </cell>
          <cell r="R126">
            <v>40.26</v>
          </cell>
          <cell r="S126">
            <v>39.770000000000003</v>
          </cell>
          <cell r="T126">
            <v>39.53</v>
          </cell>
          <cell r="U126">
            <v>39.29</v>
          </cell>
          <cell r="V126">
            <v>37.06</v>
          </cell>
          <cell r="W126">
            <v>48</v>
          </cell>
        </row>
        <row r="127">
          <cell r="B127">
            <v>2723</v>
          </cell>
          <cell r="C127" t="str">
            <v>7896004793740</v>
          </cell>
          <cell r="D127" t="str">
            <v>OTC/ OTC</v>
          </cell>
          <cell r="E127" t="str">
            <v>BALSAMO BENGUE</v>
          </cell>
          <cell r="F127" t="str">
            <v>OTC</v>
          </cell>
          <cell r="G127" t="str">
            <v>BENGPRO</v>
          </cell>
          <cell r="H127" t="str">
            <v>GEL 60G - E</v>
          </cell>
          <cell r="I127" t="str">
            <v>OTC</v>
          </cell>
          <cell r="J127" t="str">
            <v>NEGATIVA</v>
          </cell>
          <cell r="K127">
            <v>41.94</v>
          </cell>
          <cell r="L127">
            <v>41.67</v>
          </cell>
          <cell r="M127">
            <v>41.4</v>
          </cell>
          <cell r="N127">
            <v>40.880000000000003</v>
          </cell>
          <cell r="O127">
            <v>40.619999999999997</v>
          </cell>
          <cell r="P127">
            <v>40.36</v>
          </cell>
          <cell r="Q127">
            <v>40.11</v>
          </cell>
          <cell r="R127">
            <v>39.869999999999997</v>
          </cell>
          <cell r="S127">
            <v>39.380000000000003</v>
          </cell>
          <cell r="T127">
            <v>39.14</v>
          </cell>
          <cell r="U127">
            <v>38.909999999999997</v>
          </cell>
          <cell r="V127">
            <v>36.700000000000003</v>
          </cell>
          <cell r="W127">
            <v>56</v>
          </cell>
        </row>
        <row r="128">
          <cell r="B128">
            <v>60020</v>
          </cell>
          <cell r="C128" t="str">
            <v>7896004817897</v>
          </cell>
          <cell r="D128" t="str">
            <v>OTC/ OTC</v>
          </cell>
          <cell r="E128" t="str">
            <v>GELMAX</v>
          </cell>
          <cell r="F128" t="str">
            <v>OTC</v>
          </cell>
          <cell r="G128" t="str">
            <v xml:space="preserve">GELMAX </v>
          </cell>
          <cell r="H128" t="str">
            <v>CP PAPAYA-CASSIS BLT 4X6=24</v>
          </cell>
          <cell r="I128" t="str">
            <v>OTC</v>
          </cell>
          <cell r="J128" t="str">
            <v>NEGATIVA</v>
          </cell>
          <cell r="K128">
            <v>16.53</v>
          </cell>
          <cell r="L128">
            <v>16.420000000000002</v>
          </cell>
          <cell r="M128">
            <v>16.32</v>
          </cell>
          <cell r="N128">
            <v>16.11</v>
          </cell>
          <cell r="O128">
            <v>16.010000000000002</v>
          </cell>
          <cell r="P128">
            <v>15.91</v>
          </cell>
          <cell r="Q128">
            <v>15.81</v>
          </cell>
          <cell r="R128">
            <v>15.71</v>
          </cell>
          <cell r="S128">
            <v>15.52</v>
          </cell>
          <cell r="T128">
            <v>15.43</v>
          </cell>
          <cell r="U128">
            <v>15.33</v>
          </cell>
          <cell r="V128">
            <v>14.46</v>
          </cell>
          <cell r="W128">
            <v>100</v>
          </cell>
        </row>
        <row r="129">
          <cell r="B129">
            <v>8003</v>
          </cell>
          <cell r="C129" t="str">
            <v>7896004817774</v>
          </cell>
          <cell r="D129" t="str">
            <v>OTC/ OTC</v>
          </cell>
          <cell r="E129" t="str">
            <v>GELMAX</v>
          </cell>
          <cell r="F129" t="str">
            <v>OTC</v>
          </cell>
          <cell r="G129" t="str">
            <v xml:space="preserve">GELMAX </v>
          </cell>
          <cell r="H129" t="str">
            <v>EFERV ABACAXI 100 SACHET C/5</v>
          </cell>
          <cell r="I129" t="str">
            <v>OTC</v>
          </cell>
          <cell r="J129" t="str">
            <v>NEGATIVA</v>
          </cell>
          <cell r="K129">
            <v>165.51</v>
          </cell>
          <cell r="L129">
            <v>164.44</v>
          </cell>
          <cell r="M129">
            <v>163.38999999999999</v>
          </cell>
          <cell r="N129">
            <v>161.32</v>
          </cell>
          <cell r="O129">
            <v>160.31</v>
          </cell>
          <cell r="P129">
            <v>159.31</v>
          </cell>
          <cell r="Q129">
            <v>158.32</v>
          </cell>
          <cell r="R129">
            <v>157.34</v>
          </cell>
          <cell r="S129">
            <v>155.41999999999999</v>
          </cell>
          <cell r="T129">
            <v>154.47999999999999</v>
          </cell>
          <cell r="U129">
            <v>153.55000000000001</v>
          </cell>
          <cell r="V129">
            <v>144.82</v>
          </cell>
          <cell r="W129">
            <v>16</v>
          </cell>
        </row>
        <row r="130">
          <cell r="B130">
            <v>2023</v>
          </cell>
          <cell r="C130" t="str">
            <v>7896004817460</v>
          </cell>
          <cell r="D130" t="str">
            <v>OTC/ OTC</v>
          </cell>
          <cell r="E130" t="str">
            <v>GELMAX</v>
          </cell>
          <cell r="F130" t="str">
            <v>OTC</v>
          </cell>
          <cell r="G130" t="str">
            <v xml:space="preserve">GELMAX </v>
          </cell>
          <cell r="H130" t="str">
            <v>4BLT C/6 COMP</v>
          </cell>
          <cell r="I130" t="str">
            <v>OTC</v>
          </cell>
          <cell r="J130" t="str">
            <v>NEGATIVA</v>
          </cell>
          <cell r="K130">
            <v>16.53</v>
          </cell>
          <cell r="L130">
            <v>16.420000000000002</v>
          </cell>
          <cell r="M130">
            <v>16.32</v>
          </cell>
          <cell r="N130">
            <v>16.11</v>
          </cell>
          <cell r="O130">
            <v>16.010000000000002</v>
          </cell>
          <cell r="P130">
            <v>15.91</v>
          </cell>
          <cell r="Q130">
            <v>15.81</v>
          </cell>
          <cell r="R130">
            <v>15.71</v>
          </cell>
          <cell r="S130">
            <v>15.52</v>
          </cell>
          <cell r="T130">
            <v>15.43</v>
          </cell>
          <cell r="U130">
            <v>15.33</v>
          </cell>
          <cell r="V130">
            <v>14.46</v>
          </cell>
          <cell r="W130">
            <v>100</v>
          </cell>
        </row>
        <row r="131">
          <cell r="B131">
            <v>1018</v>
          </cell>
          <cell r="C131" t="str">
            <v>7896004802473</v>
          </cell>
          <cell r="D131" t="str">
            <v>OTC/ OTC</v>
          </cell>
          <cell r="E131" t="str">
            <v>GELMAX</v>
          </cell>
          <cell r="F131" t="str">
            <v>OTC</v>
          </cell>
          <cell r="G131" t="str">
            <v xml:space="preserve">GELMAX </v>
          </cell>
          <cell r="H131" t="str">
            <v>SUSP FR C/240ML </v>
          </cell>
          <cell r="I131" t="str">
            <v>OTC</v>
          </cell>
          <cell r="J131" t="str">
            <v>NEGATIVA</v>
          </cell>
          <cell r="K131">
            <v>23.32</v>
          </cell>
          <cell r="L131">
            <v>23.17</v>
          </cell>
          <cell r="M131">
            <v>23.02</v>
          </cell>
          <cell r="N131">
            <v>22.73</v>
          </cell>
          <cell r="O131">
            <v>22.59</v>
          </cell>
          <cell r="P131">
            <v>22.45</v>
          </cell>
          <cell r="Q131">
            <v>22.31</v>
          </cell>
          <cell r="R131">
            <v>22.17</v>
          </cell>
          <cell r="S131">
            <v>21.9</v>
          </cell>
          <cell r="T131">
            <v>21.77</v>
          </cell>
          <cell r="U131">
            <v>21.64</v>
          </cell>
          <cell r="V131">
            <v>20.41</v>
          </cell>
          <cell r="W131">
            <v>35</v>
          </cell>
        </row>
        <row r="132">
          <cell r="B132">
            <v>60634</v>
          </cell>
          <cell r="C132" t="str">
            <v>7896004721361</v>
          </cell>
          <cell r="D132" t="str">
            <v>OTC/ OTC</v>
          </cell>
          <cell r="E132" t="str">
            <v>GELMAX</v>
          </cell>
          <cell r="F132" t="str">
            <v>OTC</v>
          </cell>
          <cell r="G132" t="str">
            <v xml:space="preserve">GELMAX </v>
          </cell>
          <cell r="H132" t="str">
            <v>DIM  SUSP FR. C/240ML</v>
          </cell>
          <cell r="I132" t="str">
            <v>OTC</v>
          </cell>
          <cell r="J132" t="str">
            <v>NEGATIVA</v>
          </cell>
          <cell r="K132">
            <v>30.23</v>
          </cell>
          <cell r="L132">
            <v>30.04</v>
          </cell>
          <cell r="M132">
            <v>29.85</v>
          </cell>
          <cell r="N132">
            <v>29.47</v>
          </cell>
          <cell r="O132">
            <v>29.28</v>
          </cell>
          <cell r="P132">
            <v>29.1</v>
          </cell>
          <cell r="Q132">
            <v>28.92</v>
          </cell>
          <cell r="R132">
            <v>28.74</v>
          </cell>
          <cell r="S132">
            <v>28.39</v>
          </cell>
          <cell r="T132">
            <v>28.22</v>
          </cell>
          <cell r="U132">
            <v>28.05</v>
          </cell>
          <cell r="V132">
            <v>26.45</v>
          </cell>
          <cell r="W132">
            <v>35</v>
          </cell>
        </row>
        <row r="133">
          <cell r="B133">
            <v>2578</v>
          </cell>
          <cell r="C133" t="str">
            <v>7896004786858</v>
          </cell>
          <cell r="D133" t="str">
            <v>OTC/ OTC</v>
          </cell>
          <cell r="E133" t="str">
            <v>PENVIR</v>
          </cell>
          <cell r="F133" t="str">
            <v>OTC</v>
          </cell>
          <cell r="G133" t="str">
            <v>PENVIR LABIA</v>
          </cell>
          <cell r="H133" t="str">
            <v>BISN  5 G - E</v>
          </cell>
          <cell r="I133" t="str">
            <v>OTC</v>
          </cell>
          <cell r="J133" t="str">
            <v>NEGATIVA</v>
          </cell>
          <cell r="K133">
            <v>57.55</v>
          </cell>
          <cell r="L133">
            <v>57.18</v>
          </cell>
          <cell r="M133">
            <v>56.81</v>
          </cell>
          <cell r="N133">
            <v>56.09</v>
          </cell>
          <cell r="O133">
            <v>55.74</v>
          </cell>
          <cell r="P133">
            <v>55.39</v>
          </cell>
          <cell r="Q133">
            <v>55.05</v>
          </cell>
          <cell r="R133">
            <v>54.71</v>
          </cell>
          <cell r="S133">
            <v>54.04</v>
          </cell>
          <cell r="T133">
            <v>53.71</v>
          </cell>
          <cell r="U133">
            <v>53.39</v>
          </cell>
          <cell r="V133">
            <v>50.36</v>
          </cell>
          <cell r="W133">
            <v>56</v>
          </cell>
        </row>
        <row r="134">
          <cell r="B134">
            <v>6112006</v>
          </cell>
          <cell r="C134" t="str">
            <v>7896472501823</v>
          </cell>
          <cell r="D134" t="str">
            <v>OTC/ OTC</v>
          </cell>
          <cell r="E134" t="str">
            <v>MULTIGRIP</v>
          </cell>
          <cell r="F134" t="str">
            <v>OTC</v>
          </cell>
          <cell r="G134" t="str">
            <v xml:space="preserve">MULTIGRIP </v>
          </cell>
          <cell r="H134" t="str">
            <v>400MG + 4MG + 4MG CAP GEL DURA CT BL AL PLAS X 20</v>
          </cell>
          <cell r="I134" t="str">
            <v>OTC</v>
          </cell>
          <cell r="J134" t="str">
            <v>NEGATIVA</v>
          </cell>
          <cell r="K134">
            <v>25.87</v>
          </cell>
          <cell r="L134">
            <v>25.7</v>
          </cell>
          <cell r="M134">
            <v>25.54</v>
          </cell>
          <cell r="N134">
            <v>25.21</v>
          </cell>
          <cell r="O134">
            <v>25.05</v>
          </cell>
          <cell r="P134">
            <v>24.9</v>
          </cell>
          <cell r="Q134">
            <v>24.74</v>
          </cell>
          <cell r="R134">
            <v>24.59</v>
          </cell>
          <cell r="S134">
            <v>24.29</v>
          </cell>
          <cell r="T134">
            <v>24.14</v>
          </cell>
          <cell r="U134">
            <v>24</v>
          </cell>
          <cell r="V134">
            <v>22.63</v>
          </cell>
          <cell r="W134">
            <v>108</v>
          </cell>
        </row>
        <row r="135">
          <cell r="B135">
            <v>6112008</v>
          </cell>
          <cell r="C135" t="str">
            <v>7896472502738</v>
          </cell>
          <cell r="D135" t="str">
            <v>OTC/ OTC</v>
          </cell>
          <cell r="E135" t="str">
            <v>MULTIGRIP</v>
          </cell>
          <cell r="F135" t="str">
            <v>OTC</v>
          </cell>
          <cell r="G135" t="str">
            <v>MULTIGRIP</v>
          </cell>
          <cell r="H135" t="str">
            <v>200 CAPS (50 x 4)</v>
          </cell>
          <cell r="I135" t="str">
            <v>OTC</v>
          </cell>
          <cell r="J135" t="str">
            <v>NEGATIVA</v>
          </cell>
          <cell r="K135">
            <v>334.76</v>
          </cell>
          <cell r="L135">
            <v>332.6</v>
          </cell>
          <cell r="M135">
            <v>330.47</v>
          </cell>
          <cell r="N135">
            <v>326.29000000000002</v>
          </cell>
          <cell r="O135">
            <v>324.24</v>
          </cell>
          <cell r="P135">
            <v>322.20999999999998</v>
          </cell>
          <cell r="Q135">
            <v>320.20999999999998</v>
          </cell>
          <cell r="R135">
            <v>318.23</v>
          </cell>
          <cell r="S135">
            <v>314.35000000000002</v>
          </cell>
          <cell r="T135">
            <v>312.44</v>
          </cell>
          <cell r="U135">
            <v>310.56</v>
          </cell>
          <cell r="V135">
            <v>292.92</v>
          </cell>
          <cell r="W135">
            <v>15</v>
          </cell>
        </row>
        <row r="136">
          <cell r="B136">
            <v>19163</v>
          </cell>
          <cell r="C136" t="str">
            <v>7896472520244</v>
          </cell>
          <cell r="D136" t="str">
            <v>OTC/ OTC</v>
          </cell>
          <cell r="E136" t="str">
            <v>MULTIGRIP</v>
          </cell>
          <cell r="F136" t="str">
            <v>OTC</v>
          </cell>
          <cell r="G136" t="str">
            <v>MULTIGRIP</v>
          </cell>
          <cell r="H136" t="str">
            <v>25BLTX4 CAP DURA</v>
          </cell>
          <cell r="I136" t="str">
            <v>OTC</v>
          </cell>
          <cell r="J136" t="str">
            <v>NEGATIVA</v>
          </cell>
          <cell r="K136">
            <v>167.39</v>
          </cell>
          <cell r="L136">
            <v>166.31</v>
          </cell>
          <cell r="M136">
            <v>165.24</v>
          </cell>
          <cell r="N136">
            <v>163.15</v>
          </cell>
          <cell r="O136">
            <v>162.12</v>
          </cell>
          <cell r="P136">
            <v>161.11000000000001</v>
          </cell>
          <cell r="Q136">
            <v>160.11000000000001</v>
          </cell>
          <cell r="R136">
            <v>159.12</v>
          </cell>
          <cell r="S136">
            <v>157.18</v>
          </cell>
          <cell r="T136">
            <v>156.22999999999999</v>
          </cell>
          <cell r="U136">
            <v>155.29</v>
          </cell>
          <cell r="V136">
            <v>146.46</v>
          </cell>
          <cell r="W136">
            <v>12</v>
          </cell>
        </row>
        <row r="137">
          <cell r="B137">
            <v>2737</v>
          </cell>
          <cell r="C137" t="str">
            <v>7896004822723</v>
          </cell>
          <cell r="D137" t="str">
            <v>OTC/ OTC</v>
          </cell>
          <cell r="E137" t="str">
            <v>DERMACYD</v>
          </cell>
          <cell r="F137" t="str">
            <v>OTC</v>
          </cell>
          <cell r="G137" t="str">
            <v>DERMACYD KIT BRE200ML+CALADRYL AE150ML-E</v>
          </cell>
          <cell r="I137" t="str">
            <v>OTC</v>
          </cell>
          <cell r="J137" t="str">
            <v xml:space="preserve">Neutra  </v>
          </cell>
          <cell r="K137">
            <v>36.880000000000003</v>
          </cell>
          <cell r="L137">
            <v>36.880000000000003</v>
          </cell>
          <cell r="M137">
            <v>36.880000000000003</v>
          </cell>
          <cell r="N137">
            <v>36.880000000000003</v>
          </cell>
          <cell r="O137">
            <v>36.880000000000003</v>
          </cell>
          <cell r="P137">
            <v>36.880000000000003</v>
          </cell>
          <cell r="Q137">
            <v>36.880000000000003</v>
          </cell>
          <cell r="R137">
            <v>36.880000000000003</v>
          </cell>
          <cell r="S137">
            <v>36.880000000000003</v>
          </cell>
          <cell r="T137">
            <v>36.880000000000003</v>
          </cell>
          <cell r="U137">
            <v>36.880000000000003</v>
          </cell>
          <cell r="V137">
            <v>36.880000000000003</v>
          </cell>
          <cell r="W137">
            <v>5</v>
          </cell>
        </row>
        <row r="138">
          <cell r="B138">
            <v>2798</v>
          </cell>
          <cell r="C138" t="str">
            <v>7896004796338</v>
          </cell>
          <cell r="D138" t="str">
            <v>OTC/ OTC</v>
          </cell>
          <cell r="E138" t="str">
            <v>LACDAY</v>
          </cell>
          <cell r="F138" t="str">
            <v>OTC</v>
          </cell>
          <cell r="G138" t="str">
            <v>LACDAY DISP 7BLTX3 COMP SUPL. ALIM-E</v>
          </cell>
          <cell r="I138" t="str">
            <v>OTC</v>
          </cell>
          <cell r="J138" t="str">
            <v xml:space="preserve">Neutra  </v>
          </cell>
          <cell r="K138">
            <v>60.25</v>
          </cell>
          <cell r="L138">
            <v>60.25</v>
          </cell>
          <cell r="M138">
            <v>60.25</v>
          </cell>
          <cell r="N138">
            <v>60.25</v>
          </cell>
          <cell r="O138">
            <v>60.25</v>
          </cell>
          <cell r="P138">
            <v>60.25</v>
          </cell>
          <cell r="Q138">
            <v>60.25</v>
          </cell>
          <cell r="R138">
            <v>60.25</v>
          </cell>
          <cell r="S138">
            <v>60.25</v>
          </cell>
          <cell r="T138">
            <v>60.25</v>
          </cell>
          <cell r="U138">
            <v>60.25</v>
          </cell>
          <cell r="V138">
            <v>60.25</v>
          </cell>
          <cell r="W138">
            <v>28</v>
          </cell>
        </row>
        <row r="139">
          <cell r="B139">
            <v>2779</v>
          </cell>
          <cell r="C139" t="str">
            <v>7896004795218</v>
          </cell>
          <cell r="D139" t="str">
            <v>OTC/ OTC</v>
          </cell>
          <cell r="E139" t="str">
            <v>LACDAY</v>
          </cell>
          <cell r="F139" t="str">
            <v>OTC</v>
          </cell>
          <cell r="G139" t="str">
            <v>LACDAY LONG ACTION 4BLT X 10 COM REV-E</v>
          </cell>
          <cell r="I139" t="str">
            <v>OTC</v>
          </cell>
          <cell r="J139" t="str">
            <v xml:space="preserve">Neutra  </v>
          </cell>
          <cell r="K139">
            <v>130.33000000000001</v>
          </cell>
          <cell r="L139">
            <v>130.33000000000001</v>
          </cell>
          <cell r="M139">
            <v>130.33000000000001</v>
          </cell>
          <cell r="N139">
            <v>130.33000000000001</v>
          </cell>
          <cell r="O139">
            <v>130.33000000000001</v>
          </cell>
          <cell r="P139">
            <v>130.33000000000001</v>
          </cell>
          <cell r="Q139">
            <v>130.33000000000001</v>
          </cell>
          <cell r="R139">
            <v>130.33000000000001</v>
          </cell>
          <cell r="S139">
            <v>130.33000000000001</v>
          </cell>
          <cell r="T139">
            <v>130.33000000000001</v>
          </cell>
          <cell r="U139">
            <v>130.33000000000001</v>
          </cell>
          <cell r="V139">
            <v>130.33000000000001</v>
          </cell>
          <cell r="W139">
            <v>56</v>
          </cell>
        </row>
        <row r="140">
          <cell r="B140">
            <v>2778</v>
          </cell>
          <cell r="C140" t="str">
            <v>7896004795201</v>
          </cell>
          <cell r="D140" t="str">
            <v>OTC/ OTC</v>
          </cell>
          <cell r="E140" t="str">
            <v>LACDAY</v>
          </cell>
          <cell r="F140" t="str">
            <v>OTC</v>
          </cell>
          <cell r="G140" t="str">
            <v>LACDAY LONG ACTION 2BLT X 10 COM REV-E</v>
          </cell>
          <cell r="I140" t="str">
            <v>OTC</v>
          </cell>
          <cell r="J140" t="str">
            <v xml:space="preserve">Neutra  </v>
          </cell>
          <cell r="K140">
            <v>69.47</v>
          </cell>
          <cell r="L140">
            <v>69.47</v>
          </cell>
          <cell r="M140">
            <v>69.47</v>
          </cell>
          <cell r="N140">
            <v>69.47</v>
          </cell>
          <cell r="O140">
            <v>69.47</v>
          </cell>
          <cell r="P140">
            <v>69.47</v>
          </cell>
          <cell r="Q140">
            <v>69.47</v>
          </cell>
          <cell r="R140">
            <v>69.47</v>
          </cell>
          <cell r="S140">
            <v>69.47</v>
          </cell>
          <cell r="T140">
            <v>69.47</v>
          </cell>
          <cell r="U140">
            <v>69.47</v>
          </cell>
          <cell r="V140">
            <v>69.47</v>
          </cell>
          <cell r="W140">
            <v>48</v>
          </cell>
        </row>
        <row r="141">
          <cell r="B141">
            <v>2736</v>
          </cell>
          <cell r="C141" t="str">
            <v>7896004822716</v>
          </cell>
          <cell r="D141" t="str">
            <v>OTC/ OTC</v>
          </cell>
          <cell r="E141" t="str">
            <v>DERMACYD</v>
          </cell>
          <cell r="F141" t="str">
            <v>OTC</v>
          </cell>
          <cell r="G141" t="str">
            <v>DERMACYD KIT NEUTRA 200ML+ESPONJA - E</v>
          </cell>
          <cell r="I141" t="str">
            <v>OTC</v>
          </cell>
          <cell r="J141" t="str">
            <v xml:space="preserve">Neutra  </v>
          </cell>
          <cell r="K141">
            <v>32.775260699999997</v>
          </cell>
          <cell r="L141">
            <v>32.775260699999997</v>
          </cell>
          <cell r="M141">
            <v>32.775260699999997</v>
          </cell>
          <cell r="N141">
            <v>32.775260699999997</v>
          </cell>
          <cell r="O141">
            <v>32.775260699999997</v>
          </cell>
          <cell r="P141">
            <v>32.775260699999997</v>
          </cell>
          <cell r="Q141">
            <v>32.775260699999997</v>
          </cell>
          <cell r="R141">
            <v>32.775260699999997</v>
          </cell>
          <cell r="S141">
            <v>32.775260699999997</v>
          </cell>
          <cell r="T141">
            <v>32.775260699999997</v>
          </cell>
          <cell r="U141">
            <v>32.775260699999997</v>
          </cell>
          <cell r="V141">
            <v>32.775260699999997</v>
          </cell>
          <cell r="W141">
            <v>10</v>
          </cell>
        </row>
        <row r="142">
          <cell r="B142">
            <v>32566</v>
          </cell>
          <cell r="C142" t="str">
            <v>7894916325660</v>
          </cell>
          <cell r="D142" t="str">
            <v>DOR</v>
          </cell>
          <cell r="E142" t="str">
            <v>IBUFLEX</v>
          </cell>
          <cell r="F142" t="str">
            <v>SUPER MARCAS</v>
          </cell>
          <cell r="G142" t="str">
            <v xml:space="preserve">IBUFLEX </v>
          </cell>
          <cell r="H142" t="str">
            <v>100MG/ML SUSP ORAL C/ 20 ML-L</v>
          </cell>
          <cell r="I142" t="str">
            <v>OTC</v>
          </cell>
          <cell r="J142" t="str">
            <v>NEGATIVA</v>
          </cell>
          <cell r="K142">
            <v>20.45</v>
          </cell>
          <cell r="L142">
            <v>20.309999999999999</v>
          </cell>
          <cell r="M142">
            <v>20.18</v>
          </cell>
          <cell r="N142">
            <v>19.93</v>
          </cell>
          <cell r="O142">
            <v>19.8</v>
          </cell>
          <cell r="P142">
            <v>19.68</v>
          </cell>
          <cell r="Q142">
            <v>19.559999999999999</v>
          </cell>
          <cell r="R142">
            <v>19.440000000000001</v>
          </cell>
          <cell r="S142">
            <v>19.2</v>
          </cell>
          <cell r="T142">
            <v>19.079999999999998</v>
          </cell>
          <cell r="U142">
            <v>18.97</v>
          </cell>
          <cell r="V142">
            <v>17.89</v>
          </cell>
          <cell r="W142">
            <v>120</v>
          </cell>
        </row>
        <row r="143">
          <cell r="B143">
            <v>2739</v>
          </cell>
          <cell r="C143">
            <v>7896004822747</v>
          </cell>
          <cell r="D143" t="str">
            <v>OTC/ OTC</v>
          </cell>
          <cell r="E143" t="str">
            <v>DERMACYD</v>
          </cell>
          <cell r="F143" t="str">
            <v>OTC</v>
          </cell>
          <cell r="G143" t="str">
            <v>DERMACYD KIT INF + DELI + FEM 100ML - E</v>
          </cell>
          <cell r="H143" t="str">
            <v>KIT INF + DELI + FEM 100ML - E</v>
          </cell>
          <cell r="I143" t="str">
            <v>OTC</v>
          </cell>
          <cell r="J143" t="str">
            <v>NEGATIVA</v>
          </cell>
          <cell r="K143">
            <v>32.78</v>
          </cell>
          <cell r="L143">
            <v>32.78</v>
          </cell>
          <cell r="M143">
            <v>32.78</v>
          </cell>
          <cell r="N143">
            <v>32.78</v>
          </cell>
          <cell r="O143">
            <v>32.78</v>
          </cell>
          <cell r="P143">
            <v>32.78</v>
          </cell>
          <cell r="Q143">
            <v>32.78</v>
          </cell>
          <cell r="R143">
            <v>32.78</v>
          </cell>
          <cell r="S143">
            <v>32.78</v>
          </cell>
          <cell r="T143">
            <v>32.78</v>
          </cell>
          <cell r="U143">
            <v>32.78</v>
          </cell>
          <cell r="V143">
            <v>32.78</v>
          </cell>
          <cell r="W143">
            <v>910</v>
          </cell>
        </row>
      </sheetData>
      <sheetData sheetId="9">
        <row r="1">
          <cell r="A1" t="str">
            <v>CHAVE</v>
          </cell>
          <cell r="F1" t="str">
            <v>ATACADO</v>
          </cell>
        </row>
        <row r="2">
          <cell r="A2" t="str">
            <v>33022AC</v>
          </cell>
          <cell r="F2">
            <v>93.343499889573337</v>
          </cell>
        </row>
        <row r="3">
          <cell r="A3" t="str">
            <v>33022AL</v>
          </cell>
          <cell r="F3">
            <v>93.343499889573337</v>
          </cell>
        </row>
        <row r="4">
          <cell r="A4" t="str">
            <v>33022AM</v>
          </cell>
          <cell r="F4">
            <v>93.343499889573337</v>
          </cell>
        </row>
        <row r="5">
          <cell r="A5" t="str">
            <v>33022AP</v>
          </cell>
          <cell r="F5">
            <v>93.343499889573337</v>
          </cell>
        </row>
        <row r="6">
          <cell r="A6" t="str">
            <v>33022BA</v>
          </cell>
          <cell r="F6">
            <v>93.343499889573337</v>
          </cell>
        </row>
        <row r="7">
          <cell r="A7" t="str">
            <v>33022CE</v>
          </cell>
          <cell r="F7">
            <v>93.343499889573337</v>
          </cell>
        </row>
        <row r="8">
          <cell r="A8" t="str">
            <v>33022DF</v>
          </cell>
          <cell r="F8">
            <v>93.343499889573337</v>
          </cell>
        </row>
        <row r="9">
          <cell r="A9" t="str">
            <v>33022ES</v>
          </cell>
          <cell r="F9">
            <v>93.343499889573337</v>
          </cell>
        </row>
        <row r="10">
          <cell r="A10" t="str">
            <v>33022GO</v>
          </cell>
          <cell r="F10">
            <v>93.343499889573337</v>
          </cell>
        </row>
        <row r="11">
          <cell r="A11" t="str">
            <v>33022MA</v>
          </cell>
          <cell r="F11">
            <v>93.343499889573337</v>
          </cell>
        </row>
        <row r="12">
          <cell r="A12" t="str">
            <v>33022MG</v>
          </cell>
          <cell r="F12">
            <v>93.343499889573337</v>
          </cell>
        </row>
        <row r="13">
          <cell r="A13" t="str">
            <v>33022MS</v>
          </cell>
          <cell r="F13">
            <v>93.343499889573337</v>
          </cell>
        </row>
        <row r="14">
          <cell r="A14" t="str">
            <v>33022MT</v>
          </cell>
          <cell r="F14">
            <v>93.343499889573337</v>
          </cell>
        </row>
        <row r="15">
          <cell r="A15" t="str">
            <v>33022PA</v>
          </cell>
          <cell r="F15">
            <v>93.343499889573337</v>
          </cell>
        </row>
        <row r="16">
          <cell r="A16" t="str">
            <v>33022PB</v>
          </cell>
          <cell r="F16">
            <v>93.343499889573337</v>
          </cell>
        </row>
        <row r="17">
          <cell r="A17" t="str">
            <v>33022PE</v>
          </cell>
          <cell r="F17">
            <v>93.343499889573337</v>
          </cell>
        </row>
        <row r="18">
          <cell r="A18" t="str">
            <v>33022PI</v>
          </cell>
          <cell r="F18">
            <v>93.343499889573337</v>
          </cell>
        </row>
        <row r="19">
          <cell r="A19" t="str">
            <v>33022PR</v>
          </cell>
          <cell r="F19">
            <v>93.343499889573337</v>
          </cell>
        </row>
        <row r="20">
          <cell r="A20" t="str">
            <v>33022RJ</v>
          </cell>
          <cell r="F20">
            <v>93.343499889573337</v>
          </cell>
        </row>
        <row r="21">
          <cell r="A21" t="str">
            <v>33022RN</v>
          </cell>
          <cell r="F21">
            <v>93.343499889573337</v>
          </cell>
        </row>
        <row r="22">
          <cell r="A22" t="str">
            <v>33022RO</v>
          </cell>
          <cell r="F22">
            <v>93.343499889573337</v>
          </cell>
        </row>
        <row r="23">
          <cell r="A23" t="str">
            <v>33022RR</v>
          </cell>
          <cell r="F23">
            <v>93.343499889573337</v>
          </cell>
        </row>
        <row r="24">
          <cell r="A24" t="str">
            <v>33022RS</v>
          </cell>
          <cell r="F24">
            <v>93.343499889573337</v>
          </cell>
        </row>
        <row r="25">
          <cell r="A25" t="str">
            <v>33022SC</v>
          </cell>
          <cell r="F25">
            <v>93.343499889573337</v>
          </cell>
        </row>
        <row r="26">
          <cell r="A26" t="str">
            <v>33022SE</v>
          </cell>
          <cell r="F26">
            <v>93.343499889573337</v>
          </cell>
        </row>
        <row r="27">
          <cell r="A27" t="str">
            <v>33022SP</v>
          </cell>
          <cell r="F27">
            <v>93.343499889573337</v>
          </cell>
        </row>
        <row r="28">
          <cell r="A28" t="str">
            <v>33022TO</v>
          </cell>
          <cell r="F28">
            <v>93.343499889573337</v>
          </cell>
        </row>
        <row r="29">
          <cell r="A29" t="str">
            <v>32568AC</v>
          </cell>
          <cell r="F29">
            <v>89.112215219515761</v>
          </cell>
        </row>
        <row r="30">
          <cell r="A30" t="str">
            <v>32568AL</v>
          </cell>
          <cell r="F30">
            <v>89.112215219515761</v>
          </cell>
        </row>
        <row r="31">
          <cell r="A31" t="str">
            <v>32568AM</v>
          </cell>
          <cell r="F31">
            <v>89.112215219515761</v>
          </cell>
        </row>
        <row r="32">
          <cell r="A32" t="str">
            <v>32568AP</v>
          </cell>
          <cell r="F32">
            <v>89.112215219515761</v>
          </cell>
        </row>
        <row r="33">
          <cell r="A33" t="str">
            <v>32568BA</v>
          </cell>
          <cell r="F33">
            <v>89.112215219515761</v>
          </cell>
        </row>
        <row r="34">
          <cell r="A34" t="str">
            <v>32568CE</v>
          </cell>
          <cell r="F34">
            <v>89.112215219515761</v>
          </cell>
        </row>
        <row r="35">
          <cell r="A35" t="str">
            <v>32568DF</v>
          </cell>
          <cell r="F35">
            <v>89.112215219515761</v>
          </cell>
        </row>
        <row r="36">
          <cell r="A36" t="str">
            <v>32568ES</v>
          </cell>
          <cell r="F36">
            <v>89.112215219515761</v>
          </cell>
        </row>
        <row r="37">
          <cell r="A37" t="str">
            <v>32568GO</v>
          </cell>
          <cell r="F37">
            <v>89.112215219515761</v>
          </cell>
        </row>
        <row r="38">
          <cell r="A38" t="str">
            <v>32568MA</v>
          </cell>
          <cell r="F38">
            <v>89.112215219515761</v>
          </cell>
        </row>
        <row r="39">
          <cell r="A39" t="str">
            <v>32568MG</v>
          </cell>
          <cell r="F39">
            <v>89.112215219515761</v>
          </cell>
        </row>
        <row r="40">
          <cell r="A40" t="str">
            <v>32568MS</v>
          </cell>
          <cell r="F40">
            <v>89.112215219515761</v>
          </cell>
        </row>
        <row r="41">
          <cell r="A41" t="str">
            <v>32568MT</v>
          </cell>
          <cell r="F41">
            <v>89.112215219515761</v>
          </cell>
        </row>
        <row r="42">
          <cell r="A42" t="str">
            <v>32568PA</v>
          </cell>
          <cell r="F42">
            <v>89.112215219515761</v>
          </cell>
        </row>
        <row r="43">
          <cell r="A43" t="str">
            <v>32568PB</v>
          </cell>
          <cell r="F43">
            <v>89.112215219515761</v>
          </cell>
        </row>
        <row r="44">
          <cell r="A44" t="str">
            <v>32568PE</v>
          </cell>
          <cell r="F44">
            <v>89.112215219515761</v>
          </cell>
        </row>
        <row r="45">
          <cell r="A45" t="str">
            <v>32568PI</v>
          </cell>
          <cell r="F45">
            <v>89.112215219515761</v>
          </cell>
        </row>
        <row r="46">
          <cell r="A46" t="str">
            <v>32568PR</v>
          </cell>
          <cell r="F46">
            <v>89.112215219515761</v>
          </cell>
        </row>
        <row r="47">
          <cell r="A47" t="str">
            <v>32568RJ</v>
          </cell>
          <cell r="F47">
            <v>89.112215219515761</v>
          </cell>
        </row>
        <row r="48">
          <cell r="A48" t="str">
            <v>32568RN</v>
          </cell>
          <cell r="F48">
            <v>89.112215219515761</v>
          </cell>
        </row>
        <row r="49">
          <cell r="A49" t="str">
            <v>32568RO</v>
          </cell>
          <cell r="F49">
            <v>89.112215219515761</v>
          </cell>
        </row>
        <row r="50">
          <cell r="A50" t="str">
            <v>32568RR</v>
          </cell>
          <cell r="F50">
            <v>89.112215219515761</v>
          </cell>
        </row>
        <row r="51">
          <cell r="A51" t="str">
            <v>32568RS</v>
          </cell>
          <cell r="F51">
            <v>89.112215219515761</v>
          </cell>
        </row>
        <row r="52">
          <cell r="A52" t="str">
            <v>32568SC</v>
          </cell>
          <cell r="F52">
            <v>89.112215219515761</v>
          </cell>
        </row>
        <row r="53">
          <cell r="A53" t="str">
            <v>32568SE</v>
          </cell>
          <cell r="F53">
            <v>89.112215219515761</v>
          </cell>
        </row>
        <row r="54">
          <cell r="A54" t="str">
            <v>32568SP</v>
          </cell>
          <cell r="F54">
            <v>89.112215219515761</v>
          </cell>
        </row>
        <row r="55">
          <cell r="A55" t="str">
            <v>32568TO</v>
          </cell>
          <cell r="F55">
            <v>89.112215219515761</v>
          </cell>
        </row>
        <row r="56">
          <cell r="A56" t="str">
            <v>32468AC</v>
          </cell>
          <cell r="F56">
            <v>29.086177476200149</v>
          </cell>
        </row>
        <row r="57">
          <cell r="A57" t="str">
            <v>32468AL</v>
          </cell>
          <cell r="F57">
            <v>29.543446943427753</v>
          </cell>
        </row>
        <row r="58">
          <cell r="A58" t="str">
            <v>32468AM</v>
          </cell>
          <cell r="F58">
            <v>26.719853214474242</v>
          </cell>
        </row>
        <row r="59">
          <cell r="A59" t="str">
            <v>32468AP</v>
          </cell>
          <cell r="F59">
            <v>30.096512182448642</v>
          </cell>
        </row>
        <row r="60">
          <cell r="A60" t="str">
            <v>32468BA</v>
          </cell>
          <cell r="F60">
            <v>31.195494181596782</v>
          </cell>
        </row>
        <row r="61">
          <cell r="A61" t="str">
            <v>32468CE</v>
          </cell>
          <cell r="F61">
            <v>25.346781067534263</v>
          </cell>
        </row>
        <row r="62">
          <cell r="A62" t="str">
            <v>32468DF</v>
          </cell>
          <cell r="F62">
            <v>30.651518765486507</v>
          </cell>
        </row>
        <row r="63">
          <cell r="A63" t="str">
            <v>32468ES</v>
          </cell>
          <cell r="F63">
            <v>27.386351137487608</v>
          </cell>
        </row>
        <row r="64">
          <cell r="A64" t="str">
            <v>32468GO</v>
          </cell>
          <cell r="F64">
            <v>32.401666552288432</v>
          </cell>
        </row>
        <row r="65">
          <cell r="A65" t="str">
            <v>32468MA</v>
          </cell>
          <cell r="F65">
            <v>25.571033593853777</v>
          </cell>
        </row>
        <row r="66">
          <cell r="A66" t="str">
            <v>32468MG</v>
          </cell>
          <cell r="F66">
            <v>25.929860539542638</v>
          </cell>
        </row>
        <row r="67">
          <cell r="A67" t="str">
            <v>32468MS</v>
          </cell>
          <cell r="F67">
            <v>31.838882408726697</v>
          </cell>
        </row>
        <row r="68">
          <cell r="A68" t="str">
            <v>32468MT</v>
          </cell>
          <cell r="F68">
            <v>30.197658746712197</v>
          </cell>
        </row>
        <row r="69">
          <cell r="A69" t="str">
            <v>32468PA</v>
          </cell>
          <cell r="F69">
            <v>30.199527125490956</v>
          </cell>
        </row>
        <row r="70">
          <cell r="A70" t="str">
            <v>32468PB</v>
          </cell>
          <cell r="F70">
            <v>28.530360786730391</v>
          </cell>
        </row>
        <row r="71">
          <cell r="A71" t="str">
            <v>32468PE</v>
          </cell>
          <cell r="F71">
            <v>27.048888583451035</v>
          </cell>
        </row>
        <row r="72">
          <cell r="A72" t="str">
            <v>32468PI</v>
          </cell>
          <cell r="F72">
            <v>31.641633147030046</v>
          </cell>
        </row>
        <row r="73">
          <cell r="A73" t="str">
            <v>32468PR</v>
          </cell>
          <cell r="F73">
            <v>32.324622789581028</v>
          </cell>
        </row>
        <row r="74">
          <cell r="A74" t="str">
            <v>32468RJ</v>
          </cell>
          <cell r="F74">
            <v>28.763083431930227</v>
          </cell>
        </row>
        <row r="75">
          <cell r="A75" t="str">
            <v>32468RN</v>
          </cell>
          <cell r="F75">
            <v>31.342610061532426</v>
          </cell>
        </row>
        <row r="76">
          <cell r="A76" t="str">
            <v>32468RO</v>
          </cell>
          <cell r="F76">
            <v>28.08743886416406</v>
          </cell>
        </row>
        <row r="77">
          <cell r="A77" t="str">
            <v>32468RR</v>
          </cell>
          <cell r="F77">
            <v>34.779590773449073</v>
          </cell>
        </row>
        <row r="78">
          <cell r="A78" t="str">
            <v>32468RS</v>
          </cell>
          <cell r="F78">
            <v>31.581509927870211</v>
          </cell>
        </row>
        <row r="79">
          <cell r="A79" t="str">
            <v>32468SC</v>
          </cell>
          <cell r="F79">
            <v>28.468752843643706</v>
          </cell>
        </row>
        <row r="80">
          <cell r="A80" t="str">
            <v>32468SE</v>
          </cell>
          <cell r="F80">
            <v>31.149408259407085</v>
          </cell>
        </row>
        <row r="81">
          <cell r="A81" t="str">
            <v>32468SP</v>
          </cell>
          <cell r="F81">
            <v>29.660436800540481</v>
          </cell>
        </row>
        <row r="82">
          <cell r="A82" t="str">
            <v>32468TO</v>
          </cell>
          <cell r="F82">
            <v>32.549727596067456</v>
          </cell>
        </row>
        <row r="83">
          <cell r="A83" t="str">
            <v>32469AC</v>
          </cell>
          <cell r="F83">
            <v>32.085105399671384</v>
          </cell>
        </row>
        <row r="84">
          <cell r="A84" t="str">
            <v>32469AL</v>
          </cell>
          <cell r="F84">
            <v>32.523037054819248</v>
          </cell>
        </row>
        <row r="85">
          <cell r="A85" t="str">
            <v>32469AM</v>
          </cell>
          <cell r="F85">
            <v>29.810475592917374</v>
          </cell>
        </row>
        <row r="86">
          <cell r="A86" t="str">
            <v>32469AP</v>
          </cell>
          <cell r="F86">
            <v>33.051851048302247</v>
          </cell>
        </row>
        <row r="87">
          <cell r="A87" t="str">
            <v>32469BA</v>
          </cell>
          <cell r="F87">
            <v>34.105254469096927</v>
          </cell>
        </row>
        <row r="88">
          <cell r="A88" t="str">
            <v>32469CE</v>
          </cell>
          <cell r="F88">
            <v>28.49531336688641</v>
          </cell>
        </row>
        <row r="89">
          <cell r="A89" t="str">
            <v>32469DF</v>
          </cell>
          <cell r="F89">
            <v>33.580358549434408</v>
          </cell>
        </row>
        <row r="90">
          <cell r="A90" t="str">
            <v>32469ES</v>
          </cell>
          <cell r="F90">
            <v>30.453090882327249</v>
          </cell>
        </row>
        <row r="91">
          <cell r="A91" t="str">
            <v>32469GO</v>
          </cell>
          <cell r="F91">
            <v>35.260383267050564</v>
          </cell>
        </row>
        <row r="92">
          <cell r="A92" t="str">
            <v>32469MA</v>
          </cell>
          <cell r="F92">
            <v>28.710692708897213</v>
          </cell>
        </row>
        <row r="93">
          <cell r="A93" t="str">
            <v>32469MG</v>
          </cell>
          <cell r="F93">
            <v>29.061354672110451</v>
          </cell>
        </row>
        <row r="94">
          <cell r="A94" t="str">
            <v>32469MS</v>
          </cell>
          <cell r="F94">
            <v>34.71757548701602</v>
          </cell>
        </row>
        <row r="95">
          <cell r="A95" t="str">
            <v>32469MT</v>
          </cell>
          <cell r="F95">
            <v>33.145666697801836</v>
          </cell>
        </row>
        <row r="96">
          <cell r="A96" t="str">
            <v>32469PA</v>
          </cell>
          <cell r="F96">
            <v>33.151371769101971</v>
          </cell>
        </row>
        <row r="97">
          <cell r="A97" t="str">
            <v>32469PB</v>
          </cell>
          <cell r="F97">
            <v>31.544624213061557</v>
          </cell>
        </row>
        <row r="98">
          <cell r="A98" t="str">
            <v>32469PE</v>
          </cell>
          <cell r="F98">
            <v>30.134009890609615</v>
          </cell>
        </row>
        <row r="99">
          <cell r="A99" t="str">
            <v>32469PI</v>
          </cell>
          <cell r="F99">
            <v>34.535514645272826</v>
          </cell>
        </row>
        <row r="100">
          <cell r="A100" t="str">
            <v>32469PR</v>
          </cell>
          <cell r="F100">
            <v>35.184136567613955</v>
          </cell>
        </row>
        <row r="101">
          <cell r="A101" t="str">
            <v>32469RJ</v>
          </cell>
          <cell r="F101">
            <v>31.768712477111162</v>
          </cell>
        </row>
        <row r="102">
          <cell r="A102" t="str">
            <v>32469RN</v>
          </cell>
          <cell r="F102">
            <v>34.238265639439071</v>
          </cell>
        </row>
        <row r="103">
          <cell r="A103" t="str">
            <v>32469RO</v>
          </cell>
          <cell r="F103">
            <v>31.125988006523318</v>
          </cell>
        </row>
        <row r="104">
          <cell r="A104" t="str">
            <v>32469RR</v>
          </cell>
          <cell r="F104">
            <v>37.530290180162204</v>
          </cell>
        </row>
        <row r="105">
          <cell r="A105" t="str">
            <v>32469RS</v>
          </cell>
          <cell r="F105">
            <v>34.47107278654704</v>
          </cell>
        </row>
        <row r="106">
          <cell r="A106" t="str">
            <v>32469SC</v>
          </cell>
          <cell r="F106">
            <v>31.489778808992163</v>
          </cell>
        </row>
        <row r="107">
          <cell r="A107" t="str">
            <v>32469SE</v>
          </cell>
          <cell r="F107">
            <v>34.061082666030487</v>
          </cell>
        </row>
        <row r="108">
          <cell r="A108" t="str">
            <v>32469SP</v>
          </cell>
          <cell r="F108">
            <v>32.634211806919133</v>
          </cell>
        </row>
        <row r="109">
          <cell r="A109" t="str">
            <v>32469TO</v>
          </cell>
          <cell r="F109">
            <v>35.3944724617376</v>
          </cell>
        </row>
        <row r="110">
          <cell r="A110" t="str">
            <v>32576AC</v>
          </cell>
          <cell r="F110">
            <v>30.194381834562691</v>
          </cell>
        </row>
        <row r="111">
          <cell r="A111" t="str">
            <v>32576AL</v>
          </cell>
          <cell r="F111">
            <v>30.644505332238904</v>
          </cell>
        </row>
        <row r="112">
          <cell r="A112" t="str">
            <v>32576AM</v>
          </cell>
          <cell r="F112">
            <v>27.855936835628427</v>
          </cell>
        </row>
        <row r="113">
          <cell r="A113" t="str">
            <v>32576AP</v>
          </cell>
          <cell r="F113">
            <v>31.182352595422202</v>
          </cell>
        </row>
        <row r="114">
          <cell r="A114" t="str">
            <v>32576BA</v>
          </cell>
          <cell r="F114">
            <v>32.267614559207978</v>
          </cell>
        </row>
        <row r="115">
          <cell r="A115" t="str">
            <v>32576CE</v>
          </cell>
          <cell r="F115">
            <v>26.504151829138195</v>
          </cell>
        </row>
        <row r="116">
          <cell r="A116" t="str">
            <v>32576DF</v>
          </cell>
          <cell r="F116">
            <v>31.737088006059544</v>
          </cell>
        </row>
        <row r="117">
          <cell r="A117" t="str">
            <v>32576ES</v>
          </cell>
          <cell r="F117">
            <v>28.523032752537645</v>
          </cell>
        </row>
        <row r="118">
          <cell r="A118" t="str">
            <v>32576GO</v>
          </cell>
          <cell r="F118">
            <v>33.458058170715951</v>
          </cell>
        </row>
        <row r="119">
          <cell r="A119" t="str">
            <v>32576MA</v>
          </cell>
          <cell r="F119">
            <v>26.722421809367987</v>
          </cell>
        </row>
        <row r="120">
          <cell r="A120" t="str">
            <v>32576MG</v>
          </cell>
          <cell r="F120">
            <v>27.080423313043607</v>
          </cell>
        </row>
        <row r="121">
          <cell r="A121" t="str">
            <v>32576MS</v>
          </cell>
          <cell r="F121">
            <v>32.905864862314189</v>
          </cell>
        </row>
        <row r="122">
          <cell r="A122" t="str">
            <v>32576MT</v>
          </cell>
          <cell r="F122">
            <v>31.290332634238364</v>
          </cell>
        </row>
        <row r="123">
          <cell r="A123" t="str">
            <v>32576PA</v>
          </cell>
          <cell r="F123">
            <v>31.290332634238371</v>
          </cell>
        </row>
        <row r="124">
          <cell r="A124" t="str">
            <v>32576PB</v>
          </cell>
          <cell r="F124">
            <v>29.638375577661908</v>
          </cell>
        </row>
        <row r="125">
          <cell r="A125" t="str">
            <v>32576PE</v>
          </cell>
          <cell r="F125">
            <v>28.185621885852679</v>
          </cell>
        </row>
        <row r="126">
          <cell r="A126" t="str">
            <v>32576PI</v>
          </cell>
          <cell r="F126">
            <v>32.702758478073171</v>
          </cell>
        </row>
        <row r="127">
          <cell r="A127" t="str">
            <v>32576PR</v>
          </cell>
          <cell r="F127">
            <v>33.382841638855631</v>
          </cell>
        </row>
        <row r="128">
          <cell r="A128" t="str">
            <v>32576RJ</v>
          </cell>
          <cell r="F128">
            <v>29.874293294991766</v>
          </cell>
        </row>
        <row r="129">
          <cell r="A129" t="str">
            <v>32576RN</v>
          </cell>
          <cell r="F129">
            <v>32.407025726645365</v>
          </cell>
        </row>
        <row r="130">
          <cell r="A130" t="str">
            <v>32576RO</v>
          </cell>
          <cell r="F130">
            <v>29.211913242148587</v>
          </cell>
        </row>
        <row r="131">
          <cell r="A131" t="str">
            <v>32576RR</v>
          </cell>
          <cell r="F131">
            <v>35.790721917933794</v>
          </cell>
        </row>
        <row r="132">
          <cell r="A132" t="str">
            <v>32576RS</v>
          </cell>
          <cell r="F132">
            <v>32.652521246165541</v>
          </cell>
        </row>
        <row r="133">
          <cell r="A133" t="str">
            <v>32576SC</v>
          </cell>
          <cell r="F133">
            <v>29.588490727883354</v>
          </cell>
        </row>
        <row r="134">
          <cell r="A134" t="str">
            <v>32576SE</v>
          </cell>
          <cell r="F134">
            <v>32.22536951952894</v>
          </cell>
        </row>
        <row r="135">
          <cell r="A135" t="str">
            <v>32576SP</v>
          </cell>
          <cell r="F135">
            <v>30.753050956678539</v>
          </cell>
        </row>
        <row r="136">
          <cell r="A136" t="str">
            <v>32576TO</v>
          </cell>
          <cell r="F136">
            <v>33.595428963789487</v>
          </cell>
        </row>
        <row r="137">
          <cell r="A137" t="str">
            <v>60649AC</v>
          </cell>
          <cell r="F137">
            <v>33</v>
          </cell>
        </row>
        <row r="138">
          <cell r="A138" t="str">
            <v>60649AL</v>
          </cell>
          <cell r="F138">
            <v>33</v>
          </cell>
        </row>
        <row r="139">
          <cell r="A139" t="str">
            <v>60649AM</v>
          </cell>
          <cell r="F139">
            <v>33</v>
          </cell>
        </row>
        <row r="140">
          <cell r="A140" t="str">
            <v>60649AP</v>
          </cell>
          <cell r="F140">
            <v>33</v>
          </cell>
        </row>
        <row r="141">
          <cell r="A141" t="str">
            <v>60649BA</v>
          </cell>
          <cell r="F141">
            <v>33</v>
          </cell>
        </row>
        <row r="142">
          <cell r="A142" t="str">
            <v>60649CE</v>
          </cell>
          <cell r="F142">
            <v>33</v>
          </cell>
        </row>
        <row r="143">
          <cell r="A143" t="str">
            <v>60649DF</v>
          </cell>
          <cell r="F143">
            <v>33</v>
          </cell>
        </row>
        <row r="144">
          <cell r="A144" t="str">
            <v>60649ES</v>
          </cell>
          <cell r="F144">
            <v>33</v>
          </cell>
        </row>
        <row r="145">
          <cell r="A145" t="str">
            <v>60649GO</v>
          </cell>
          <cell r="F145">
            <v>33</v>
          </cell>
        </row>
        <row r="146">
          <cell r="A146" t="str">
            <v>60649MA</v>
          </cell>
          <cell r="F146">
            <v>33</v>
          </cell>
        </row>
        <row r="147">
          <cell r="A147" t="str">
            <v>60649MG</v>
          </cell>
          <cell r="F147">
            <v>33</v>
          </cell>
        </row>
        <row r="148">
          <cell r="A148" t="str">
            <v>60649MS</v>
          </cell>
          <cell r="F148">
            <v>33</v>
          </cell>
        </row>
        <row r="149">
          <cell r="A149" t="str">
            <v>60649MT</v>
          </cell>
          <cell r="F149">
            <v>33</v>
          </cell>
        </row>
        <row r="150">
          <cell r="A150" t="str">
            <v>60649PA</v>
          </cell>
          <cell r="F150">
            <v>33</v>
          </cell>
        </row>
        <row r="151">
          <cell r="A151" t="str">
            <v>60649PB</v>
          </cell>
          <cell r="F151">
            <v>33</v>
          </cell>
        </row>
        <row r="152">
          <cell r="A152" t="str">
            <v>60649PE</v>
          </cell>
          <cell r="F152">
            <v>33</v>
          </cell>
        </row>
        <row r="153">
          <cell r="A153" t="str">
            <v>60649PI</v>
          </cell>
          <cell r="F153">
            <v>33</v>
          </cell>
        </row>
        <row r="154">
          <cell r="A154" t="str">
            <v>60649PR</v>
          </cell>
          <cell r="F154">
            <v>33</v>
          </cell>
        </row>
        <row r="155">
          <cell r="A155" t="str">
            <v>60649RJ</v>
          </cell>
          <cell r="F155">
            <v>33</v>
          </cell>
        </row>
        <row r="156">
          <cell r="A156" t="str">
            <v>60649RN</v>
          </cell>
          <cell r="F156">
            <v>33</v>
          </cell>
        </row>
        <row r="157">
          <cell r="A157" t="str">
            <v>60649RO</v>
          </cell>
          <cell r="F157">
            <v>33</v>
          </cell>
        </row>
        <row r="158">
          <cell r="A158" t="str">
            <v>60649RR</v>
          </cell>
          <cell r="F158">
            <v>33</v>
          </cell>
        </row>
        <row r="159">
          <cell r="A159" t="str">
            <v>60649RS</v>
          </cell>
          <cell r="F159">
            <v>33</v>
          </cell>
        </row>
        <row r="160">
          <cell r="A160" t="str">
            <v>60649SC</v>
          </cell>
          <cell r="F160">
            <v>33</v>
          </cell>
        </row>
        <row r="161">
          <cell r="A161" t="str">
            <v>60649SE</v>
          </cell>
          <cell r="F161">
            <v>33</v>
          </cell>
        </row>
        <row r="162">
          <cell r="A162" t="str">
            <v>60649SP</v>
          </cell>
          <cell r="F162">
            <v>33</v>
          </cell>
        </row>
        <row r="163">
          <cell r="A163" t="str">
            <v>60649TO</v>
          </cell>
          <cell r="F163">
            <v>33</v>
          </cell>
        </row>
        <row r="164">
          <cell r="A164" t="str">
            <v>60638AC</v>
          </cell>
          <cell r="F164">
            <v>33</v>
          </cell>
        </row>
        <row r="165">
          <cell r="A165" t="str">
            <v>60638AL</v>
          </cell>
          <cell r="F165">
            <v>33</v>
          </cell>
        </row>
        <row r="166">
          <cell r="A166" t="str">
            <v>60638AM</v>
          </cell>
          <cell r="F166">
            <v>33</v>
          </cell>
        </row>
        <row r="167">
          <cell r="A167" t="str">
            <v>60638AP</v>
          </cell>
          <cell r="F167">
            <v>33</v>
          </cell>
        </row>
        <row r="168">
          <cell r="A168" t="str">
            <v>60638BA</v>
          </cell>
          <cell r="F168">
            <v>33</v>
          </cell>
        </row>
        <row r="169">
          <cell r="A169" t="str">
            <v>60638CE</v>
          </cell>
          <cell r="F169">
            <v>33</v>
          </cell>
        </row>
        <row r="170">
          <cell r="A170" t="str">
            <v>60638DF</v>
          </cell>
          <cell r="F170">
            <v>33</v>
          </cell>
        </row>
        <row r="171">
          <cell r="A171" t="str">
            <v>60638ES</v>
          </cell>
          <cell r="F171">
            <v>33</v>
          </cell>
        </row>
        <row r="172">
          <cell r="A172" t="str">
            <v>60638GO</v>
          </cell>
          <cell r="F172">
            <v>33</v>
          </cell>
        </row>
        <row r="173">
          <cell r="A173" t="str">
            <v>60638MA</v>
          </cell>
          <cell r="F173">
            <v>33</v>
          </cell>
        </row>
        <row r="174">
          <cell r="A174" t="str">
            <v>60638MG</v>
          </cell>
          <cell r="F174">
            <v>33</v>
          </cell>
        </row>
        <row r="175">
          <cell r="A175" t="str">
            <v>60638MS</v>
          </cell>
          <cell r="F175">
            <v>33</v>
          </cell>
        </row>
        <row r="176">
          <cell r="A176" t="str">
            <v>60638MT</v>
          </cell>
          <cell r="F176">
            <v>33</v>
          </cell>
        </row>
        <row r="177">
          <cell r="A177" t="str">
            <v>60638PA</v>
          </cell>
          <cell r="F177">
            <v>33</v>
          </cell>
        </row>
        <row r="178">
          <cell r="A178" t="str">
            <v>60638PB</v>
          </cell>
          <cell r="F178">
            <v>33</v>
          </cell>
        </row>
        <row r="179">
          <cell r="A179" t="str">
            <v>60638PE</v>
          </cell>
          <cell r="F179">
            <v>33</v>
          </cell>
        </row>
        <row r="180">
          <cell r="A180" t="str">
            <v>60638PI</v>
          </cell>
          <cell r="F180">
            <v>33</v>
          </cell>
        </row>
        <row r="181">
          <cell r="A181" t="str">
            <v>60638PR</v>
          </cell>
          <cell r="F181">
            <v>33</v>
          </cell>
        </row>
        <row r="182">
          <cell r="A182" t="str">
            <v>60638RJ</v>
          </cell>
          <cell r="F182">
            <v>33</v>
          </cell>
        </row>
        <row r="183">
          <cell r="A183" t="str">
            <v>60638RN</v>
          </cell>
          <cell r="F183">
            <v>33</v>
          </cell>
        </row>
        <row r="184">
          <cell r="A184" t="str">
            <v>60638RO</v>
          </cell>
          <cell r="F184">
            <v>33</v>
          </cell>
        </row>
        <row r="185">
          <cell r="A185" t="str">
            <v>60638RR</v>
          </cell>
          <cell r="F185">
            <v>33</v>
          </cell>
        </row>
        <row r="186">
          <cell r="A186" t="str">
            <v>60638RS</v>
          </cell>
          <cell r="F186">
            <v>33</v>
          </cell>
        </row>
        <row r="187">
          <cell r="A187" t="str">
            <v>60638SC</v>
          </cell>
          <cell r="F187">
            <v>33</v>
          </cell>
        </row>
        <row r="188">
          <cell r="A188" t="str">
            <v>60638SE</v>
          </cell>
          <cell r="F188">
            <v>33</v>
          </cell>
        </row>
        <row r="189">
          <cell r="A189" t="str">
            <v>60638SP</v>
          </cell>
          <cell r="F189">
            <v>33</v>
          </cell>
        </row>
        <row r="190">
          <cell r="A190" t="str">
            <v>60638TO</v>
          </cell>
          <cell r="F190">
            <v>33</v>
          </cell>
        </row>
        <row r="191">
          <cell r="A191" t="str">
            <v>60016AC</v>
          </cell>
          <cell r="F191">
            <v>33</v>
          </cell>
        </row>
        <row r="192">
          <cell r="A192" t="str">
            <v>60016AL</v>
          </cell>
          <cell r="F192">
            <v>33</v>
          </cell>
        </row>
        <row r="193">
          <cell r="A193" t="str">
            <v>60016AM</v>
          </cell>
          <cell r="F193">
            <v>33</v>
          </cell>
        </row>
        <row r="194">
          <cell r="A194" t="str">
            <v>60016AP</v>
          </cell>
          <cell r="F194">
            <v>33</v>
          </cell>
        </row>
        <row r="195">
          <cell r="A195" t="str">
            <v>60016BA</v>
          </cell>
          <cell r="F195">
            <v>33</v>
          </cell>
        </row>
        <row r="196">
          <cell r="A196" t="str">
            <v>60016CE</v>
          </cell>
          <cell r="F196">
            <v>33</v>
          </cell>
        </row>
        <row r="197">
          <cell r="A197" t="str">
            <v>60016DF</v>
          </cell>
          <cell r="F197">
            <v>33</v>
          </cell>
        </row>
        <row r="198">
          <cell r="A198" t="str">
            <v>60016ES</v>
          </cell>
          <cell r="F198">
            <v>33</v>
          </cell>
        </row>
        <row r="199">
          <cell r="A199" t="str">
            <v>60016GO</v>
          </cell>
          <cell r="F199">
            <v>33</v>
          </cell>
        </row>
        <row r="200">
          <cell r="A200" t="str">
            <v>60016MA</v>
          </cell>
          <cell r="F200">
            <v>33</v>
          </cell>
        </row>
        <row r="201">
          <cell r="A201" t="str">
            <v>60016MG</v>
          </cell>
          <cell r="F201">
            <v>33</v>
          </cell>
        </row>
        <row r="202">
          <cell r="A202" t="str">
            <v>60016MS</v>
          </cell>
          <cell r="F202">
            <v>33</v>
          </cell>
        </row>
        <row r="203">
          <cell r="A203" t="str">
            <v>60016MT</v>
          </cell>
          <cell r="F203">
            <v>33</v>
          </cell>
        </row>
        <row r="204">
          <cell r="A204" t="str">
            <v>60016PA</v>
          </cell>
          <cell r="F204">
            <v>33</v>
          </cell>
        </row>
        <row r="205">
          <cell r="A205" t="str">
            <v>60016PB</v>
          </cell>
          <cell r="F205">
            <v>33</v>
          </cell>
        </row>
        <row r="206">
          <cell r="A206" t="str">
            <v>60016PE</v>
          </cell>
          <cell r="F206">
            <v>33</v>
          </cell>
        </row>
        <row r="207">
          <cell r="A207" t="str">
            <v>60016PI</v>
          </cell>
          <cell r="F207">
            <v>33</v>
          </cell>
        </row>
        <row r="208">
          <cell r="A208" t="str">
            <v>60016PR</v>
          </cell>
          <cell r="F208">
            <v>33</v>
          </cell>
        </row>
        <row r="209">
          <cell r="A209" t="str">
            <v>60016RJ</v>
          </cell>
          <cell r="F209">
            <v>33</v>
          </cell>
        </row>
        <row r="210">
          <cell r="A210" t="str">
            <v>60016RN</v>
          </cell>
          <cell r="F210">
            <v>33</v>
          </cell>
        </row>
        <row r="211">
          <cell r="A211" t="str">
            <v>60016RO</v>
          </cell>
          <cell r="F211">
            <v>33</v>
          </cell>
        </row>
        <row r="212">
          <cell r="A212" t="str">
            <v>60016RR</v>
          </cell>
          <cell r="F212">
            <v>33</v>
          </cell>
        </row>
        <row r="213">
          <cell r="A213" t="str">
            <v>60016RS</v>
          </cell>
          <cell r="F213">
            <v>33</v>
          </cell>
        </row>
        <row r="214">
          <cell r="A214" t="str">
            <v>60016SC</v>
          </cell>
          <cell r="F214">
            <v>33</v>
          </cell>
        </row>
        <row r="215">
          <cell r="A215" t="str">
            <v>60016SE</v>
          </cell>
          <cell r="F215">
            <v>33</v>
          </cell>
        </row>
        <row r="216">
          <cell r="A216" t="str">
            <v>60016SP</v>
          </cell>
          <cell r="F216">
            <v>33</v>
          </cell>
        </row>
        <row r="217">
          <cell r="A217" t="str">
            <v>60016TO</v>
          </cell>
          <cell r="F217">
            <v>33</v>
          </cell>
        </row>
        <row r="218">
          <cell r="A218" t="str">
            <v>1583AC</v>
          </cell>
          <cell r="F218">
            <v>33</v>
          </cell>
        </row>
        <row r="219">
          <cell r="A219" t="str">
            <v>1583AL</v>
          </cell>
          <cell r="F219">
            <v>33</v>
          </cell>
        </row>
        <row r="220">
          <cell r="A220" t="str">
            <v>1583AM</v>
          </cell>
          <cell r="F220">
            <v>33</v>
          </cell>
        </row>
        <row r="221">
          <cell r="A221" t="str">
            <v>1583AP</v>
          </cell>
          <cell r="F221">
            <v>33</v>
          </cell>
        </row>
        <row r="222">
          <cell r="A222" t="str">
            <v>1583BA</v>
          </cell>
          <cell r="F222">
            <v>33</v>
          </cell>
        </row>
        <row r="223">
          <cell r="A223" t="str">
            <v>1583CE</v>
          </cell>
          <cell r="F223">
            <v>33</v>
          </cell>
        </row>
        <row r="224">
          <cell r="A224" t="str">
            <v>1583DF</v>
          </cell>
          <cell r="F224">
            <v>33</v>
          </cell>
        </row>
        <row r="225">
          <cell r="A225" t="str">
            <v>1583ES</v>
          </cell>
          <cell r="F225">
            <v>33</v>
          </cell>
        </row>
        <row r="226">
          <cell r="A226" t="str">
            <v>1583GO</v>
          </cell>
          <cell r="F226">
            <v>33</v>
          </cell>
        </row>
        <row r="227">
          <cell r="A227" t="str">
            <v>1583MA</v>
          </cell>
          <cell r="F227">
            <v>33</v>
          </cell>
        </row>
        <row r="228">
          <cell r="A228" t="str">
            <v>1583MG</v>
          </cell>
          <cell r="F228">
            <v>33</v>
          </cell>
        </row>
        <row r="229">
          <cell r="A229" t="str">
            <v>1583MS</v>
          </cell>
          <cell r="F229">
            <v>33</v>
          </cell>
        </row>
        <row r="230">
          <cell r="A230" t="str">
            <v>1583MT</v>
          </cell>
          <cell r="F230">
            <v>33</v>
          </cell>
        </row>
        <row r="231">
          <cell r="A231" t="str">
            <v>1583PA</v>
          </cell>
          <cell r="F231">
            <v>33</v>
          </cell>
        </row>
        <row r="232">
          <cell r="A232" t="str">
            <v>1583PB</v>
          </cell>
          <cell r="F232">
            <v>33</v>
          </cell>
        </row>
        <row r="233">
          <cell r="A233" t="str">
            <v>1583PE</v>
          </cell>
          <cell r="F233">
            <v>33</v>
          </cell>
        </row>
        <row r="234">
          <cell r="A234" t="str">
            <v>1583PI</v>
          </cell>
          <cell r="F234">
            <v>33</v>
          </cell>
        </row>
        <row r="235">
          <cell r="A235" t="str">
            <v>1583PR</v>
          </cell>
          <cell r="F235">
            <v>33</v>
          </cell>
        </row>
        <row r="236">
          <cell r="A236" t="str">
            <v>1583RJ</v>
          </cell>
          <cell r="F236">
            <v>33</v>
          </cell>
        </row>
        <row r="237">
          <cell r="A237" t="str">
            <v>1583RN</v>
          </cell>
          <cell r="F237">
            <v>33</v>
          </cell>
        </row>
        <row r="238">
          <cell r="A238" t="str">
            <v>1583RO</v>
          </cell>
          <cell r="F238">
            <v>33</v>
          </cell>
        </row>
        <row r="239">
          <cell r="A239" t="str">
            <v>1583RR</v>
          </cell>
          <cell r="F239">
            <v>33</v>
          </cell>
        </row>
        <row r="240">
          <cell r="A240" t="str">
            <v>1583RS</v>
          </cell>
          <cell r="F240">
            <v>33</v>
          </cell>
        </row>
        <row r="241">
          <cell r="A241" t="str">
            <v>1583SC</v>
          </cell>
          <cell r="F241">
            <v>33</v>
          </cell>
        </row>
        <row r="242">
          <cell r="A242" t="str">
            <v>1583SE</v>
          </cell>
          <cell r="F242">
            <v>33</v>
          </cell>
        </row>
        <row r="243">
          <cell r="A243" t="str">
            <v>1583SP</v>
          </cell>
          <cell r="F243">
            <v>33</v>
          </cell>
        </row>
        <row r="244">
          <cell r="A244" t="str">
            <v>1583TO</v>
          </cell>
          <cell r="F244">
            <v>33</v>
          </cell>
        </row>
        <row r="245">
          <cell r="A245" t="str">
            <v>60015AC</v>
          </cell>
          <cell r="F245">
            <v>33</v>
          </cell>
        </row>
        <row r="246">
          <cell r="A246" t="str">
            <v>60015AL</v>
          </cell>
          <cell r="F246">
            <v>33</v>
          </cell>
        </row>
        <row r="247">
          <cell r="A247" t="str">
            <v>60015AM</v>
          </cell>
          <cell r="F247">
            <v>33</v>
          </cell>
        </row>
        <row r="248">
          <cell r="A248" t="str">
            <v>60015AP</v>
          </cell>
          <cell r="F248">
            <v>33</v>
          </cell>
        </row>
        <row r="249">
          <cell r="A249" t="str">
            <v>60015BA</v>
          </cell>
          <cell r="F249">
            <v>33</v>
          </cell>
        </row>
        <row r="250">
          <cell r="A250" t="str">
            <v>60015CE</v>
          </cell>
          <cell r="F250">
            <v>33</v>
          </cell>
        </row>
        <row r="251">
          <cell r="A251" t="str">
            <v>60015DF</v>
          </cell>
          <cell r="F251">
            <v>33</v>
          </cell>
        </row>
        <row r="252">
          <cell r="A252" t="str">
            <v>60015ES</v>
          </cell>
          <cell r="F252">
            <v>33</v>
          </cell>
        </row>
        <row r="253">
          <cell r="A253" t="str">
            <v>60015GO</v>
          </cell>
          <cell r="F253">
            <v>33</v>
          </cell>
        </row>
        <row r="254">
          <cell r="A254" t="str">
            <v>60015MA</v>
          </cell>
          <cell r="F254">
            <v>33</v>
          </cell>
        </row>
        <row r="255">
          <cell r="A255" t="str">
            <v>60015MG</v>
          </cell>
          <cell r="F255">
            <v>33</v>
          </cell>
        </row>
        <row r="256">
          <cell r="A256" t="str">
            <v>60015MS</v>
          </cell>
          <cell r="F256">
            <v>33</v>
          </cell>
        </row>
        <row r="257">
          <cell r="A257" t="str">
            <v>60015MT</v>
          </cell>
          <cell r="F257">
            <v>33</v>
          </cell>
        </row>
        <row r="258">
          <cell r="A258" t="str">
            <v>60015PA</v>
          </cell>
          <cell r="F258">
            <v>33</v>
          </cell>
        </row>
        <row r="259">
          <cell r="A259" t="str">
            <v>60015PB</v>
          </cell>
          <cell r="F259">
            <v>33</v>
          </cell>
        </row>
        <row r="260">
          <cell r="A260" t="str">
            <v>60015PE</v>
          </cell>
          <cell r="F260">
            <v>33</v>
          </cell>
        </row>
        <row r="261">
          <cell r="A261" t="str">
            <v>60015PI</v>
          </cell>
          <cell r="F261">
            <v>33</v>
          </cell>
        </row>
        <row r="262">
          <cell r="A262" t="str">
            <v>60015PR</v>
          </cell>
          <cell r="F262">
            <v>33</v>
          </cell>
        </row>
        <row r="263">
          <cell r="A263" t="str">
            <v>60015RJ</v>
          </cell>
          <cell r="F263">
            <v>33</v>
          </cell>
        </row>
        <row r="264">
          <cell r="A264" t="str">
            <v>60015RN</v>
          </cell>
          <cell r="F264">
            <v>33</v>
          </cell>
        </row>
        <row r="265">
          <cell r="A265" t="str">
            <v>60015RO</v>
          </cell>
          <cell r="F265">
            <v>33</v>
          </cell>
        </row>
        <row r="266">
          <cell r="A266" t="str">
            <v>60015RR</v>
          </cell>
          <cell r="F266">
            <v>33</v>
          </cell>
        </row>
        <row r="267">
          <cell r="A267" t="str">
            <v>60015RS</v>
          </cell>
          <cell r="F267">
            <v>33</v>
          </cell>
        </row>
        <row r="268">
          <cell r="A268" t="str">
            <v>60015SC</v>
          </cell>
          <cell r="F268">
            <v>33</v>
          </cell>
        </row>
        <row r="269">
          <cell r="A269" t="str">
            <v>60015SE</v>
          </cell>
          <cell r="F269">
            <v>33</v>
          </cell>
        </row>
        <row r="270">
          <cell r="A270" t="str">
            <v>60015SP</v>
          </cell>
          <cell r="F270">
            <v>33</v>
          </cell>
        </row>
        <row r="271">
          <cell r="A271" t="str">
            <v>60015TO</v>
          </cell>
          <cell r="F271">
            <v>33</v>
          </cell>
        </row>
        <row r="272">
          <cell r="A272" t="str">
            <v>1582AC</v>
          </cell>
          <cell r="F272">
            <v>33</v>
          </cell>
        </row>
        <row r="273">
          <cell r="A273" t="str">
            <v>1582AL</v>
          </cell>
          <cell r="F273">
            <v>33</v>
          </cell>
        </row>
        <row r="274">
          <cell r="A274" t="str">
            <v>1582AM</v>
          </cell>
          <cell r="F274">
            <v>33</v>
          </cell>
        </row>
        <row r="275">
          <cell r="A275" t="str">
            <v>1582AP</v>
          </cell>
          <cell r="F275">
            <v>33</v>
          </cell>
        </row>
        <row r="276">
          <cell r="A276" t="str">
            <v>1582BA</v>
          </cell>
          <cell r="F276">
            <v>33</v>
          </cell>
        </row>
        <row r="277">
          <cell r="A277" t="str">
            <v>1582CE</v>
          </cell>
          <cell r="F277">
            <v>33</v>
          </cell>
        </row>
        <row r="278">
          <cell r="A278" t="str">
            <v>1582DF</v>
          </cell>
          <cell r="F278">
            <v>33</v>
          </cell>
        </row>
        <row r="279">
          <cell r="A279" t="str">
            <v>1582ES</v>
          </cell>
          <cell r="F279">
            <v>33</v>
          </cell>
        </row>
        <row r="280">
          <cell r="A280" t="str">
            <v>1582GO</v>
          </cell>
          <cell r="F280">
            <v>33</v>
          </cell>
        </row>
        <row r="281">
          <cell r="A281" t="str">
            <v>1582MA</v>
          </cell>
          <cell r="F281">
            <v>33</v>
          </cell>
        </row>
        <row r="282">
          <cell r="A282" t="str">
            <v>1582MG</v>
          </cell>
          <cell r="F282">
            <v>33</v>
          </cell>
        </row>
        <row r="283">
          <cell r="A283" t="str">
            <v>1582MS</v>
          </cell>
          <cell r="F283">
            <v>33</v>
          </cell>
        </row>
        <row r="284">
          <cell r="A284" t="str">
            <v>1582MT</v>
          </cell>
          <cell r="F284">
            <v>33</v>
          </cell>
        </row>
        <row r="285">
          <cell r="A285" t="str">
            <v>1582PA</v>
          </cell>
          <cell r="F285">
            <v>33</v>
          </cell>
        </row>
        <row r="286">
          <cell r="A286" t="str">
            <v>1582PB</v>
          </cell>
          <cell r="F286">
            <v>33</v>
          </cell>
        </row>
        <row r="287">
          <cell r="A287" t="str">
            <v>1582PE</v>
          </cell>
          <cell r="F287">
            <v>33</v>
          </cell>
        </row>
        <row r="288">
          <cell r="A288" t="str">
            <v>1582PI</v>
          </cell>
          <cell r="F288">
            <v>33</v>
          </cell>
        </row>
        <row r="289">
          <cell r="A289" t="str">
            <v>1582PR</v>
          </cell>
          <cell r="F289">
            <v>33</v>
          </cell>
        </row>
        <row r="290">
          <cell r="A290" t="str">
            <v>1582RJ</v>
          </cell>
          <cell r="F290">
            <v>33</v>
          </cell>
        </row>
        <row r="291">
          <cell r="A291" t="str">
            <v>1582RN</v>
          </cell>
          <cell r="F291">
            <v>33</v>
          </cell>
        </row>
        <row r="292">
          <cell r="A292" t="str">
            <v>1582RO</v>
          </cell>
          <cell r="F292">
            <v>33</v>
          </cell>
        </row>
        <row r="293">
          <cell r="A293" t="str">
            <v>1582RR</v>
          </cell>
          <cell r="F293">
            <v>33</v>
          </cell>
        </row>
        <row r="294">
          <cell r="A294" t="str">
            <v>1582RS</v>
          </cell>
          <cell r="F294">
            <v>33</v>
          </cell>
        </row>
        <row r="295">
          <cell r="A295" t="str">
            <v>1582SC</v>
          </cell>
          <cell r="F295">
            <v>33</v>
          </cell>
        </row>
        <row r="296">
          <cell r="A296" t="str">
            <v>1582SE</v>
          </cell>
          <cell r="F296">
            <v>33</v>
          </cell>
        </row>
        <row r="297">
          <cell r="A297" t="str">
            <v>1582SP</v>
          </cell>
          <cell r="F297">
            <v>33</v>
          </cell>
        </row>
        <row r="298">
          <cell r="A298" t="str">
            <v>1582TO</v>
          </cell>
          <cell r="F298">
            <v>33</v>
          </cell>
        </row>
        <row r="299">
          <cell r="A299" t="str">
            <v>2724AC</v>
          </cell>
          <cell r="F299">
            <v>33</v>
          </cell>
        </row>
        <row r="300">
          <cell r="A300" t="str">
            <v>2724AL</v>
          </cell>
          <cell r="F300">
            <v>33</v>
          </cell>
        </row>
        <row r="301">
          <cell r="A301" t="str">
            <v>2724AM</v>
          </cell>
          <cell r="F301">
            <v>33</v>
          </cell>
        </row>
        <row r="302">
          <cell r="A302" t="str">
            <v>2724AP</v>
          </cell>
          <cell r="F302">
            <v>33</v>
          </cell>
        </row>
        <row r="303">
          <cell r="A303" t="str">
            <v>2724BA</v>
          </cell>
          <cell r="F303">
            <v>33</v>
          </cell>
        </row>
        <row r="304">
          <cell r="A304" t="str">
            <v>2724CE</v>
          </cell>
          <cell r="F304">
            <v>33</v>
          </cell>
        </row>
        <row r="305">
          <cell r="A305" t="str">
            <v>2724DF</v>
          </cell>
          <cell r="F305">
            <v>33</v>
          </cell>
        </row>
        <row r="306">
          <cell r="A306" t="str">
            <v>2724ES</v>
          </cell>
          <cell r="F306">
            <v>33</v>
          </cell>
        </row>
        <row r="307">
          <cell r="A307" t="str">
            <v>2724GO</v>
          </cell>
          <cell r="F307">
            <v>33</v>
          </cell>
        </row>
        <row r="308">
          <cell r="A308" t="str">
            <v>2724MA</v>
          </cell>
          <cell r="F308">
            <v>33</v>
          </cell>
        </row>
        <row r="309">
          <cell r="A309" t="str">
            <v>2724MG</v>
          </cell>
          <cell r="F309">
            <v>33</v>
          </cell>
        </row>
        <row r="310">
          <cell r="A310" t="str">
            <v>2724MS</v>
          </cell>
          <cell r="F310">
            <v>33</v>
          </cell>
        </row>
        <row r="311">
          <cell r="A311" t="str">
            <v>2724MT</v>
          </cell>
          <cell r="F311">
            <v>33</v>
          </cell>
        </row>
        <row r="312">
          <cell r="A312" t="str">
            <v>2724PA</v>
          </cell>
          <cell r="F312">
            <v>33</v>
          </cell>
        </row>
        <row r="313">
          <cell r="A313" t="str">
            <v>2724PB</v>
          </cell>
          <cell r="F313">
            <v>33</v>
          </cell>
        </row>
        <row r="314">
          <cell r="A314" t="str">
            <v>2724PE</v>
          </cell>
          <cell r="F314">
            <v>33</v>
          </cell>
        </row>
        <row r="315">
          <cell r="A315" t="str">
            <v>2724PI</v>
          </cell>
          <cell r="F315">
            <v>33</v>
          </cell>
        </row>
        <row r="316">
          <cell r="A316" t="str">
            <v>2724PR</v>
          </cell>
          <cell r="F316">
            <v>33</v>
          </cell>
        </row>
        <row r="317">
          <cell r="A317" t="str">
            <v>2724RJ</v>
          </cell>
          <cell r="F317">
            <v>33</v>
          </cell>
        </row>
        <row r="318">
          <cell r="A318" t="str">
            <v>2724RN</v>
          </cell>
          <cell r="F318">
            <v>33</v>
          </cell>
        </row>
        <row r="319">
          <cell r="A319" t="str">
            <v>2724RO</v>
          </cell>
          <cell r="F319">
            <v>33</v>
          </cell>
        </row>
        <row r="320">
          <cell r="A320" t="str">
            <v>2724RR</v>
          </cell>
          <cell r="F320">
            <v>33</v>
          </cell>
        </row>
        <row r="321">
          <cell r="A321" t="str">
            <v>2724RS</v>
          </cell>
          <cell r="F321">
            <v>33</v>
          </cell>
        </row>
        <row r="322">
          <cell r="A322" t="str">
            <v>2724SC</v>
          </cell>
          <cell r="F322">
            <v>33</v>
          </cell>
        </row>
        <row r="323">
          <cell r="A323" t="str">
            <v>2724SE</v>
          </cell>
          <cell r="F323">
            <v>33</v>
          </cell>
        </row>
        <row r="324">
          <cell r="A324" t="str">
            <v>2724SP</v>
          </cell>
          <cell r="F324">
            <v>33</v>
          </cell>
        </row>
        <row r="325">
          <cell r="A325" t="str">
            <v>2724TO</v>
          </cell>
          <cell r="F325">
            <v>33</v>
          </cell>
        </row>
        <row r="326">
          <cell r="A326" t="str">
            <v>2723AC</v>
          </cell>
          <cell r="F326">
            <v>33</v>
          </cell>
        </row>
        <row r="327">
          <cell r="A327" t="str">
            <v>2723AL</v>
          </cell>
          <cell r="F327">
            <v>33</v>
          </cell>
        </row>
        <row r="328">
          <cell r="A328" t="str">
            <v>2723AM</v>
          </cell>
          <cell r="F328">
            <v>33</v>
          </cell>
        </row>
        <row r="329">
          <cell r="A329" t="str">
            <v>2723AP</v>
          </cell>
          <cell r="F329">
            <v>33</v>
          </cell>
        </row>
        <row r="330">
          <cell r="A330" t="str">
            <v>2723BA</v>
          </cell>
          <cell r="F330">
            <v>33</v>
          </cell>
        </row>
        <row r="331">
          <cell r="A331" t="str">
            <v>2723CE</v>
          </cell>
          <cell r="F331">
            <v>33</v>
          </cell>
        </row>
        <row r="332">
          <cell r="A332" t="str">
            <v>2723DF</v>
          </cell>
          <cell r="F332">
            <v>33</v>
          </cell>
        </row>
        <row r="333">
          <cell r="A333" t="str">
            <v>2723ES</v>
          </cell>
          <cell r="F333">
            <v>33</v>
          </cell>
        </row>
        <row r="334">
          <cell r="A334" t="str">
            <v>2723GO</v>
          </cell>
          <cell r="F334">
            <v>33</v>
          </cell>
        </row>
        <row r="335">
          <cell r="A335" t="str">
            <v>2723MA</v>
          </cell>
          <cell r="F335">
            <v>33</v>
          </cell>
        </row>
        <row r="336">
          <cell r="A336" t="str">
            <v>2723MG</v>
          </cell>
          <cell r="F336">
            <v>33</v>
          </cell>
        </row>
        <row r="337">
          <cell r="A337" t="str">
            <v>2723MS</v>
          </cell>
          <cell r="F337">
            <v>33</v>
          </cell>
        </row>
        <row r="338">
          <cell r="A338" t="str">
            <v>2723MT</v>
          </cell>
          <cell r="F338">
            <v>33</v>
          </cell>
        </row>
        <row r="339">
          <cell r="A339" t="str">
            <v>2723PA</v>
          </cell>
          <cell r="F339">
            <v>33</v>
          </cell>
        </row>
        <row r="340">
          <cell r="A340" t="str">
            <v>2723PB</v>
          </cell>
          <cell r="F340">
            <v>33</v>
          </cell>
        </row>
        <row r="341">
          <cell r="A341" t="str">
            <v>2723PE</v>
          </cell>
          <cell r="F341">
            <v>33</v>
          </cell>
        </row>
        <row r="342">
          <cell r="A342" t="str">
            <v>2723PI</v>
          </cell>
          <cell r="F342">
            <v>33</v>
          </cell>
        </row>
        <row r="343">
          <cell r="A343" t="str">
            <v>2723PR</v>
          </cell>
          <cell r="F343">
            <v>33</v>
          </cell>
        </row>
        <row r="344">
          <cell r="A344" t="str">
            <v>2723RJ</v>
          </cell>
          <cell r="F344">
            <v>33</v>
          </cell>
        </row>
        <row r="345">
          <cell r="A345" t="str">
            <v>2723RN</v>
          </cell>
          <cell r="F345">
            <v>33</v>
          </cell>
        </row>
        <row r="346">
          <cell r="A346" t="str">
            <v>2723RO</v>
          </cell>
          <cell r="F346">
            <v>33</v>
          </cell>
        </row>
        <row r="347">
          <cell r="A347" t="str">
            <v>2723RR</v>
          </cell>
          <cell r="F347">
            <v>33</v>
          </cell>
        </row>
        <row r="348">
          <cell r="A348" t="str">
            <v>2723RS</v>
          </cell>
          <cell r="F348">
            <v>33</v>
          </cell>
        </row>
        <row r="349">
          <cell r="A349" t="str">
            <v>2723SC</v>
          </cell>
          <cell r="F349">
            <v>33</v>
          </cell>
        </row>
        <row r="350">
          <cell r="A350" t="str">
            <v>2723SE</v>
          </cell>
          <cell r="F350">
            <v>33</v>
          </cell>
        </row>
        <row r="351">
          <cell r="A351" t="str">
            <v>2723SP</v>
          </cell>
          <cell r="F351">
            <v>33</v>
          </cell>
        </row>
        <row r="352">
          <cell r="A352" t="str">
            <v>2723TO</v>
          </cell>
          <cell r="F352">
            <v>33</v>
          </cell>
        </row>
        <row r="353">
          <cell r="A353" t="str">
            <v>36003AC</v>
          </cell>
          <cell r="F353">
            <v>52.53291772427874</v>
          </cell>
        </row>
        <row r="354">
          <cell r="A354" t="str">
            <v>36003AL</v>
          </cell>
          <cell r="F354">
            <v>56.368188091345615</v>
          </cell>
        </row>
        <row r="355">
          <cell r="A355" t="str">
            <v>36003AM</v>
          </cell>
          <cell r="F355">
            <v>53.650974614053951</v>
          </cell>
        </row>
        <row r="356">
          <cell r="A356" t="str">
            <v>36003AP</v>
          </cell>
          <cell r="F356">
            <v>52.362429099466311</v>
          </cell>
        </row>
        <row r="357">
          <cell r="A357" t="str">
            <v>36003BA</v>
          </cell>
          <cell r="F357">
            <v>56.208674090387433</v>
          </cell>
        </row>
        <row r="358">
          <cell r="A358" t="str">
            <v>36003CE</v>
          </cell>
          <cell r="F358">
            <v>57.247767677263226</v>
          </cell>
        </row>
        <row r="359">
          <cell r="A359" t="str">
            <v>36003DF</v>
          </cell>
          <cell r="F359">
            <v>57.421097735439929</v>
          </cell>
        </row>
        <row r="360">
          <cell r="A360" t="str">
            <v>36003ES</v>
          </cell>
          <cell r="F360">
            <v>56.492305468276058</v>
          </cell>
        </row>
        <row r="361">
          <cell r="A361" t="str">
            <v>36003GO</v>
          </cell>
          <cell r="F361">
            <v>56.759086738365518</v>
          </cell>
        </row>
        <row r="362">
          <cell r="A362" t="str">
            <v>36003MA</v>
          </cell>
          <cell r="F362">
            <v>52.893083226074708</v>
          </cell>
        </row>
        <row r="363">
          <cell r="A363" t="str">
            <v>36003MG</v>
          </cell>
          <cell r="F363">
            <v>52.628232793690401</v>
          </cell>
        </row>
        <row r="364">
          <cell r="A364" t="str">
            <v>36003MS</v>
          </cell>
          <cell r="F364">
            <v>57.257160164955877</v>
          </cell>
        </row>
        <row r="365">
          <cell r="A365" t="str">
            <v>36003MT</v>
          </cell>
          <cell r="F365">
            <v>57.288325620294309</v>
          </cell>
        </row>
        <row r="366">
          <cell r="A366" t="str">
            <v>36003PA</v>
          </cell>
          <cell r="F366">
            <v>56.936206264000248</v>
          </cell>
        </row>
        <row r="367">
          <cell r="A367" t="str">
            <v>36003PB</v>
          </cell>
          <cell r="F367">
            <v>51.502020010550311</v>
          </cell>
        </row>
        <row r="368">
          <cell r="A368" t="str">
            <v>36003PE</v>
          </cell>
          <cell r="F368">
            <v>52.014764426182062</v>
          </cell>
        </row>
        <row r="369">
          <cell r="A369" t="str">
            <v>36003PI</v>
          </cell>
          <cell r="F369">
            <v>52.524637761795226</v>
          </cell>
        </row>
        <row r="370">
          <cell r="A370" t="str">
            <v>36003PR</v>
          </cell>
          <cell r="F370">
            <v>56.951623714005628</v>
          </cell>
        </row>
        <row r="371">
          <cell r="A371" t="str">
            <v>36003RJ</v>
          </cell>
          <cell r="F371">
            <v>57.546787595774617</v>
          </cell>
        </row>
        <row r="372">
          <cell r="A372" t="str">
            <v>36003RN</v>
          </cell>
          <cell r="F372">
            <v>52.882713304199967</v>
          </cell>
        </row>
        <row r="373">
          <cell r="A373" t="str">
            <v>36003RO</v>
          </cell>
          <cell r="F373">
            <v>52.287303842998369</v>
          </cell>
        </row>
        <row r="374">
          <cell r="A374" t="str">
            <v>36003RR</v>
          </cell>
          <cell r="F374">
            <v>52.247358666049081</v>
          </cell>
        </row>
        <row r="375">
          <cell r="A375" t="str">
            <v>36003RS</v>
          </cell>
          <cell r="F375">
            <v>57.265232781710274</v>
          </cell>
        </row>
        <row r="376">
          <cell r="A376" t="str">
            <v>36003SC</v>
          </cell>
          <cell r="F376">
            <v>57.170879257253596</v>
          </cell>
        </row>
        <row r="377">
          <cell r="A377" t="str">
            <v>36003SE</v>
          </cell>
          <cell r="F377">
            <v>57.546350434196633</v>
          </cell>
        </row>
        <row r="378">
          <cell r="A378" t="str">
            <v>36003SP</v>
          </cell>
          <cell r="F378">
            <v>57.022835904735956</v>
          </cell>
        </row>
        <row r="379">
          <cell r="A379" t="str">
            <v>36003TO</v>
          </cell>
          <cell r="F379">
            <v>57.404630203249575</v>
          </cell>
        </row>
        <row r="380">
          <cell r="A380" t="str">
            <v>2532AC</v>
          </cell>
          <cell r="F380">
            <v>28.000000000000004</v>
          </cell>
        </row>
        <row r="381">
          <cell r="A381" t="str">
            <v>2532AL</v>
          </cell>
          <cell r="F381">
            <v>28.000000000000004</v>
          </cell>
        </row>
        <row r="382">
          <cell r="A382" t="str">
            <v>2532AM</v>
          </cell>
          <cell r="F382">
            <v>28.000000000000004</v>
          </cell>
        </row>
        <row r="383">
          <cell r="A383" t="str">
            <v>2532AP</v>
          </cell>
          <cell r="F383">
            <v>28.000000000000004</v>
          </cell>
        </row>
        <row r="384">
          <cell r="A384" t="str">
            <v>2532BA</v>
          </cell>
          <cell r="F384">
            <v>28.000000000000004</v>
          </cell>
        </row>
        <row r="385">
          <cell r="A385" t="str">
            <v>2532CE</v>
          </cell>
          <cell r="F385">
            <v>28.000000000000004</v>
          </cell>
        </row>
        <row r="386">
          <cell r="A386" t="str">
            <v>2532DF</v>
          </cell>
          <cell r="F386">
            <v>28.000000000000004</v>
          </cell>
        </row>
        <row r="387">
          <cell r="A387" t="str">
            <v>2532ES</v>
          </cell>
          <cell r="F387">
            <v>28.000000000000004</v>
          </cell>
        </row>
        <row r="388">
          <cell r="A388" t="str">
            <v>2532GO</v>
          </cell>
          <cell r="F388">
            <v>28.000000000000004</v>
          </cell>
        </row>
        <row r="389">
          <cell r="A389" t="str">
            <v>2532MA</v>
          </cell>
          <cell r="F389">
            <v>28.000000000000004</v>
          </cell>
        </row>
        <row r="390">
          <cell r="A390" t="str">
            <v>2532MG</v>
          </cell>
          <cell r="F390">
            <v>28.000000000000004</v>
          </cell>
        </row>
        <row r="391">
          <cell r="A391" t="str">
            <v>2532MS</v>
          </cell>
          <cell r="F391">
            <v>28.000000000000004</v>
          </cell>
        </row>
        <row r="392">
          <cell r="A392" t="str">
            <v>2532MT</v>
          </cell>
          <cell r="F392">
            <v>28.000000000000004</v>
          </cell>
        </row>
        <row r="393">
          <cell r="A393" t="str">
            <v>2532PA</v>
          </cell>
          <cell r="F393">
            <v>28.000000000000004</v>
          </cell>
        </row>
        <row r="394">
          <cell r="A394" t="str">
            <v>2532PB</v>
          </cell>
          <cell r="F394">
            <v>28.000000000000004</v>
          </cell>
        </row>
        <row r="395">
          <cell r="A395" t="str">
            <v>2532PE</v>
          </cell>
          <cell r="F395">
            <v>28.000000000000004</v>
          </cell>
        </row>
        <row r="396">
          <cell r="A396" t="str">
            <v>2532PI</v>
          </cell>
          <cell r="F396">
            <v>28.000000000000004</v>
          </cell>
        </row>
        <row r="397">
          <cell r="A397" t="str">
            <v>2532PR</v>
          </cell>
          <cell r="F397">
            <v>28.000000000000004</v>
          </cell>
        </row>
        <row r="398">
          <cell r="A398" t="str">
            <v>2532RJ</v>
          </cell>
          <cell r="F398">
            <v>28.000000000000004</v>
          </cell>
        </row>
        <row r="399">
          <cell r="A399" t="str">
            <v>2532RN</v>
          </cell>
          <cell r="F399">
            <v>28.000000000000004</v>
          </cell>
        </row>
        <row r="400">
          <cell r="A400" t="str">
            <v>2532RO</v>
          </cell>
          <cell r="F400">
            <v>28.000000000000004</v>
          </cell>
        </row>
        <row r="401">
          <cell r="A401" t="str">
            <v>2532RR</v>
          </cell>
          <cell r="F401">
            <v>28.000000000000004</v>
          </cell>
        </row>
        <row r="402">
          <cell r="A402" t="str">
            <v>2532RS</v>
          </cell>
          <cell r="F402">
            <v>28.000000000000004</v>
          </cell>
        </row>
        <row r="403">
          <cell r="A403" t="str">
            <v>2532SC</v>
          </cell>
          <cell r="F403">
            <v>28.000000000000004</v>
          </cell>
        </row>
        <row r="404">
          <cell r="A404" t="str">
            <v>2532SE</v>
          </cell>
          <cell r="F404">
            <v>28.000000000000004</v>
          </cell>
        </row>
        <row r="405">
          <cell r="A405" t="str">
            <v>2532SP</v>
          </cell>
          <cell r="F405">
            <v>28.000000000000004</v>
          </cell>
        </row>
        <row r="406">
          <cell r="A406" t="str">
            <v>2532TO</v>
          </cell>
          <cell r="F406">
            <v>28.000000000000004</v>
          </cell>
        </row>
        <row r="407">
          <cell r="A407" t="str">
            <v>2631AC</v>
          </cell>
          <cell r="F407">
            <v>28.000000000000004</v>
          </cell>
        </row>
        <row r="408">
          <cell r="A408" t="str">
            <v>2631AL</v>
          </cell>
          <cell r="F408">
            <v>28.000000000000004</v>
          </cell>
        </row>
        <row r="409">
          <cell r="A409" t="str">
            <v>2631AM</v>
          </cell>
          <cell r="F409">
            <v>28.000000000000004</v>
          </cell>
        </row>
        <row r="410">
          <cell r="A410" t="str">
            <v>2631AP</v>
          </cell>
          <cell r="F410">
            <v>28.000000000000004</v>
          </cell>
        </row>
        <row r="411">
          <cell r="A411" t="str">
            <v>2631BA</v>
          </cell>
          <cell r="F411">
            <v>28.000000000000004</v>
          </cell>
        </row>
        <row r="412">
          <cell r="A412" t="str">
            <v>2631CE</v>
          </cell>
          <cell r="F412">
            <v>28.000000000000004</v>
          </cell>
        </row>
        <row r="413">
          <cell r="A413" t="str">
            <v>2631DF</v>
          </cell>
          <cell r="F413">
            <v>28.000000000000004</v>
          </cell>
        </row>
        <row r="414">
          <cell r="A414" t="str">
            <v>2631ES</v>
          </cell>
          <cell r="F414">
            <v>28.000000000000004</v>
          </cell>
        </row>
        <row r="415">
          <cell r="A415" t="str">
            <v>2631GO</v>
          </cell>
          <cell r="F415">
            <v>28.000000000000004</v>
          </cell>
        </row>
        <row r="416">
          <cell r="A416" t="str">
            <v>2631MA</v>
          </cell>
          <cell r="F416">
            <v>28.000000000000004</v>
          </cell>
        </row>
        <row r="417">
          <cell r="A417" t="str">
            <v>2631MG</v>
          </cell>
          <cell r="F417">
            <v>28.000000000000004</v>
          </cell>
        </row>
        <row r="418">
          <cell r="A418" t="str">
            <v>2631MS</v>
          </cell>
          <cell r="F418">
            <v>28.000000000000004</v>
          </cell>
        </row>
        <row r="419">
          <cell r="A419" t="str">
            <v>2631MT</v>
          </cell>
          <cell r="F419">
            <v>28.000000000000004</v>
          </cell>
        </row>
        <row r="420">
          <cell r="A420" t="str">
            <v>2631PA</v>
          </cell>
          <cell r="F420">
            <v>28.000000000000004</v>
          </cell>
        </row>
        <row r="421">
          <cell r="A421" t="str">
            <v>2631PB</v>
          </cell>
          <cell r="F421">
            <v>28.000000000000004</v>
          </cell>
        </row>
        <row r="422">
          <cell r="A422" t="str">
            <v>2631PE</v>
          </cell>
          <cell r="F422">
            <v>28.000000000000004</v>
          </cell>
        </row>
        <row r="423">
          <cell r="A423" t="str">
            <v>2631PI</v>
          </cell>
          <cell r="F423">
            <v>28.000000000000004</v>
          </cell>
        </row>
        <row r="424">
          <cell r="A424" t="str">
            <v>2631PR</v>
          </cell>
          <cell r="F424">
            <v>28.000000000000004</v>
          </cell>
        </row>
        <row r="425">
          <cell r="A425" t="str">
            <v>2631RJ</v>
          </cell>
          <cell r="F425">
            <v>28.000000000000004</v>
          </cell>
        </row>
        <row r="426">
          <cell r="A426" t="str">
            <v>2631RN</v>
          </cell>
          <cell r="F426">
            <v>28.000000000000004</v>
          </cell>
        </row>
        <row r="427">
          <cell r="A427" t="str">
            <v>2631RO</v>
          </cell>
          <cell r="F427">
            <v>28.000000000000004</v>
          </cell>
        </row>
        <row r="428">
          <cell r="A428" t="str">
            <v>2631RR</v>
          </cell>
          <cell r="F428">
            <v>28.000000000000004</v>
          </cell>
        </row>
        <row r="429">
          <cell r="A429" t="str">
            <v>2631RS</v>
          </cell>
          <cell r="F429">
            <v>28.000000000000004</v>
          </cell>
        </row>
        <row r="430">
          <cell r="A430" t="str">
            <v>2631SC</v>
          </cell>
          <cell r="F430">
            <v>28.000000000000004</v>
          </cell>
        </row>
        <row r="431">
          <cell r="A431" t="str">
            <v>2631SE</v>
          </cell>
          <cell r="F431">
            <v>28.000000000000004</v>
          </cell>
        </row>
        <row r="432">
          <cell r="A432" t="str">
            <v>2631SP</v>
          </cell>
          <cell r="F432">
            <v>28.000000000000004</v>
          </cell>
        </row>
        <row r="433">
          <cell r="A433" t="str">
            <v>2631TO</v>
          </cell>
          <cell r="F433">
            <v>28.000000000000004</v>
          </cell>
        </row>
        <row r="434">
          <cell r="A434" t="str">
            <v>2531AC</v>
          </cell>
          <cell r="F434">
            <v>28.000000000000004</v>
          </cell>
        </row>
        <row r="435">
          <cell r="A435" t="str">
            <v>2531AL</v>
          </cell>
          <cell r="F435">
            <v>28.000000000000004</v>
          </cell>
        </row>
        <row r="436">
          <cell r="A436" t="str">
            <v>2531AM</v>
          </cell>
          <cell r="F436">
            <v>28.000000000000004</v>
          </cell>
        </row>
        <row r="437">
          <cell r="A437" t="str">
            <v>2531AP</v>
          </cell>
          <cell r="F437">
            <v>28.000000000000004</v>
          </cell>
        </row>
        <row r="438">
          <cell r="A438" t="str">
            <v>2531BA</v>
          </cell>
          <cell r="F438">
            <v>28.000000000000004</v>
          </cell>
        </row>
        <row r="439">
          <cell r="A439" t="str">
            <v>2531CE</v>
          </cell>
          <cell r="F439">
            <v>28.000000000000004</v>
          </cell>
        </row>
        <row r="440">
          <cell r="A440" t="str">
            <v>2531DF</v>
          </cell>
          <cell r="F440">
            <v>28.000000000000004</v>
          </cell>
        </row>
        <row r="441">
          <cell r="A441" t="str">
            <v>2531ES</v>
          </cell>
          <cell r="F441">
            <v>28.000000000000004</v>
          </cell>
        </row>
        <row r="442">
          <cell r="A442" t="str">
            <v>2531GO</v>
          </cell>
          <cell r="F442">
            <v>28.000000000000004</v>
          </cell>
        </row>
        <row r="443">
          <cell r="A443" t="str">
            <v>2531MA</v>
          </cell>
          <cell r="F443">
            <v>28.000000000000004</v>
          </cell>
        </row>
        <row r="444">
          <cell r="A444" t="str">
            <v>2531MG</v>
          </cell>
          <cell r="F444">
            <v>28.000000000000004</v>
          </cell>
        </row>
        <row r="445">
          <cell r="A445" t="str">
            <v>2531MS</v>
          </cell>
          <cell r="F445">
            <v>28.000000000000004</v>
          </cell>
        </row>
        <row r="446">
          <cell r="A446" t="str">
            <v>2531MT</v>
          </cell>
          <cell r="F446">
            <v>28.000000000000004</v>
          </cell>
        </row>
        <row r="447">
          <cell r="A447" t="str">
            <v>2531PA</v>
          </cell>
          <cell r="F447">
            <v>28.000000000000004</v>
          </cell>
        </row>
        <row r="448">
          <cell r="A448" t="str">
            <v>2531PB</v>
          </cell>
          <cell r="F448">
            <v>28.000000000000004</v>
          </cell>
        </row>
        <row r="449">
          <cell r="A449" t="str">
            <v>2531PE</v>
          </cell>
          <cell r="F449">
            <v>28.000000000000004</v>
          </cell>
        </row>
        <row r="450">
          <cell r="A450" t="str">
            <v>2531PI</v>
          </cell>
          <cell r="F450">
            <v>28.000000000000004</v>
          </cell>
        </row>
        <row r="451">
          <cell r="A451" t="str">
            <v>2531PR</v>
          </cell>
          <cell r="F451">
            <v>28.000000000000004</v>
          </cell>
        </row>
        <row r="452">
          <cell r="A452" t="str">
            <v>2531RJ</v>
          </cell>
          <cell r="F452">
            <v>28.000000000000004</v>
          </cell>
        </row>
        <row r="453">
          <cell r="A453" t="str">
            <v>2531RN</v>
          </cell>
          <cell r="F453">
            <v>28.000000000000004</v>
          </cell>
        </row>
        <row r="454">
          <cell r="A454" t="str">
            <v>2531RO</v>
          </cell>
          <cell r="F454">
            <v>28.000000000000004</v>
          </cell>
        </row>
        <row r="455">
          <cell r="A455" t="str">
            <v>2531RR</v>
          </cell>
          <cell r="F455">
            <v>28.000000000000004</v>
          </cell>
        </row>
        <row r="456">
          <cell r="A456" t="str">
            <v>2531RS</v>
          </cell>
          <cell r="F456">
            <v>28.000000000000004</v>
          </cell>
        </row>
        <row r="457">
          <cell r="A457" t="str">
            <v>2531SC</v>
          </cell>
          <cell r="F457">
            <v>28.000000000000004</v>
          </cell>
        </row>
        <row r="458">
          <cell r="A458" t="str">
            <v>2531SE</v>
          </cell>
          <cell r="F458">
            <v>28.000000000000004</v>
          </cell>
        </row>
        <row r="459">
          <cell r="A459" t="str">
            <v>2531SP</v>
          </cell>
          <cell r="F459">
            <v>28.000000000000004</v>
          </cell>
        </row>
        <row r="460">
          <cell r="A460" t="str">
            <v>2531TO</v>
          </cell>
          <cell r="F460">
            <v>28.000000000000004</v>
          </cell>
        </row>
        <row r="461">
          <cell r="A461" t="str">
            <v>2533AC</v>
          </cell>
          <cell r="F461">
            <v>28.000000000000004</v>
          </cell>
        </row>
        <row r="462">
          <cell r="A462" t="str">
            <v>2533AL</v>
          </cell>
          <cell r="F462">
            <v>28.000000000000004</v>
          </cell>
        </row>
        <row r="463">
          <cell r="A463" t="str">
            <v>2533AM</v>
          </cell>
          <cell r="F463">
            <v>28.000000000000004</v>
          </cell>
        </row>
        <row r="464">
          <cell r="A464" t="str">
            <v>2533AP</v>
          </cell>
          <cell r="F464">
            <v>28.000000000000004</v>
          </cell>
        </row>
        <row r="465">
          <cell r="A465" t="str">
            <v>2533BA</v>
          </cell>
          <cell r="F465">
            <v>28.000000000000004</v>
          </cell>
        </row>
        <row r="466">
          <cell r="A466" t="str">
            <v>2533CE</v>
          </cell>
          <cell r="F466">
            <v>28.000000000000004</v>
          </cell>
        </row>
        <row r="467">
          <cell r="A467" t="str">
            <v>2533DF</v>
          </cell>
          <cell r="F467">
            <v>28.000000000000004</v>
          </cell>
        </row>
        <row r="468">
          <cell r="A468" t="str">
            <v>2533ES</v>
          </cell>
          <cell r="F468">
            <v>28.000000000000004</v>
          </cell>
        </row>
        <row r="469">
          <cell r="A469" t="str">
            <v>2533GO</v>
          </cell>
          <cell r="F469">
            <v>28.000000000000004</v>
          </cell>
        </row>
        <row r="470">
          <cell r="A470" t="str">
            <v>2533MA</v>
          </cell>
          <cell r="F470">
            <v>28.000000000000004</v>
          </cell>
        </row>
        <row r="471">
          <cell r="A471" t="str">
            <v>2533MG</v>
          </cell>
          <cell r="F471">
            <v>28.000000000000004</v>
          </cell>
        </row>
        <row r="472">
          <cell r="A472" t="str">
            <v>2533MS</v>
          </cell>
          <cell r="F472">
            <v>28.000000000000004</v>
          </cell>
        </row>
        <row r="473">
          <cell r="A473" t="str">
            <v>2533MT</v>
          </cell>
          <cell r="F473">
            <v>28.000000000000004</v>
          </cell>
        </row>
        <row r="474">
          <cell r="A474" t="str">
            <v>2533PA</v>
          </cell>
          <cell r="F474">
            <v>28.000000000000004</v>
          </cell>
        </row>
        <row r="475">
          <cell r="A475" t="str">
            <v>2533PB</v>
          </cell>
          <cell r="F475">
            <v>28.000000000000004</v>
          </cell>
        </row>
        <row r="476">
          <cell r="A476" t="str">
            <v>2533PE</v>
          </cell>
          <cell r="F476">
            <v>28.000000000000004</v>
          </cell>
        </row>
        <row r="477">
          <cell r="A477" t="str">
            <v>2533PI</v>
          </cell>
          <cell r="F477">
            <v>28.000000000000004</v>
          </cell>
        </row>
        <row r="478">
          <cell r="A478" t="str">
            <v>2533PR</v>
          </cell>
          <cell r="F478">
            <v>28.000000000000004</v>
          </cell>
        </row>
        <row r="479">
          <cell r="A479" t="str">
            <v>2533RJ</v>
          </cell>
          <cell r="F479">
            <v>28.000000000000004</v>
          </cell>
        </row>
        <row r="480">
          <cell r="A480" t="str">
            <v>2533RN</v>
          </cell>
          <cell r="F480">
            <v>28.000000000000004</v>
          </cell>
        </row>
        <row r="481">
          <cell r="A481" t="str">
            <v>2533RO</v>
          </cell>
          <cell r="F481">
            <v>28.000000000000004</v>
          </cell>
        </row>
        <row r="482">
          <cell r="A482" t="str">
            <v>2533RR</v>
          </cell>
          <cell r="F482">
            <v>28.000000000000004</v>
          </cell>
        </row>
        <row r="483">
          <cell r="A483" t="str">
            <v>2533RS</v>
          </cell>
          <cell r="F483">
            <v>28.000000000000004</v>
          </cell>
        </row>
        <row r="484">
          <cell r="A484" t="str">
            <v>2533SC</v>
          </cell>
          <cell r="F484">
            <v>28.000000000000004</v>
          </cell>
        </row>
        <row r="485">
          <cell r="A485" t="str">
            <v>2533SE</v>
          </cell>
          <cell r="F485">
            <v>28.000000000000004</v>
          </cell>
        </row>
        <row r="486">
          <cell r="A486" t="str">
            <v>2533SP</v>
          </cell>
          <cell r="F486">
            <v>28.000000000000004</v>
          </cell>
        </row>
        <row r="487">
          <cell r="A487" t="str">
            <v>2533TO</v>
          </cell>
          <cell r="F487">
            <v>28.000000000000004</v>
          </cell>
        </row>
        <row r="488">
          <cell r="A488" t="str">
            <v>2632AC</v>
          </cell>
          <cell r="F488">
            <v>28.000000000000004</v>
          </cell>
        </row>
        <row r="489">
          <cell r="A489" t="str">
            <v>2632AL</v>
          </cell>
          <cell r="F489">
            <v>28.000000000000004</v>
          </cell>
        </row>
        <row r="490">
          <cell r="A490" t="str">
            <v>2632AM</v>
          </cell>
          <cell r="F490">
            <v>28.000000000000004</v>
          </cell>
        </row>
        <row r="491">
          <cell r="A491" t="str">
            <v>2632AP</v>
          </cell>
          <cell r="F491">
            <v>28.000000000000004</v>
          </cell>
        </row>
        <row r="492">
          <cell r="A492" t="str">
            <v>2632BA</v>
          </cell>
          <cell r="F492">
            <v>28.000000000000004</v>
          </cell>
        </row>
        <row r="493">
          <cell r="A493" t="str">
            <v>2632CE</v>
          </cell>
          <cell r="F493">
            <v>28.000000000000004</v>
          </cell>
        </row>
        <row r="494">
          <cell r="A494" t="str">
            <v>2632DF</v>
          </cell>
          <cell r="F494">
            <v>28.000000000000004</v>
          </cell>
        </row>
        <row r="495">
          <cell r="A495" t="str">
            <v>2632ES</v>
          </cell>
          <cell r="F495">
            <v>28.000000000000004</v>
          </cell>
        </row>
        <row r="496">
          <cell r="A496" t="str">
            <v>2632GO</v>
          </cell>
          <cell r="F496">
            <v>28.000000000000004</v>
          </cell>
        </row>
        <row r="497">
          <cell r="A497" t="str">
            <v>2632MA</v>
          </cell>
          <cell r="F497">
            <v>28.000000000000004</v>
          </cell>
        </row>
        <row r="498">
          <cell r="A498" t="str">
            <v>2632MG</v>
          </cell>
          <cell r="F498">
            <v>28.000000000000004</v>
          </cell>
        </row>
        <row r="499">
          <cell r="A499" t="str">
            <v>2632MS</v>
          </cell>
          <cell r="F499">
            <v>28.000000000000004</v>
          </cell>
        </row>
        <row r="500">
          <cell r="A500" t="str">
            <v>2632MT</v>
          </cell>
          <cell r="F500">
            <v>28.000000000000004</v>
          </cell>
        </row>
        <row r="501">
          <cell r="A501" t="str">
            <v>2632PA</v>
          </cell>
          <cell r="F501">
            <v>28.000000000000004</v>
          </cell>
        </row>
        <row r="502">
          <cell r="A502" t="str">
            <v>2632PB</v>
          </cell>
          <cell r="F502">
            <v>28.000000000000004</v>
          </cell>
        </row>
        <row r="503">
          <cell r="A503" t="str">
            <v>2632PE</v>
          </cell>
          <cell r="F503">
            <v>28.000000000000004</v>
          </cell>
        </row>
        <row r="504">
          <cell r="A504" t="str">
            <v>2632PI</v>
          </cell>
          <cell r="F504">
            <v>28.000000000000004</v>
          </cell>
        </row>
        <row r="505">
          <cell r="A505" t="str">
            <v>2632PR</v>
          </cell>
          <cell r="F505">
            <v>28.000000000000004</v>
          </cell>
        </row>
        <row r="506">
          <cell r="A506" t="str">
            <v>2632RJ</v>
          </cell>
          <cell r="F506">
            <v>28.000000000000004</v>
          </cell>
        </row>
        <row r="507">
          <cell r="A507" t="str">
            <v>2632RN</v>
          </cell>
          <cell r="F507">
            <v>28.000000000000004</v>
          </cell>
        </row>
        <row r="508">
          <cell r="A508" t="str">
            <v>2632RO</v>
          </cell>
          <cell r="F508">
            <v>28.000000000000004</v>
          </cell>
        </row>
        <row r="509">
          <cell r="A509" t="str">
            <v>2632RR</v>
          </cell>
          <cell r="F509">
            <v>28.000000000000004</v>
          </cell>
        </row>
        <row r="510">
          <cell r="A510" t="str">
            <v>2632RS</v>
          </cell>
          <cell r="F510">
            <v>28.000000000000004</v>
          </cell>
        </row>
        <row r="511">
          <cell r="A511" t="str">
            <v>2632SC</v>
          </cell>
          <cell r="F511">
            <v>28.000000000000004</v>
          </cell>
        </row>
        <row r="512">
          <cell r="A512" t="str">
            <v>2632SE</v>
          </cell>
          <cell r="F512">
            <v>28.000000000000004</v>
          </cell>
        </row>
        <row r="513">
          <cell r="A513" t="str">
            <v>2632SP</v>
          </cell>
          <cell r="F513">
            <v>28.000000000000004</v>
          </cell>
        </row>
        <row r="514">
          <cell r="A514" t="str">
            <v>2632TO</v>
          </cell>
          <cell r="F514">
            <v>28.000000000000004</v>
          </cell>
        </row>
        <row r="515">
          <cell r="A515" t="str">
            <v>2633AC</v>
          </cell>
          <cell r="F515">
            <v>28.000000000000004</v>
          </cell>
        </row>
        <row r="516">
          <cell r="A516" t="str">
            <v>2633AL</v>
          </cell>
          <cell r="F516">
            <v>28.000000000000004</v>
          </cell>
        </row>
        <row r="517">
          <cell r="A517" t="str">
            <v>2633AM</v>
          </cell>
          <cell r="F517">
            <v>28.000000000000004</v>
          </cell>
        </row>
        <row r="518">
          <cell r="A518" t="str">
            <v>2633AP</v>
          </cell>
          <cell r="F518">
            <v>28.000000000000004</v>
          </cell>
        </row>
        <row r="519">
          <cell r="A519" t="str">
            <v>2633BA</v>
          </cell>
          <cell r="F519">
            <v>28.000000000000004</v>
          </cell>
        </row>
        <row r="520">
          <cell r="A520" t="str">
            <v>2633CE</v>
          </cell>
          <cell r="F520">
            <v>28.000000000000004</v>
          </cell>
        </row>
        <row r="521">
          <cell r="A521" t="str">
            <v>2633DF</v>
          </cell>
          <cell r="F521">
            <v>28.000000000000004</v>
          </cell>
        </row>
        <row r="522">
          <cell r="A522" t="str">
            <v>2633ES</v>
          </cell>
          <cell r="F522">
            <v>28.000000000000004</v>
          </cell>
        </row>
        <row r="523">
          <cell r="A523" t="str">
            <v>2633GO</v>
          </cell>
          <cell r="F523">
            <v>28.000000000000004</v>
          </cell>
        </row>
        <row r="524">
          <cell r="A524" t="str">
            <v>2633MA</v>
          </cell>
          <cell r="F524">
            <v>28.000000000000004</v>
          </cell>
        </row>
        <row r="525">
          <cell r="A525" t="str">
            <v>2633MG</v>
          </cell>
          <cell r="F525">
            <v>28.000000000000004</v>
          </cell>
        </row>
        <row r="526">
          <cell r="A526" t="str">
            <v>2633MS</v>
          </cell>
          <cell r="F526">
            <v>28.000000000000004</v>
          </cell>
        </row>
        <row r="527">
          <cell r="A527" t="str">
            <v>2633MT</v>
          </cell>
          <cell r="F527">
            <v>28.000000000000004</v>
          </cell>
        </row>
        <row r="528">
          <cell r="A528" t="str">
            <v>2633PA</v>
          </cell>
          <cell r="F528">
            <v>28.000000000000004</v>
          </cell>
        </row>
        <row r="529">
          <cell r="A529" t="str">
            <v>2633PB</v>
          </cell>
          <cell r="F529">
            <v>28.000000000000004</v>
          </cell>
        </row>
        <row r="530">
          <cell r="A530" t="str">
            <v>2633PE</v>
          </cell>
          <cell r="F530">
            <v>28.000000000000004</v>
          </cell>
        </row>
        <row r="531">
          <cell r="A531" t="str">
            <v>2633PI</v>
          </cell>
          <cell r="F531">
            <v>28.000000000000004</v>
          </cell>
        </row>
        <row r="532">
          <cell r="A532" t="str">
            <v>2633PR</v>
          </cell>
          <cell r="F532">
            <v>28.000000000000004</v>
          </cell>
        </row>
        <row r="533">
          <cell r="A533" t="str">
            <v>2633RJ</v>
          </cell>
          <cell r="F533">
            <v>28.000000000000004</v>
          </cell>
        </row>
        <row r="534">
          <cell r="A534" t="str">
            <v>2633RN</v>
          </cell>
          <cell r="F534">
            <v>28.000000000000004</v>
          </cell>
        </row>
        <row r="535">
          <cell r="A535" t="str">
            <v>2633RO</v>
          </cell>
          <cell r="F535">
            <v>28.000000000000004</v>
          </cell>
        </row>
        <row r="536">
          <cell r="A536" t="str">
            <v>2633RR</v>
          </cell>
          <cell r="F536">
            <v>28.000000000000004</v>
          </cell>
        </row>
        <row r="537">
          <cell r="A537" t="str">
            <v>2633RS</v>
          </cell>
          <cell r="F537">
            <v>28.000000000000004</v>
          </cell>
        </row>
        <row r="538">
          <cell r="A538" t="str">
            <v>2633SC</v>
          </cell>
          <cell r="F538">
            <v>28.000000000000004</v>
          </cell>
        </row>
        <row r="539">
          <cell r="A539" t="str">
            <v>2633SE</v>
          </cell>
          <cell r="F539">
            <v>28.000000000000004</v>
          </cell>
        </row>
        <row r="540">
          <cell r="A540" t="str">
            <v>2633SP</v>
          </cell>
          <cell r="F540">
            <v>28.000000000000004</v>
          </cell>
        </row>
        <row r="541">
          <cell r="A541" t="str">
            <v>2633TO</v>
          </cell>
          <cell r="F541">
            <v>28.000000000000004</v>
          </cell>
        </row>
        <row r="542">
          <cell r="A542" t="str">
            <v>2530AC</v>
          </cell>
          <cell r="F542">
            <v>28.000000000000004</v>
          </cell>
        </row>
        <row r="543">
          <cell r="A543" t="str">
            <v>2530AL</v>
          </cell>
          <cell r="F543">
            <v>28.000000000000004</v>
          </cell>
        </row>
        <row r="544">
          <cell r="A544" t="str">
            <v>2530AM</v>
          </cell>
          <cell r="F544">
            <v>28.000000000000004</v>
          </cell>
        </row>
        <row r="545">
          <cell r="A545" t="str">
            <v>2530AP</v>
          </cell>
          <cell r="F545">
            <v>28.000000000000004</v>
          </cell>
        </row>
        <row r="546">
          <cell r="A546" t="str">
            <v>2530BA</v>
          </cell>
          <cell r="F546">
            <v>28.000000000000004</v>
          </cell>
        </row>
        <row r="547">
          <cell r="A547" t="str">
            <v>2530CE</v>
          </cell>
          <cell r="F547">
            <v>28.000000000000004</v>
          </cell>
        </row>
        <row r="548">
          <cell r="A548" t="str">
            <v>2530DF</v>
          </cell>
          <cell r="F548">
            <v>28.000000000000004</v>
          </cell>
        </row>
        <row r="549">
          <cell r="A549" t="str">
            <v>2530ES</v>
          </cell>
          <cell r="F549">
            <v>28.000000000000004</v>
          </cell>
        </row>
        <row r="550">
          <cell r="A550" t="str">
            <v>2530GO</v>
          </cell>
          <cell r="F550">
            <v>28.000000000000004</v>
          </cell>
        </row>
        <row r="551">
          <cell r="A551" t="str">
            <v>2530MA</v>
          </cell>
          <cell r="F551">
            <v>28.000000000000004</v>
          </cell>
        </row>
        <row r="552">
          <cell r="A552" t="str">
            <v>2530MG</v>
          </cell>
          <cell r="F552">
            <v>28.000000000000004</v>
          </cell>
        </row>
        <row r="553">
          <cell r="A553" t="str">
            <v>2530MS</v>
          </cell>
          <cell r="F553">
            <v>28.000000000000004</v>
          </cell>
        </row>
        <row r="554">
          <cell r="A554" t="str">
            <v>2530MT</v>
          </cell>
          <cell r="F554">
            <v>28.000000000000004</v>
          </cell>
        </row>
        <row r="555">
          <cell r="A555" t="str">
            <v>2530PA</v>
          </cell>
          <cell r="F555">
            <v>28.000000000000004</v>
          </cell>
        </row>
        <row r="556">
          <cell r="A556" t="str">
            <v>2530PB</v>
          </cell>
          <cell r="F556">
            <v>28.000000000000004</v>
          </cell>
        </row>
        <row r="557">
          <cell r="A557" t="str">
            <v>2530PE</v>
          </cell>
          <cell r="F557">
            <v>28.000000000000004</v>
          </cell>
        </row>
        <row r="558">
          <cell r="A558" t="str">
            <v>2530PI</v>
          </cell>
          <cell r="F558">
            <v>28.000000000000004</v>
          </cell>
        </row>
        <row r="559">
          <cell r="A559" t="str">
            <v>2530PR</v>
          </cell>
          <cell r="F559">
            <v>28.000000000000004</v>
          </cell>
        </row>
        <row r="560">
          <cell r="A560" t="str">
            <v>2530RJ</v>
          </cell>
          <cell r="F560">
            <v>28.000000000000004</v>
          </cell>
        </row>
        <row r="561">
          <cell r="A561" t="str">
            <v>2530RN</v>
          </cell>
          <cell r="F561">
            <v>28.000000000000004</v>
          </cell>
        </row>
        <row r="562">
          <cell r="A562" t="str">
            <v>2530RO</v>
          </cell>
          <cell r="F562">
            <v>28.000000000000004</v>
          </cell>
        </row>
        <row r="563">
          <cell r="A563" t="str">
            <v>2530RR</v>
          </cell>
          <cell r="F563">
            <v>28.000000000000004</v>
          </cell>
        </row>
        <row r="564">
          <cell r="A564" t="str">
            <v>2530RS</v>
          </cell>
          <cell r="F564">
            <v>28.000000000000004</v>
          </cell>
        </row>
        <row r="565">
          <cell r="A565" t="str">
            <v>2530SC</v>
          </cell>
          <cell r="F565">
            <v>28.000000000000004</v>
          </cell>
        </row>
        <row r="566">
          <cell r="A566" t="str">
            <v>2530SE</v>
          </cell>
          <cell r="F566">
            <v>28.000000000000004</v>
          </cell>
        </row>
        <row r="567">
          <cell r="A567" t="str">
            <v>2530SP</v>
          </cell>
          <cell r="F567">
            <v>28.000000000000004</v>
          </cell>
        </row>
        <row r="568">
          <cell r="A568" t="str">
            <v>2530TO</v>
          </cell>
          <cell r="F568">
            <v>28.000000000000004</v>
          </cell>
        </row>
        <row r="569">
          <cell r="A569" t="str">
            <v>2725AC</v>
          </cell>
          <cell r="F569">
            <v>22</v>
          </cell>
        </row>
        <row r="570">
          <cell r="A570" t="str">
            <v>2725AL</v>
          </cell>
          <cell r="F570">
            <v>22</v>
          </cell>
        </row>
        <row r="571">
          <cell r="A571" t="str">
            <v>2725AM</v>
          </cell>
          <cell r="F571">
            <v>22</v>
          </cell>
        </row>
        <row r="572">
          <cell r="A572" t="str">
            <v>2725AP</v>
          </cell>
          <cell r="F572">
            <v>22</v>
          </cell>
        </row>
        <row r="573">
          <cell r="A573" t="str">
            <v>2725BA</v>
          </cell>
          <cell r="F573">
            <v>22</v>
          </cell>
        </row>
        <row r="574">
          <cell r="A574" t="str">
            <v>2725CE</v>
          </cell>
          <cell r="F574">
            <v>22</v>
          </cell>
        </row>
        <row r="575">
          <cell r="A575" t="str">
            <v>2725DF</v>
          </cell>
          <cell r="F575">
            <v>22</v>
          </cell>
        </row>
        <row r="576">
          <cell r="A576" t="str">
            <v>2725ES</v>
          </cell>
          <cell r="F576">
            <v>22</v>
          </cell>
        </row>
        <row r="577">
          <cell r="A577" t="str">
            <v>2725GO</v>
          </cell>
          <cell r="F577">
            <v>22</v>
          </cell>
        </row>
        <row r="578">
          <cell r="A578" t="str">
            <v>2725MA</v>
          </cell>
          <cell r="F578">
            <v>22</v>
          </cell>
        </row>
        <row r="579">
          <cell r="A579" t="str">
            <v>2725MG</v>
          </cell>
          <cell r="F579">
            <v>22</v>
          </cell>
        </row>
        <row r="580">
          <cell r="A580" t="str">
            <v>2725MS</v>
          </cell>
          <cell r="F580">
            <v>22</v>
          </cell>
        </row>
        <row r="581">
          <cell r="A581" t="str">
            <v>2725MT</v>
          </cell>
          <cell r="F581">
            <v>22</v>
          </cell>
        </row>
        <row r="582">
          <cell r="A582" t="str">
            <v>2725PA</v>
          </cell>
          <cell r="F582">
            <v>22</v>
          </cell>
        </row>
        <row r="583">
          <cell r="A583" t="str">
            <v>2725PB</v>
          </cell>
          <cell r="F583">
            <v>22</v>
          </cell>
        </row>
        <row r="584">
          <cell r="A584" t="str">
            <v>2725PE</v>
          </cell>
          <cell r="F584">
            <v>22</v>
          </cell>
        </row>
        <row r="585">
          <cell r="A585" t="str">
            <v>2725PI</v>
          </cell>
          <cell r="F585">
            <v>22</v>
          </cell>
        </row>
        <row r="586">
          <cell r="A586" t="str">
            <v>2725PR</v>
          </cell>
          <cell r="F586">
            <v>22</v>
          </cell>
        </row>
        <row r="587">
          <cell r="A587" t="str">
            <v>2725RJ</v>
          </cell>
          <cell r="F587">
            <v>22</v>
          </cell>
        </row>
        <row r="588">
          <cell r="A588" t="str">
            <v>2725RN</v>
          </cell>
          <cell r="F588">
            <v>22</v>
          </cell>
        </row>
        <row r="589">
          <cell r="A589" t="str">
            <v>2725RO</v>
          </cell>
          <cell r="F589">
            <v>22</v>
          </cell>
        </row>
        <row r="590">
          <cell r="A590" t="str">
            <v>2725RR</v>
          </cell>
          <cell r="F590">
            <v>22</v>
          </cell>
        </row>
        <row r="591">
          <cell r="A591" t="str">
            <v>2725RS</v>
          </cell>
          <cell r="F591">
            <v>22</v>
          </cell>
        </row>
        <row r="592">
          <cell r="A592" t="str">
            <v>2725SC</v>
          </cell>
          <cell r="F592">
            <v>22</v>
          </cell>
        </row>
        <row r="593">
          <cell r="A593" t="str">
            <v>2725SE</v>
          </cell>
          <cell r="F593">
            <v>22</v>
          </cell>
        </row>
        <row r="594">
          <cell r="A594" t="str">
            <v>2725SP</v>
          </cell>
          <cell r="F594">
            <v>22</v>
          </cell>
        </row>
        <row r="595">
          <cell r="A595" t="str">
            <v>2725TO</v>
          </cell>
          <cell r="F595">
            <v>22</v>
          </cell>
        </row>
        <row r="596">
          <cell r="A596" t="str">
            <v>32026AC</v>
          </cell>
          <cell r="F596">
            <v>78.93269027063981</v>
          </cell>
        </row>
        <row r="597">
          <cell r="A597" t="str">
            <v>32026AL</v>
          </cell>
          <cell r="F597">
            <v>78.940170149230866</v>
          </cell>
        </row>
        <row r="598">
          <cell r="A598" t="str">
            <v>32026AM</v>
          </cell>
          <cell r="F598">
            <v>78.934189332075448</v>
          </cell>
        </row>
        <row r="599">
          <cell r="A599" t="str">
            <v>32026AP</v>
          </cell>
          <cell r="F599">
            <v>78.930766415216212</v>
          </cell>
        </row>
        <row r="600">
          <cell r="A600" t="str">
            <v>32026BA</v>
          </cell>
          <cell r="F600">
            <v>78.940170149230866</v>
          </cell>
        </row>
        <row r="601">
          <cell r="A601" t="str">
            <v>32026CE</v>
          </cell>
          <cell r="F601">
            <v>78.934189332075448</v>
          </cell>
        </row>
        <row r="602">
          <cell r="A602" t="str">
            <v>32026DF</v>
          </cell>
          <cell r="F602">
            <v>78.928404862216055</v>
          </cell>
        </row>
        <row r="603">
          <cell r="A603" t="str">
            <v>32026ES</v>
          </cell>
          <cell r="F603">
            <v>78.928404862216055</v>
          </cell>
        </row>
        <row r="604">
          <cell r="A604" t="str">
            <v>32026GO</v>
          </cell>
          <cell r="F604">
            <v>78.93269027063981</v>
          </cell>
        </row>
        <row r="605">
          <cell r="A605" t="str">
            <v>32026MA</v>
          </cell>
          <cell r="F605">
            <v>78.937370890507523</v>
          </cell>
        </row>
        <row r="606">
          <cell r="A606" t="str">
            <v>32026MG</v>
          </cell>
          <cell r="F606">
            <v>78.930766415216212</v>
          </cell>
        </row>
        <row r="607">
          <cell r="A607" t="str">
            <v>32026MS</v>
          </cell>
          <cell r="F607">
            <v>78.928404862216055</v>
          </cell>
        </row>
        <row r="608">
          <cell r="A608" t="str">
            <v>32026MT</v>
          </cell>
          <cell r="F608">
            <v>78.928404862216055</v>
          </cell>
        </row>
        <row r="609">
          <cell r="A609" t="str">
            <v>32026PA</v>
          </cell>
          <cell r="F609">
            <v>78.93269027063981</v>
          </cell>
        </row>
        <row r="610">
          <cell r="A610" t="str">
            <v>32026PB</v>
          </cell>
          <cell r="F610">
            <v>78.934189332075448</v>
          </cell>
        </row>
        <row r="611">
          <cell r="A611" t="str">
            <v>32026PE</v>
          </cell>
          <cell r="F611">
            <v>78.940170149230866</v>
          </cell>
        </row>
        <row r="612">
          <cell r="A612" t="str">
            <v>32026PI</v>
          </cell>
          <cell r="F612">
            <v>78.931926381095977</v>
          </cell>
        </row>
        <row r="613">
          <cell r="A613" t="str">
            <v>32026PR</v>
          </cell>
          <cell r="F613">
            <v>78.938756316351714</v>
          </cell>
        </row>
        <row r="614">
          <cell r="A614" t="str">
            <v>32026RJ</v>
          </cell>
          <cell r="F614">
            <v>78.926042266134672</v>
          </cell>
        </row>
        <row r="615">
          <cell r="A615" t="str">
            <v>32026RN</v>
          </cell>
          <cell r="F615">
            <v>78.934189332075448</v>
          </cell>
        </row>
        <row r="616">
          <cell r="A616" t="str">
            <v>32026RO</v>
          </cell>
          <cell r="F616">
            <v>78.938756316351714</v>
          </cell>
        </row>
        <row r="617">
          <cell r="A617" t="str">
            <v>32026RR</v>
          </cell>
          <cell r="F617">
            <v>78.934189332075448</v>
          </cell>
        </row>
        <row r="618">
          <cell r="A618" t="str">
            <v>32026RS</v>
          </cell>
          <cell r="F618">
            <v>78.928404862216055</v>
          </cell>
        </row>
        <row r="619">
          <cell r="A619" t="str">
            <v>32026SC</v>
          </cell>
          <cell r="F619">
            <v>78.928404862216055</v>
          </cell>
        </row>
        <row r="620">
          <cell r="A620" t="str">
            <v>32026SE</v>
          </cell>
          <cell r="F620">
            <v>78.93269027063981</v>
          </cell>
        </row>
        <row r="621">
          <cell r="A621" t="str">
            <v>32026SP</v>
          </cell>
          <cell r="F621">
            <v>78.930766415216212</v>
          </cell>
        </row>
        <row r="622">
          <cell r="A622" t="str">
            <v>32026TO</v>
          </cell>
          <cell r="F622">
            <v>78.934189332075448</v>
          </cell>
        </row>
        <row r="623">
          <cell r="A623" t="str">
            <v>32027AC</v>
          </cell>
          <cell r="F623">
            <v>75.912108221800992</v>
          </cell>
        </row>
        <row r="624">
          <cell r="A624" t="str">
            <v>32027AL</v>
          </cell>
          <cell r="F624">
            <v>75.913941979518668</v>
          </cell>
        </row>
        <row r="625">
          <cell r="A625" t="str">
            <v>32027AM</v>
          </cell>
          <cell r="F625">
            <v>75.910322901117581</v>
          </cell>
        </row>
        <row r="626">
          <cell r="A626" t="str">
            <v>32027AP</v>
          </cell>
          <cell r="F626">
            <v>75.913611463999956</v>
          </cell>
        </row>
        <row r="627">
          <cell r="A627" t="str">
            <v>32027BA</v>
          </cell>
          <cell r="F627">
            <v>75.913941979518668</v>
          </cell>
        </row>
        <row r="628">
          <cell r="A628" t="str">
            <v>32027CE</v>
          </cell>
          <cell r="F628">
            <v>75.910322901117581</v>
          </cell>
        </row>
        <row r="629">
          <cell r="A629" t="str">
            <v>32027DF</v>
          </cell>
          <cell r="F629">
            <v>75.915152004689574</v>
          </cell>
        </row>
        <row r="630">
          <cell r="A630" t="str">
            <v>32027ES</v>
          </cell>
          <cell r="F630">
            <v>75.915152004689574</v>
          </cell>
        </row>
        <row r="631">
          <cell r="A631" t="str">
            <v>32027GO</v>
          </cell>
          <cell r="F631">
            <v>75.912108221800992</v>
          </cell>
        </row>
        <row r="632">
          <cell r="A632" t="str">
            <v>32027MA</v>
          </cell>
          <cell r="F632">
            <v>75.920807255215962</v>
          </cell>
        </row>
        <row r="633">
          <cell r="A633" t="str">
            <v>32027MG</v>
          </cell>
          <cell r="F633">
            <v>75.913611463999956</v>
          </cell>
        </row>
        <row r="634">
          <cell r="A634" t="str">
            <v>32027MS</v>
          </cell>
          <cell r="F634">
            <v>75.915152004689574</v>
          </cell>
        </row>
        <row r="635">
          <cell r="A635" t="str">
            <v>32027MT</v>
          </cell>
          <cell r="F635">
            <v>75.915152004689574</v>
          </cell>
        </row>
        <row r="636">
          <cell r="A636" t="str">
            <v>32027PA</v>
          </cell>
          <cell r="F636">
            <v>75.912108221800992</v>
          </cell>
        </row>
        <row r="637">
          <cell r="A637" t="str">
            <v>32027PB</v>
          </cell>
          <cell r="F637">
            <v>75.910322901117581</v>
          </cell>
        </row>
        <row r="638">
          <cell r="A638" t="str">
            <v>32027PE</v>
          </cell>
          <cell r="F638">
            <v>75.913941979518668</v>
          </cell>
        </row>
        <row r="639">
          <cell r="A639" t="str">
            <v>32027PI</v>
          </cell>
          <cell r="F639">
            <v>75.917965542002705</v>
          </cell>
        </row>
        <row r="640">
          <cell r="A640" t="str">
            <v>32027PR</v>
          </cell>
          <cell r="F640">
            <v>75.915761094665797</v>
          </cell>
        </row>
        <row r="641">
          <cell r="A641" t="str">
            <v>32027RJ</v>
          </cell>
          <cell r="F641">
            <v>75.914774039120275</v>
          </cell>
        </row>
        <row r="642">
          <cell r="A642" t="str">
            <v>32027RN</v>
          </cell>
          <cell r="F642">
            <v>75.910322901117581</v>
          </cell>
        </row>
        <row r="643">
          <cell r="A643" t="str">
            <v>32027RO</v>
          </cell>
          <cell r="F643">
            <v>75.915761094665797</v>
          </cell>
        </row>
        <row r="644">
          <cell r="A644" t="str">
            <v>32027RR</v>
          </cell>
          <cell r="F644">
            <v>75.910322901117581</v>
          </cell>
        </row>
        <row r="645">
          <cell r="A645" t="str">
            <v>32027RS</v>
          </cell>
          <cell r="F645">
            <v>75.915152004689574</v>
          </cell>
        </row>
        <row r="646">
          <cell r="A646" t="str">
            <v>32027SC</v>
          </cell>
          <cell r="F646">
            <v>75.915152004689574</v>
          </cell>
        </row>
        <row r="647">
          <cell r="A647" t="str">
            <v>32027SE</v>
          </cell>
          <cell r="F647">
            <v>75.912108221800992</v>
          </cell>
        </row>
        <row r="648">
          <cell r="A648" t="str">
            <v>32027SP</v>
          </cell>
          <cell r="F648">
            <v>75.913611463999956</v>
          </cell>
        </row>
        <row r="649">
          <cell r="A649" t="str">
            <v>32027TO</v>
          </cell>
          <cell r="F649">
            <v>75.910322901117581</v>
          </cell>
        </row>
        <row r="650">
          <cell r="A650" t="str">
            <v>31287AC</v>
          </cell>
          <cell r="F650">
            <v>87.535146668697919</v>
          </cell>
        </row>
        <row r="651">
          <cell r="A651" t="str">
            <v>31287AL</v>
          </cell>
          <cell r="F651">
            <v>87.535146668697919</v>
          </cell>
        </row>
        <row r="652">
          <cell r="A652" t="str">
            <v>31287AM</v>
          </cell>
          <cell r="F652">
            <v>87.535146668697919</v>
          </cell>
        </row>
        <row r="653">
          <cell r="A653" t="str">
            <v>31287AP</v>
          </cell>
          <cell r="F653">
            <v>87.535146668697919</v>
          </cell>
        </row>
        <row r="654">
          <cell r="A654" t="str">
            <v>31287BA</v>
          </cell>
          <cell r="F654">
            <v>87.535146668697919</v>
          </cell>
        </row>
        <row r="655">
          <cell r="A655" t="str">
            <v>31287CE</v>
          </cell>
          <cell r="F655">
            <v>87.535146668697919</v>
          </cell>
        </row>
        <row r="656">
          <cell r="A656" t="str">
            <v>31287DF</v>
          </cell>
          <cell r="F656">
            <v>87.535146668697919</v>
          </cell>
        </row>
        <row r="657">
          <cell r="A657" t="str">
            <v>31287ES</v>
          </cell>
          <cell r="F657">
            <v>87.535146668697919</v>
          </cell>
        </row>
        <row r="658">
          <cell r="A658" t="str">
            <v>31287GO</v>
          </cell>
          <cell r="F658">
            <v>87.535146668697919</v>
          </cell>
        </row>
        <row r="659">
          <cell r="A659" t="str">
            <v>31287MA</v>
          </cell>
          <cell r="F659">
            <v>87.535146668697919</v>
          </cell>
        </row>
        <row r="660">
          <cell r="A660" t="str">
            <v>31287MG</v>
          </cell>
          <cell r="F660">
            <v>87.535146668697919</v>
          </cell>
        </row>
        <row r="661">
          <cell r="A661" t="str">
            <v>31287MS</v>
          </cell>
          <cell r="F661">
            <v>87.535146668697919</v>
          </cell>
        </row>
        <row r="662">
          <cell r="A662" t="str">
            <v>31287MT</v>
          </cell>
          <cell r="F662">
            <v>87.535146668697919</v>
          </cell>
        </row>
        <row r="663">
          <cell r="A663" t="str">
            <v>31287PA</v>
          </cell>
          <cell r="F663">
            <v>87.535146668697919</v>
          </cell>
        </row>
        <row r="664">
          <cell r="A664" t="str">
            <v>31287PB</v>
          </cell>
          <cell r="F664">
            <v>87.535146668697919</v>
          </cell>
        </row>
        <row r="665">
          <cell r="A665" t="str">
            <v>31287PE</v>
          </cell>
          <cell r="F665">
            <v>87.535146668697919</v>
          </cell>
        </row>
        <row r="666">
          <cell r="A666" t="str">
            <v>31287PI</v>
          </cell>
          <cell r="F666">
            <v>87.535146668697919</v>
          </cell>
        </row>
        <row r="667">
          <cell r="A667" t="str">
            <v>31287PR</v>
          </cell>
          <cell r="F667">
            <v>87.535146668697919</v>
          </cell>
        </row>
        <row r="668">
          <cell r="A668" t="str">
            <v>31287RJ</v>
          </cell>
          <cell r="F668">
            <v>87.535146668697919</v>
          </cell>
        </row>
        <row r="669">
          <cell r="A669" t="str">
            <v>31287RN</v>
          </cell>
          <cell r="F669">
            <v>87.535146668697919</v>
          </cell>
        </row>
        <row r="670">
          <cell r="A670" t="str">
            <v>31287RO</v>
          </cell>
          <cell r="F670">
            <v>87.535146668697919</v>
          </cell>
        </row>
        <row r="671">
          <cell r="A671" t="str">
            <v>31287RR</v>
          </cell>
          <cell r="F671">
            <v>87.535146668697919</v>
          </cell>
        </row>
        <row r="672">
          <cell r="A672" t="str">
            <v>31287RS</v>
          </cell>
          <cell r="F672">
            <v>87.535146668697919</v>
          </cell>
        </row>
        <row r="673">
          <cell r="A673" t="str">
            <v>31287SC</v>
          </cell>
          <cell r="F673">
            <v>87.535146668697919</v>
          </cell>
        </row>
        <row r="674">
          <cell r="A674" t="str">
            <v>31287SE</v>
          </cell>
          <cell r="F674">
            <v>87.535146668697919</v>
          </cell>
        </row>
        <row r="675">
          <cell r="A675" t="str">
            <v>31287SP</v>
          </cell>
          <cell r="F675">
            <v>87.535146668697919</v>
          </cell>
        </row>
        <row r="676">
          <cell r="A676" t="str">
            <v>31287TO</v>
          </cell>
          <cell r="F676">
            <v>87.535146668697919</v>
          </cell>
        </row>
        <row r="677">
          <cell r="A677" t="str">
            <v>31281AC</v>
          </cell>
          <cell r="F677">
            <v>87.500068283958583</v>
          </cell>
        </row>
        <row r="678">
          <cell r="A678" t="str">
            <v>31281AL</v>
          </cell>
          <cell r="F678">
            <v>87.500068283958583</v>
          </cell>
        </row>
        <row r="679">
          <cell r="A679" t="str">
            <v>31281AM</v>
          </cell>
          <cell r="F679">
            <v>87.500068283958583</v>
          </cell>
        </row>
        <row r="680">
          <cell r="A680" t="str">
            <v>31281AP</v>
          </cell>
          <cell r="F680">
            <v>87.500068283958583</v>
          </cell>
        </row>
        <row r="681">
          <cell r="A681" t="str">
            <v>31281BA</v>
          </cell>
          <cell r="F681">
            <v>87.500068283958583</v>
          </cell>
        </row>
        <row r="682">
          <cell r="A682" t="str">
            <v>31281CE</v>
          </cell>
          <cell r="F682">
            <v>87.500068283958583</v>
          </cell>
        </row>
        <row r="683">
          <cell r="A683" t="str">
            <v>31281DF</v>
          </cell>
          <cell r="F683">
            <v>87.500068283958583</v>
          </cell>
        </row>
        <row r="684">
          <cell r="A684" t="str">
            <v>31281ES</v>
          </cell>
          <cell r="F684">
            <v>87.500068283958583</v>
          </cell>
        </row>
        <row r="685">
          <cell r="A685" t="str">
            <v>31281GO</v>
          </cell>
          <cell r="F685">
            <v>87.500068283958583</v>
          </cell>
        </row>
        <row r="686">
          <cell r="A686" t="str">
            <v>31281MA</v>
          </cell>
          <cell r="F686">
            <v>87.500068283958583</v>
          </cell>
        </row>
        <row r="687">
          <cell r="A687" t="str">
            <v>31281MG</v>
          </cell>
          <cell r="F687">
            <v>87.500068283958583</v>
          </cell>
        </row>
        <row r="688">
          <cell r="A688" t="str">
            <v>31281MS</v>
          </cell>
          <cell r="F688">
            <v>87.500068283958583</v>
          </cell>
        </row>
        <row r="689">
          <cell r="A689" t="str">
            <v>31281MT</v>
          </cell>
          <cell r="F689">
            <v>87.500068283958583</v>
          </cell>
        </row>
        <row r="690">
          <cell r="A690" t="str">
            <v>31281PA</v>
          </cell>
          <cell r="F690">
            <v>87.500068283958583</v>
          </cell>
        </row>
        <row r="691">
          <cell r="A691" t="str">
            <v>31281PB</v>
          </cell>
          <cell r="F691">
            <v>87.500068283958583</v>
          </cell>
        </row>
        <row r="692">
          <cell r="A692" t="str">
            <v>31281PE</v>
          </cell>
          <cell r="F692">
            <v>87.500068283958583</v>
          </cell>
        </row>
        <row r="693">
          <cell r="A693" t="str">
            <v>31281PI</v>
          </cell>
          <cell r="F693">
            <v>87.500068283958583</v>
          </cell>
        </row>
        <row r="694">
          <cell r="A694" t="str">
            <v>31281PR</v>
          </cell>
          <cell r="F694">
            <v>87.500068283958583</v>
          </cell>
        </row>
        <row r="695">
          <cell r="A695" t="str">
            <v>31281RJ</v>
          </cell>
          <cell r="F695">
            <v>87.500068283958583</v>
          </cell>
        </row>
        <row r="696">
          <cell r="A696" t="str">
            <v>31281RN</v>
          </cell>
          <cell r="F696">
            <v>87.500068283958583</v>
          </cell>
        </row>
        <row r="697">
          <cell r="A697" t="str">
            <v>31281RO</v>
          </cell>
          <cell r="F697">
            <v>87.500068283958583</v>
          </cell>
        </row>
        <row r="698">
          <cell r="A698" t="str">
            <v>31281RR</v>
          </cell>
          <cell r="F698">
            <v>87.500068283958583</v>
          </cell>
        </row>
        <row r="699">
          <cell r="A699" t="str">
            <v>31281RS</v>
          </cell>
          <cell r="F699">
            <v>87.500068283958583</v>
          </cell>
        </row>
        <row r="700">
          <cell r="A700" t="str">
            <v>31281SC</v>
          </cell>
          <cell r="F700">
            <v>87.500068283958583</v>
          </cell>
        </row>
        <row r="701">
          <cell r="A701" t="str">
            <v>31281SE</v>
          </cell>
          <cell r="F701">
            <v>87.500068283958583</v>
          </cell>
        </row>
        <row r="702">
          <cell r="A702" t="str">
            <v>31281SP</v>
          </cell>
          <cell r="F702">
            <v>87.500068283958583</v>
          </cell>
        </row>
        <row r="703">
          <cell r="A703" t="str">
            <v>31281TO</v>
          </cell>
          <cell r="F703">
            <v>87.500068283958583</v>
          </cell>
        </row>
        <row r="704">
          <cell r="A704" t="str">
            <v>32338AC</v>
          </cell>
          <cell r="F704">
            <v>65.114444359824944</v>
          </cell>
        </row>
        <row r="705">
          <cell r="A705" t="str">
            <v>32338AL</v>
          </cell>
          <cell r="F705">
            <v>63.898715576277667</v>
          </cell>
        </row>
        <row r="706">
          <cell r="A706" t="str">
            <v>32338AM</v>
          </cell>
          <cell r="F706">
            <v>59.511765026341337</v>
          </cell>
        </row>
        <row r="707">
          <cell r="A707" t="str">
            <v>32338AP</v>
          </cell>
          <cell r="F707">
            <v>65.323143053291673</v>
          </cell>
        </row>
        <row r="708">
          <cell r="A708" t="str">
            <v>32338BA</v>
          </cell>
          <cell r="F708">
            <v>65.416311378675545</v>
          </cell>
        </row>
        <row r="709">
          <cell r="A709" t="str">
            <v>32338CE</v>
          </cell>
          <cell r="F709">
            <v>65.396499484321936</v>
          </cell>
        </row>
        <row r="710">
          <cell r="A710" t="str">
            <v>32338DF</v>
          </cell>
          <cell r="F710">
            <v>65.322225485127589</v>
          </cell>
        </row>
        <row r="711">
          <cell r="A711" t="str">
            <v>32338ES</v>
          </cell>
          <cell r="F711">
            <v>65.342248817190637</v>
          </cell>
        </row>
        <row r="712">
          <cell r="A712" t="str">
            <v>32338GO</v>
          </cell>
          <cell r="F712">
            <v>65.395032574353849</v>
          </cell>
        </row>
        <row r="713">
          <cell r="A713" t="str">
            <v>32338MA</v>
          </cell>
          <cell r="F713">
            <v>65.385015830359166</v>
          </cell>
        </row>
        <row r="714">
          <cell r="A714" t="str">
            <v>32338MG</v>
          </cell>
          <cell r="F714">
            <v>62.412689677018371</v>
          </cell>
        </row>
        <row r="715">
          <cell r="A715" t="str">
            <v>32338MS</v>
          </cell>
          <cell r="F715">
            <v>65.328008774721013</v>
          </cell>
        </row>
        <row r="716">
          <cell r="A716" t="str">
            <v>32338MT</v>
          </cell>
          <cell r="F716">
            <v>65.350584253830064</v>
          </cell>
        </row>
        <row r="717">
          <cell r="A717" t="str">
            <v>32338PA</v>
          </cell>
          <cell r="F717">
            <v>58.648645410048914</v>
          </cell>
        </row>
        <row r="718">
          <cell r="A718" t="str">
            <v>32338PB</v>
          </cell>
          <cell r="F718">
            <v>65.329418055925643</v>
          </cell>
        </row>
        <row r="719">
          <cell r="A719" t="str">
            <v>32338PE</v>
          </cell>
          <cell r="F719">
            <v>64.721833648565976</v>
          </cell>
        </row>
        <row r="720">
          <cell r="A720" t="str">
            <v>32338PI</v>
          </cell>
          <cell r="F720">
            <v>62.065486487515074</v>
          </cell>
        </row>
        <row r="721">
          <cell r="A721" t="str">
            <v>32338PR</v>
          </cell>
          <cell r="F721">
            <v>65.375291021832311</v>
          </cell>
        </row>
        <row r="722">
          <cell r="A722" t="str">
            <v>32338RJ</v>
          </cell>
          <cell r="F722">
            <v>67.87700601017626</v>
          </cell>
        </row>
        <row r="723">
          <cell r="A723" t="str">
            <v>32338RN</v>
          </cell>
          <cell r="F723">
            <v>62.775406180755134</v>
          </cell>
        </row>
        <row r="724">
          <cell r="A724" t="str">
            <v>32338RO</v>
          </cell>
          <cell r="F724">
            <v>64.090447580267323</v>
          </cell>
        </row>
        <row r="725">
          <cell r="A725" t="str">
            <v>32338RR</v>
          </cell>
          <cell r="F725">
            <v>63.885485815108368</v>
          </cell>
        </row>
        <row r="726">
          <cell r="A726" t="str">
            <v>32338RS</v>
          </cell>
          <cell r="F726">
            <v>65.337438584810997</v>
          </cell>
        </row>
        <row r="727">
          <cell r="A727" t="str">
            <v>32338SC</v>
          </cell>
          <cell r="F727">
            <v>65.340299281575625</v>
          </cell>
        </row>
        <row r="728">
          <cell r="A728" t="str">
            <v>32338SE</v>
          </cell>
          <cell r="F728">
            <v>65.334034448772528</v>
          </cell>
        </row>
        <row r="729">
          <cell r="A729" t="str">
            <v>32338SP</v>
          </cell>
          <cell r="F729">
            <v>62.408202532567223</v>
          </cell>
        </row>
        <row r="730">
          <cell r="A730" t="str">
            <v>32338TO</v>
          </cell>
          <cell r="F730">
            <v>65.341334510914066</v>
          </cell>
        </row>
        <row r="731">
          <cell r="A731" t="str">
            <v>31048AC</v>
          </cell>
          <cell r="F731">
            <v>57.594572112556605</v>
          </cell>
        </row>
        <row r="732">
          <cell r="A732" t="str">
            <v>31048AL</v>
          </cell>
          <cell r="F732">
            <v>56.103039279119905</v>
          </cell>
        </row>
        <row r="733">
          <cell r="A733" t="str">
            <v>31048AM</v>
          </cell>
          <cell r="F733">
            <v>50.772214240452051</v>
          </cell>
        </row>
        <row r="734">
          <cell r="A734" t="str">
            <v>31048AP</v>
          </cell>
          <cell r="F734">
            <v>57.825287243190672</v>
          </cell>
        </row>
        <row r="735">
          <cell r="A735" t="str">
            <v>31048BA</v>
          </cell>
          <cell r="F735">
            <v>57.979450286585951</v>
          </cell>
        </row>
        <row r="736">
          <cell r="A736" t="str">
            <v>31048CE</v>
          </cell>
          <cell r="F736">
            <v>57.892484792886869</v>
          </cell>
        </row>
        <row r="737">
          <cell r="A737" t="str">
            <v>31048DF</v>
          </cell>
          <cell r="F737">
            <v>57.824870668334263</v>
          </cell>
        </row>
        <row r="738">
          <cell r="A738" t="str">
            <v>31048ES</v>
          </cell>
          <cell r="F738">
            <v>57.830039648110606</v>
          </cell>
        </row>
        <row r="739">
          <cell r="A739" t="str">
            <v>31048GO</v>
          </cell>
          <cell r="F739">
            <v>57.916328078716319</v>
          </cell>
        </row>
        <row r="740">
          <cell r="A740" t="str">
            <v>31048MA</v>
          </cell>
          <cell r="F740">
            <v>57.87981723661548</v>
          </cell>
        </row>
        <row r="741">
          <cell r="A741" t="str">
            <v>31048MG</v>
          </cell>
          <cell r="F741">
            <v>54.292264471319825</v>
          </cell>
        </row>
        <row r="742">
          <cell r="A742" t="str">
            <v>31048MS</v>
          </cell>
          <cell r="F742">
            <v>57.827362724682189</v>
          </cell>
        </row>
        <row r="743">
          <cell r="A743" t="str">
            <v>31048MT</v>
          </cell>
          <cell r="F743">
            <v>57.89303111937587</v>
          </cell>
        </row>
        <row r="744">
          <cell r="A744" t="str">
            <v>31048PA</v>
          </cell>
          <cell r="F744">
            <v>49.745325420100663</v>
          </cell>
        </row>
        <row r="745">
          <cell r="A745" t="str">
            <v>31048PB</v>
          </cell>
          <cell r="F745">
            <v>57.829223041381361</v>
          </cell>
        </row>
        <row r="746">
          <cell r="A746" t="str">
            <v>31048PE</v>
          </cell>
          <cell r="F746">
            <v>57.143122266100946</v>
          </cell>
        </row>
        <row r="747">
          <cell r="A747" t="str">
            <v>31048PI</v>
          </cell>
          <cell r="F747">
            <v>53.849570822550199</v>
          </cell>
        </row>
        <row r="748">
          <cell r="A748" t="str">
            <v>31048PR</v>
          </cell>
          <cell r="F748">
            <v>57.869369541329533</v>
          </cell>
        </row>
        <row r="749">
          <cell r="A749" t="str">
            <v>31048RJ</v>
          </cell>
          <cell r="F749">
            <v>60.914133582035667</v>
          </cell>
        </row>
        <row r="750">
          <cell r="A750" t="str">
            <v>31048RN</v>
          </cell>
          <cell r="F750">
            <v>54.716745512513754</v>
          </cell>
        </row>
        <row r="751">
          <cell r="A751" t="str">
            <v>31048RO</v>
          </cell>
          <cell r="F751">
            <v>56.358425278366319</v>
          </cell>
        </row>
        <row r="752">
          <cell r="A752" t="str">
            <v>31048RR</v>
          </cell>
          <cell r="F752">
            <v>56.072339656428781</v>
          </cell>
        </row>
        <row r="753">
          <cell r="A753" t="str">
            <v>31048RS</v>
          </cell>
          <cell r="F753">
            <v>57.814451979481227</v>
          </cell>
        </row>
        <row r="754">
          <cell r="A754" t="str">
            <v>31048SC</v>
          </cell>
          <cell r="F754">
            <v>57.836417490234361</v>
          </cell>
        </row>
        <row r="755">
          <cell r="A755" t="str">
            <v>31048SE</v>
          </cell>
          <cell r="F755">
            <v>57.862243098724164</v>
          </cell>
        </row>
        <row r="756">
          <cell r="A756" t="str">
            <v>31048SP</v>
          </cell>
          <cell r="F756">
            <v>54.2783225177227</v>
          </cell>
        </row>
        <row r="757">
          <cell r="A757" t="str">
            <v>31048TO</v>
          </cell>
          <cell r="F757">
            <v>57.869030487945537</v>
          </cell>
        </row>
        <row r="758">
          <cell r="A758" t="str">
            <v>31960AC</v>
          </cell>
          <cell r="F758">
            <v>73.349999999999994</v>
          </cell>
        </row>
        <row r="759">
          <cell r="A759" t="str">
            <v>31960AL</v>
          </cell>
          <cell r="F759">
            <v>73.349999999999994</v>
          </cell>
        </row>
        <row r="760">
          <cell r="A760" t="str">
            <v>31960AM</v>
          </cell>
          <cell r="F760">
            <v>73.349999999999994</v>
          </cell>
        </row>
        <row r="761">
          <cell r="A761" t="str">
            <v>31960AP</v>
          </cell>
          <cell r="F761">
            <v>73.349999999999994</v>
          </cell>
        </row>
        <row r="762">
          <cell r="A762" t="str">
            <v>31960BA</v>
          </cell>
          <cell r="F762">
            <v>73.349999999999994</v>
          </cell>
        </row>
        <row r="763">
          <cell r="A763" t="str">
            <v>31960CE</v>
          </cell>
          <cell r="F763">
            <v>73.349999999999994</v>
          </cell>
        </row>
        <row r="764">
          <cell r="A764" t="str">
            <v>31960DF</v>
          </cell>
          <cell r="F764">
            <v>73.349999999999994</v>
          </cell>
        </row>
        <row r="765">
          <cell r="A765" t="str">
            <v>31960ES</v>
          </cell>
          <cell r="F765">
            <v>73.349999999999994</v>
          </cell>
        </row>
        <row r="766">
          <cell r="A766" t="str">
            <v>31960GO</v>
          </cell>
          <cell r="F766">
            <v>73.349999999999994</v>
          </cell>
        </row>
        <row r="767">
          <cell r="A767" t="str">
            <v>31960MA</v>
          </cell>
          <cell r="F767">
            <v>73.349999999999994</v>
          </cell>
        </row>
        <row r="768">
          <cell r="A768" t="str">
            <v>31960MG</v>
          </cell>
          <cell r="F768">
            <v>73.349999999999994</v>
          </cell>
        </row>
        <row r="769">
          <cell r="A769" t="str">
            <v>31960MS</v>
          </cell>
          <cell r="F769">
            <v>73.349999999999994</v>
          </cell>
        </row>
        <row r="770">
          <cell r="A770" t="str">
            <v>31960MT</v>
          </cell>
          <cell r="F770">
            <v>73.349999999999994</v>
          </cell>
        </row>
        <row r="771">
          <cell r="A771" t="str">
            <v>31960PA</v>
          </cell>
          <cell r="F771">
            <v>73.349999999999994</v>
          </cell>
        </row>
        <row r="772">
          <cell r="A772" t="str">
            <v>31960PB</v>
          </cell>
          <cell r="F772">
            <v>73.349999999999994</v>
          </cell>
        </row>
        <row r="773">
          <cell r="A773" t="str">
            <v>31960PE</v>
          </cell>
          <cell r="F773">
            <v>73.349999999999994</v>
          </cell>
        </row>
        <row r="774">
          <cell r="A774" t="str">
            <v>31960PI</v>
          </cell>
          <cell r="F774">
            <v>73.349999999999994</v>
          </cell>
        </row>
        <row r="775">
          <cell r="A775" t="str">
            <v>31960PR</v>
          </cell>
          <cell r="F775">
            <v>73.349999999999994</v>
          </cell>
        </row>
        <row r="776">
          <cell r="A776" t="str">
            <v>31960RJ</v>
          </cell>
          <cell r="F776">
            <v>73.349999999999994</v>
          </cell>
        </row>
        <row r="777">
          <cell r="A777" t="str">
            <v>31960RN</v>
          </cell>
          <cell r="F777">
            <v>73.349999999999994</v>
          </cell>
        </row>
        <row r="778">
          <cell r="A778" t="str">
            <v>31960RO</v>
          </cell>
          <cell r="F778">
            <v>73.349999999999994</v>
          </cell>
        </row>
        <row r="779">
          <cell r="A779" t="str">
            <v>31960RR</v>
          </cell>
          <cell r="F779">
            <v>73.349999999999994</v>
          </cell>
        </row>
        <row r="780">
          <cell r="A780" t="str">
            <v>31960RS</v>
          </cell>
          <cell r="F780">
            <v>73.349999999999994</v>
          </cell>
        </row>
        <row r="781">
          <cell r="A781" t="str">
            <v>31960SC</v>
          </cell>
          <cell r="F781">
            <v>73.349999999999994</v>
          </cell>
        </row>
        <row r="782">
          <cell r="A782" t="str">
            <v>31960SE</v>
          </cell>
          <cell r="F782">
            <v>73.349999999999994</v>
          </cell>
        </row>
        <row r="783">
          <cell r="A783" t="str">
            <v>31960SP</v>
          </cell>
          <cell r="F783">
            <v>73.349999999999994</v>
          </cell>
        </row>
        <row r="784">
          <cell r="A784" t="str">
            <v>31960TO</v>
          </cell>
          <cell r="F784">
            <v>73.349999999999994</v>
          </cell>
        </row>
        <row r="785">
          <cell r="A785" t="str">
            <v>32500AC</v>
          </cell>
          <cell r="F785">
            <v>64.867406509886564</v>
          </cell>
        </row>
        <row r="786">
          <cell r="A786" t="str">
            <v>32500AL</v>
          </cell>
          <cell r="F786">
            <v>64.867406509886564</v>
          </cell>
        </row>
        <row r="787">
          <cell r="A787" t="str">
            <v>32500AM</v>
          </cell>
          <cell r="F787">
            <v>64.867406509886564</v>
          </cell>
        </row>
        <row r="788">
          <cell r="A788" t="str">
            <v>32500AP</v>
          </cell>
          <cell r="F788">
            <v>64.867406509886564</v>
          </cell>
        </row>
        <row r="789">
          <cell r="A789" t="str">
            <v>32500BA</v>
          </cell>
          <cell r="F789">
            <v>64.867406509886564</v>
          </cell>
        </row>
        <row r="790">
          <cell r="A790" t="str">
            <v>32500CE</v>
          </cell>
          <cell r="F790">
            <v>64.867406509886564</v>
          </cell>
        </row>
        <row r="791">
          <cell r="A791" t="str">
            <v>32500ES</v>
          </cell>
          <cell r="F791">
            <v>64.867406509886564</v>
          </cell>
        </row>
        <row r="792">
          <cell r="A792" t="str">
            <v>32500MA</v>
          </cell>
          <cell r="F792">
            <v>64.867406509886564</v>
          </cell>
        </row>
        <row r="793">
          <cell r="A793" t="str">
            <v>32500MG</v>
          </cell>
          <cell r="F793">
            <v>64.867406509886564</v>
          </cell>
        </row>
        <row r="794">
          <cell r="A794" t="str">
            <v>32500MS</v>
          </cell>
          <cell r="F794">
            <v>64.867406509886564</v>
          </cell>
        </row>
        <row r="795">
          <cell r="A795" t="str">
            <v>32500MT</v>
          </cell>
          <cell r="F795">
            <v>64.867406509886564</v>
          </cell>
        </row>
        <row r="796">
          <cell r="A796" t="str">
            <v>32500PA</v>
          </cell>
          <cell r="F796">
            <v>64.867406509886564</v>
          </cell>
        </row>
        <row r="797">
          <cell r="A797" t="str">
            <v>32500PB</v>
          </cell>
          <cell r="F797">
            <v>64.867406509886564</v>
          </cell>
        </row>
        <row r="798">
          <cell r="A798" t="str">
            <v>32500PE</v>
          </cell>
          <cell r="F798">
            <v>64.867406509886564</v>
          </cell>
        </row>
        <row r="799">
          <cell r="A799" t="str">
            <v>32500PI</v>
          </cell>
          <cell r="F799">
            <v>64.867406509886564</v>
          </cell>
        </row>
        <row r="800">
          <cell r="A800" t="str">
            <v>32500PR</v>
          </cell>
          <cell r="F800">
            <v>64.867406509886564</v>
          </cell>
        </row>
        <row r="801">
          <cell r="A801" t="str">
            <v>32500RJ</v>
          </cell>
          <cell r="F801">
            <v>64.867406509886564</v>
          </cell>
        </row>
        <row r="802">
          <cell r="A802" t="str">
            <v>32500RN</v>
          </cell>
          <cell r="F802">
            <v>64.867406509886564</v>
          </cell>
        </row>
        <row r="803">
          <cell r="A803" t="str">
            <v>32500RO</v>
          </cell>
          <cell r="F803">
            <v>64.867406509886564</v>
          </cell>
        </row>
        <row r="804">
          <cell r="A804" t="str">
            <v>32500RR</v>
          </cell>
          <cell r="F804">
            <v>64.867406509886564</v>
          </cell>
        </row>
        <row r="805">
          <cell r="A805" t="str">
            <v>32500RS</v>
          </cell>
          <cell r="F805">
            <v>64.867406509886564</v>
          </cell>
        </row>
        <row r="806">
          <cell r="A806" t="str">
            <v>32500SC</v>
          </cell>
          <cell r="F806">
            <v>64.867406509886564</v>
          </cell>
        </row>
        <row r="807">
          <cell r="A807" t="str">
            <v>32500SE</v>
          </cell>
          <cell r="F807">
            <v>64.867406509886564</v>
          </cell>
        </row>
        <row r="808">
          <cell r="A808" t="str">
            <v>32500SP</v>
          </cell>
          <cell r="F808">
            <v>64.867406509886564</v>
          </cell>
        </row>
        <row r="809">
          <cell r="A809" t="str">
            <v>32500GO</v>
          </cell>
          <cell r="F809">
            <v>64.867406509886564</v>
          </cell>
        </row>
        <row r="810">
          <cell r="A810" t="str">
            <v>32500DF</v>
          </cell>
          <cell r="F810">
            <v>64.867406509886564</v>
          </cell>
        </row>
        <row r="811">
          <cell r="A811" t="str">
            <v>32500TO</v>
          </cell>
          <cell r="F811">
            <v>64.867406509886564</v>
          </cell>
        </row>
        <row r="812">
          <cell r="A812" t="str">
            <v>32501AC</v>
          </cell>
          <cell r="F812">
            <v>58.443332028522313</v>
          </cell>
        </row>
        <row r="813">
          <cell r="A813" t="str">
            <v>32501AL</v>
          </cell>
          <cell r="F813">
            <v>58.443332028522313</v>
          </cell>
        </row>
        <row r="814">
          <cell r="A814" t="str">
            <v>32501AM</v>
          </cell>
          <cell r="F814">
            <v>58.443332028522313</v>
          </cell>
        </row>
        <row r="815">
          <cell r="A815" t="str">
            <v>32501AP</v>
          </cell>
          <cell r="F815">
            <v>58.44333202852232</v>
          </cell>
        </row>
        <row r="816">
          <cell r="A816" t="str">
            <v>32501BA</v>
          </cell>
          <cell r="F816">
            <v>58.443332028522313</v>
          </cell>
        </row>
        <row r="817">
          <cell r="A817" t="str">
            <v>32501CE</v>
          </cell>
          <cell r="F817">
            <v>58.443332028522313</v>
          </cell>
        </row>
        <row r="818">
          <cell r="A818" t="str">
            <v>32501ES</v>
          </cell>
          <cell r="F818">
            <v>58.443332028522313</v>
          </cell>
        </row>
        <row r="819">
          <cell r="A819" t="str">
            <v>32501MA</v>
          </cell>
          <cell r="F819">
            <v>58.443332028522313</v>
          </cell>
        </row>
        <row r="820">
          <cell r="A820" t="str">
            <v>32501MG</v>
          </cell>
          <cell r="F820">
            <v>58.443332028522313</v>
          </cell>
        </row>
        <row r="821">
          <cell r="A821" t="str">
            <v>32501MS</v>
          </cell>
          <cell r="F821">
            <v>58.443332028522299</v>
          </cell>
        </row>
        <row r="822">
          <cell r="A822" t="str">
            <v>32501MT</v>
          </cell>
          <cell r="F822">
            <v>58.443332028522313</v>
          </cell>
        </row>
        <row r="823">
          <cell r="A823" t="str">
            <v>32501PA</v>
          </cell>
          <cell r="F823">
            <v>58.443332028522313</v>
          </cell>
        </row>
        <row r="824">
          <cell r="A824" t="str">
            <v>32501PB</v>
          </cell>
          <cell r="F824">
            <v>58.443332028522313</v>
          </cell>
        </row>
        <row r="825">
          <cell r="A825" t="str">
            <v>32501PE</v>
          </cell>
          <cell r="F825">
            <v>58.443332028522313</v>
          </cell>
        </row>
        <row r="826">
          <cell r="A826" t="str">
            <v>32501PI</v>
          </cell>
          <cell r="F826">
            <v>58.443332028522313</v>
          </cell>
        </row>
        <row r="827">
          <cell r="A827" t="str">
            <v>32501PR</v>
          </cell>
          <cell r="F827">
            <v>58.443332028522313</v>
          </cell>
        </row>
        <row r="828">
          <cell r="A828" t="str">
            <v>32501RJ</v>
          </cell>
          <cell r="F828">
            <v>58.443332028522313</v>
          </cell>
        </row>
        <row r="829">
          <cell r="A829" t="str">
            <v>32501RN</v>
          </cell>
          <cell r="F829">
            <v>58.443332028522313</v>
          </cell>
        </row>
        <row r="830">
          <cell r="A830" t="str">
            <v>32501RO</v>
          </cell>
          <cell r="F830">
            <v>58.443332028522313</v>
          </cell>
        </row>
        <row r="831">
          <cell r="A831" t="str">
            <v>32501RR</v>
          </cell>
          <cell r="F831">
            <v>58.443332028522313</v>
          </cell>
        </row>
        <row r="832">
          <cell r="A832" t="str">
            <v>32501RS</v>
          </cell>
          <cell r="F832">
            <v>58.443332028522313</v>
          </cell>
        </row>
        <row r="833">
          <cell r="A833" t="str">
            <v>32501SC</v>
          </cell>
          <cell r="F833">
            <v>58.443332028522313</v>
          </cell>
        </row>
        <row r="834">
          <cell r="A834" t="str">
            <v>32501SE</v>
          </cell>
          <cell r="F834">
            <v>58.443332028522313</v>
          </cell>
        </row>
        <row r="835">
          <cell r="A835" t="str">
            <v>32501SP</v>
          </cell>
          <cell r="F835">
            <v>58.443332028522313</v>
          </cell>
        </row>
        <row r="836">
          <cell r="A836" t="str">
            <v>32501GO</v>
          </cell>
          <cell r="F836">
            <v>58.443332028522313</v>
          </cell>
        </row>
        <row r="837">
          <cell r="A837" t="str">
            <v>32501DF</v>
          </cell>
          <cell r="F837">
            <v>58.443332028522313</v>
          </cell>
        </row>
        <row r="838">
          <cell r="A838" t="str">
            <v>32501TO</v>
          </cell>
          <cell r="F838">
            <v>58.443332028522313</v>
          </cell>
        </row>
        <row r="839">
          <cell r="A839" t="str">
            <v>31957AC</v>
          </cell>
          <cell r="F839">
            <v>71.613875794271053</v>
          </cell>
        </row>
        <row r="840">
          <cell r="A840" t="str">
            <v>31957AL</v>
          </cell>
          <cell r="F840">
            <v>71.613875794271053</v>
          </cell>
        </row>
        <row r="841">
          <cell r="A841" t="str">
            <v>31957AM</v>
          </cell>
          <cell r="F841">
            <v>71.613875794271053</v>
          </cell>
        </row>
        <row r="842">
          <cell r="A842" t="str">
            <v>31957AP</v>
          </cell>
          <cell r="F842">
            <v>71.613875794271053</v>
          </cell>
        </row>
        <row r="843">
          <cell r="A843" t="str">
            <v>31957BA</v>
          </cell>
          <cell r="F843">
            <v>71.613875794271053</v>
          </cell>
        </row>
        <row r="844">
          <cell r="A844" t="str">
            <v>31957CE</v>
          </cell>
          <cell r="F844">
            <v>71.613875794271053</v>
          </cell>
        </row>
        <row r="845">
          <cell r="A845" t="str">
            <v>31957DF</v>
          </cell>
          <cell r="F845">
            <v>71.613875794271053</v>
          </cell>
        </row>
        <row r="846">
          <cell r="A846" t="str">
            <v>31957ES</v>
          </cell>
          <cell r="F846">
            <v>71.613875794271053</v>
          </cell>
        </row>
        <row r="847">
          <cell r="A847" t="str">
            <v>31957GO</v>
          </cell>
          <cell r="F847">
            <v>71.613875794271053</v>
          </cell>
        </row>
        <row r="848">
          <cell r="A848" t="str">
            <v>31957MA</v>
          </cell>
          <cell r="F848">
            <v>71.613875794271053</v>
          </cell>
        </row>
        <row r="849">
          <cell r="A849" t="str">
            <v>31957MG</v>
          </cell>
          <cell r="F849">
            <v>71.613875794271053</v>
          </cell>
        </row>
        <row r="850">
          <cell r="A850" t="str">
            <v>31957MS</v>
          </cell>
          <cell r="F850">
            <v>71.613875794271053</v>
          </cell>
        </row>
        <row r="851">
          <cell r="A851" t="str">
            <v>31957MT</v>
          </cell>
          <cell r="F851">
            <v>71.613875794271053</v>
          </cell>
        </row>
        <row r="852">
          <cell r="A852" t="str">
            <v>31957PA</v>
          </cell>
          <cell r="F852">
            <v>71.613875794271053</v>
          </cell>
        </row>
        <row r="853">
          <cell r="A853" t="str">
            <v>31957PB</v>
          </cell>
          <cell r="F853">
            <v>71.613875794271053</v>
          </cell>
        </row>
        <row r="854">
          <cell r="A854" t="str">
            <v>31957PE</v>
          </cell>
          <cell r="F854">
            <v>71.613875794271053</v>
          </cell>
        </row>
        <row r="855">
          <cell r="A855" t="str">
            <v>31957PI</v>
          </cell>
          <cell r="F855">
            <v>71.613875794271053</v>
          </cell>
        </row>
        <row r="856">
          <cell r="A856" t="str">
            <v>31957PR</v>
          </cell>
          <cell r="F856">
            <v>71.613875794271053</v>
          </cell>
        </row>
        <row r="857">
          <cell r="A857" t="str">
            <v>31957RJ</v>
          </cell>
          <cell r="F857">
            <v>71.613875794271053</v>
          </cell>
        </row>
        <row r="858">
          <cell r="A858" t="str">
            <v>31957RN</v>
          </cell>
          <cell r="F858">
            <v>71.613875794271053</v>
          </cell>
        </row>
        <row r="859">
          <cell r="A859" t="str">
            <v>31957RO</v>
          </cell>
          <cell r="F859">
            <v>71.613875794271053</v>
          </cell>
        </row>
        <row r="860">
          <cell r="A860" t="str">
            <v>31957RR</v>
          </cell>
          <cell r="F860">
            <v>71.613875794271053</v>
          </cell>
        </row>
        <row r="861">
          <cell r="A861" t="str">
            <v>31957RS</v>
          </cell>
          <cell r="F861">
            <v>71.613875794271053</v>
          </cell>
        </row>
        <row r="862">
          <cell r="A862" t="str">
            <v>31957SC</v>
          </cell>
          <cell r="F862">
            <v>71.613875794271053</v>
          </cell>
        </row>
        <row r="863">
          <cell r="A863" t="str">
            <v>31957SE</v>
          </cell>
          <cell r="F863">
            <v>71.613875794271053</v>
          </cell>
        </row>
        <row r="864">
          <cell r="A864" t="str">
            <v>31957SP</v>
          </cell>
          <cell r="F864">
            <v>71.613875794271053</v>
          </cell>
        </row>
        <row r="865">
          <cell r="A865" t="str">
            <v>31957TO</v>
          </cell>
          <cell r="F865">
            <v>71.613875794271053</v>
          </cell>
        </row>
        <row r="866">
          <cell r="A866" t="str">
            <v>31958AC</v>
          </cell>
          <cell r="F866">
            <v>74.830969870920327</v>
          </cell>
        </row>
        <row r="867">
          <cell r="A867" t="str">
            <v>31958AL</v>
          </cell>
          <cell r="F867">
            <v>74.830969870920327</v>
          </cell>
        </row>
        <row r="868">
          <cell r="A868" t="str">
            <v>31958AM</v>
          </cell>
          <cell r="F868">
            <v>74.830969870920327</v>
          </cell>
        </row>
        <row r="869">
          <cell r="A869" t="str">
            <v>31958AP</v>
          </cell>
          <cell r="F869">
            <v>74.830969870920327</v>
          </cell>
        </row>
        <row r="870">
          <cell r="A870" t="str">
            <v>31958BA</v>
          </cell>
          <cell r="F870">
            <v>74.830969870920342</v>
          </cell>
        </row>
        <row r="871">
          <cell r="A871" t="str">
            <v>31958CE</v>
          </cell>
          <cell r="F871">
            <v>74.830969870920327</v>
          </cell>
        </row>
        <row r="872">
          <cell r="A872" t="str">
            <v>31958DF</v>
          </cell>
          <cell r="F872">
            <v>74.830969870920327</v>
          </cell>
        </row>
        <row r="873">
          <cell r="A873" t="str">
            <v>31958ES</v>
          </cell>
          <cell r="F873">
            <v>74.830969870920327</v>
          </cell>
        </row>
        <row r="874">
          <cell r="A874" t="str">
            <v>31958GO</v>
          </cell>
          <cell r="F874">
            <v>74.830969870920327</v>
          </cell>
        </row>
        <row r="875">
          <cell r="A875" t="str">
            <v>31958MA</v>
          </cell>
          <cell r="F875">
            <v>74.830969870920342</v>
          </cell>
        </row>
        <row r="876">
          <cell r="A876" t="str">
            <v>31958MG</v>
          </cell>
          <cell r="F876">
            <v>74.830969870920342</v>
          </cell>
        </row>
        <row r="877">
          <cell r="A877" t="str">
            <v>31958MS</v>
          </cell>
          <cell r="F877">
            <v>74.830969870920327</v>
          </cell>
        </row>
        <row r="878">
          <cell r="A878" t="str">
            <v>31958MT</v>
          </cell>
          <cell r="F878">
            <v>74.830969870920327</v>
          </cell>
        </row>
        <row r="879">
          <cell r="A879" t="str">
            <v>31958PA</v>
          </cell>
          <cell r="F879">
            <v>74.830969870920327</v>
          </cell>
        </row>
        <row r="880">
          <cell r="A880" t="str">
            <v>31958PB</v>
          </cell>
          <cell r="F880">
            <v>74.830969870920327</v>
          </cell>
        </row>
        <row r="881">
          <cell r="A881" t="str">
            <v>31958PE</v>
          </cell>
          <cell r="F881">
            <v>74.830969870920342</v>
          </cell>
        </row>
        <row r="882">
          <cell r="A882" t="str">
            <v>31958PI</v>
          </cell>
          <cell r="F882">
            <v>74.830969870920342</v>
          </cell>
        </row>
        <row r="883">
          <cell r="A883" t="str">
            <v>31958PR</v>
          </cell>
          <cell r="F883">
            <v>74.830969870920342</v>
          </cell>
        </row>
        <row r="884">
          <cell r="A884" t="str">
            <v>31958RJ</v>
          </cell>
          <cell r="F884">
            <v>74.830969870920342</v>
          </cell>
        </row>
        <row r="885">
          <cell r="A885" t="str">
            <v>31958RN</v>
          </cell>
          <cell r="F885">
            <v>74.830969870920327</v>
          </cell>
        </row>
        <row r="886">
          <cell r="A886" t="str">
            <v>31958RO</v>
          </cell>
          <cell r="F886">
            <v>74.830969870920327</v>
          </cell>
        </row>
        <row r="887">
          <cell r="A887" t="str">
            <v>31958RR</v>
          </cell>
          <cell r="F887">
            <v>74.830969870920327</v>
          </cell>
        </row>
        <row r="888">
          <cell r="A888" t="str">
            <v>31958RS</v>
          </cell>
          <cell r="F888">
            <v>74.830969870920342</v>
          </cell>
        </row>
        <row r="889">
          <cell r="A889" t="str">
            <v>31958SC</v>
          </cell>
          <cell r="F889">
            <v>74.830969870920342</v>
          </cell>
        </row>
        <row r="890">
          <cell r="A890" t="str">
            <v>31958SE</v>
          </cell>
          <cell r="F890">
            <v>74.830969870920327</v>
          </cell>
        </row>
        <row r="891">
          <cell r="A891" t="str">
            <v>31958SP</v>
          </cell>
          <cell r="F891">
            <v>74.830969870920342</v>
          </cell>
        </row>
        <row r="892">
          <cell r="A892" t="str">
            <v>31958TO</v>
          </cell>
          <cell r="F892">
            <v>74.830969870920327</v>
          </cell>
        </row>
        <row r="893">
          <cell r="A893" t="str">
            <v>31153AC</v>
          </cell>
          <cell r="F893">
            <v>24.597731105549268</v>
          </cell>
        </row>
        <row r="894">
          <cell r="A894" t="str">
            <v>31153AL</v>
          </cell>
          <cell r="F894">
            <v>24.597731105549268</v>
          </cell>
        </row>
        <row r="895">
          <cell r="A895" t="str">
            <v>31153AM</v>
          </cell>
          <cell r="F895">
            <v>24.597731105549268</v>
          </cell>
        </row>
        <row r="896">
          <cell r="A896" t="str">
            <v>31153AP</v>
          </cell>
          <cell r="F896">
            <v>24.597731105549268</v>
          </cell>
        </row>
        <row r="897">
          <cell r="A897" t="str">
            <v>31153BA</v>
          </cell>
          <cell r="F897">
            <v>24.597731105549268</v>
          </cell>
        </row>
        <row r="898">
          <cell r="A898" t="str">
            <v>31153CE</v>
          </cell>
          <cell r="F898">
            <v>24.597731105549268</v>
          </cell>
        </row>
        <row r="899">
          <cell r="A899" t="str">
            <v>31153DF</v>
          </cell>
          <cell r="F899">
            <v>24.597731105549268</v>
          </cell>
        </row>
        <row r="900">
          <cell r="A900" t="str">
            <v>31153ES</v>
          </cell>
          <cell r="F900">
            <v>24.597731105549268</v>
          </cell>
        </row>
        <row r="901">
          <cell r="A901" t="str">
            <v>31153GO</v>
          </cell>
          <cell r="F901">
            <v>24.597731105549268</v>
          </cell>
        </row>
        <row r="902">
          <cell r="A902" t="str">
            <v>31153MA</v>
          </cell>
          <cell r="F902">
            <v>24.597731105549268</v>
          </cell>
        </row>
        <row r="903">
          <cell r="A903" t="str">
            <v>31153MG</v>
          </cell>
          <cell r="F903">
            <v>24.597731105549268</v>
          </cell>
        </row>
        <row r="904">
          <cell r="A904" t="str">
            <v>31153MS</v>
          </cell>
          <cell r="F904">
            <v>24.597731105549268</v>
          </cell>
        </row>
        <row r="905">
          <cell r="A905" t="str">
            <v>31153MT</v>
          </cell>
          <cell r="F905">
            <v>24.597731105549268</v>
          </cell>
        </row>
        <row r="906">
          <cell r="A906" t="str">
            <v>31153PA</v>
          </cell>
          <cell r="F906">
            <v>24.597731105549268</v>
          </cell>
        </row>
        <row r="907">
          <cell r="A907" t="str">
            <v>31153PB</v>
          </cell>
          <cell r="F907">
            <v>24.597731105549268</v>
          </cell>
        </row>
        <row r="908">
          <cell r="A908" t="str">
            <v>31153PE</v>
          </cell>
          <cell r="F908">
            <v>24.597731105549268</v>
          </cell>
        </row>
        <row r="909">
          <cell r="A909" t="str">
            <v>31153PI</v>
          </cell>
          <cell r="F909">
            <v>24.597731105549268</v>
          </cell>
        </row>
        <row r="910">
          <cell r="A910" t="str">
            <v>31153PR</v>
          </cell>
          <cell r="F910">
            <v>24.597731105549268</v>
          </cell>
        </row>
        <row r="911">
          <cell r="A911" t="str">
            <v>31153RJ</v>
          </cell>
          <cell r="F911">
            <v>24.597731105549268</v>
          </cell>
        </row>
        <row r="912">
          <cell r="A912" t="str">
            <v>31153RN</v>
          </cell>
          <cell r="F912">
            <v>24.597731105549268</v>
          </cell>
        </row>
        <row r="913">
          <cell r="A913" t="str">
            <v>31153RO</v>
          </cell>
          <cell r="F913">
            <v>24.597731105549268</v>
          </cell>
        </row>
        <row r="914">
          <cell r="A914" t="str">
            <v>31153RR</v>
          </cell>
          <cell r="F914">
            <v>24.597731105549268</v>
          </cell>
        </row>
        <row r="915">
          <cell r="A915" t="str">
            <v>31153RS</v>
          </cell>
          <cell r="F915">
            <v>24.597731105549268</v>
          </cell>
        </row>
        <row r="916">
          <cell r="A916" t="str">
            <v>31153SC</v>
          </cell>
          <cell r="F916">
            <v>24.597731105549268</v>
          </cell>
        </row>
        <row r="917">
          <cell r="A917" t="str">
            <v>31153SE</v>
          </cell>
          <cell r="F917">
            <v>24.597731105549268</v>
          </cell>
        </row>
        <row r="918">
          <cell r="A918" t="str">
            <v>31153SP</v>
          </cell>
          <cell r="F918">
            <v>24.597731105549268</v>
          </cell>
        </row>
        <row r="919">
          <cell r="A919" t="str">
            <v>31153TO</v>
          </cell>
          <cell r="F919">
            <v>24.597731105549268</v>
          </cell>
        </row>
        <row r="920">
          <cell r="A920" t="str">
            <v>19193AC</v>
          </cell>
          <cell r="F920">
            <v>65.37986725495729</v>
          </cell>
        </row>
        <row r="921">
          <cell r="A921" t="str">
            <v>19193AL</v>
          </cell>
          <cell r="F921">
            <v>65.37986725495729</v>
          </cell>
        </row>
        <row r="922">
          <cell r="A922" t="str">
            <v>19193AM</v>
          </cell>
          <cell r="F922">
            <v>65.37986725495729</v>
          </cell>
        </row>
        <row r="923">
          <cell r="A923" t="str">
            <v>19193AP</v>
          </cell>
          <cell r="F923">
            <v>65.37986725495729</v>
          </cell>
        </row>
        <row r="924">
          <cell r="A924" t="str">
            <v>19193BA</v>
          </cell>
          <cell r="F924">
            <v>65.37986725495729</v>
          </cell>
        </row>
        <row r="925">
          <cell r="A925" t="str">
            <v>19193CE</v>
          </cell>
          <cell r="F925">
            <v>65.37986725495729</v>
          </cell>
        </row>
        <row r="926">
          <cell r="A926" t="str">
            <v>19193DF</v>
          </cell>
          <cell r="F926">
            <v>65.37986725495729</v>
          </cell>
        </row>
        <row r="927">
          <cell r="A927" t="str">
            <v>19193ES</v>
          </cell>
          <cell r="F927">
            <v>65.37986725495729</v>
          </cell>
        </row>
        <row r="928">
          <cell r="A928" t="str">
            <v>19193GO</v>
          </cell>
          <cell r="F928">
            <v>65.37986725495729</v>
          </cell>
        </row>
        <row r="929">
          <cell r="A929" t="str">
            <v>19193MA</v>
          </cell>
          <cell r="F929">
            <v>65.37986725495729</v>
          </cell>
        </row>
        <row r="930">
          <cell r="A930" t="str">
            <v>19193MG</v>
          </cell>
          <cell r="F930">
            <v>65.37986725495729</v>
          </cell>
        </row>
        <row r="931">
          <cell r="A931" t="str">
            <v>19193MS</v>
          </cell>
          <cell r="F931">
            <v>65.37986725495729</v>
          </cell>
        </row>
        <row r="932">
          <cell r="A932" t="str">
            <v>19193MT</v>
          </cell>
          <cell r="F932">
            <v>65.37986725495729</v>
          </cell>
        </row>
        <row r="933">
          <cell r="A933" t="str">
            <v>19193PA</v>
          </cell>
          <cell r="F933">
            <v>65.37986725495729</v>
          </cell>
        </row>
        <row r="934">
          <cell r="A934" t="str">
            <v>19193PB</v>
          </cell>
          <cell r="F934">
            <v>65.37986725495729</v>
          </cell>
        </row>
        <row r="935">
          <cell r="A935" t="str">
            <v>19193PE</v>
          </cell>
          <cell r="F935">
            <v>65.37986725495729</v>
          </cell>
        </row>
        <row r="936">
          <cell r="A936" t="str">
            <v>19193PI</v>
          </cell>
          <cell r="F936">
            <v>65.37986725495729</v>
          </cell>
        </row>
        <row r="937">
          <cell r="A937" t="str">
            <v>19193PR</v>
          </cell>
          <cell r="F937">
            <v>65.37986725495729</v>
          </cell>
        </row>
        <row r="938">
          <cell r="A938" t="str">
            <v>19193RJ</v>
          </cell>
          <cell r="F938">
            <v>65.37986725495729</v>
          </cell>
        </row>
        <row r="939">
          <cell r="A939" t="str">
            <v>19193RN</v>
          </cell>
          <cell r="F939">
            <v>65.37986725495729</v>
          </cell>
        </row>
        <row r="940">
          <cell r="A940" t="str">
            <v>19193RO</v>
          </cell>
          <cell r="F940">
            <v>65.37986725495729</v>
          </cell>
        </row>
        <row r="941">
          <cell r="A941" t="str">
            <v>19193RR</v>
          </cell>
          <cell r="F941">
            <v>65.37986725495729</v>
          </cell>
        </row>
        <row r="942">
          <cell r="A942" t="str">
            <v>19193RS</v>
          </cell>
          <cell r="F942">
            <v>65.37986725495729</v>
          </cell>
        </row>
        <row r="943">
          <cell r="A943" t="str">
            <v>19193SC</v>
          </cell>
          <cell r="F943">
            <v>65.37986725495729</v>
          </cell>
        </row>
        <row r="944">
          <cell r="A944" t="str">
            <v>19193SE</v>
          </cell>
          <cell r="F944">
            <v>65.37986725495729</v>
          </cell>
        </row>
        <row r="945">
          <cell r="A945" t="str">
            <v>19193SP</v>
          </cell>
          <cell r="F945">
            <v>65.37986725495729</v>
          </cell>
        </row>
        <row r="946">
          <cell r="A946" t="str">
            <v>19193TO</v>
          </cell>
          <cell r="F946">
            <v>65.37986725495729</v>
          </cell>
        </row>
        <row r="947">
          <cell r="A947" t="str">
            <v>2739AC</v>
          </cell>
          <cell r="F947">
            <v>0</v>
          </cell>
        </row>
        <row r="948">
          <cell r="A948" t="str">
            <v>2739AL</v>
          </cell>
          <cell r="F948">
            <v>0</v>
          </cell>
        </row>
        <row r="949">
          <cell r="A949" t="str">
            <v>2739AM</v>
          </cell>
          <cell r="F949">
            <v>0</v>
          </cell>
        </row>
        <row r="950">
          <cell r="A950" t="str">
            <v>2739AP</v>
          </cell>
          <cell r="F950">
            <v>0</v>
          </cell>
        </row>
        <row r="951">
          <cell r="A951" t="str">
            <v>2739BA</v>
          </cell>
          <cell r="F951">
            <v>0</v>
          </cell>
        </row>
        <row r="952">
          <cell r="A952" t="str">
            <v>2739CE</v>
          </cell>
          <cell r="F952">
            <v>0</v>
          </cell>
        </row>
        <row r="953">
          <cell r="A953" t="str">
            <v>2739DF</v>
          </cell>
          <cell r="F953">
            <v>0</v>
          </cell>
        </row>
        <row r="954">
          <cell r="A954" t="str">
            <v>2739ES</v>
          </cell>
          <cell r="F954">
            <v>0</v>
          </cell>
        </row>
        <row r="955">
          <cell r="A955" t="str">
            <v>2739GO</v>
          </cell>
          <cell r="F955">
            <v>0</v>
          </cell>
        </row>
        <row r="956">
          <cell r="A956" t="str">
            <v>2739MA</v>
          </cell>
          <cell r="F956">
            <v>0</v>
          </cell>
        </row>
        <row r="957">
          <cell r="A957" t="str">
            <v>2739MG</v>
          </cell>
          <cell r="F957">
            <v>0</v>
          </cell>
        </row>
        <row r="958">
          <cell r="A958" t="str">
            <v>2739MS</v>
          </cell>
          <cell r="F958">
            <v>0</v>
          </cell>
        </row>
        <row r="959">
          <cell r="A959" t="str">
            <v>2739MT</v>
          </cell>
          <cell r="F959">
            <v>0</v>
          </cell>
        </row>
        <row r="960">
          <cell r="A960" t="str">
            <v>2739PA</v>
          </cell>
          <cell r="F960">
            <v>0</v>
          </cell>
        </row>
        <row r="961">
          <cell r="A961" t="str">
            <v>2739PB</v>
          </cell>
          <cell r="F961">
            <v>0</v>
          </cell>
        </row>
        <row r="962">
          <cell r="A962" t="str">
            <v>2739PE</v>
          </cell>
          <cell r="F962">
            <v>0</v>
          </cell>
        </row>
        <row r="963">
          <cell r="A963" t="str">
            <v>2739PI</v>
          </cell>
          <cell r="F963">
            <v>0</v>
          </cell>
        </row>
        <row r="964">
          <cell r="A964" t="str">
            <v>2739PR</v>
          </cell>
          <cell r="F964">
            <v>0</v>
          </cell>
        </row>
        <row r="965">
          <cell r="A965" t="str">
            <v>2739RJ</v>
          </cell>
          <cell r="F965">
            <v>0</v>
          </cell>
        </row>
        <row r="966">
          <cell r="A966" t="str">
            <v>2739RN</v>
          </cell>
          <cell r="F966">
            <v>0</v>
          </cell>
        </row>
        <row r="967">
          <cell r="A967" t="str">
            <v>2739RO</v>
          </cell>
          <cell r="F967">
            <v>0</v>
          </cell>
        </row>
        <row r="968">
          <cell r="A968" t="str">
            <v>2739RR</v>
          </cell>
          <cell r="F968">
            <v>0</v>
          </cell>
        </row>
        <row r="969">
          <cell r="A969" t="str">
            <v>2739RS</v>
          </cell>
          <cell r="F969">
            <v>0</v>
          </cell>
        </row>
        <row r="970">
          <cell r="A970" t="str">
            <v>2739SC</v>
          </cell>
          <cell r="F970">
            <v>0</v>
          </cell>
        </row>
        <row r="971">
          <cell r="A971" t="str">
            <v>2739SE</v>
          </cell>
          <cell r="F971">
            <v>0</v>
          </cell>
        </row>
        <row r="972">
          <cell r="A972" t="str">
            <v>2739SP</v>
          </cell>
          <cell r="F972">
            <v>0</v>
          </cell>
        </row>
        <row r="973">
          <cell r="A973" t="str">
            <v>2739TO</v>
          </cell>
          <cell r="F973">
            <v>0</v>
          </cell>
        </row>
        <row r="974">
          <cell r="A974" t="str">
            <v>2737AC</v>
          </cell>
          <cell r="F974">
            <v>0</v>
          </cell>
        </row>
        <row r="975">
          <cell r="A975" t="str">
            <v>2737AL</v>
          </cell>
          <cell r="F975">
            <v>0</v>
          </cell>
        </row>
        <row r="976">
          <cell r="A976" t="str">
            <v>2737AM</v>
          </cell>
          <cell r="F976">
            <v>0</v>
          </cell>
        </row>
        <row r="977">
          <cell r="A977" t="str">
            <v>2737AP</v>
          </cell>
          <cell r="F977">
            <v>0</v>
          </cell>
        </row>
        <row r="978">
          <cell r="A978" t="str">
            <v>2737BA</v>
          </cell>
          <cell r="F978">
            <v>0</v>
          </cell>
        </row>
        <row r="979">
          <cell r="A979" t="str">
            <v>2737CE</v>
          </cell>
          <cell r="F979">
            <v>0</v>
          </cell>
        </row>
        <row r="980">
          <cell r="A980" t="str">
            <v>2737DF</v>
          </cell>
          <cell r="F980">
            <v>0</v>
          </cell>
        </row>
        <row r="981">
          <cell r="A981" t="str">
            <v>2737ES</v>
          </cell>
          <cell r="F981">
            <v>0</v>
          </cell>
        </row>
        <row r="982">
          <cell r="A982" t="str">
            <v>2737GO</v>
          </cell>
          <cell r="F982">
            <v>0</v>
          </cell>
        </row>
        <row r="983">
          <cell r="A983" t="str">
            <v>2737MA</v>
          </cell>
          <cell r="F983">
            <v>0</v>
          </cell>
        </row>
        <row r="984">
          <cell r="A984" t="str">
            <v>2737MG</v>
          </cell>
          <cell r="F984">
            <v>0</v>
          </cell>
        </row>
        <row r="985">
          <cell r="A985" t="str">
            <v>2737MS</v>
          </cell>
          <cell r="F985">
            <v>0</v>
          </cell>
        </row>
        <row r="986">
          <cell r="A986" t="str">
            <v>2737MT</v>
          </cell>
          <cell r="F986">
            <v>0</v>
          </cell>
        </row>
        <row r="987">
          <cell r="A987" t="str">
            <v>2737PA</v>
          </cell>
          <cell r="F987">
            <v>0</v>
          </cell>
        </row>
        <row r="988">
          <cell r="A988" t="str">
            <v>2737PB</v>
          </cell>
          <cell r="F988">
            <v>0</v>
          </cell>
        </row>
        <row r="989">
          <cell r="A989" t="str">
            <v>2737PE</v>
          </cell>
          <cell r="F989">
            <v>0</v>
          </cell>
        </row>
        <row r="990">
          <cell r="A990" t="str">
            <v>2737PI</v>
          </cell>
          <cell r="F990">
            <v>0</v>
          </cell>
        </row>
        <row r="991">
          <cell r="A991" t="str">
            <v>2737PR</v>
          </cell>
          <cell r="F991">
            <v>0</v>
          </cell>
        </row>
        <row r="992">
          <cell r="A992" t="str">
            <v>2737RJ</v>
          </cell>
          <cell r="F992">
            <v>0</v>
          </cell>
        </row>
        <row r="993">
          <cell r="A993" t="str">
            <v>2737RN</v>
          </cell>
          <cell r="F993">
            <v>0</v>
          </cell>
        </row>
        <row r="994">
          <cell r="A994" t="str">
            <v>2737RO</v>
          </cell>
          <cell r="F994">
            <v>0</v>
          </cell>
        </row>
        <row r="995">
          <cell r="A995" t="str">
            <v>2737RR</v>
          </cell>
          <cell r="F995">
            <v>0</v>
          </cell>
        </row>
        <row r="996">
          <cell r="A996" t="str">
            <v>2737RS</v>
          </cell>
          <cell r="F996">
            <v>0</v>
          </cell>
        </row>
        <row r="997">
          <cell r="A997" t="str">
            <v>2737SC</v>
          </cell>
          <cell r="F997">
            <v>0</v>
          </cell>
        </row>
        <row r="998">
          <cell r="A998" t="str">
            <v>2737SE</v>
          </cell>
          <cell r="F998">
            <v>0</v>
          </cell>
        </row>
        <row r="999">
          <cell r="A999" t="str">
            <v>2737SP</v>
          </cell>
          <cell r="F999">
            <v>0</v>
          </cell>
        </row>
        <row r="1000">
          <cell r="A1000" t="str">
            <v>2737TO</v>
          </cell>
          <cell r="F1000">
            <v>0</v>
          </cell>
        </row>
        <row r="1001">
          <cell r="A1001" t="str">
            <v>893563AC</v>
          </cell>
          <cell r="F1001">
            <v>30</v>
          </cell>
        </row>
        <row r="1002">
          <cell r="A1002" t="str">
            <v>893563AL</v>
          </cell>
          <cell r="F1002">
            <v>30</v>
          </cell>
        </row>
        <row r="1003">
          <cell r="A1003" t="str">
            <v>893563AM</v>
          </cell>
          <cell r="F1003">
            <v>30</v>
          </cell>
        </row>
        <row r="1004">
          <cell r="A1004" t="str">
            <v>893563AP</v>
          </cell>
          <cell r="F1004">
            <v>30</v>
          </cell>
        </row>
        <row r="1005">
          <cell r="A1005" t="str">
            <v>893563BA</v>
          </cell>
          <cell r="F1005">
            <v>30</v>
          </cell>
        </row>
        <row r="1006">
          <cell r="A1006" t="str">
            <v>893563CE</v>
          </cell>
          <cell r="F1006">
            <v>30</v>
          </cell>
        </row>
        <row r="1007">
          <cell r="A1007" t="str">
            <v>893563DF</v>
          </cell>
          <cell r="F1007">
            <v>30</v>
          </cell>
        </row>
        <row r="1008">
          <cell r="A1008" t="str">
            <v>893563ES</v>
          </cell>
          <cell r="F1008">
            <v>30</v>
          </cell>
        </row>
        <row r="1009">
          <cell r="A1009" t="str">
            <v>893563GO</v>
          </cell>
          <cell r="F1009">
            <v>30</v>
          </cell>
        </row>
        <row r="1010">
          <cell r="A1010" t="str">
            <v>893563MA</v>
          </cell>
          <cell r="F1010">
            <v>30</v>
          </cell>
        </row>
        <row r="1011">
          <cell r="A1011" t="str">
            <v>893563MG</v>
          </cell>
          <cell r="F1011">
            <v>30</v>
          </cell>
        </row>
        <row r="1012">
          <cell r="A1012" t="str">
            <v>893563MS</v>
          </cell>
          <cell r="F1012">
            <v>30</v>
          </cell>
        </row>
        <row r="1013">
          <cell r="A1013" t="str">
            <v>893563MT</v>
          </cell>
          <cell r="F1013">
            <v>30</v>
          </cell>
        </row>
        <row r="1014">
          <cell r="A1014" t="str">
            <v>893563PA</v>
          </cell>
          <cell r="F1014">
            <v>30</v>
          </cell>
        </row>
        <row r="1015">
          <cell r="A1015" t="str">
            <v>893563PB</v>
          </cell>
          <cell r="F1015">
            <v>30</v>
          </cell>
        </row>
        <row r="1016">
          <cell r="A1016" t="str">
            <v>893563PE</v>
          </cell>
          <cell r="F1016">
            <v>30</v>
          </cell>
        </row>
        <row r="1017">
          <cell r="A1017" t="str">
            <v>893563PI</v>
          </cell>
          <cell r="F1017">
            <v>30</v>
          </cell>
        </row>
        <row r="1018">
          <cell r="A1018" t="str">
            <v>893563PR</v>
          </cell>
          <cell r="F1018">
            <v>30</v>
          </cell>
        </row>
        <row r="1019">
          <cell r="A1019" t="str">
            <v>893563RJ</v>
          </cell>
          <cell r="F1019">
            <v>30</v>
          </cell>
        </row>
        <row r="1020">
          <cell r="A1020" t="str">
            <v>893563RN</v>
          </cell>
          <cell r="F1020">
            <v>30</v>
          </cell>
        </row>
        <row r="1021">
          <cell r="A1021" t="str">
            <v>893563RO</v>
          </cell>
          <cell r="F1021">
            <v>30</v>
          </cell>
        </row>
        <row r="1022">
          <cell r="A1022" t="str">
            <v>893563RR</v>
          </cell>
          <cell r="F1022">
            <v>30</v>
          </cell>
        </row>
        <row r="1023">
          <cell r="A1023" t="str">
            <v>893563RS</v>
          </cell>
          <cell r="F1023">
            <v>30</v>
          </cell>
        </row>
        <row r="1024">
          <cell r="A1024" t="str">
            <v>893563SC</v>
          </cell>
          <cell r="F1024">
            <v>30</v>
          </cell>
        </row>
        <row r="1025">
          <cell r="A1025" t="str">
            <v>893563SE</v>
          </cell>
          <cell r="F1025">
            <v>30</v>
          </cell>
        </row>
        <row r="1026">
          <cell r="A1026" t="str">
            <v>893563SP</v>
          </cell>
          <cell r="F1026">
            <v>30</v>
          </cell>
        </row>
        <row r="1027">
          <cell r="A1027" t="str">
            <v>893563TO</v>
          </cell>
          <cell r="F1027">
            <v>30</v>
          </cell>
        </row>
        <row r="1028">
          <cell r="A1028" t="str">
            <v>893559AC</v>
          </cell>
          <cell r="F1028">
            <v>30</v>
          </cell>
        </row>
        <row r="1029">
          <cell r="A1029" t="str">
            <v>893559AL</v>
          </cell>
          <cell r="F1029">
            <v>30</v>
          </cell>
        </row>
        <row r="1030">
          <cell r="A1030" t="str">
            <v>893559AM</v>
          </cell>
          <cell r="F1030">
            <v>30</v>
          </cell>
        </row>
        <row r="1031">
          <cell r="A1031" t="str">
            <v>893559AP</v>
          </cell>
          <cell r="F1031">
            <v>30</v>
          </cell>
        </row>
        <row r="1032">
          <cell r="A1032" t="str">
            <v>893559BA</v>
          </cell>
          <cell r="F1032">
            <v>30</v>
          </cell>
        </row>
        <row r="1033">
          <cell r="A1033" t="str">
            <v>893559CE</v>
          </cell>
          <cell r="F1033">
            <v>30</v>
          </cell>
        </row>
        <row r="1034">
          <cell r="A1034" t="str">
            <v>893559DF</v>
          </cell>
          <cell r="F1034">
            <v>30</v>
          </cell>
        </row>
        <row r="1035">
          <cell r="A1035" t="str">
            <v>893559ES</v>
          </cell>
          <cell r="F1035">
            <v>30</v>
          </cell>
        </row>
        <row r="1036">
          <cell r="A1036" t="str">
            <v>893559GO</v>
          </cell>
          <cell r="F1036">
            <v>30</v>
          </cell>
        </row>
        <row r="1037">
          <cell r="A1037" t="str">
            <v>893559MA</v>
          </cell>
          <cell r="F1037">
            <v>30</v>
          </cell>
        </row>
        <row r="1038">
          <cell r="A1038" t="str">
            <v>893559MG</v>
          </cell>
          <cell r="F1038">
            <v>30</v>
          </cell>
        </row>
        <row r="1039">
          <cell r="A1039" t="str">
            <v>893559MS</v>
          </cell>
          <cell r="F1039">
            <v>30</v>
          </cell>
        </row>
        <row r="1040">
          <cell r="A1040" t="str">
            <v>893559MT</v>
          </cell>
          <cell r="F1040">
            <v>30</v>
          </cell>
        </row>
        <row r="1041">
          <cell r="A1041" t="str">
            <v>893559PA</v>
          </cell>
          <cell r="F1041">
            <v>30</v>
          </cell>
        </row>
        <row r="1042">
          <cell r="A1042" t="str">
            <v>893559PB</v>
          </cell>
          <cell r="F1042">
            <v>30</v>
          </cell>
        </row>
        <row r="1043">
          <cell r="A1043" t="str">
            <v>893559PE</v>
          </cell>
          <cell r="F1043">
            <v>30</v>
          </cell>
        </row>
        <row r="1044">
          <cell r="A1044" t="str">
            <v>893559PI</v>
          </cell>
          <cell r="F1044">
            <v>30</v>
          </cell>
        </row>
        <row r="1045">
          <cell r="A1045" t="str">
            <v>893559PR</v>
          </cell>
          <cell r="F1045">
            <v>30</v>
          </cell>
        </row>
        <row r="1046">
          <cell r="A1046" t="str">
            <v>893559RJ</v>
          </cell>
          <cell r="F1046">
            <v>30</v>
          </cell>
        </row>
        <row r="1047">
          <cell r="A1047" t="str">
            <v>893559RN</v>
          </cell>
          <cell r="F1047">
            <v>30</v>
          </cell>
        </row>
        <row r="1048">
          <cell r="A1048" t="str">
            <v>893559RO</v>
          </cell>
          <cell r="F1048">
            <v>30</v>
          </cell>
        </row>
        <row r="1049">
          <cell r="A1049" t="str">
            <v>893559RR</v>
          </cell>
          <cell r="F1049">
            <v>30</v>
          </cell>
        </row>
        <row r="1050">
          <cell r="A1050" t="str">
            <v>893559RS</v>
          </cell>
          <cell r="F1050">
            <v>30</v>
          </cell>
        </row>
        <row r="1051">
          <cell r="A1051" t="str">
            <v>893559SC</v>
          </cell>
          <cell r="F1051">
            <v>30</v>
          </cell>
        </row>
        <row r="1052">
          <cell r="A1052" t="str">
            <v>893559SE</v>
          </cell>
          <cell r="F1052">
            <v>30</v>
          </cell>
        </row>
        <row r="1053">
          <cell r="A1053" t="str">
            <v>893559SP</v>
          </cell>
          <cell r="F1053">
            <v>30</v>
          </cell>
        </row>
        <row r="1054">
          <cell r="A1054" t="str">
            <v>893559TO</v>
          </cell>
          <cell r="F1054">
            <v>30</v>
          </cell>
        </row>
        <row r="1055">
          <cell r="A1055" t="str">
            <v>893435AC</v>
          </cell>
          <cell r="F1055">
            <v>30</v>
          </cell>
        </row>
        <row r="1056">
          <cell r="A1056" t="str">
            <v>893435AL</v>
          </cell>
          <cell r="F1056">
            <v>30</v>
          </cell>
        </row>
        <row r="1057">
          <cell r="A1057" t="str">
            <v>893435AM</v>
          </cell>
          <cell r="F1057">
            <v>30</v>
          </cell>
        </row>
        <row r="1058">
          <cell r="A1058" t="str">
            <v>893435AP</v>
          </cell>
          <cell r="F1058">
            <v>30</v>
          </cell>
        </row>
        <row r="1059">
          <cell r="A1059" t="str">
            <v>893435BA</v>
          </cell>
          <cell r="F1059">
            <v>30</v>
          </cell>
        </row>
        <row r="1060">
          <cell r="A1060" t="str">
            <v>893435CE</v>
          </cell>
          <cell r="F1060">
            <v>30</v>
          </cell>
        </row>
        <row r="1061">
          <cell r="A1061" t="str">
            <v>893435DF</v>
          </cell>
          <cell r="F1061">
            <v>30</v>
          </cell>
        </row>
        <row r="1062">
          <cell r="A1062" t="str">
            <v>893435ES</v>
          </cell>
          <cell r="F1062">
            <v>30</v>
          </cell>
        </row>
        <row r="1063">
          <cell r="A1063" t="str">
            <v>893435GO</v>
          </cell>
          <cell r="F1063">
            <v>30</v>
          </cell>
        </row>
        <row r="1064">
          <cell r="A1064" t="str">
            <v>893435MA</v>
          </cell>
          <cell r="F1064">
            <v>30</v>
          </cell>
        </row>
        <row r="1065">
          <cell r="A1065" t="str">
            <v>893435MG</v>
          </cell>
          <cell r="F1065">
            <v>30</v>
          </cell>
        </row>
        <row r="1066">
          <cell r="A1066" t="str">
            <v>893435MS</v>
          </cell>
          <cell r="F1066">
            <v>30</v>
          </cell>
        </row>
        <row r="1067">
          <cell r="A1067" t="str">
            <v>893435MT</v>
          </cell>
          <cell r="F1067">
            <v>30</v>
          </cell>
        </row>
        <row r="1068">
          <cell r="A1068" t="str">
            <v>893435PA</v>
          </cell>
          <cell r="F1068">
            <v>30</v>
          </cell>
        </row>
        <row r="1069">
          <cell r="A1069" t="str">
            <v>893435PB</v>
          </cell>
          <cell r="F1069">
            <v>30</v>
          </cell>
        </row>
        <row r="1070">
          <cell r="A1070" t="str">
            <v>893435PE</v>
          </cell>
          <cell r="F1070">
            <v>30</v>
          </cell>
        </row>
        <row r="1071">
          <cell r="A1071" t="str">
            <v>893435PI</v>
          </cell>
          <cell r="F1071">
            <v>30</v>
          </cell>
        </row>
        <row r="1072">
          <cell r="A1072" t="str">
            <v>893435PR</v>
          </cell>
          <cell r="F1072">
            <v>30</v>
          </cell>
        </row>
        <row r="1073">
          <cell r="A1073" t="str">
            <v>893435RJ</v>
          </cell>
          <cell r="F1073">
            <v>30</v>
          </cell>
        </row>
        <row r="1074">
          <cell r="A1074" t="str">
            <v>893435RN</v>
          </cell>
          <cell r="F1074">
            <v>30</v>
          </cell>
        </row>
        <row r="1075">
          <cell r="A1075" t="str">
            <v>893435RO</v>
          </cell>
          <cell r="F1075">
            <v>30</v>
          </cell>
        </row>
        <row r="1076">
          <cell r="A1076" t="str">
            <v>893435RR</v>
          </cell>
          <cell r="F1076">
            <v>30</v>
          </cell>
        </row>
        <row r="1077">
          <cell r="A1077" t="str">
            <v>893435RS</v>
          </cell>
          <cell r="F1077">
            <v>30</v>
          </cell>
        </row>
        <row r="1078">
          <cell r="A1078" t="str">
            <v>893435SC</v>
          </cell>
          <cell r="F1078">
            <v>30</v>
          </cell>
        </row>
        <row r="1079">
          <cell r="A1079" t="str">
            <v>893435SE</v>
          </cell>
          <cell r="F1079">
            <v>30</v>
          </cell>
        </row>
        <row r="1080">
          <cell r="A1080" t="str">
            <v>893435SP</v>
          </cell>
          <cell r="F1080">
            <v>30</v>
          </cell>
        </row>
        <row r="1081">
          <cell r="A1081" t="str">
            <v>893435TO</v>
          </cell>
          <cell r="F1081">
            <v>30</v>
          </cell>
        </row>
        <row r="1082">
          <cell r="A1082" t="str">
            <v>893682AC</v>
          </cell>
          <cell r="F1082">
            <v>30</v>
          </cell>
        </row>
        <row r="1083">
          <cell r="A1083" t="str">
            <v>893682AL</v>
          </cell>
          <cell r="F1083">
            <v>30</v>
          </cell>
        </row>
        <row r="1084">
          <cell r="A1084" t="str">
            <v>893682AM</v>
          </cell>
          <cell r="F1084">
            <v>30</v>
          </cell>
        </row>
        <row r="1085">
          <cell r="A1085" t="str">
            <v>893682AP</v>
          </cell>
          <cell r="F1085">
            <v>30</v>
          </cell>
        </row>
        <row r="1086">
          <cell r="A1086" t="str">
            <v>893682BA</v>
          </cell>
          <cell r="F1086">
            <v>30</v>
          </cell>
        </row>
        <row r="1087">
          <cell r="A1087" t="str">
            <v>893682CE</v>
          </cell>
          <cell r="F1087">
            <v>30</v>
          </cell>
        </row>
        <row r="1088">
          <cell r="A1088" t="str">
            <v>893682DF</v>
          </cell>
          <cell r="F1088">
            <v>30</v>
          </cell>
        </row>
        <row r="1089">
          <cell r="A1089" t="str">
            <v>893682ES</v>
          </cell>
          <cell r="F1089">
            <v>30</v>
          </cell>
        </row>
        <row r="1090">
          <cell r="A1090" t="str">
            <v>893682GO</v>
          </cell>
          <cell r="F1090">
            <v>30</v>
          </cell>
        </row>
        <row r="1091">
          <cell r="A1091" t="str">
            <v>893682MA</v>
          </cell>
          <cell r="F1091">
            <v>30</v>
          </cell>
        </row>
        <row r="1092">
          <cell r="A1092" t="str">
            <v>893682MG</v>
          </cell>
          <cell r="F1092">
            <v>30</v>
          </cell>
        </row>
        <row r="1093">
          <cell r="A1093" t="str">
            <v>893682MS</v>
          </cell>
          <cell r="F1093">
            <v>30</v>
          </cell>
        </row>
        <row r="1094">
          <cell r="A1094" t="str">
            <v>893682MT</v>
          </cell>
          <cell r="F1094">
            <v>30</v>
          </cell>
        </row>
        <row r="1095">
          <cell r="A1095" t="str">
            <v>893682PA</v>
          </cell>
          <cell r="F1095">
            <v>30</v>
          </cell>
        </row>
        <row r="1096">
          <cell r="A1096" t="str">
            <v>893682PB</v>
          </cell>
          <cell r="F1096">
            <v>30</v>
          </cell>
        </row>
        <row r="1097">
          <cell r="A1097" t="str">
            <v>893682PE</v>
          </cell>
          <cell r="F1097">
            <v>30</v>
          </cell>
        </row>
        <row r="1098">
          <cell r="A1098" t="str">
            <v>893682PI</v>
          </cell>
          <cell r="F1098">
            <v>30</v>
          </cell>
        </row>
        <row r="1099">
          <cell r="A1099" t="str">
            <v>893682PR</v>
          </cell>
          <cell r="F1099">
            <v>30</v>
          </cell>
        </row>
        <row r="1100">
          <cell r="A1100" t="str">
            <v>893682RJ</v>
          </cell>
          <cell r="F1100">
            <v>30</v>
          </cell>
        </row>
        <row r="1101">
          <cell r="A1101" t="str">
            <v>893682RN</v>
          </cell>
          <cell r="F1101">
            <v>30</v>
          </cell>
        </row>
        <row r="1102">
          <cell r="A1102" t="str">
            <v>893682RO</v>
          </cell>
          <cell r="F1102">
            <v>30</v>
          </cell>
        </row>
        <row r="1103">
          <cell r="A1103" t="str">
            <v>893682RR</v>
          </cell>
          <cell r="F1103">
            <v>30</v>
          </cell>
        </row>
        <row r="1104">
          <cell r="A1104" t="str">
            <v>893682RS</v>
          </cell>
          <cell r="F1104">
            <v>30</v>
          </cell>
        </row>
        <row r="1105">
          <cell r="A1105" t="str">
            <v>893682SC</v>
          </cell>
          <cell r="F1105">
            <v>30</v>
          </cell>
        </row>
        <row r="1106">
          <cell r="A1106" t="str">
            <v>893682SE</v>
          </cell>
          <cell r="F1106">
            <v>30</v>
          </cell>
        </row>
        <row r="1107">
          <cell r="A1107" t="str">
            <v>893682SP</v>
          </cell>
          <cell r="F1107">
            <v>30</v>
          </cell>
        </row>
        <row r="1108">
          <cell r="A1108" t="str">
            <v>893682TO</v>
          </cell>
          <cell r="F1108">
            <v>30</v>
          </cell>
        </row>
        <row r="1109">
          <cell r="A1109" t="str">
            <v>2741AC</v>
          </cell>
          <cell r="F1109">
            <v>0</v>
          </cell>
        </row>
        <row r="1110">
          <cell r="A1110" t="str">
            <v>2741AL</v>
          </cell>
          <cell r="F1110">
            <v>0</v>
          </cell>
        </row>
        <row r="1111">
          <cell r="A1111" t="str">
            <v>2741AM</v>
          </cell>
          <cell r="F1111">
            <v>0</v>
          </cell>
        </row>
        <row r="1112">
          <cell r="A1112" t="str">
            <v>2741AP</v>
          </cell>
          <cell r="F1112">
            <v>0</v>
          </cell>
        </row>
        <row r="1113">
          <cell r="A1113" t="str">
            <v>2741BA</v>
          </cell>
          <cell r="F1113">
            <v>0</v>
          </cell>
        </row>
        <row r="1114">
          <cell r="A1114" t="str">
            <v>2741CE</v>
          </cell>
          <cell r="F1114">
            <v>0</v>
          </cell>
        </row>
        <row r="1115">
          <cell r="A1115" t="str">
            <v>2741DF</v>
          </cell>
          <cell r="F1115">
            <v>0</v>
          </cell>
        </row>
        <row r="1116">
          <cell r="A1116" t="str">
            <v>2741ES</v>
          </cell>
          <cell r="F1116">
            <v>0</v>
          </cell>
        </row>
        <row r="1117">
          <cell r="A1117" t="str">
            <v>2741GO</v>
          </cell>
          <cell r="F1117">
            <v>0</v>
          </cell>
        </row>
        <row r="1118">
          <cell r="A1118" t="str">
            <v>2741MA</v>
          </cell>
          <cell r="F1118">
            <v>0</v>
          </cell>
        </row>
        <row r="1119">
          <cell r="A1119" t="str">
            <v>2741MG</v>
          </cell>
          <cell r="F1119">
            <v>0</v>
          </cell>
        </row>
        <row r="1120">
          <cell r="A1120" t="str">
            <v>2741MS</v>
          </cell>
          <cell r="F1120">
            <v>0</v>
          </cell>
        </row>
        <row r="1121">
          <cell r="A1121" t="str">
            <v>2741MT</v>
          </cell>
          <cell r="F1121">
            <v>0</v>
          </cell>
        </row>
        <row r="1122">
          <cell r="A1122" t="str">
            <v>2741PA</v>
          </cell>
          <cell r="F1122">
            <v>0</v>
          </cell>
        </row>
        <row r="1123">
          <cell r="A1123" t="str">
            <v>2741PB</v>
          </cell>
          <cell r="F1123">
            <v>0</v>
          </cell>
        </row>
        <row r="1124">
          <cell r="A1124" t="str">
            <v>2741PE</v>
          </cell>
          <cell r="F1124">
            <v>0</v>
          </cell>
        </row>
        <row r="1125">
          <cell r="A1125" t="str">
            <v>2741PI</v>
          </cell>
          <cell r="F1125">
            <v>0</v>
          </cell>
        </row>
        <row r="1126">
          <cell r="A1126" t="str">
            <v>2741PR</v>
          </cell>
          <cell r="F1126">
            <v>0</v>
          </cell>
        </row>
        <row r="1127">
          <cell r="A1127" t="str">
            <v>2741RJ</v>
          </cell>
          <cell r="F1127">
            <v>0</v>
          </cell>
        </row>
        <row r="1128">
          <cell r="A1128" t="str">
            <v>2741RN</v>
          </cell>
          <cell r="F1128">
            <v>0</v>
          </cell>
        </row>
        <row r="1129">
          <cell r="A1129" t="str">
            <v>2741RO</v>
          </cell>
          <cell r="F1129">
            <v>0</v>
          </cell>
        </row>
        <row r="1130">
          <cell r="A1130" t="str">
            <v>2741RR</v>
          </cell>
          <cell r="F1130">
            <v>0</v>
          </cell>
        </row>
        <row r="1131">
          <cell r="A1131" t="str">
            <v>2741RS</v>
          </cell>
          <cell r="F1131">
            <v>0</v>
          </cell>
        </row>
        <row r="1132">
          <cell r="A1132" t="str">
            <v>2741SC</v>
          </cell>
          <cell r="F1132">
            <v>0</v>
          </cell>
        </row>
        <row r="1133">
          <cell r="A1133" t="str">
            <v>2741SE</v>
          </cell>
          <cell r="F1133">
            <v>0</v>
          </cell>
        </row>
        <row r="1134">
          <cell r="A1134" t="str">
            <v>2741SP</v>
          </cell>
          <cell r="F1134">
            <v>0</v>
          </cell>
        </row>
        <row r="1135">
          <cell r="A1135" t="str">
            <v>2741TO</v>
          </cell>
          <cell r="F1135">
            <v>0</v>
          </cell>
        </row>
        <row r="1136">
          <cell r="A1136" t="str">
            <v>2743AC</v>
          </cell>
          <cell r="F1136">
            <v>0</v>
          </cell>
        </row>
        <row r="1137">
          <cell r="A1137" t="str">
            <v>2743AL</v>
          </cell>
          <cell r="F1137">
            <v>0</v>
          </cell>
        </row>
        <row r="1138">
          <cell r="A1138" t="str">
            <v>2743AM</v>
          </cell>
          <cell r="F1138">
            <v>0</v>
          </cell>
        </row>
        <row r="1139">
          <cell r="A1139" t="str">
            <v>2743AP</v>
          </cell>
          <cell r="F1139">
            <v>0</v>
          </cell>
        </row>
        <row r="1140">
          <cell r="A1140" t="str">
            <v>2743BA</v>
          </cell>
          <cell r="F1140">
            <v>0</v>
          </cell>
        </row>
        <row r="1141">
          <cell r="A1141" t="str">
            <v>2743CE</v>
          </cell>
          <cell r="F1141">
            <v>0</v>
          </cell>
        </row>
        <row r="1142">
          <cell r="A1142" t="str">
            <v>2743DF</v>
          </cell>
          <cell r="F1142">
            <v>0</v>
          </cell>
        </row>
        <row r="1143">
          <cell r="A1143" t="str">
            <v>2743ES</v>
          </cell>
          <cell r="F1143">
            <v>0</v>
          </cell>
        </row>
        <row r="1144">
          <cell r="A1144" t="str">
            <v>2743GO</v>
          </cell>
          <cell r="F1144">
            <v>0</v>
          </cell>
        </row>
        <row r="1145">
          <cell r="A1145" t="str">
            <v>2743MA</v>
          </cell>
          <cell r="F1145">
            <v>0</v>
          </cell>
        </row>
        <row r="1146">
          <cell r="A1146" t="str">
            <v>2743MG</v>
          </cell>
          <cell r="F1146">
            <v>0</v>
          </cell>
        </row>
        <row r="1147">
          <cell r="A1147" t="str">
            <v>2743MS</v>
          </cell>
          <cell r="F1147">
            <v>0</v>
          </cell>
        </row>
        <row r="1148">
          <cell r="A1148" t="str">
            <v>2743MT</v>
          </cell>
          <cell r="F1148">
            <v>0</v>
          </cell>
        </row>
        <row r="1149">
          <cell r="A1149" t="str">
            <v>2743PA</v>
          </cell>
          <cell r="F1149">
            <v>0</v>
          </cell>
        </row>
        <row r="1150">
          <cell r="A1150" t="str">
            <v>2743PB</v>
          </cell>
          <cell r="F1150">
            <v>0</v>
          </cell>
        </row>
        <row r="1151">
          <cell r="A1151" t="str">
            <v>2743PE</v>
          </cell>
          <cell r="F1151">
            <v>0</v>
          </cell>
        </row>
        <row r="1152">
          <cell r="A1152" t="str">
            <v>2743PI</v>
          </cell>
          <cell r="F1152">
            <v>0</v>
          </cell>
        </row>
        <row r="1153">
          <cell r="A1153" t="str">
            <v>2743PR</v>
          </cell>
          <cell r="F1153">
            <v>0</v>
          </cell>
        </row>
        <row r="1154">
          <cell r="A1154" t="str">
            <v>2743RJ</v>
          </cell>
          <cell r="F1154">
            <v>0</v>
          </cell>
        </row>
        <row r="1155">
          <cell r="A1155" t="str">
            <v>2743RN</v>
          </cell>
          <cell r="F1155">
            <v>0</v>
          </cell>
        </row>
        <row r="1156">
          <cell r="A1156" t="str">
            <v>2743RO</v>
          </cell>
          <cell r="F1156">
            <v>0</v>
          </cell>
        </row>
        <row r="1157">
          <cell r="A1157" t="str">
            <v>2743RR</v>
          </cell>
          <cell r="F1157">
            <v>0</v>
          </cell>
        </row>
        <row r="1158">
          <cell r="A1158" t="str">
            <v>2743RS</v>
          </cell>
          <cell r="F1158">
            <v>0</v>
          </cell>
        </row>
        <row r="1159">
          <cell r="A1159" t="str">
            <v>2743SC</v>
          </cell>
          <cell r="F1159">
            <v>0</v>
          </cell>
        </row>
        <row r="1160">
          <cell r="A1160" t="str">
            <v>2743SE</v>
          </cell>
          <cell r="F1160">
            <v>0</v>
          </cell>
        </row>
        <row r="1161">
          <cell r="A1161" t="str">
            <v>2743SP</v>
          </cell>
          <cell r="F1161">
            <v>0</v>
          </cell>
        </row>
        <row r="1162">
          <cell r="A1162" t="str">
            <v>2743TO</v>
          </cell>
          <cell r="F1162">
            <v>0</v>
          </cell>
        </row>
        <row r="1163">
          <cell r="A1163" t="str">
            <v>2698AC</v>
          </cell>
          <cell r="F1163">
            <v>30</v>
          </cell>
        </row>
        <row r="1164">
          <cell r="A1164" t="str">
            <v>2698AL</v>
          </cell>
          <cell r="F1164">
            <v>30</v>
          </cell>
        </row>
        <row r="1165">
          <cell r="A1165" t="str">
            <v>2698AM</v>
          </cell>
          <cell r="F1165">
            <v>30</v>
          </cell>
        </row>
        <row r="1166">
          <cell r="A1166" t="str">
            <v>2698AP</v>
          </cell>
          <cell r="F1166">
            <v>30</v>
          </cell>
        </row>
        <row r="1167">
          <cell r="A1167" t="str">
            <v>2698BA</v>
          </cell>
          <cell r="F1167">
            <v>30</v>
          </cell>
        </row>
        <row r="1168">
          <cell r="A1168" t="str">
            <v>2698CE</v>
          </cell>
          <cell r="F1168">
            <v>30</v>
          </cell>
        </row>
        <row r="1169">
          <cell r="A1169" t="str">
            <v>2698DF</v>
          </cell>
          <cell r="F1169">
            <v>30</v>
          </cell>
        </row>
        <row r="1170">
          <cell r="A1170" t="str">
            <v>2698ES</v>
          </cell>
          <cell r="F1170">
            <v>30</v>
          </cell>
        </row>
        <row r="1171">
          <cell r="A1171" t="str">
            <v>2698GO</v>
          </cell>
          <cell r="F1171">
            <v>30</v>
          </cell>
        </row>
        <row r="1172">
          <cell r="A1172" t="str">
            <v>2698MA</v>
          </cell>
          <cell r="F1172">
            <v>30</v>
          </cell>
        </row>
        <row r="1173">
          <cell r="A1173" t="str">
            <v>2698MG</v>
          </cell>
          <cell r="F1173">
            <v>30</v>
          </cell>
        </row>
        <row r="1174">
          <cell r="A1174" t="str">
            <v>2698MS</v>
          </cell>
          <cell r="F1174">
            <v>30</v>
          </cell>
        </row>
        <row r="1175">
          <cell r="A1175" t="str">
            <v>2698MT</v>
          </cell>
          <cell r="F1175">
            <v>30</v>
          </cell>
        </row>
        <row r="1176">
          <cell r="A1176" t="str">
            <v>2698PA</v>
          </cell>
          <cell r="F1176">
            <v>30</v>
          </cell>
        </row>
        <row r="1177">
          <cell r="A1177" t="str">
            <v>2698PB</v>
          </cell>
          <cell r="F1177">
            <v>30</v>
          </cell>
        </row>
        <row r="1178">
          <cell r="A1178" t="str">
            <v>2698PE</v>
          </cell>
          <cell r="F1178">
            <v>30</v>
          </cell>
        </row>
        <row r="1179">
          <cell r="A1179" t="str">
            <v>2698PI</v>
          </cell>
          <cell r="F1179">
            <v>30</v>
          </cell>
        </row>
        <row r="1180">
          <cell r="A1180" t="str">
            <v>2698PR</v>
          </cell>
          <cell r="F1180">
            <v>30</v>
          </cell>
        </row>
        <row r="1181">
          <cell r="A1181" t="str">
            <v>2698RJ</v>
          </cell>
          <cell r="F1181">
            <v>30</v>
          </cell>
        </row>
        <row r="1182">
          <cell r="A1182" t="str">
            <v>2698RN</v>
          </cell>
          <cell r="F1182">
            <v>30</v>
          </cell>
        </row>
        <row r="1183">
          <cell r="A1183" t="str">
            <v>2698RO</v>
          </cell>
          <cell r="F1183">
            <v>30</v>
          </cell>
        </row>
        <row r="1184">
          <cell r="A1184" t="str">
            <v>2698RR</v>
          </cell>
          <cell r="F1184">
            <v>30</v>
          </cell>
        </row>
        <row r="1185">
          <cell r="A1185" t="str">
            <v>2698RS</v>
          </cell>
          <cell r="F1185">
            <v>30</v>
          </cell>
        </row>
        <row r="1186">
          <cell r="A1186" t="str">
            <v>2698SC</v>
          </cell>
          <cell r="F1186">
            <v>30</v>
          </cell>
        </row>
        <row r="1187">
          <cell r="A1187" t="str">
            <v>2698SE</v>
          </cell>
          <cell r="F1187">
            <v>30</v>
          </cell>
        </row>
        <row r="1188">
          <cell r="A1188" t="str">
            <v>2698SP</v>
          </cell>
          <cell r="F1188">
            <v>30</v>
          </cell>
        </row>
        <row r="1189">
          <cell r="A1189" t="str">
            <v>2698TO</v>
          </cell>
          <cell r="F1189">
            <v>30</v>
          </cell>
        </row>
        <row r="1190">
          <cell r="A1190" t="str">
            <v>2701AC</v>
          </cell>
          <cell r="F1190">
            <v>30</v>
          </cell>
        </row>
        <row r="1191">
          <cell r="A1191" t="str">
            <v>2701AL</v>
          </cell>
          <cell r="F1191">
            <v>30</v>
          </cell>
        </row>
        <row r="1192">
          <cell r="A1192" t="str">
            <v>2701AM</v>
          </cell>
          <cell r="F1192">
            <v>30</v>
          </cell>
        </row>
        <row r="1193">
          <cell r="A1193" t="str">
            <v>2701AP</v>
          </cell>
          <cell r="F1193">
            <v>30</v>
          </cell>
        </row>
        <row r="1194">
          <cell r="A1194" t="str">
            <v>2701BA</v>
          </cell>
          <cell r="F1194">
            <v>30</v>
          </cell>
        </row>
        <row r="1195">
          <cell r="A1195" t="str">
            <v>2701CE</v>
          </cell>
          <cell r="F1195">
            <v>30</v>
          </cell>
        </row>
        <row r="1196">
          <cell r="A1196" t="str">
            <v>2701DF</v>
          </cell>
          <cell r="F1196">
            <v>30</v>
          </cell>
        </row>
        <row r="1197">
          <cell r="A1197" t="str">
            <v>2701ES</v>
          </cell>
          <cell r="F1197">
            <v>30</v>
          </cell>
        </row>
        <row r="1198">
          <cell r="A1198" t="str">
            <v>2701GO</v>
          </cell>
          <cell r="F1198">
            <v>30</v>
          </cell>
        </row>
        <row r="1199">
          <cell r="A1199" t="str">
            <v>2701MA</v>
          </cell>
          <cell r="F1199">
            <v>30</v>
          </cell>
        </row>
        <row r="1200">
          <cell r="A1200" t="str">
            <v>2701MG</v>
          </cell>
          <cell r="F1200">
            <v>30</v>
          </cell>
        </row>
        <row r="1201">
          <cell r="A1201" t="str">
            <v>2701MS</v>
          </cell>
          <cell r="F1201">
            <v>30</v>
          </cell>
        </row>
        <row r="1202">
          <cell r="A1202" t="str">
            <v>2701MT</v>
          </cell>
          <cell r="F1202">
            <v>30</v>
          </cell>
        </row>
        <row r="1203">
          <cell r="A1203" t="str">
            <v>2701PA</v>
          </cell>
          <cell r="F1203">
            <v>30</v>
          </cell>
        </row>
        <row r="1204">
          <cell r="A1204" t="str">
            <v>2701PB</v>
          </cell>
          <cell r="F1204">
            <v>30</v>
          </cell>
        </row>
        <row r="1205">
          <cell r="A1205" t="str">
            <v>2701PE</v>
          </cell>
          <cell r="F1205">
            <v>30</v>
          </cell>
        </row>
        <row r="1206">
          <cell r="A1206" t="str">
            <v>2701PI</v>
          </cell>
          <cell r="F1206">
            <v>30</v>
          </cell>
        </row>
        <row r="1207">
          <cell r="A1207" t="str">
            <v>2701PR</v>
          </cell>
          <cell r="F1207">
            <v>30</v>
          </cell>
        </row>
        <row r="1208">
          <cell r="A1208" t="str">
            <v>2701RJ</v>
          </cell>
          <cell r="F1208">
            <v>30</v>
          </cell>
        </row>
        <row r="1209">
          <cell r="A1209" t="str">
            <v>2701RN</v>
          </cell>
          <cell r="F1209">
            <v>30</v>
          </cell>
        </row>
        <row r="1210">
          <cell r="A1210" t="str">
            <v>2701RO</v>
          </cell>
          <cell r="F1210">
            <v>30</v>
          </cell>
        </row>
        <row r="1211">
          <cell r="A1211" t="str">
            <v>2701RR</v>
          </cell>
          <cell r="F1211">
            <v>30</v>
          </cell>
        </row>
        <row r="1212">
          <cell r="A1212" t="str">
            <v>2701RS</v>
          </cell>
          <cell r="F1212">
            <v>30</v>
          </cell>
        </row>
        <row r="1213">
          <cell r="A1213" t="str">
            <v>2701SC</v>
          </cell>
          <cell r="F1213">
            <v>30</v>
          </cell>
        </row>
        <row r="1214">
          <cell r="A1214" t="str">
            <v>2701SE</v>
          </cell>
          <cell r="F1214">
            <v>30</v>
          </cell>
        </row>
        <row r="1215">
          <cell r="A1215" t="str">
            <v>2701SP</v>
          </cell>
          <cell r="F1215">
            <v>30</v>
          </cell>
        </row>
        <row r="1216">
          <cell r="A1216" t="str">
            <v>2701TO</v>
          </cell>
          <cell r="F1216">
            <v>30</v>
          </cell>
        </row>
        <row r="1217">
          <cell r="A1217" t="str">
            <v>2744AC</v>
          </cell>
          <cell r="F1217">
            <v>0</v>
          </cell>
        </row>
        <row r="1218">
          <cell r="A1218" t="str">
            <v>2744AL</v>
          </cell>
          <cell r="F1218">
            <v>0</v>
          </cell>
        </row>
        <row r="1219">
          <cell r="A1219" t="str">
            <v>2744AM</v>
          </cell>
          <cell r="F1219">
            <v>0</v>
          </cell>
        </row>
        <row r="1220">
          <cell r="A1220" t="str">
            <v>2744AP</v>
          </cell>
          <cell r="F1220">
            <v>0</v>
          </cell>
        </row>
        <row r="1221">
          <cell r="A1221" t="str">
            <v>2744BA</v>
          </cell>
          <cell r="F1221">
            <v>0</v>
          </cell>
        </row>
        <row r="1222">
          <cell r="A1222" t="str">
            <v>2744CE</v>
          </cell>
          <cell r="F1222">
            <v>0</v>
          </cell>
        </row>
        <row r="1223">
          <cell r="A1223" t="str">
            <v>2744DF</v>
          </cell>
          <cell r="F1223">
            <v>0</v>
          </cell>
        </row>
        <row r="1224">
          <cell r="A1224" t="str">
            <v>2744ES</v>
          </cell>
          <cell r="F1224">
            <v>0</v>
          </cell>
        </row>
        <row r="1225">
          <cell r="A1225" t="str">
            <v>2744GO</v>
          </cell>
          <cell r="F1225">
            <v>0</v>
          </cell>
        </row>
        <row r="1226">
          <cell r="A1226" t="str">
            <v>2744MA</v>
          </cell>
          <cell r="F1226">
            <v>0</v>
          </cell>
        </row>
        <row r="1227">
          <cell r="A1227" t="str">
            <v>2744MG</v>
          </cell>
          <cell r="F1227">
            <v>0</v>
          </cell>
        </row>
        <row r="1228">
          <cell r="A1228" t="str">
            <v>2744MS</v>
          </cell>
          <cell r="F1228">
            <v>0</v>
          </cell>
        </row>
        <row r="1229">
          <cell r="A1229" t="str">
            <v>2744MT</v>
          </cell>
          <cell r="F1229">
            <v>0</v>
          </cell>
        </row>
        <row r="1230">
          <cell r="A1230" t="str">
            <v>2744PA</v>
          </cell>
          <cell r="F1230">
            <v>0</v>
          </cell>
        </row>
        <row r="1231">
          <cell r="A1231" t="str">
            <v>2744PB</v>
          </cell>
          <cell r="F1231">
            <v>0</v>
          </cell>
        </row>
        <row r="1232">
          <cell r="A1232" t="str">
            <v>2744PE</v>
          </cell>
          <cell r="F1232">
            <v>0</v>
          </cell>
        </row>
        <row r="1233">
          <cell r="A1233" t="str">
            <v>2744PI</v>
          </cell>
          <cell r="F1233">
            <v>0</v>
          </cell>
        </row>
        <row r="1234">
          <cell r="A1234" t="str">
            <v>2744PR</v>
          </cell>
          <cell r="F1234">
            <v>0</v>
          </cell>
        </row>
        <row r="1235">
          <cell r="A1235" t="str">
            <v>2744RJ</v>
          </cell>
          <cell r="F1235">
            <v>0</v>
          </cell>
        </row>
        <row r="1236">
          <cell r="A1236" t="str">
            <v>2744RN</v>
          </cell>
          <cell r="F1236">
            <v>0</v>
          </cell>
        </row>
        <row r="1237">
          <cell r="A1237" t="str">
            <v>2744RO</v>
          </cell>
          <cell r="F1237">
            <v>0</v>
          </cell>
        </row>
        <row r="1238">
          <cell r="A1238" t="str">
            <v>2744RR</v>
          </cell>
          <cell r="F1238">
            <v>0</v>
          </cell>
        </row>
        <row r="1239">
          <cell r="A1239" t="str">
            <v>2744RS</v>
          </cell>
          <cell r="F1239">
            <v>0</v>
          </cell>
        </row>
        <row r="1240">
          <cell r="A1240" t="str">
            <v>2744SC</v>
          </cell>
          <cell r="F1240">
            <v>0</v>
          </cell>
        </row>
        <row r="1241">
          <cell r="A1241" t="str">
            <v>2744SE</v>
          </cell>
          <cell r="F1241">
            <v>0</v>
          </cell>
        </row>
        <row r="1242">
          <cell r="A1242" t="str">
            <v>2744SP</v>
          </cell>
          <cell r="F1242">
            <v>0</v>
          </cell>
        </row>
        <row r="1243">
          <cell r="A1243" t="str">
            <v>2744TO</v>
          </cell>
          <cell r="F1243">
            <v>0</v>
          </cell>
        </row>
        <row r="1244">
          <cell r="A1244" t="str">
            <v>2700AC</v>
          </cell>
          <cell r="F1244">
            <v>30</v>
          </cell>
        </row>
        <row r="1245">
          <cell r="A1245" t="str">
            <v>2700AL</v>
          </cell>
          <cell r="F1245">
            <v>30</v>
          </cell>
        </row>
        <row r="1246">
          <cell r="A1246" t="str">
            <v>2700AM</v>
          </cell>
          <cell r="F1246">
            <v>30</v>
          </cell>
        </row>
        <row r="1247">
          <cell r="A1247" t="str">
            <v>2700AP</v>
          </cell>
          <cell r="F1247">
            <v>30</v>
          </cell>
        </row>
        <row r="1248">
          <cell r="A1248" t="str">
            <v>2700BA</v>
          </cell>
          <cell r="F1248">
            <v>30</v>
          </cell>
        </row>
        <row r="1249">
          <cell r="A1249" t="str">
            <v>2700CE</v>
          </cell>
          <cell r="F1249">
            <v>30</v>
          </cell>
        </row>
        <row r="1250">
          <cell r="A1250" t="str">
            <v>2700DF</v>
          </cell>
          <cell r="F1250">
            <v>30</v>
          </cell>
        </row>
        <row r="1251">
          <cell r="A1251" t="str">
            <v>2700ES</v>
          </cell>
          <cell r="F1251">
            <v>30</v>
          </cell>
        </row>
        <row r="1252">
          <cell r="A1252" t="str">
            <v>2700GO</v>
          </cell>
          <cell r="F1252">
            <v>30</v>
          </cell>
        </row>
        <row r="1253">
          <cell r="A1253" t="str">
            <v>2700MA</v>
          </cell>
          <cell r="F1253">
            <v>30</v>
          </cell>
        </row>
        <row r="1254">
          <cell r="A1254" t="str">
            <v>2700MG</v>
          </cell>
          <cell r="F1254">
            <v>30</v>
          </cell>
        </row>
        <row r="1255">
          <cell r="A1255" t="str">
            <v>2700MS</v>
          </cell>
          <cell r="F1255">
            <v>30</v>
          </cell>
        </row>
        <row r="1256">
          <cell r="A1256" t="str">
            <v>2700MT</v>
          </cell>
          <cell r="F1256">
            <v>30</v>
          </cell>
        </row>
        <row r="1257">
          <cell r="A1257" t="str">
            <v>2700PA</v>
          </cell>
          <cell r="F1257">
            <v>30</v>
          </cell>
        </row>
        <row r="1258">
          <cell r="A1258" t="str">
            <v>2700PB</v>
          </cell>
          <cell r="F1258">
            <v>30</v>
          </cell>
        </row>
        <row r="1259">
          <cell r="A1259" t="str">
            <v>2700PE</v>
          </cell>
          <cell r="F1259">
            <v>30</v>
          </cell>
        </row>
        <row r="1260">
          <cell r="A1260" t="str">
            <v>2700PI</v>
          </cell>
          <cell r="F1260">
            <v>30</v>
          </cell>
        </row>
        <row r="1261">
          <cell r="A1261" t="str">
            <v>2700PR</v>
          </cell>
          <cell r="F1261">
            <v>30</v>
          </cell>
        </row>
        <row r="1262">
          <cell r="A1262" t="str">
            <v>2700RJ</v>
          </cell>
          <cell r="F1262">
            <v>30</v>
          </cell>
        </row>
        <row r="1263">
          <cell r="A1263" t="str">
            <v>2700RN</v>
          </cell>
          <cell r="F1263">
            <v>30</v>
          </cell>
        </row>
        <row r="1264">
          <cell r="A1264" t="str">
            <v>2700RO</v>
          </cell>
          <cell r="F1264">
            <v>30</v>
          </cell>
        </row>
        <row r="1265">
          <cell r="A1265" t="str">
            <v>2700RR</v>
          </cell>
          <cell r="F1265">
            <v>30</v>
          </cell>
        </row>
        <row r="1266">
          <cell r="A1266" t="str">
            <v>2700RS</v>
          </cell>
          <cell r="F1266">
            <v>30</v>
          </cell>
        </row>
        <row r="1267">
          <cell r="A1267" t="str">
            <v>2700SC</v>
          </cell>
          <cell r="F1267">
            <v>30</v>
          </cell>
        </row>
        <row r="1268">
          <cell r="A1268" t="str">
            <v>2700SE</v>
          </cell>
          <cell r="F1268">
            <v>30</v>
          </cell>
        </row>
        <row r="1269">
          <cell r="A1269" t="str">
            <v>2700SP</v>
          </cell>
          <cell r="F1269">
            <v>30</v>
          </cell>
        </row>
        <row r="1270">
          <cell r="A1270" t="str">
            <v>2700TO</v>
          </cell>
          <cell r="F1270">
            <v>30</v>
          </cell>
        </row>
        <row r="1271">
          <cell r="A1271" t="str">
            <v>2703AC</v>
          </cell>
          <cell r="F1271">
            <v>30</v>
          </cell>
        </row>
        <row r="1272">
          <cell r="A1272" t="str">
            <v>2703AL</v>
          </cell>
          <cell r="F1272">
            <v>30</v>
          </cell>
        </row>
        <row r="1273">
          <cell r="A1273" t="str">
            <v>2703AM</v>
          </cell>
          <cell r="F1273">
            <v>30</v>
          </cell>
        </row>
        <row r="1274">
          <cell r="A1274" t="str">
            <v>2703AP</v>
          </cell>
          <cell r="F1274">
            <v>30</v>
          </cell>
        </row>
        <row r="1275">
          <cell r="A1275" t="str">
            <v>2703BA</v>
          </cell>
          <cell r="F1275">
            <v>30</v>
          </cell>
        </row>
        <row r="1276">
          <cell r="A1276" t="str">
            <v>2703CE</v>
          </cell>
          <cell r="F1276">
            <v>30</v>
          </cell>
        </row>
        <row r="1277">
          <cell r="A1277" t="str">
            <v>2703DF</v>
          </cell>
          <cell r="F1277">
            <v>30</v>
          </cell>
        </row>
        <row r="1278">
          <cell r="A1278" t="str">
            <v>2703ES</v>
          </cell>
          <cell r="F1278">
            <v>30</v>
          </cell>
        </row>
        <row r="1279">
          <cell r="A1279" t="str">
            <v>2703GO</v>
          </cell>
          <cell r="F1279">
            <v>30</v>
          </cell>
        </row>
        <row r="1280">
          <cell r="A1280" t="str">
            <v>2703MA</v>
          </cell>
          <cell r="F1280">
            <v>30</v>
          </cell>
        </row>
        <row r="1281">
          <cell r="A1281" t="str">
            <v>2703MG</v>
          </cell>
          <cell r="F1281">
            <v>30</v>
          </cell>
        </row>
        <row r="1282">
          <cell r="A1282" t="str">
            <v>2703MS</v>
          </cell>
          <cell r="F1282">
            <v>30</v>
          </cell>
        </row>
        <row r="1283">
          <cell r="A1283" t="str">
            <v>2703MT</v>
          </cell>
          <cell r="F1283">
            <v>30</v>
          </cell>
        </row>
        <row r="1284">
          <cell r="A1284" t="str">
            <v>2703PA</v>
          </cell>
          <cell r="F1284">
            <v>30</v>
          </cell>
        </row>
        <row r="1285">
          <cell r="A1285" t="str">
            <v>2703PB</v>
          </cell>
          <cell r="F1285">
            <v>30</v>
          </cell>
        </row>
        <row r="1286">
          <cell r="A1286" t="str">
            <v>2703PE</v>
          </cell>
          <cell r="F1286">
            <v>30</v>
          </cell>
        </row>
        <row r="1287">
          <cell r="A1287" t="str">
            <v>2703PI</v>
          </cell>
          <cell r="F1287">
            <v>30</v>
          </cell>
        </row>
        <row r="1288">
          <cell r="A1288" t="str">
            <v>2703PR</v>
          </cell>
          <cell r="F1288">
            <v>30</v>
          </cell>
        </row>
        <row r="1289">
          <cell r="A1289" t="str">
            <v>2703RJ</v>
          </cell>
          <cell r="F1289">
            <v>30</v>
          </cell>
        </row>
        <row r="1290">
          <cell r="A1290" t="str">
            <v>2703RN</v>
          </cell>
          <cell r="F1290">
            <v>30</v>
          </cell>
        </row>
        <row r="1291">
          <cell r="A1291" t="str">
            <v>2703RO</v>
          </cell>
          <cell r="F1291">
            <v>30</v>
          </cell>
        </row>
        <row r="1292">
          <cell r="A1292" t="str">
            <v>2703RR</v>
          </cell>
          <cell r="F1292">
            <v>30</v>
          </cell>
        </row>
        <row r="1293">
          <cell r="A1293" t="str">
            <v>2703RS</v>
          </cell>
          <cell r="F1293">
            <v>30</v>
          </cell>
        </row>
        <row r="1294">
          <cell r="A1294" t="str">
            <v>2703SC</v>
          </cell>
          <cell r="F1294">
            <v>30</v>
          </cell>
        </row>
        <row r="1295">
          <cell r="A1295" t="str">
            <v>2703SE</v>
          </cell>
          <cell r="F1295">
            <v>30</v>
          </cell>
        </row>
        <row r="1296">
          <cell r="A1296" t="str">
            <v>2703SP</v>
          </cell>
          <cell r="F1296">
            <v>30</v>
          </cell>
        </row>
        <row r="1297">
          <cell r="A1297" t="str">
            <v>2703TO</v>
          </cell>
          <cell r="F1297">
            <v>30</v>
          </cell>
        </row>
        <row r="1298">
          <cell r="A1298" t="str">
            <v>2738AC</v>
          </cell>
          <cell r="F1298">
            <v>30</v>
          </cell>
        </row>
        <row r="1299">
          <cell r="A1299" t="str">
            <v>2738AL</v>
          </cell>
          <cell r="F1299">
            <v>30</v>
          </cell>
        </row>
        <row r="1300">
          <cell r="A1300" t="str">
            <v>2738AM</v>
          </cell>
          <cell r="F1300">
            <v>30</v>
          </cell>
        </row>
        <row r="1301">
          <cell r="A1301" t="str">
            <v>2738AP</v>
          </cell>
          <cell r="F1301">
            <v>30</v>
          </cell>
        </row>
        <row r="1302">
          <cell r="A1302" t="str">
            <v>2738BA</v>
          </cell>
          <cell r="F1302">
            <v>30</v>
          </cell>
        </row>
        <row r="1303">
          <cell r="A1303" t="str">
            <v>2738CE</v>
          </cell>
          <cell r="F1303">
            <v>30</v>
          </cell>
        </row>
        <row r="1304">
          <cell r="A1304" t="str">
            <v>2738DF</v>
          </cell>
          <cell r="F1304">
            <v>30</v>
          </cell>
        </row>
        <row r="1305">
          <cell r="A1305" t="str">
            <v>2738ES</v>
          </cell>
          <cell r="F1305">
            <v>30</v>
          </cell>
        </row>
        <row r="1306">
          <cell r="A1306" t="str">
            <v>2738GO</v>
          </cell>
          <cell r="F1306">
            <v>30</v>
          </cell>
        </row>
        <row r="1307">
          <cell r="A1307" t="str">
            <v>2738MA</v>
          </cell>
          <cell r="F1307">
            <v>30</v>
          </cell>
        </row>
        <row r="1308">
          <cell r="A1308" t="str">
            <v>2738MG</v>
          </cell>
          <cell r="F1308">
            <v>30</v>
          </cell>
        </row>
        <row r="1309">
          <cell r="A1309" t="str">
            <v>2738MS</v>
          </cell>
          <cell r="F1309">
            <v>30</v>
          </cell>
        </row>
        <row r="1310">
          <cell r="A1310" t="str">
            <v>2738MT</v>
          </cell>
          <cell r="F1310">
            <v>30</v>
          </cell>
        </row>
        <row r="1311">
          <cell r="A1311" t="str">
            <v>2738PA</v>
          </cell>
          <cell r="F1311">
            <v>30</v>
          </cell>
        </row>
        <row r="1312">
          <cell r="A1312" t="str">
            <v>2738PB</v>
          </cell>
          <cell r="F1312">
            <v>30</v>
          </cell>
        </row>
        <row r="1313">
          <cell r="A1313" t="str">
            <v>2738PE</v>
          </cell>
          <cell r="F1313">
            <v>30</v>
          </cell>
        </row>
        <row r="1314">
          <cell r="A1314" t="str">
            <v>2738PI</v>
          </cell>
          <cell r="F1314">
            <v>30</v>
          </cell>
        </row>
        <row r="1315">
          <cell r="A1315" t="str">
            <v>2738PR</v>
          </cell>
          <cell r="F1315">
            <v>30</v>
          </cell>
        </row>
        <row r="1316">
          <cell r="A1316" t="str">
            <v>2738RJ</v>
          </cell>
          <cell r="F1316">
            <v>30</v>
          </cell>
        </row>
        <row r="1317">
          <cell r="A1317" t="str">
            <v>2738RN</v>
          </cell>
          <cell r="F1317">
            <v>30</v>
          </cell>
        </row>
        <row r="1318">
          <cell r="A1318" t="str">
            <v>2738RO</v>
          </cell>
          <cell r="F1318">
            <v>30</v>
          </cell>
        </row>
        <row r="1319">
          <cell r="A1319" t="str">
            <v>2738RR</v>
          </cell>
          <cell r="F1319">
            <v>30</v>
          </cell>
        </row>
        <row r="1320">
          <cell r="A1320" t="str">
            <v>2738RS</v>
          </cell>
          <cell r="F1320">
            <v>30</v>
          </cell>
        </row>
        <row r="1321">
          <cell r="A1321" t="str">
            <v>2738SC</v>
          </cell>
          <cell r="F1321">
            <v>30</v>
          </cell>
        </row>
        <row r="1322">
          <cell r="A1322" t="str">
            <v>2738SE</v>
          </cell>
          <cell r="F1322">
            <v>30</v>
          </cell>
        </row>
        <row r="1323">
          <cell r="A1323" t="str">
            <v>2738SP</v>
          </cell>
          <cell r="F1323">
            <v>30</v>
          </cell>
        </row>
        <row r="1324">
          <cell r="A1324" t="str">
            <v>2738TO</v>
          </cell>
          <cell r="F1324">
            <v>30</v>
          </cell>
        </row>
        <row r="1325">
          <cell r="A1325" t="str">
            <v>2699AC</v>
          </cell>
          <cell r="F1325">
            <v>30</v>
          </cell>
        </row>
        <row r="1326">
          <cell r="A1326" t="str">
            <v>2699AL</v>
          </cell>
          <cell r="F1326">
            <v>30</v>
          </cell>
        </row>
        <row r="1327">
          <cell r="A1327" t="str">
            <v>2699AM</v>
          </cell>
          <cell r="F1327">
            <v>30</v>
          </cell>
        </row>
        <row r="1328">
          <cell r="A1328" t="str">
            <v>2699AP</v>
          </cell>
          <cell r="F1328">
            <v>30</v>
          </cell>
        </row>
        <row r="1329">
          <cell r="A1329" t="str">
            <v>2699BA</v>
          </cell>
          <cell r="F1329">
            <v>30</v>
          </cell>
        </row>
        <row r="1330">
          <cell r="A1330" t="str">
            <v>2699CE</v>
          </cell>
          <cell r="F1330">
            <v>30</v>
          </cell>
        </row>
        <row r="1331">
          <cell r="A1331" t="str">
            <v>2699DF</v>
          </cell>
          <cell r="F1331">
            <v>30</v>
          </cell>
        </row>
        <row r="1332">
          <cell r="A1332" t="str">
            <v>2699ES</v>
          </cell>
          <cell r="F1332">
            <v>30</v>
          </cell>
        </row>
        <row r="1333">
          <cell r="A1333" t="str">
            <v>2699GO</v>
          </cell>
          <cell r="F1333">
            <v>30</v>
          </cell>
        </row>
        <row r="1334">
          <cell r="A1334" t="str">
            <v>2699MA</v>
          </cell>
          <cell r="F1334">
            <v>30</v>
          </cell>
        </row>
        <row r="1335">
          <cell r="A1335" t="str">
            <v>2699MG</v>
          </cell>
          <cell r="F1335">
            <v>30</v>
          </cell>
        </row>
        <row r="1336">
          <cell r="A1336" t="str">
            <v>2699MS</v>
          </cell>
          <cell r="F1336">
            <v>30</v>
          </cell>
        </row>
        <row r="1337">
          <cell r="A1337" t="str">
            <v>2699MT</v>
          </cell>
          <cell r="F1337">
            <v>30</v>
          </cell>
        </row>
        <row r="1338">
          <cell r="A1338" t="str">
            <v>2699PA</v>
          </cell>
          <cell r="F1338">
            <v>30</v>
          </cell>
        </row>
        <row r="1339">
          <cell r="A1339" t="str">
            <v>2699PB</v>
          </cell>
          <cell r="F1339">
            <v>30</v>
          </cell>
        </row>
        <row r="1340">
          <cell r="A1340" t="str">
            <v>2699PE</v>
          </cell>
          <cell r="F1340">
            <v>30</v>
          </cell>
        </row>
        <row r="1341">
          <cell r="A1341" t="str">
            <v>2699PI</v>
          </cell>
          <cell r="F1341">
            <v>30</v>
          </cell>
        </row>
        <row r="1342">
          <cell r="A1342" t="str">
            <v>2699PR</v>
          </cell>
          <cell r="F1342">
            <v>30</v>
          </cell>
        </row>
        <row r="1343">
          <cell r="A1343" t="str">
            <v>2699RJ</v>
          </cell>
          <cell r="F1343">
            <v>30</v>
          </cell>
        </row>
        <row r="1344">
          <cell r="A1344" t="str">
            <v>2699RN</v>
          </cell>
          <cell r="F1344">
            <v>30</v>
          </cell>
        </row>
        <row r="1345">
          <cell r="A1345" t="str">
            <v>2699RO</v>
          </cell>
          <cell r="F1345">
            <v>30</v>
          </cell>
        </row>
        <row r="1346">
          <cell r="A1346" t="str">
            <v>2699RR</v>
          </cell>
          <cell r="F1346">
            <v>30</v>
          </cell>
        </row>
        <row r="1347">
          <cell r="A1347" t="str">
            <v>2699RS</v>
          </cell>
          <cell r="F1347">
            <v>30</v>
          </cell>
        </row>
        <row r="1348">
          <cell r="A1348" t="str">
            <v>2699SC</v>
          </cell>
          <cell r="F1348">
            <v>30</v>
          </cell>
        </row>
        <row r="1349">
          <cell r="A1349" t="str">
            <v>2699SE</v>
          </cell>
          <cell r="F1349">
            <v>30</v>
          </cell>
        </row>
        <row r="1350">
          <cell r="A1350" t="str">
            <v>2699SP</v>
          </cell>
          <cell r="F1350">
            <v>30</v>
          </cell>
        </row>
        <row r="1351">
          <cell r="A1351" t="str">
            <v>2699TO</v>
          </cell>
          <cell r="F1351">
            <v>30</v>
          </cell>
        </row>
        <row r="1352">
          <cell r="A1352" t="str">
            <v>2702AC</v>
          </cell>
          <cell r="F1352">
            <v>30</v>
          </cell>
        </row>
        <row r="1353">
          <cell r="A1353" t="str">
            <v>2702AL</v>
          </cell>
          <cell r="F1353">
            <v>30</v>
          </cell>
        </row>
        <row r="1354">
          <cell r="A1354" t="str">
            <v>2702AM</v>
          </cell>
          <cell r="F1354">
            <v>30</v>
          </cell>
        </row>
        <row r="1355">
          <cell r="A1355" t="str">
            <v>2702AP</v>
          </cell>
          <cell r="F1355">
            <v>30</v>
          </cell>
        </row>
        <row r="1356">
          <cell r="A1356" t="str">
            <v>2702BA</v>
          </cell>
          <cell r="F1356">
            <v>30</v>
          </cell>
        </row>
        <row r="1357">
          <cell r="A1357" t="str">
            <v>2702CE</v>
          </cell>
          <cell r="F1357">
            <v>30</v>
          </cell>
        </row>
        <row r="1358">
          <cell r="A1358" t="str">
            <v>2702DF</v>
          </cell>
          <cell r="F1358">
            <v>30</v>
          </cell>
        </row>
        <row r="1359">
          <cell r="A1359" t="str">
            <v>2702ES</v>
          </cell>
          <cell r="F1359">
            <v>30</v>
          </cell>
        </row>
        <row r="1360">
          <cell r="A1360" t="str">
            <v>2702GO</v>
          </cell>
          <cell r="F1360">
            <v>30</v>
          </cell>
        </row>
        <row r="1361">
          <cell r="A1361" t="str">
            <v>2702MA</v>
          </cell>
          <cell r="F1361">
            <v>30</v>
          </cell>
        </row>
        <row r="1362">
          <cell r="A1362" t="str">
            <v>2702MG</v>
          </cell>
          <cell r="F1362">
            <v>30</v>
          </cell>
        </row>
        <row r="1363">
          <cell r="A1363" t="str">
            <v>2702MS</v>
          </cell>
          <cell r="F1363">
            <v>30</v>
          </cell>
        </row>
        <row r="1364">
          <cell r="A1364" t="str">
            <v>2702MT</v>
          </cell>
          <cell r="F1364">
            <v>30</v>
          </cell>
        </row>
        <row r="1365">
          <cell r="A1365" t="str">
            <v>2702PA</v>
          </cell>
          <cell r="F1365">
            <v>30</v>
          </cell>
        </row>
        <row r="1366">
          <cell r="A1366" t="str">
            <v>2702PB</v>
          </cell>
          <cell r="F1366">
            <v>30</v>
          </cell>
        </row>
        <row r="1367">
          <cell r="A1367" t="str">
            <v>2702PE</v>
          </cell>
          <cell r="F1367">
            <v>30</v>
          </cell>
        </row>
        <row r="1368">
          <cell r="A1368" t="str">
            <v>2702PI</v>
          </cell>
          <cell r="F1368">
            <v>30</v>
          </cell>
        </row>
        <row r="1369">
          <cell r="A1369" t="str">
            <v>2702PR</v>
          </cell>
          <cell r="F1369">
            <v>30</v>
          </cell>
        </row>
        <row r="1370">
          <cell r="A1370" t="str">
            <v>2702RJ</v>
          </cell>
          <cell r="F1370">
            <v>30</v>
          </cell>
        </row>
        <row r="1371">
          <cell r="A1371" t="str">
            <v>2702RN</v>
          </cell>
          <cell r="F1371">
            <v>30</v>
          </cell>
        </row>
        <row r="1372">
          <cell r="A1372" t="str">
            <v>2702RO</v>
          </cell>
          <cell r="F1372">
            <v>30</v>
          </cell>
        </row>
        <row r="1373">
          <cell r="A1373" t="str">
            <v>2702RR</v>
          </cell>
          <cell r="F1373">
            <v>30</v>
          </cell>
        </row>
        <row r="1374">
          <cell r="A1374" t="str">
            <v>2702RS</v>
          </cell>
          <cell r="F1374">
            <v>30</v>
          </cell>
        </row>
        <row r="1375">
          <cell r="A1375" t="str">
            <v>2702SC</v>
          </cell>
          <cell r="F1375">
            <v>30</v>
          </cell>
        </row>
        <row r="1376">
          <cell r="A1376" t="str">
            <v>2702SE</v>
          </cell>
          <cell r="F1376">
            <v>30</v>
          </cell>
        </row>
        <row r="1377">
          <cell r="A1377" t="str">
            <v>2702SP</v>
          </cell>
          <cell r="F1377">
            <v>30</v>
          </cell>
        </row>
        <row r="1378">
          <cell r="A1378" t="str">
            <v>2702TO</v>
          </cell>
          <cell r="F1378">
            <v>30</v>
          </cell>
        </row>
        <row r="1379">
          <cell r="A1379" t="str">
            <v>2740AC</v>
          </cell>
          <cell r="F1379">
            <v>0</v>
          </cell>
        </row>
        <row r="1380">
          <cell r="A1380" t="str">
            <v>2740AL</v>
          </cell>
          <cell r="F1380">
            <v>0</v>
          </cell>
        </row>
        <row r="1381">
          <cell r="A1381" t="str">
            <v>2740AM</v>
          </cell>
          <cell r="F1381">
            <v>0</v>
          </cell>
        </row>
        <row r="1382">
          <cell r="A1382" t="str">
            <v>2740AP</v>
          </cell>
          <cell r="F1382">
            <v>0</v>
          </cell>
        </row>
        <row r="1383">
          <cell r="A1383" t="str">
            <v>2740BA</v>
          </cell>
          <cell r="F1383">
            <v>0</v>
          </cell>
        </row>
        <row r="1384">
          <cell r="A1384" t="str">
            <v>2740CE</v>
          </cell>
          <cell r="F1384">
            <v>0</v>
          </cell>
        </row>
        <row r="1385">
          <cell r="A1385" t="str">
            <v>2740DF</v>
          </cell>
          <cell r="F1385">
            <v>0</v>
          </cell>
        </row>
        <row r="1386">
          <cell r="A1386" t="str">
            <v>2740ES</v>
          </cell>
          <cell r="F1386">
            <v>0</v>
          </cell>
        </row>
        <row r="1387">
          <cell r="A1387" t="str">
            <v>2740GO</v>
          </cell>
          <cell r="F1387">
            <v>0</v>
          </cell>
        </row>
        <row r="1388">
          <cell r="A1388" t="str">
            <v>2740MA</v>
          </cell>
          <cell r="F1388">
            <v>0</v>
          </cell>
        </row>
        <row r="1389">
          <cell r="A1389" t="str">
            <v>2740MG</v>
          </cell>
          <cell r="F1389">
            <v>0</v>
          </cell>
        </row>
        <row r="1390">
          <cell r="A1390" t="str">
            <v>2740MS</v>
          </cell>
          <cell r="F1390">
            <v>0</v>
          </cell>
        </row>
        <row r="1391">
          <cell r="A1391" t="str">
            <v>2740MT</v>
          </cell>
          <cell r="F1391">
            <v>0</v>
          </cell>
        </row>
        <row r="1392">
          <cell r="A1392" t="str">
            <v>2740PA</v>
          </cell>
          <cell r="F1392">
            <v>0</v>
          </cell>
        </row>
        <row r="1393">
          <cell r="A1393" t="str">
            <v>2740PB</v>
          </cell>
          <cell r="F1393">
            <v>0</v>
          </cell>
        </row>
        <row r="1394">
          <cell r="A1394" t="str">
            <v>2740PE</v>
          </cell>
          <cell r="F1394">
            <v>0</v>
          </cell>
        </row>
        <row r="1395">
          <cell r="A1395" t="str">
            <v>2740PI</v>
          </cell>
          <cell r="F1395">
            <v>0</v>
          </cell>
        </row>
        <row r="1396">
          <cell r="A1396" t="str">
            <v>2740PR</v>
          </cell>
          <cell r="F1396">
            <v>0</v>
          </cell>
        </row>
        <row r="1397">
          <cell r="A1397" t="str">
            <v>2740RJ</v>
          </cell>
          <cell r="F1397">
            <v>0</v>
          </cell>
        </row>
        <row r="1398">
          <cell r="A1398" t="str">
            <v>2740RN</v>
          </cell>
          <cell r="F1398">
            <v>0</v>
          </cell>
        </row>
        <row r="1399">
          <cell r="A1399" t="str">
            <v>2740RO</v>
          </cell>
          <cell r="F1399">
            <v>0</v>
          </cell>
        </row>
        <row r="1400">
          <cell r="A1400" t="str">
            <v>2740RR</v>
          </cell>
          <cell r="F1400">
            <v>0</v>
          </cell>
        </row>
        <row r="1401">
          <cell r="A1401" t="str">
            <v>2740RS</v>
          </cell>
          <cell r="F1401">
            <v>0</v>
          </cell>
        </row>
        <row r="1402">
          <cell r="A1402" t="str">
            <v>2740SC</v>
          </cell>
          <cell r="F1402">
            <v>0</v>
          </cell>
        </row>
        <row r="1403">
          <cell r="A1403" t="str">
            <v>2740SE</v>
          </cell>
          <cell r="F1403">
            <v>0</v>
          </cell>
        </row>
        <row r="1404">
          <cell r="A1404" t="str">
            <v>2740SP</v>
          </cell>
          <cell r="F1404">
            <v>0</v>
          </cell>
        </row>
        <row r="1405">
          <cell r="A1405" t="str">
            <v>2740TO</v>
          </cell>
          <cell r="F1405">
            <v>0</v>
          </cell>
        </row>
        <row r="1406">
          <cell r="A1406" t="str">
            <v>2771AC</v>
          </cell>
          <cell r="F1406">
            <v>30</v>
          </cell>
        </row>
        <row r="1407">
          <cell r="A1407" t="str">
            <v>2771AL</v>
          </cell>
          <cell r="F1407">
            <v>30</v>
          </cell>
        </row>
        <row r="1408">
          <cell r="A1408" t="str">
            <v>2771AM</v>
          </cell>
          <cell r="F1408">
            <v>30</v>
          </cell>
        </row>
        <row r="1409">
          <cell r="A1409" t="str">
            <v>2771AP</v>
          </cell>
          <cell r="F1409">
            <v>30</v>
          </cell>
        </row>
        <row r="1410">
          <cell r="A1410" t="str">
            <v>2771BA</v>
          </cell>
          <cell r="F1410">
            <v>30</v>
          </cell>
        </row>
        <row r="1411">
          <cell r="A1411" t="str">
            <v>2771CE</v>
          </cell>
          <cell r="F1411">
            <v>30</v>
          </cell>
        </row>
        <row r="1412">
          <cell r="A1412" t="str">
            <v>2771DF</v>
          </cell>
          <cell r="F1412">
            <v>30</v>
          </cell>
        </row>
        <row r="1413">
          <cell r="A1413" t="str">
            <v>2771ES</v>
          </cell>
          <cell r="F1413">
            <v>30</v>
          </cell>
        </row>
        <row r="1414">
          <cell r="A1414" t="str">
            <v>2771GO</v>
          </cell>
          <cell r="F1414">
            <v>30</v>
          </cell>
        </row>
        <row r="1415">
          <cell r="A1415" t="str">
            <v>2771MA</v>
          </cell>
          <cell r="F1415">
            <v>30</v>
          </cell>
        </row>
        <row r="1416">
          <cell r="A1416" t="str">
            <v>2771MG</v>
          </cell>
          <cell r="F1416">
            <v>30</v>
          </cell>
        </row>
        <row r="1417">
          <cell r="A1417" t="str">
            <v>2771MS</v>
          </cell>
          <cell r="F1417">
            <v>30</v>
          </cell>
        </row>
        <row r="1418">
          <cell r="A1418" t="str">
            <v>2771MT</v>
          </cell>
          <cell r="F1418">
            <v>30</v>
          </cell>
        </row>
        <row r="1419">
          <cell r="A1419" t="str">
            <v>2771PA</v>
          </cell>
          <cell r="F1419">
            <v>30</v>
          </cell>
        </row>
        <row r="1420">
          <cell r="A1420" t="str">
            <v>2771PB</v>
          </cell>
          <cell r="F1420">
            <v>30</v>
          </cell>
        </row>
        <row r="1421">
          <cell r="A1421" t="str">
            <v>2771PE</v>
          </cell>
          <cell r="F1421">
            <v>30</v>
          </cell>
        </row>
        <row r="1422">
          <cell r="A1422" t="str">
            <v>2771PI</v>
          </cell>
          <cell r="F1422">
            <v>30</v>
          </cell>
        </row>
        <row r="1423">
          <cell r="A1423" t="str">
            <v>2771PR</v>
          </cell>
          <cell r="F1423">
            <v>30</v>
          </cell>
        </row>
        <row r="1424">
          <cell r="A1424" t="str">
            <v>2771RJ</v>
          </cell>
          <cell r="F1424">
            <v>30</v>
          </cell>
        </row>
        <row r="1425">
          <cell r="A1425" t="str">
            <v>2771RN</v>
          </cell>
          <cell r="F1425">
            <v>30</v>
          </cell>
        </row>
        <row r="1426">
          <cell r="A1426" t="str">
            <v>2771RO</v>
          </cell>
          <cell r="F1426">
            <v>30</v>
          </cell>
        </row>
        <row r="1427">
          <cell r="A1427" t="str">
            <v>2771RR</v>
          </cell>
          <cell r="F1427">
            <v>30</v>
          </cell>
        </row>
        <row r="1428">
          <cell r="A1428" t="str">
            <v>2771RS</v>
          </cell>
          <cell r="F1428">
            <v>30</v>
          </cell>
        </row>
        <row r="1429">
          <cell r="A1429" t="str">
            <v>2771SC</v>
          </cell>
          <cell r="F1429">
            <v>30</v>
          </cell>
        </row>
        <row r="1430">
          <cell r="A1430" t="str">
            <v>2771SE</v>
          </cell>
          <cell r="F1430">
            <v>30</v>
          </cell>
        </row>
        <row r="1431">
          <cell r="A1431" t="str">
            <v>2771SP</v>
          </cell>
          <cell r="F1431">
            <v>30</v>
          </cell>
        </row>
        <row r="1432">
          <cell r="A1432" t="str">
            <v>2771TO</v>
          </cell>
          <cell r="F1432">
            <v>30</v>
          </cell>
        </row>
        <row r="1433">
          <cell r="A1433" t="str">
            <v>2742AC</v>
          </cell>
          <cell r="F1433">
            <v>0</v>
          </cell>
        </row>
        <row r="1434">
          <cell r="A1434" t="str">
            <v>2742AL</v>
          </cell>
          <cell r="F1434">
            <v>0</v>
          </cell>
        </row>
        <row r="1435">
          <cell r="A1435" t="str">
            <v>2742AM</v>
          </cell>
          <cell r="F1435">
            <v>0</v>
          </cell>
        </row>
        <row r="1436">
          <cell r="A1436" t="str">
            <v>2742AP</v>
          </cell>
          <cell r="F1436">
            <v>0</v>
          </cell>
        </row>
        <row r="1437">
          <cell r="A1437" t="str">
            <v>2742BA</v>
          </cell>
          <cell r="F1437">
            <v>0</v>
          </cell>
        </row>
        <row r="1438">
          <cell r="A1438" t="str">
            <v>2742CE</v>
          </cell>
          <cell r="F1438">
            <v>0</v>
          </cell>
        </row>
        <row r="1439">
          <cell r="A1439" t="str">
            <v>2742DF</v>
          </cell>
          <cell r="F1439">
            <v>0</v>
          </cell>
        </row>
        <row r="1440">
          <cell r="A1440" t="str">
            <v>2742ES</v>
          </cell>
          <cell r="F1440">
            <v>0</v>
          </cell>
        </row>
        <row r="1441">
          <cell r="A1441" t="str">
            <v>2742GO</v>
          </cell>
          <cell r="F1441">
            <v>0</v>
          </cell>
        </row>
        <row r="1442">
          <cell r="A1442" t="str">
            <v>2742MA</v>
          </cell>
          <cell r="F1442">
            <v>0</v>
          </cell>
        </row>
        <row r="1443">
          <cell r="A1443" t="str">
            <v>2742MG</v>
          </cell>
          <cell r="F1443">
            <v>0</v>
          </cell>
        </row>
        <row r="1444">
          <cell r="A1444" t="str">
            <v>2742MS</v>
          </cell>
          <cell r="F1444">
            <v>0</v>
          </cell>
        </row>
        <row r="1445">
          <cell r="A1445" t="str">
            <v>2742MT</v>
          </cell>
          <cell r="F1445">
            <v>0</v>
          </cell>
        </row>
        <row r="1446">
          <cell r="A1446" t="str">
            <v>2742PA</v>
          </cell>
          <cell r="F1446">
            <v>0</v>
          </cell>
        </row>
        <row r="1447">
          <cell r="A1447" t="str">
            <v>2742PB</v>
          </cell>
          <cell r="F1447">
            <v>0</v>
          </cell>
        </row>
        <row r="1448">
          <cell r="A1448" t="str">
            <v>2742PE</v>
          </cell>
          <cell r="F1448">
            <v>0</v>
          </cell>
        </row>
        <row r="1449">
          <cell r="A1449" t="str">
            <v>2742PI</v>
          </cell>
          <cell r="F1449">
            <v>0</v>
          </cell>
        </row>
        <row r="1450">
          <cell r="A1450" t="str">
            <v>2742PR</v>
          </cell>
          <cell r="F1450">
            <v>0</v>
          </cell>
        </row>
        <row r="1451">
          <cell r="A1451" t="str">
            <v>2742RJ</v>
          </cell>
          <cell r="F1451">
            <v>0</v>
          </cell>
        </row>
        <row r="1452">
          <cell r="A1452" t="str">
            <v>2742RN</v>
          </cell>
          <cell r="F1452">
            <v>0</v>
          </cell>
        </row>
        <row r="1453">
          <cell r="A1453" t="str">
            <v>2742RO</v>
          </cell>
          <cell r="F1453">
            <v>0</v>
          </cell>
        </row>
        <row r="1454">
          <cell r="A1454" t="str">
            <v>2742RR</v>
          </cell>
          <cell r="F1454">
            <v>0</v>
          </cell>
        </row>
        <row r="1455">
          <cell r="A1455" t="str">
            <v>2742RS</v>
          </cell>
          <cell r="F1455">
            <v>0</v>
          </cell>
        </row>
        <row r="1456">
          <cell r="A1456" t="str">
            <v>2742SC</v>
          </cell>
          <cell r="F1456">
            <v>0</v>
          </cell>
        </row>
        <row r="1457">
          <cell r="A1457" t="str">
            <v>2742SE</v>
          </cell>
          <cell r="F1457">
            <v>0</v>
          </cell>
        </row>
        <row r="1458">
          <cell r="A1458" t="str">
            <v>2742SP</v>
          </cell>
          <cell r="F1458">
            <v>0</v>
          </cell>
        </row>
        <row r="1459">
          <cell r="A1459" t="str">
            <v>2742TO</v>
          </cell>
          <cell r="F1459">
            <v>0</v>
          </cell>
        </row>
        <row r="1460">
          <cell r="A1460" t="str">
            <v>2736AC</v>
          </cell>
          <cell r="F1460">
            <v>30</v>
          </cell>
        </row>
        <row r="1461">
          <cell r="A1461" t="str">
            <v>2736AL</v>
          </cell>
          <cell r="F1461">
            <v>30</v>
          </cell>
        </row>
        <row r="1462">
          <cell r="A1462" t="str">
            <v>2736AM</v>
          </cell>
          <cell r="F1462">
            <v>30</v>
          </cell>
        </row>
        <row r="1463">
          <cell r="A1463" t="str">
            <v>2736AP</v>
          </cell>
          <cell r="F1463">
            <v>30</v>
          </cell>
        </row>
        <row r="1464">
          <cell r="A1464" t="str">
            <v>2736BA</v>
          </cell>
          <cell r="F1464">
            <v>30</v>
          </cell>
        </row>
        <row r="1465">
          <cell r="A1465" t="str">
            <v>2736CE</v>
          </cell>
          <cell r="F1465">
            <v>30</v>
          </cell>
        </row>
        <row r="1466">
          <cell r="A1466" t="str">
            <v>2736DF</v>
          </cell>
          <cell r="F1466">
            <v>30</v>
          </cell>
        </row>
        <row r="1467">
          <cell r="A1467" t="str">
            <v>2736ES</v>
          </cell>
          <cell r="F1467">
            <v>30</v>
          </cell>
        </row>
        <row r="1468">
          <cell r="A1468" t="str">
            <v>2736GO</v>
          </cell>
          <cell r="F1468">
            <v>30</v>
          </cell>
        </row>
        <row r="1469">
          <cell r="A1469" t="str">
            <v>2736MA</v>
          </cell>
          <cell r="F1469">
            <v>30</v>
          </cell>
        </row>
        <row r="1470">
          <cell r="A1470" t="str">
            <v>2736MG</v>
          </cell>
          <cell r="F1470">
            <v>30</v>
          </cell>
        </row>
        <row r="1471">
          <cell r="A1471" t="str">
            <v>2736MS</v>
          </cell>
          <cell r="F1471">
            <v>30</v>
          </cell>
        </row>
        <row r="1472">
          <cell r="A1472" t="str">
            <v>2736MT</v>
          </cell>
          <cell r="F1472">
            <v>30</v>
          </cell>
        </row>
        <row r="1473">
          <cell r="A1473" t="str">
            <v>2736PA</v>
          </cell>
          <cell r="F1473">
            <v>30</v>
          </cell>
        </row>
        <row r="1474">
          <cell r="A1474" t="str">
            <v>2736PB</v>
          </cell>
          <cell r="F1474">
            <v>30</v>
          </cell>
        </row>
        <row r="1475">
          <cell r="A1475" t="str">
            <v>2736PE</v>
          </cell>
          <cell r="F1475">
            <v>30</v>
          </cell>
        </row>
        <row r="1476">
          <cell r="A1476" t="str">
            <v>2736PI</v>
          </cell>
          <cell r="F1476">
            <v>30</v>
          </cell>
        </row>
        <row r="1477">
          <cell r="A1477" t="str">
            <v>2736PR</v>
          </cell>
          <cell r="F1477">
            <v>30</v>
          </cell>
        </row>
        <row r="1478">
          <cell r="A1478" t="str">
            <v>2736RJ</v>
          </cell>
          <cell r="F1478">
            <v>30</v>
          </cell>
        </row>
        <row r="1479">
          <cell r="A1479" t="str">
            <v>2736RN</v>
          </cell>
          <cell r="F1479">
            <v>30</v>
          </cell>
        </row>
        <row r="1480">
          <cell r="A1480" t="str">
            <v>2736RO</v>
          </cell>
          <cell r="F1480">
            <v>30</v>
          </cell>
        </row>
        <row r="1481">
          <cell r="A1481" t="str">
            <v>2736RR</v>
          </cell>
          <cell r="F1481">
            <v>30</v>
          </cell>
        </row>
        <row r="1482">
          <cell r="A1482" t="str">
            <v>2736RS</v>
          </cell>
          <cell r="F1482">
            <v>30</v>
          </cell>
        </row>
        <row r="1483">
          <cell r="A1483" t="str">
            <v>2736SC</v>
          </cell>
          <cell r="F1483">
            <v>30</v>
          </cell>
        </row>
        <row r="1484">
          <cell r="A1484" t="str">
            <v>2736SE</v>
          </cell>
          <cell r="F1484">
            <v>30</v>
          </cell>
        </row>
        <row r="1485">
          <cell r="A1485" t="str">
            <v>2736SP</v>
          </cell>
          <cell r="F1485">
            <v>30</v>
          </cell>
        </row>
        <row r="1486">
          <cell r="A1486" t="str">
            <v>2736TO</v>
          </cell>
          <cell r="F1486">
            <v>30</v>
          </cell>
        </row>
        <row r="1487">
          <cell r="A1487" t="str">
            <v>2734AC</v>
          </cell>
          <cell r="F1487">
            <v>0</v>
          </cell>
        </row>
        <row r="1488">
          <cell r="A1488" t="str">
            <v>2734AL</v>
          </cell>
          <cell r="F1488">
            <v>0</v>
          </cell>
        </row>
        <row r="1489">
          <cell r="A1489" t="str">
            <v>2734AM</v>
          </cell>
          <cell r="F1489">
            <v>0</v>
          </cell>
        </row>
        <row r="1490">
          <cell r="A1490" t="str">
            <v>2734AP</v>
          </cell>
          <cell r="F1490">
            <v>0</v>
          </cell>
        </row>
        <row r="1491">
          <cell r="A1491" t="str">
            <v>2734BA</v>
          </cell>
          <cell r="F1491">
            <v>0</v>
          </cell>
        </row>
        <row r="1492">
          <cell r="A1492" t="str">
            <v>2734CE</v>
          </cell>
          <cell r="F1492">
            <v>0</v>
          </cell>
        </row>
        <row r="1493">
          <cell r="A1493" t="str">
            <v>2734DF</v>
          </cell>
          <cell r="F1493">
            <v>0</v>
          </cell>
        </row>
        <row r="1494">
          <cell r="A1494" t="str">
            <v>2734ES</v>
          </cell>
          <cell r="F1494">
            <v>0</v>
          </cell>
        </row>
        <row r="1495">
          <cell r="A1495" t="str">
            <v>2734GO</v>
          </cell>
          <cell r="F1495">
            <v>0</v>
          </cell>
        </row>
        <row r="1496">
          <cell r="A1496" t="str">
            <v>2734MA</v>
          </cell>
          <cell r="F1496">
            <v>0</v>
          </cell>
        </row>
        <row r="1497">
          <cell r="A1497" t="str">
            <v>2734MG</v>
          </cell>
          <cell r="F1497">
            <v>0</v>
          </cell>
        </row>
        <row r="1498">
          <cell r="A1498" t="str">
            <v>2734MS</v>
          </cell>
          <cell r="F1498">
            <v>0</v>
          </cell>
        </row>
        <row r="1499">
          <cell r="A1499" t="str">
            <v>2734MT</v>
          </cell>
          <cell r="F1499">
            <v>0</v>
          </cell>
        </row>
        <row r="1500">
          <cell r="A1500" t="str">
            <v>2734PA</v>
          </cell>
          <cell r="F1500">
            <v>0</v>
          </cell>
        </row>
        <row r="1501">
          <cell r="A1501" t="str">
            <v>2734PB</v>
          </cell>
          <cell r="F1501">
            <v>0</v>
          </cell>
        </row>
        <row r="1502">
          <cell r="A1502" t="str">
            <v>2734PE</v>
          </cell>
          <cell r="F1502">
            <v>0</v>
          </cell>
        </row>
        <row r="1503">
          <cell r="A1503" t="str">
            <v>2734PI</v>
          </cell>
          <cell r="F1503">
            <v>0</v>
          </cell>
        </row>
        <row r="1504">
          <cell r="A1504" t="str">
            <v>2734PR</v>
          </cell>
          <cell r="F1504">
            <v>0</v>
          </cell>
        </row>
        <row r="1505">
          <cell r="A1505" t="str">
            <v>2734RJ</v>
          </cell>
          <cell r="F1505">
            <v>0</v>
          </cell>
        </row>
        <row r="1506">
          <cell r="A1506" t="str">
            <v>2734RN</v>
          </cell>
          <cell r="F1506">
            <v>0</v>
          </cell>
        </row>
        <row r="1507">
          <cell r="A1507" t="str">
            <v>2734RO</v>
          </cell>
          <cell r="F1507">
            <v>0</v>
          </cell>
        </row>
        <row r="1508">
          <cell r="A1508" t="str">
            <v>2734RR</v>
          </cell>
          <cell r="F1508">
            <v>0</v>
          </cell>
        </row>
        <row r="1509">
          <cell r="A1509" t="str">
            <v>2734RS</v>
          </cell>
          <cell r="F1509">
            <v>0</v>
          </cell>
        </row>
        <row r="1510">
          <cell r="A1510" t="str">
            <v>2734SC</v>
          </cell>
          <cell r="F1510">
            <v>0</v>
          </cell>
        </row>
        <row r="1511">
          <cell r="A1511" t="str">
            <v>2734SE</v>
          </cell>
          <cell r="F1511">
            <v>0</v>
          </cell>
        </row>
        <row r="1512">
          <cell r="A1512" t="str">
            <v>2734SP</v>
          </cell>
          <cell r="F1512">
            <v>0</v>
          </cell>
        </row>
        <row r="1513">
          <cell r="A1513" t="str">
            <v>2734TO</v>
          </cell>
          <cell r="F1513">
            <v>0</v>
          </cell>
        </row>
        <row r="1514">
          <cell r="A1514" t="str">
            <v>2678AC</v>
          </cell>
          <cell r="F1514">
            <v>30</v>
          </cell>
        </row>
        <row r="1515">
          <cell r="A1515" t="str">
            <v>2678AL</v>
          </cell>
          <cell r="F1515">
            <v>30</v>
          </cell>
        </row>
        <row r="1516">
          <cell r="A1516" t="str">
            <v>2678AM</v>
          </cell>
          <cell r="F1516">
            <v>30</v>
          </cell>
        </row>
        <row r="1517">
          <cell r="A1517" t="str">
            <v>2678AP</v>
          </cell>
          <cell r="F1517">
            <v>30</v>
          </cell>
        </row>
        <row r="1518">
          <cell r="A1518" t="str">
            <v>2678BA</v>
          </cell>
          <cell r="F1518">
            <v>30</v>
          </cell>
        </row>
        <row r="1519">
          <cell r="A1519" t="str">
            <v>2678CE</v>
          </cell>
          <cell r="F1519">
            <v>30</v>
          </cell>
        </row>
        <row r="1520">
          <cell r="A1520" t="str">
            <v>2678DF</v>
          </cell>
          <cell r="F1520">
            <v>30</v>
          </cell>
        </row>
        <row r="1521">
          <cell r="A1521" t="str">
            <v>2678ES</v>
          </cell>
          <cell r="F1521">
            <v>30</v>
          </cell>
        </row>
        <row r="1522">
          <cell r="A1522" t="str">
            <v>2678GO</v>
          </cell>
          <cell r="F1522">
            <v>30</v>
          </cell>
        </row>
        <row r="1523">
          <cell r="A1523" t="str">
            <v>2678MA</v>
          </cell>
          <cell r="F1523">
            <v>30</v>
          </cell>
        </row>
        <row r="1524">
          <cell r="A1524" t="str">
            <v>2678MG</v>
          </cell>
          <cell r="F1524">
            <v>30</v>
          </cell>
        </row>
        <row r="1525">
          <cell r="A1525" t="str">
            <v>2678MS</v>
          </cell>
          <cell r="F1525">
            <v>30</v>
          </cell>
        </row>
        <row r="1526">
          <cell r="A1526" t="str">
            <v>2678MT</v>
          </cell>
          <cell r="F1526">
            <v>30</v>
          </cell>
        </row>
        <row r="1527">
          <cell r="A1527" t="str">
            <v>2678PA</v>
          </cell>
          <cell r="F1527">
            <v>30</v>
          </cell>
        </row>
        <row r="1528">
          <cell r="A1528" t="str">
            <v>2678PB</v>
          </cell>
          <cell r="F1528">
            <v>30</v>
          </cell>
        </row>
        <row r="1529">
          <cell r="A1529" t="str">
            <v>2678PE</v>
          </cell>
          <cell r="F1529">
            <v>30</v>
          </cell>
        </row>
        <row r="1530">
          <cell r="A1530" t="str">
            <v>2678PI</v>
          </cell>
          <cell r="F1530">
            <v>30</v>
          </cell>
        </row>
        <row r="1531">
          <cell r="A1531" t="str">
            <v>2678PR</v>
          </cell>
          <cell r="F1531">
            <v>30</v>
          </cell>
        </row>
        <row r="1532">
          <cell r="A1532" t="str">
            <v>2678RJ</v>
          </cell>
          <cell r="F1532">
            <v>30</v>
          </cell>
        </row>
        <row r="1533">
          <cell r="A1533" t="str">
            <v>2678RN</v>
          </cell>
          <cell r="F1533">
            <v>30</v>
          </cell>
        </row>
        <row r="1534">
          <cell r="A1534" t="str">
            <v>2678RO</v>
          </cell>
          <cell r="F1534">
            <v>30</v>
          </cell>
        </row>
        <row r="1535">
          <cell r="A1535" t="str">
            <v>2678RR</v>
          </cell>
          <cell r="F1535">
            <v>30</v>
          </cell>
        </row>
        <row r="1536">
          <cell r="A1536" t="str">
            <v>2678RS</v>
          </cell>
          <cell r="F1536">
            <v>30</v>
          </cell>
        </row>
        <row r="1537">
          <cell r="A1537" t="str">
            <v>2678SC</v>
          </cell>
          <cell r="F1537">
            <v>30</v>
          </cell>
        </row>
        <row r="1538">
          <cell r="A1538" t="str">
            <v>2678SE</v>
          </cell>
          <cell r="F1538">
            <v>30</v>
          </cell>
        </row>
        <row r="1539">
          <cell r="A1539" t="str">
            <v>2678SP</v>
          </cell>
          <cell r="F1539">
            <v>30</v>
          </cell>
        </row>
        <row r="1540">
          <cell r="A1540" t="str">
            <v>2678TO</v>
          </cell>
          <cell r="F1540">
            <v>30</v>
          </cell>
        </row>
        <row r="1541">
          <cell r="A1541" t="str">
            <v>2679AC</v>
          </cell>
          <cell r="F1541">
            <v>30</v>
          </cell>
        </row>
        <row r="1542">
          <cell r="A1542" t="str">
            <v>2679AL</v>
          </cell>
          <cell r="F1542">
            <v>30</v>
          </cell>
        </row>
        <row r="1543">
          <cell r="A1543" t="str">
            <v>2679AM</v>
          </cell>
          <cell r="F1543">
            <v>30</v>
          </cell>
        </row>
        <row r="1544">
          <cell r="A1544" t="str">
            <v>2679AP</v>
          </cell>
          <cell r="F1544">
            <v>30</v>
          </cell>
        </row>
        <row r="1545">
          <cell r="A1545" t="str">
            <v>2679BA</v>
          </cell>
          <cell r="F1545">
            <v>30</v>
          </cell>
        </row>
        <row r="1546">
          <cell r="A1546" t="str">
            <v>2679CE</v>
          </cell>
          <cell r="F1546">
            <v>30</v>
          </cell>
        </row>
        <row r="1547">
          <cell r="A1547" t="str">
            <v>2679DF</v>
          </cell>
          <cell r="F1547">
            <v>30</v>
          </cell>
        </row>
        <row r="1548">
          <cell r="A1548" t="str">
            <v>2679ES</v>
          </cell>
          <cell r="F1548">
            <v>30</v>
          </cell>
        </row>
        <row r="1549">
          <cell r="A1549" t="str">
            <v>2679GO</v>
          </cell>
          <cell r="F1549">
            <v>30</v>
          </cell>
        </row>
        <row r="1550">
          <cell r="A1550" t="str">
            <v>2679MA</v>
          </cell>
          <cell r="F1550">
            <v>30</v>
          </cell>
        </row>
        <row r="1551">
          <cell r="A1551" t="str">
            <v>2679MG</v>
          </cell>
          <cell r="F1551">
            <v>30</v>
          </cell>
        </row>
        <row r="1552">
          <cell r="A1552" t="str">
            <v>2679MS</v>
          </cell>
          <cell r="F1552">
            <v>30</v>
          </cell>
        </row>
        <row r="1553">
          <cell r="A1553" t="str">
            <v>2679MT</v>
          </cell>
          <cell r="F1553">
            <v>30</v>
          </cell>
        </row>
        <row r="1554">
          <cell r="A1554" t="str">
            <v>2679PA</v>
          </cell>
          <cell r="F1554">
            <v>30</v>
          </cell>
        </row>
        <row r="1555">
          <cell r="A1555" t="str">
            <v>2679PB</v>
          </cell>
          <cell r="F1555">
            <v>30</v>
          </cell>
        </row>
        <row r="1556">
          <cell r="A1556" t="str">
            <v>2679PE</v>
          </cell>
          <cell r="F1556">
            <v>30</v>
          </cell>
        </row>
        <row r="1557">
          <cell r="A1557" t="str">
            <v>2679PI</v>
          </cell>
          <cell r="F1557">
            <v>30</v>
          </cell>
        </row>
        <row r="1558">
          <cell r="A1558" t="str">
            <v>2679PR</v>
          </cell>
          <cell r="F1558">
            <v>30</v>
          </cell>
        </row>
        <row r="1559">
          <cell r="A1559" t="str">
            <v>2679RJ</v>
          </cell>
          <cell r="F1559">
            <v>30</v>
          </cell>
        </row>
        <row r="1560">
          <cell r="A1560" t="str">
            <v>2679RN</v>
          </cell>
          <cell r="F1560">
            <v>30</v>
          </cell>
        </row>
        <row r="1561">
          <cell r="A1561" t="str">
            <v>2679RO</v>
          </cell>
          <cell r="F1561">
            <v>30</v>
          </cell>
        </row>
        <row r="1562">
          <cell r="A1562" t="str">
            <v>2679RR</v>
          </cell>
          <cell r="F1562">
            <v>30</v>
          </cell>
        </row>
        <row r="1563">
          <cell r="A1563" t="str">
            <v>2679RS</v>
          </cell>
          <cell r="F1563">
            <v>30</v>
          </cell>
        </row>
        <row r="1564">
          <cell r="A1564" t="str">
            <v>2679SC</v>
          </cell>
          <cell r="F1564">
            <v>30</v>
          </cell>
        </row>
        <row r="1565">
          <cell r="A1565" t="str">
            <v>2679SE</v>
          </cell>
          <cell r="F1565">
            <v>30</v>
          </cell>
        </row>
        <row r="1566">
          <cell r="A1566" t="str">
            <v>2679SP</v>
          </cell>
          <cell r="F1566">
            <v>30</v>
          </cell>
        </row>
        <row r="1567">
          <cell r="A1567" t="str">
            <v>2679TO</v>
          </cell>
          <cell r="F1567">
            <v>30</v>
          </cell>
        </row>
        <row r="1568">
          <cell r="A1568" t="str">
            <v>2680AC</v>
          </cell>
          <cell r="F1568">
            <v>30</v>
          </cell>
        </row>
        <row r="1569">
          <cell r="A1569" t="str">
            <v>2680AL</v>
          </cell>
          <cell r="F1569">
            <v>30</v>
          </cell>
        </row>
        <row r="1570">
          <cell r="A1570" t="str">
            <v>2680AM</v>
          </cell>
          <cell r="F1570">
            <v>30</v>
          </cell>
        </row>
        <row r="1571">
          <cell r="A1571" t="str">
            <v>2680AP</v>
          </cell>
          <cell r="F1571">
            <v>30</v>
          </cell>
        </row>
        <row r="1572">
          <cell r="A1572" t="str">
            <v>2680BA</v>
          </cell>
          <cell r="F1572">
            <v>30</v>
          </cell>
        </row>
        <row r="1573">
          <cell r="A1573" t="str">
            <v>2680CE</v>
          </cell>
          <cell r="F1573">
            <v>30</v>
          </cell>
        </row>
        <row r="1574">
          <cell r="A1574" t="str">
            <v>2680DF</v>
          </cell>
          <cell r="F1574">
            <v>30</v>
          </cell>
        </row>
        <row r="1575">
          <cell r="A1575" t="str">
            <v>2680ES</v>
          </cell>
          <cell r="F1575">
            <v>30</v>
          </cell>
        </row>
        <row r="1576">
          <cell r="A1576" t="str">
            <v>2680GO</v>
          </cell>
          <cell r="F1576">
            <v>30</v>
          </cell>
        </row>
        <row r="1577">
          <cell r="A1577" t="str">
            <v>2680MA</v>
          </cell>
          <cell r="F1577">
            <v>30</v>
          </cell>
        </row>
        <row r="1578">
          <cell r="A1578" t="str">
            <v>2680MG</v>
          </cell>
          <cell r="F1578">
            <v>30</v>
          </cell>
        </row>
        <row r="1579">
          <cell r="A1579" t="str">
            <v>2680MS</v>
          </cell>
          <cell r="F1579">
            <v>30</v>
          </cell>
        </row>
        <row r="1580">
          <cell r="A1580" t="str">
            <v>2680MT</v>
          </cell>
          <cell r="F1580">
            <v>30</v>
          </cell>
        </row>
        <row r="1581">
          <cell r="A1581" t="str">
            <v>2680PA</v>
          </cell>
          <cell r="F1581">
            <v>30</v>
          </cell>
        </row>
        <row r="1582">
          <cell r="A1582" t="str">
            <v>2680PB</v>
          </cell>
          <cell r="F1582">
            <v>30</v>
          </cell>
        </row>
        <row r="1583">
          <cell r="A1583" t="str">
            <v>2680PE</v>
          </cell>
          <cell r="F1583">
            <v>30</v>
          </cell>
        </row>
        <row r="1584">
          <cell r="A1584" t="str">
            <v>2680PI</v>
          </cell>
          <cell r="F1584">
            <v>30</v>
          </cell>
        </row>
        <row r="1585">
          <cell r="A1585" t="str">
            <v>2680PR</v>
          </cell>
          <cell r="F1585">
            <v>30</v>
          </cell>
        </row>
        <row r="1586">
          <cell r="A1586" t="str">
            <v>2680RJ</v>
          </cell>
          <cell r="F1586">
            <v>30</v>
          </cell>
        </row>
        <row r="1587">
          <cell r="A1587" t="str">
            <v>2680RN</v>
          </cell>
          <cell r="F1587">
            <v>30</v>
          </cell>
        </row>
        <row r="1588">
          <cell r="A1588" t="str">
            <v>2680RO</v>
          </cell>
          <cell r="F1588">
            <v>30</v>
          </cell>
        </row>
        <row r="1589">
          <cell r="A1589" t="str">
            <v>2680RR</v>
          </cell>
          <cell r="F1589">
            <v>30</v>
          </cell>
        </row>
        <row r="1590">
          <cell r="A1590" t="str">
            <v>2680RS</v>
          </cell>
          <cell r="F1590">
            <v>30</v>
          </cell>
        </row>
        <row r="1591">
          <cell r="A1591" t="str">
            <v>2680SC</v>
          </cell>
          <cell r="F1591">
            <v>30</v>
          </cell>
        </row>
        <row r="1592">
          <cell r="A1592" t="str">
            <v>2680SE</v>
          </cell>
          <cell r="F1592">
            <v>30</v>
          </cell>
        </row>
        <row r="1593">
          <cell r="A1593" t="str">
            <v>2680SP</v>
          </cell>
          <cell r="F1593">
            <v>30</v>
          </cell>
        </row>
        <row r="1594">
          <cell r="A1594" t="str">
            <v>2680TO</v>
          </cell>
          <cell r="F1594">
            <v>30</v>
          </cell>
        </row>
        <row r="1595">
          <cell r="A1595" t="str">
            <v>2677AC</v>
          </cell>
          <cell r="F1595">
            <v>30</v>
          </cell>
        </row>
        <row r="1596">
          <cell r="A1596" t="str">
            <v>2677AL</v>
          </cell>
          <cell r="F1596">
            <v>30</v>
          </cell>
        </row>
        <row r="1597">
          <cell r="A1597" t="str">
            <v>2677AM</v>
          </cell>
          <cell r="F1597">
            <v>30</v>
          </cell>
        </row>
        <row r="1598">
          <cell r="A1598" t="str">
            <v>2677AP</v>
          </cell>
          <cell r="F1598">
            <v>30</v>
          </cell>
        </row>
        <row r="1599">
          <cell r="A1599" t="str">
            <v>2677BA</v>
          </cell>
          <cell r="F1599">
            <v>30</v>
          </cell>
        </row>
        <row r="1600">
          <cell r="A1600" t="str">
            <v>2677CE</v>
          </cell>
          <cell r="F1600">
            <v>30</v>
          </cell>
        </row>
        <row r="1601">
          <cell r="A1601" t="str">
            <v>2677DF</v>
          </cell>
          <cell r="F1601">
            <v>30</v>
          </cell>
        </row>
        <row r="1602">
          <cell r="A1602" t="str">
            <v>2677ES</v>
          </cell>
          <cell r="F1602">
            <v>30</v>
          </cell>
        </row>
        <row r="1603">
          <cell r="A1603" t="str">
            <v>2677GO</v>
          </cell>
          <cell r="F1603">
            <v>30</v>
          </cell>
        </row>
        <row r="1604">
          <cell r="A1604" t="str">
            <v>2677MA</v>
          </cell>
          <cell r="F1604">
            <v>30</v>
          </cell>
        </row>
        <row r="1605">
          <cell r="A1605" t="str">
            <v>2677MG</v>
          </cell>
          <cell r="F1605">
            <v>30</v>
          </cell>
        </row>
        <row r="1606">
          <cell r="A1606" t="str">
            <v>2677MS</v>
          </cell>
          <cell r="F1606">
            <v>30</v>
          </cell>
        </row>
        <row r="1607">
          <cell r="A1607" t="str">
            <v>2677MT</v>
          </cell>
          <cell r="F1607">
            <v>30</v>
          </cell>
        </row>
        <row r="1608">
          <cell r="A1608" t="str">
            <v>2677PA</v>
          </cell>
          <cell r="F1608">
            <v>30</v>
          </cell>
        </row>
        <row r="1609">
          <cell r="A1609" t="str">
            <v>2677PB</v>
          </cell>
          <cell r="F1609">
            <v>30</v>
          </cell>
        </row>
        <row r="1610">
          <cell r="A1610" t="str">
            <v>2677PE</v>
          </cell>
          <cell r="F1610">
            <v>30</v>
          </cell>
        </row>
        <row r="1611">
          <cell r="A1611" t="str">
            <v>2677PI</v>
          </cell>
          <cell r="F1611">
            <v>30</v>
          </cell>
        </row>
        <row r="1612">
          <cell r="A1612" t="str">
            <v>2677PR</v>
          </cell>
          <cell r="F1612">
            <v>30</v>
          </cell>
        </row>
        <row r="1613">
          <cell r="A1613" t="str">
            <v>2677RJ</v>
          </cell>
          <cell r="F1613">
            <v>30</v>
          </cell>
        </row>
        <row r="1614">
          <cell r="A1614" t="str">
            <v>2677RN</v>
          </cell>
          <cell r="F1614">
            <v>30</v>
          </cell>
        </row>
        <row r="1615">
          <cell r="A1615" t="str">
            <v>2677RO</v>
          </cell>
          <cell r="F1615">
            <v>30</v>
          </cell>
        </row>
        <row r="1616">
          <cell r="A1616" t="str">
            <v>2677RR</v>
          </cell>
          <cell r="F1616">
            <v>30</v>
          </cell>
        </row>
        <row r="1617">
          <cell r="A1617" t="str">
            <v>2677RS</v>
          </cell>
          <cell r="F1617">
            <v>30</v>
          </cell>
        </row>
        <row r="1618">
          <cell r="A1618" t="str">
            <v>2677SC</v>
          </cell>
          <cell r="F1618">
            <v>30</v>
          </cell>
        </row>
        <row r="1619">
          <cell r="A1619" t="str">
            <v>2677SE</v>
          </cell>
          <cell r="F1619">
            <v>30</v>
          </cell>
        </row>
        <row r="1620">
          <cell r="A1620" t="str">
            <v>2677SP</v>
          </cell>
          <cell r="F1620">
            <v>30</v>
          </cell>
        </row>
        <row r="1621">
          <cell r="A1621" t="str">
            <v>2677TO</v>
          </cell>
          <cell r="F1621">
            <v>30</v>
          </cell>
        </row>
        <row r="1622">
          <cell r="A1622" t="str">
            <v>2681AC</v>
          </cell>
          <cell r="F1622">
            <v>30</v>
          </cell>
        </row>
        <row r="1623">
          <cell r="A1623" t="str">
            <v>2681AL</v>
          </cell>
          <cell r="F1623">
            <v>30</v>
          </cell>
        </row>
        <row r="1624">
          <cell r="A1624" t="str">
            <v>2681AM</v>
          </cell>
          <cell r="F1624">
            <v>30</v>
          </cell>
        </row>
        <row r="1625">
          <cell r="A1625" t="str">
            <v>2681AP</v>
          </cell>
          <cell r="F1625">
            <v>30</v>
          </cell>
        </row>
        <row r="1626">
          <cell r="A1626" t="str">
            <v>2681BA</v>
          </cell>
          <cell r="F1626">
            <v>30</v>
          </cell>
        </row>
        <row r="1627">
          <cell r="A1627" t="str">
            <v>2681CE</v>
          </cell>
          <cell r="F1627">
            <v>30</v>
          </cell>
        </row>
        <row r="1628">
          <cell r="A1628" t="str">
            <v>2681DF</v>
          </cell>
          <cell r="F1628">
            <v>30</v>
          </cell>
        </row>
        <row r="1629">
          <cell r="A1629" t="str">
            <v>2681ES</v>
          </cell>
          <cell r="F1629">
            <v>30</v>
          </cell>
        </row>
        <row r="1630">
          <cell r="A1630" t="str">
            <v>2681GO</v>
          </cell>
          <cell r="F1630">
            <v>30</v>
          </cell>
        </row>
        <row r="1631">
          <cell r="A1631" t="str">
            <v>2681MA</v>
          </cell>
          <cell r="F1631">
            <v>30</v>
          </cell>
        </row>
        <row r="1632">
          <cell r="A1632" t="str">
            <v>2681MG</v>
          </cell>
          <cell r="F1632">
            <v>30</v>
          </cell>
        </row>
        <row r="1633">
          <cell r="A1633" t="str">
            <v>2681MS</v>
          </cell>
          <cell r="F1633">
            <v>30</v>
          </cell>
        </row>
        <row r="1634">
          <cell r="A1634" t="str">
            <v>2681MT</v>
          </cell>
          <cell r="F1634">
            <v>30</v>
          </cell>
        </row>
        <row r="1635">
          <cell r="A1635" t="str">
            <v>2681PA</v>
          </cell>
          <cell r="F1635">
            <v>30</v>
          </cell>
        </row>
        <row r="1636">
          <cell r="A1636" t="str">
            <v>2681PB</v>
          </cell>
          <cell r="F1636">
            <v>30</v>
          </cell>
        </row>
        <row r="1637">
          <cell r="A1637" t="str">
            <v>2681PE</v>
          </cell>
          <cell r="F1637">
            <v>30</v>
          </cell>
        </row>
        <row r="1638">
          <cell r="A1638" t="str">
            <v>2681PI</v>
          </cell>
          <cell r="F1638">
            <v>30</v>
          </cell>
        </row>
        <row r="1639">
          <cell r="A1639" t="str">
            <v>2681PR</v>
          </cell>
          <cell r="F1639">
            <v>30</v>
          </cell>
        </row>
        <row r="1640">
          <cell r="A1640" t="str">
            <v>2681RJ</v>
          </cell>
          <cell r="F1640">
            <v>30</v>
          </cell>
        </row>
        <row r="1641">
          <cell r="A1641" t="str">
            <v>2681RN</v>
          </cell>
          <cell r="F1641">
            <v>30</v>
          </cell>
        </row>
        <row r="1642">
          <cell r="A1642" t="str">
            <v>2681RO</v>
          </cell>
          <cell r="F1642">
            <v>30</v>
          </cell>
        </row>
        <row r="1643">
          <cell r="A1643" t="str">
            <v>2681RR</v>
          </cell>
          <cell r="F1643">
            <v>30</v>
          </cell>
        </row>
        <row r="1644">
          <cell r="A1644" t="str">
            <v>2681RS</v>
          </cell>
          <cell r="F1644">
            <v>30</v>
          </cell>
        </row>
        <row r="1645">
          <cell r="A1645" t="str">
            <v>2681SC</v>
          </cell>
          <cell r="F1645">
            <v>30</v>
          </cell>
        </row>
        <row r="1646">
          <cell r="A1646" t="str">
            <v>2681SE</v>
          </cell>
          <cell r="F1646">
            <v>30</v>
          </cell>
        </row>
        <row r="1647">
          <cell r="A1647" t="str">
            <v>2681SP</v>
          </cell>
          <cell r="F1647">
            <v>30</v>
          </cell>
        </row>
        <row r="1648">
          <cell r="A1648" t="str">
            <v>2681TO</v>
          </cell>
          <cell r="F1648">
            <v>30</v>
          </cell>
        </row>
        <row r="1649">
          <cell r="A1649" t="str">
            <v>893681AC</v>
          </cell>
          <cell r="F1649">
            <v>30</v>
          </cell>
        </row>
        <row r="1650">
          <cell r="A1650" t="str">
            <v>893681AL</v>
          </cell>
          <cell r="F1650">
            <v>30</v>
          </cell>
        </row>
        <row r="1651">
          <cell r="A1651" t="str">
            <v>893681AM</v>
          </cell>
          <cell r="F1651">
            <v>30</v>
          </cell>
        </row>
        <row r="1652">
          <cell r="A1652" t="str">
            <v>893681AP</v>
          </cell>
          <cell r="F1652">
            <v>30</v>
          </cell>
        </row>
        <row r="1653">
          <cell r="A1653" t="str">
            <v>893681BA</v>
          </cell>
          <cell r="F1653">
            <v>30</v>
          </cell>
        </row>
        <row r="1654">
          <cell r="A1654" t="str">
            <v>893681CE</v>
          </cell>
          <cell r="F1654">
            <v>30</v>
          </cell>
        </row>
        <row r="1655">
          <cell r="A1655" t="str">
            <v>893681DF</v>
          </cell>
          <cell r="F1655">
            <v>30</v>
          </cell>
        </row>
        <row r="1656">
          <cell r="A1656" t="str">
            <v>893681ES</v>
          </cell>
          <cell r="F1656">
            <v>30</v>
          </cell>
        </row>
        <row r="1657">
          <cell r="A1657" t="str">
            <v>893681GO</v>
          </cell>
          <cell r="F1657">
            <v>30</v>
          </cell>
        </row>
        <row r="1658">
          <cell r="A1658" t="str">
            <v>893681MA</v>
          </cell>
          <cell r="F1658">
            <v>30</v>
          </cell>
        </row>
        <row r="1659">
          <cell r="A1659" t="str">
            <v>893681MG</v>
          </cell>
          <cell r="F1659">
            <v>30</v>
          </cell>
        </row>
        <row r="1660">
          <cell r="A1660" t="str">
            <v>893681MS</v>
          </cell>
          <cell r="F1660">
            <v>30</v>
          </cell>
        </row>
        <row r="1661">
          <cell r="A1661" t="str">
            <v>893681MT</v>
          </cell>
          <cell r="F1661">
            <v>30</v>
          </cell>
        </row>
        <row r="1662">
          <cell r="A1662" t="str">
            <v>893681PA</v>
          </cell>
          <cell r="F1662">
            <v>30</v>
          </cell>
        </row>
        <row r="1663">
          <cell r="A1663" t="str">
            <v>893681PB</v>
          </cell>
          <cell r="F1663">
            <v>30</v>
          </cell>
        </row>
        <row r="1664">
          <cell r="A1664" t="str">
            <v>893681PE</v>
          </cell>
          <cell r="F1664">
            <v>30</v>
          </cell>
        </row>
        <row r="1665">
          <cell r="A1665" t="str">
            <v>893681PI</v>
          </cell>
          <cell r="F1665">
            <v>30</v>
          </cell>
        </row>
        <row r="1666">
          <cell r="A1666" t="str">
            <v>893681PR</v>
          </cell>
          <cell r="F1666">
            <v>30</v>
          </cell>
        </row>
        <row r="1667">
          <cell r="A1667" t="str">
            <v>893681RJ</v>
          </cell>
          <cell r="F1667">
            <v>30</v>
          </cell>
        </row>
        <row r="1668">
          <cell r="A1668" t="str">
            <v>893681RN</v>
          </cell>
          <cell r="F1668">
            <v>30</v>
          </cell>
        </row>
        <row r="1669">
          <cell r="A1669" t="str">
            <v>893681RO</v>
          </cell>
          <cell r="F1669">
            <v>30</v>
          </cell>
        </row>
        <row r="1670">
          <cell r="A1670" t="str">
            <v>893681RR</v>
          </cell>
          <cell r="F1670">
            <v>30</v>
          </cell>
        </row>
        <row r="1671">
          <cell r="A1671" t="str">
            <v>893681RS</v>
          </cell>
          <cell r="F1671">
            <v>30</v>
          </cell>
        </row>
        <row r="1672">
          <cell r="A1672" t="str">
            <v>893681SC</v>
          </cell>
          <cell r="F1672">
            <v>30</v>
          </cell>
        </row>
        <row r="1673">
          <cell r="A1673" t="str">
            <v>893681SE</v>
          </cell>
          <cell r="F1673">
            <v>30</v>
          </cell>
        </row>
        <row r="1674">
          <cell r="A1674" t="str">
            <v>893681SP</v>
          </cell>
          <cell r="F1674">
            <v>30</v>
          </cell>
        </row>
        <row r="1675">
          <cell r="A1675" t="str">
            <v>893681TO</v>
          </cell>
          <cell r="F1675">
            <v>30</v>
          </cell>
        </row>
        <row r="1676">
          <cell r="A1676" t="str">
            <v>33002AC</v>
          </cell>
          <cell r="F1676">
            <v>73.702947591142973</v>
          </cell>
        </row>
        <row r="1677">
          <cell r="A1677" t="str">
            <v>33002AL</v>
          </cell>
          <cell r="F1677">
            <v>73.702947591142973</v>
          </cell>
        </row>
        <row r="1678">
          <cell r="A1678" t="str">
            <v>33002AM</v>
          </cell>
          <cell r="F1678">
            <v>73.702947591142973</v>
          </cell>
        </row>
        <row r="1679">
          <cell r="A1679" t="str">
            <v>33002AP</v>
          </cell>
          <cell r="F1679">
            <v>73.702947591142973</v>
          </cell>
        </row>
        <row r="1680">
          <cell r="A1680" t="str">
            <v>33002BA</v>
          </cell>
          <cell r="F1680">
            <v>73.702947591142973</v>
          </cell>
        </row>
        <row r="1681">
          <cell r="A1681" t="str">
            <v>33002CE</v>
          </cell>
          <cell r="F1681">
            <v>73.702947591142973</v>
          </cell>
        </row>
        <row r="1682">
          <cell r="A1682" t="str">
            <v>33002DF</v>
          </cell>
          <cell r="F1682">
            <v>73.702947591142973</v>
          </cell>
        </row>
        <row r="1683">
          <cell r="A1683" t="str">
            <v>33002ES</v>
          </cell>
          <cell r="F1683">
            <v>73.702947591142973</v>
          </cell>
        </row>
        <row r="1684">
          <cell r="A1684" t="str">
            <v>33002GO</v>
          </cell>
          <cell r="F1684">
            <v>73.702947591142973</v>
          </cell>
        </row>
        <row r="1685">
          <cell r="A1685" t="str">
            <v>33002MA</v>
          </cell>
          <cell r="F1685">
            <v>73.702947591142973</v>
          </cell>
        </row>
        <row r="1686">
          <cell r="A1686" t="str">
            <v>33002MG</v>
          </cell>
          <cell r="F1686">
            <v>73.702947591142973</v>
          </cell>
        </row>
        <row r="1687">
          <cell r="A1687" t="str">
            <v>33002MS</v>
          </cell>
          <cell r="F1687">
            <v>73.702947591142973</v>
          </cell>
        </row>
        <row r="1688">
          <cell r="A1688" t="str">
            <v>33002MT</v>
          </cell>
          <cell r="F1688">
            <v>73.702947591142973</v>
          </cell>
        </row>
        <row r="1689">
          <cell r="A1689" t="str">
            <v>33002PA</v>
          </cell>
          <cell r="F1689">
            <v>73.702947591142973</v>
          </cell>
        </row>
        <row r="1690">
          <cell r="A1690" t="str">
            <v>33002PB</v>
          </cell>
          <cell r="F1690">
            <v>73.702947591142973</v>
          </cell>
        </row>
        <row r="1691">
          <cell r="A1691" t="str">
            <v>33002PE</v>
          </cell>
          <cell r="F1691">
            <v>73.702947591142973</v>
          </cell>
        </row>
        <row r="1692">
          <cell r="A1692" t="str">
            <v>33002PI</v>
          </cell>
          <cell r="F1692">
            <v>73.702947591142973</v>
          </cell>
        </row>
        <row r="1693">
          <cell r="A1693" t="str">
            <v>33002PR</v>
          </cell>
          <cell r="F1693">
            <v>73.702947591142973</v>
          </cell>
        </row>
        <row r="1694">
          <cell r="A1694" t="str">
            <v>33002RJ</v>
          </cell>
          <cell r="F1694">
            <v>73.702947591142973</v>
          </cell>
        </row>
        <row r="1695">
          <cell r="A1695" t="str">
            <v>33002RN</v>
          </cell>
          <cell r="F1695">
            <v>73.702947591142973</v>
          </cell>
        </row>
        <row r="1696">
          <cell r="A1696" t="str">
            <v>33002RO</v>
          </cell>
          <cell r="F1696">
            <v>73.702947591142973</v>
          </cell>
        </row>
        <row r="1697">
          <cell r="A1697" t="str">
            <v>33002RR</v>
          </cell>
          <cell r="F1697">
            <v>73.702947591142973</v>
          </cell>
        </row>
        <row r="1698">
          <cell r="A1698" t="str">
            <v>33002RS</v>
          </cell>
          <cell r="F1698">
            <v>73.702947591142973</v>
          </cell>
        </row>
        <row r="1699">
          <cell r="A1699" t="str">
            <v>33002SC</v>
          </cell>
          <cell r="F1699">
            <v>73.702947591142973</v>
          </cell>
        </row>
        <row r="1700">
          <cell r="A1700" t="str">
            <v>33002SE</v>
          </cell>
          <cell r="F1700">
            <v>73.702947591142973</v>
          </cell>
        </row>
        <row r="1701">
          <cell r="A1701" t="str">
            <v>33002SP</v>
          </cell>
          <cell r="F1701">
            <v>73.702947591142973</v>
          </cell>
        </row>
        <row r="1702">
          <cell r="A1702" t="str">
            <v>33002TO</v>
          </cell>
          <cell r="F1702">
            <v>73.702947591142973</v>
          </cell>
        </row>
        <row r="1703">
          <cell r="A1703" t="str">
            <v>36005AC</v>
          </cell>
          <cell r="F1703">
            <v>70.615738173979494</v>
          </cell>
        </row>
        <row r="1704">
          <cell r="A1704" t="str">
            <v>36005AL</v>
          </cell>
          <cell r="F1704">
            <v>70.615738173979494</v>
          </cell>
        </row>
        <row r="1705">
          <cell r="A1705" t="str">
            <v>36005AM</v>
          </cell>
          <cell r="F1705">
            <v>70.615738173979494</v>
          </cell>
        </row>
        <row r="1706">
          <cell r="A1706" t="str">
            <v>36005AP</v>
          </cell>
          <cell r="F1706">
            <v>70.615738173979494</v>
          </cell>
        </row>
        <row r="1707">
          <cell r="A1707" t="str">
            <v>36005BA</v>
          </cell>
          <cell r="F1707">
            <v>70.615738173979494</v>
          </cell>
        </row>
        <row r="1708">
          <cell r="A1708" t="str">
            <v>36005CE</v>
          </cell>
          <cell r="F1708">
            <v>70.615738173979494</v>
          </cell>
        </row>
        <row r="1709">
          <cell r="A1709" t="str">
            <v>36005DF</v>
          </cell>
          <cell r="F1709">
            <v>70.615738173979494</v>
          </cell>
        </row>
        <row r="1710">
          <cell r="A1710" t="str">
            <v>36005ES</v>
          </cell>
          <cell r="F1710">
            <v>70.615738173979494</v>
          </cell>
        </row>
        <row r="1711">
          <cell r="A1711" t="str">
            <v>36005GO</v>
          </cell>
          <cell r="F1711">
            <v>70.615738173979494</v>
          </cell>
        </row>
        <row r="1712">
          <cell r="A1712" t="str">
            <v>36005MA</v>
          </cell>
          <cell r="F1712">
            <v>70.615738173979494</v>
          </cell>
        </row>
        <row r="1713">
          <cell r="A1713" t="str">
            <v>36005MG</v>
          </cell>
          <cell r="F1713">
            <v>70.615738173979494</v>
          </cell>
        </row>
        <row r="1714">
          <cell r="A1714" t="str">
            <v>36005MS</v>
          </cell>
          <cell r="F1714">
            <v>70.615738173979494</v>
          </cell>
        </row>
        <row r="1715">
          <cell r="A1715" t="str">
            <v>36005MT</v>
          </cell>
          <cell r="F1715">
            <v>70.615738173979494</v>
          </cell>
        </row>
        <row r="1716">
          <cell r="A1716" t="str">
            <v>36005PA</v>
          </cell>
          <cell r="F1716">
            <v>70.615738173979494</v>
          </cell>
        </row>
        <row r="1717">
          <cell r="A1717" t="str">
            <v>36005PB</v>
          </cell>
          <cell r="F1717">
            <v>70.615738173979494</v>
          </cell>
        </row>
        <row r="1718">
          <cell r="A1718" t="str">
            <v>36005PE</v>
          </cell>
          <cell r="F1718">
            <v>70.615738173979494</v>
          </cell>
        </row>
        <row r="1719">
          <cell r="A1719" t="str">
            <v>36005PI</v>
          </cell>
          <cell r="F1719">
            <v>70.615738173979494</v>
          </cell>
        </row>
        <row r="1720">
          <cell r="A1720" t="str">
            <v>36005PR</v>
          </cell>
          <cell r="F1720">
            <v>70.615738173979494</v>
          </cell>
        </row>
        <row r="1721">
          <cell r="A1721" t="str">
            <v>36005RJ</v>
          </cell>
          <cell r="F1721">
            <v>70.615738173979494</v>
          </cell>
        </row>
        <row r="1722">
          <cell r="A1722" t="str">
            <v>36005RN</v>
          </cell>
          <cell r="F1722">
            <v>70.615738173979494</v>
          </cell>
        </row>
        <row r="1723">
          <cell r="A1723" t="str">
            <v>36005RO</v>
          </cell>
          <cell r="F1723">
            <v>70.615738173979494</v>
          </cell>
        </row>
        <row r="1724">
          <cell r="A1724" t="str">
            <v>36005RR</v>
          </cell>
          <cell r="F1724">
            <v>70.615738173979494</v>
          </cell>
        </row>
        <row r="1725">
          <cell r="A1725" t="str">
            <v>36005RS</v>
          </cell>
          <cell r="F1725">
            <v>70.615738173979494</v>
          </cell>
        </row>
        <row r="1726">
          <cell r="A1726" t="str">
            <v>36005SC</v>
          </cell>
          <cell r="F1726">
            <v>70.615738173979494</v>
          </cell>
        </row>
        <row r="1727">
          <cell r="A1727" t="str">
            <v>36005SE</v>
          </cell>
          <cell r="F1727">
            <v>70.615738173979494</v>
          </cell>
        </row>
        <row r="1728">
          <cell r="A1728" t="str">
            <v>36005SP</v>
          </cell>
          <cell r="F1728">
            <v>70.615738173979494</v>
          </cell>
        </row>
        <row r="1729">
          <cell r="A1729" t="str">
            <v>36005TO</v>
          </cell>
          <cell r="F1729">
            <v>70.615738173979494</v>
          </cell>
        </row>
        <row r="1730">
          <cell r="A1730" t="str">
            <v>32580AC</v>
          </cell>
          <cell r="F1730">
            <v>85.449983133349974</v>
          </cell>
        </row>
        <row r="1731">
          <cell r="A1731" t="str">
            <v>32580AL</v>
          </cell>
          <cell r="F1731">
            <v>85.449983133349974</v>
          </cell>
        </row>
        <row r="1732">
          <cell r="A1732" t="str">
            <v>32580AM</v>
          </cell>
          <cell r="F1732">
            <v>85.449983133349974</v>
          </cell>
        </row>
        <row r="1733">
          <cell r="A1733" t="str">
            <v>32580AP</v>
          </cell>
          <cell r="F1733">
            <v>85.449983133349974</v>
          </cell>
        </row>
        <row r="1734">
          <cell r="A1734" t="str">
            <v>32580BA</v>
          </cell>
          <cell r="F1734">
            <v>85.449983133349974</v>
          </cell>
        </row>
        <row r="1735">
          <cell r="A1735" t="str">
            <v>32580CE</v>
          </cell>
          <cell r="F1735">
            <v>85.449983133349974</v>
          </cell>
        </row>
        <row r="1736">
          <cell r="A1736" t="str">
            <v>32580DF</v>
          </cell>
          <cell r="F1736">
            <v>85.449983133349974</v>
          </cell>
        </row>
        <row r="1737">
          <cell r="A1737" t="str">
            <v>32580ES</v>
          </cell>
          <cell r="F1737">
            <v>85.449983133349974</v>
          </cell>
        </row>
        <row r="1738">
          <cell r="A1738" t="str">
            <v>32580GO</v>
          </cell>
          <cell r="F1738">
            <v>85.449983133349974</v>
          </cell>
        </row>
        <row r="1739">
          <cell r="A1739" t="str">
            <v>32580MA</v>
          </cell>
          <cell r="F1739">
            <v>85.449983133349974</v>
          </cell>
        </row>
        <row r="1740">
          <cell r="A1740" t="str">
            <v>32580MG</v>
          </cell>
          <cell r="F1740">
            <v>85.449983133349974</v>
          </cell>
        </row>
        <row r="1741">
          <cell r="A1741" t="str">
            <v>32580MS</v>
          </cell>
          <cell r="F1741">
            <v>85.449983133349974</v>
          </cell>
        </row>
        <row r="1742">
          <cell r="A1742" t="str">
            <v>32580MT</v>
          </cell>
          <cell r="F1742">
            <v>85.449983133349974</v>
          </cell>
        </row>
        <row r="1743">
          <cell r="A1743" t="str">
            <v>32580PA</v>
          </cell>
          <cell r="F1743">
            <v>85.449983133349974</v>
          </cell>
        </row>
        <row r="1744">
          <cell r="A1744" t="str">
            <v>32580PB</v>
          </cell>
          <cell r="F1744">
            <v>85.449983133349974</v>
          </cell>
        </row>
        <row r="1745">
          <cell r="A1745" t="str">
            <v>32580PE</v>
          </cell>
          <cell r="F1745">
            <v>85.449983133349974</v>
          </cell>
        </row>
        <row r="1746">
          <cell r="A1746" t="str">
            <v>32580PI</v>
          </cell>
          <cell r="F1746">
            <v>85.449983133349974</v>
          </cell>
        </row>
        <row r="1747">
          <cell r="A1747" t="str">
            <v>32580PR</v>
          </cell>
          <cell r="F1747">
            <v>85.449983133349974</v>
          </cell>
        </row>
        <row r="1748">
          <cell r="A1748" t="str">
            <v>32580RJ</v>
          </cell>
          <cell r="F1748">
            <v>85.449983133349974</v>
          </cell>
        </row>
        <row r="1749">
          <cell r="A1749" t="str">
            <v>32580RN</v>
          </cell>
          <cell r="F1749">
            <v>85.449983133349974</v>
          </cell>
        </row>
        <row r="1750">
          <cell r="A1750" t="str">
            <v>32580RO</v>
          </cell>
          <cell r="F1750">
            <v>85.449983133349974</v>
          </cell>
        </row>
        <row r="1751">
          <cell r="A1751" t="str">
            <v>32580RR</v>
          </cell>
          <cell r="F1751">
            <v>85.449983133349974</v>
          </cell>
        </row>
        <row r="1752">
          <cell r="A1752" t="str">
            <v>32580RS</v>
          </cell>
          <cell r="F1752">
            <v>85.449983133349974</v>
          </cell>
        </row>
        <row r="1753">
          <cell r="A1753" t="str">
            <v>32580SC</v>
          </cell>
          <cell r="F1753">
            <v>85.449983133349974</v>
          </cell>
        </row>
        <row r="1754">
          <cell r="A1754" t="str">
            <v>32580SE</v>
          </cell>
          <cell r="F1754">
            <v>85.449983133349974</v>
          </cell>
        </row>
        <row r="1755">
          <cell r="A1755" t="str">
            <v>32580SP</v>
          </cell>
          <cell r="F1755">
            <v>85.449983133349974</v>
          </cell>
        </row>
        <row r="1756">
          <cell r="A1756" t="str">
            <v>32580TO</v>
          </cell>
          <cell r="F1756">
            <v>85.449983133349974</v>
          </cell>
        </row>
        <row r="1757">
          <cell r="A1757" t="str">
            <v>32577AC</v>
          </cell>
          <cell r="F1757">
            <v>80.549984204490002</v>
          </cell>
        </row>
        <row r="1758">
          <cell r="A1758" t="str">
            <v>32577AL</v>
          </cell>
          <cell r="F1758">
            <v>80.549984204490002</v>
          </cell>
        </row>
        <row r="1759">
          <cell r="A1759" t="str">
            <v>32577AM</v>
          </cell>
          <cell r="F1759">
            <v>80.549984204490002</v>
          </cell>
        </row>
        <row r="1760">
          <cell r="A1760" t="str">
            <v>32577AP</v>
          </cell>
          <cell r="F1760">
            <v>80.549984204490002</v>
          </cell>
        </row>
        <row r="1761">
          <cell r="A1761" t="str">
            <v>32577BA</v>
          </cell>
          <cell r="F1761">
            <v>80.549984204490002</v>
          </cell>
        </row>
        <row r="1762">
          <cell r="A1762" t="str">
            <v>32577CE</v>
          </cell>
          <cell r="F1762">
            <v>80.549984204490002</v>
          </cell>
        </row>
        <row r="1763">
          <cell r="A1763" t="str">
            <v>32577DF</v>
          </cell>
          <cell r="F1763">
            <v>80.549984204490002</v>
          </cell>
        </row>
        <row r="1764">
          <cell r="A1764" t="str">
            <v>32577ES</v>
          </cell>
          <cell r="F1764">
            <v>80.549984204490002</v>
          </cell>
        </row>
        <row r="1765">
          <cell r="A1765" t="str">
            <v>32577GO</v>
          </cell>
          <cell r="F1765">
            <v>80.549984204490002</v>
          </cell>
        </row>
        <row r="1766">
          <cell r="A1766" t="str">
            <v>32577MA</v>
          </cell>
          <cell r="F1766">
            <v>80.549984204490002</v>
          </cell>
        </row>
        <row r="1767">
          <cell r="A1767" t="str">
            <v>32577MG</v>
          </cell>
          <cell r="F1767">
            <v>80.549984204490002</v>
          </cell>
        </row>
        <row r="1768">
          <cell r="A1768" t="str">
            <v>32577MS</v>
          </cell>
          <cell r="F1768">
            <v>80.549984204490002</v>
          </cell>
        </row>
        <row r="1769">
          <cell r="A1769" t="str">
            <v>32577MT</v>
          </cell>
          <cell r="F1769">
            <v>80.549984204490002</v>
          </cell>
        </row>
        <row r="1770">
          <cell r="A1770" t="str">
            <v>32577PA</v>
          </cell>
          <cell r="F1770">
            <v>80.549984204490002</v>
          </cell>
        </row>
        <row r="1771">
          <cell r="A1771" t="str">
            <v>32577PB</v>
          </cell>
          <cell r="F1771">
            <v>80.549984204490002</v>
          </cell>
        </row>
        <row r="1772">
          <cell r="A1772" t="str">
            <v>32577PE</v>
          </cell>
          <cell r="F1772">
            <v>80.549984204490002</v>
          </cell>
        </row>
        <row r="1773">
          <cell r="A1773" t="str">
            <v>32577PI</v>
          </cell>
          <cell r="F1773">
            <v>80.549984204490002</v>
          </cell>
        </row>
        <row r="1774">
          <cell r="A1774" t="str">
            <v>32577PR</v>
          </cell>
          <cell r="F1774">
            <v>80.549984204490002</v>
          </cell>
        </row>
        <row r="1775">
          <cell r="A1775" t="str">
            <v>32577RJ</v>
          </cell>
          <cell r="F1775">
            <v>80.549984204490002</v>
          </cell>
        </row>
        <row r="1776">
          <cell r="A1776" t="str">
            <v>32577RN</v>
          </cell>
          <cell r="F1776">
            <v>80.549984204490002</v>
          </cell>
        </row>
        <row r="1777">
          <cell r="A1777" t="str">
            <v>32577RO</v>
          </cell>
          <cell r="F1777">
            <v>80.549984204490002</v>
          </cell>
        </row>
        <row r="1778">
          <cell r="A1778" t="str">
            <v>32577RR</v>
          </cell>
          <cell r="F1778">
            <v>80.549984204490002</v>
          </cell>
        </row>
        <row r="1779">
          <cell r="A1779" t="str">
            <v>32577RS</v>
          </cell>
          <cell r="F1779">
            <v>80.549984204490002</v>
          </cell>
        </row>
        <row r="1780">
          <cell r="A1780" t="str">
            <v>32577SC</v>
          </cell>
          <cell r="F1780">
            <v>80.549984204490002</v>
          </cell>
        </row>
        <row r="1781">
          <cell r="A1781" t="str">
            <v>32577SE</v>
          </cell>
          <cell r="F1781">
            <v>80.549984204490002</v>
          </cell>
        </row>
        <row r="1782">
          <cell r="A1782" t="str">
            <v>32577SP</v>
          </cell>
          <cell r="F1782">
            <v>80.549984204490002</v>
          </cell>
        </row>
        <row r="1783">
          <cell r="A1783" t="str">
            <v>32577TO</v>
          </cell>
          <cell r="F1783">
            <v>80.549984204490002</v>
          </cell>
        </row>
        <row r="1784">
          <cell r="A1784" t="str">
            <v>31953AC</v>
          </cell>
          <cell r="F1784">
            <v>90.809900025698113</v>
          </cell>
        </row>
        <row r="1785">
          <cell r="A1785" t="str">
            <v>31953AL</v>
          </cell>
          <cell r="F1785">
            <v>90.809900025698113</v>
          </cell>
        </row>
        <row r="1786">
          <cell r="A1786" t="str">
            <v>31953AM</v>
          </cell>
          <cell r="F1786">
            <v>90.809900025698113</v>
          </cell>
        </row>
        <row r="1787">
          <cell r="A1787" t="str">
            <v>31953AP</v>
          </cell>
          <cell r="F1787">
            <v>90.809900025698113</v>
          </cell>
        </row>
        <row r="1788">
          <cell r="A1788" t="str">
            <v>31953BA</v>
          </cell>
          <cell r="F1788">
            <v>90.809900025698113</v>
          </cell>
        </row>
        <row r="1789">
          <cell r="A1789" t="str">
            <v>31953CE</v>
          </cell>
          <cell r="F1789">
            <v>90.809900025698113</v>
          </cell>
        </row>
        <row r="1790">
          <cell r="A1790" t="str">
            <v>31953DF</v>
          </cell>
          <cell r="F1790">
            <v>90.809900025698113</v>
          </cell>
        </row>
        <row r="1791">
          <cell r="A1791" t="str">
            <v>31953ES</v>
          </cell>
          <cell r="F1791">
            <v>90.809900025698113</v>
          </cell>
        </row>
        <row r="1792">
          <cell r="A1792" t="str">
            <v>31953GO</v>
          </cell>
          <cell r="F1792">
            <v>90.809900025698113</v>
          </cell>
        </row>
        <row r="1793">
          <cell r="A1793" t="str">
            <v>31953MA</v>
          </cell>
          <cell r="F1793">
            <v>90.809900025698113</v>
          </cell>
        </row>
        <row r="1794">
          <cell r="A1794" t="str">
            <v>31953MG</v>
          </cell>
          <cell r="F1794">
            <v>90.809900025698113</v>
          </cell>
        </row>
        <row r="1795">
          <cell r="A1795" t="str">
            <v>31953MS</v>
          </cell>
          <cell r="F1795">
            <v>90.809900025698113</v>
          </cell>
        </row>
        <row r="1796">
          <cell r="A1796" t="str">
            <v>31953MT</v>
          </cell>
          <cell r="F1796">
            <v>90.809900025698113</v>
          </cell>
        </row>
        <row r="1797">
          <cell r="A1797" t="str">
            <v>31953PA</v>
          </cell>
          <cell r="F1797">
            <v>90.809900025698113</v>
          </cell>
        </row>
        <row r="1798">
          <cell r="A1798" t="str">
            <v>31953PB</v>
          </cell>
          <cell r="F1798">
            <v>90.809900025698113</v>
          </cell>
        </row>
        <row r="1799">
          <cell r="A1799" t="str">
            <v>31953PE</v>
          </cell>
          <cell r="F1799">
            <v>90.809900025698113</v>
          </cell>
        </row>
        <row r="1800">
          <cell r="A1800" t="str">
            <v>31953PI</v>
          </cell>
          <cell r="F1800">
            <v>90.809900025698113</v>
          </cell>
        </row>
        <row r="1801">
          <cell r="A1801" t="str">
            <v>31953PR</v>
          </cell>
          <cell r="F1801">
            <v>90.809900025698113</v>
          </cell>
        </row>
        <row r="1802">
          <cell r="A1802" t="str">
            <v>31953RJ</v>
          </cell>
          <cell r="F1802">
            <v>90.809900025698113</v>
          </cell>
        </row>
        <row r="1803">
          <cell r="A1803" t="str">
            <v>31953RN</v>
          </cell>
          <cell r="F1803">
            <v>90.809900025698113</v>
          </cell>
        </row>
        <row r="1804">
          <cell r="A1804" t="str">
            <v>31953RO</v>
          </cell>
          <cell r="F1804">
            <v>90.809900025698113</v>
          </cell>
        </row>
        <row r="1805">
          <cell r="A1805" t="str">
            <v>31953RR</v>
          </cell>
          <cell r="F1805">
            <v>90.809900025698113</v>
          </cell>
        </row>
        <row r="1806">
          <cell r="A1806" t="str">
            <v>31953RS</v>
          </cell>
          <cell r="F1806">
            <v>90.809900025698113</v>
          </cell>
        </row>
        <row r="1807">
          <cell r="A1807" t="str">
            <v>31953SC</v>
          </cell>
          <cell r="F1807">
            <v>90.809900025698113</v>
          </cell>
        </row>
        <row r="1808">
          <cell r="A1808" t="str">
            <v>31953SE</v>
          </cell>
          <cell r="F1808">
            <v>90.809900025698113</v>
          </cell>
        </row>
        <row r="1809">
          <cell r="A1809" t="str">
            <v>31953SP</v>
          </cell>
          <cell r="F1809">
            <v>90.809900025698113</v>
          </cell>
        </row>
        <row r="1810">
          <cell r="A1810" t="str">
            <v>31953TO</v>
          </cell>
          <cell r="F1810">
            <v>90.809900025698113</v>
          </cell>
        </row>
        <row r="1811">
          <cell r="A1811" t="str">
            <v>31952AC</v>
          </cell>
          <cell r="F1811">
            <v>89.819884178078084</v>
          </cell>
        </row>
        <row r="1812">
          <cell r="A1812" t="str">
            <v>31952AL</v>
          </cell>
          <cell r="F1812">
            <v>89.819884178078084</v>
          </cell>
        </row>
        <row r="1813">
          <cell r="A1813" t="str">
            <v>31952AM</v>
          </cell>
          <cell r="F1813">
            <v>89.819884178078084</v>
          </cell>
        </row>
        <row r="1814">
          <cell r="A1814" t="str">
            <v>31952AP</v>
          </cell>
          <cell r="F1814">
            <v>89.819884178078084</v>
          </cell>
        </row>
        <row r="1815">
          <cell r="A1815" t="str">
            <v>31952BA</v>
          </cell>
          <cell r="F1815">
            <v>89.819884178078084</v>
          </cell>
        </row>
        <row r="1816">
          <cell r="A1816" t="str">
            <v>31952CE</v>
          </cell>
          <cell r="F1816">
            <v>89.819884178078084</v>
          </cell>
        </row>
        <row r="1817">
          <cell r="A1817" t="str">
            <v>31952DF</v>
          </cell>
          <cell r="F1817">
            <v>89.819884178078084</v>
          </cell>
        </row>
        <row r="1818">
          <cell r="A1818" t="str">
            <v>31952ES</v>
          </cell>
          <cell r="F1818">
            <v>89.819884178078084</v>
          </cell>
        </row>
        <row r="1819">
          <cell r="A1819" t="str">
            <v>31952GO</v>
          </cell>
          <cell r="F1819">
            <v>89.819884178078084</v>
          </cell>
        </row>
        <row r="1820">
          <cell r="A1820" t="str">
            <v>31952MA</v>
          </cell>
          <cell r="F1820">
            <v>89.819884178078084</v>
          </cell>
        </row>
        <row r="1821">
          <cell r="A1821" t="str">
            <v>31952MG</v>
          </cell>
          <cell r="F1821">
            <v>89.819884178078084</v>
          </cell>
        </row>
        <row r="1822">
          <cell r="A1822" t="str">
            <v>31952MS</v>
          </cell>
          <cell r="F1822">
            <v>89.819884178078084</v>
          </cell>
        </row>
        <row r="1823">
          <cell r="A1823" t="str">
            <v>31952MT</v>
          </cell>
          <cell r="F1823">
            <v>89.819884178078084</v>
          </cell>
        </row>
        <row r="1824">
          <cell r="A1824" t="str">
            <v>31952PA</v>
          </cell>
          <cell r="F1824">
            <v>89.819884178078084</v>
          </cell>
        </row>
        <row r="1825">
          <cell r="A1825" t="str">
            <v>31952PB</v>
          </cell>
          <cell r="F1825">
            <v>89.819884178078084</v>
          </cell>
        </row>
        <row r="1826">
          <cell r="A1826" t="str">
            <v>31952PE</v>
          </cell>
          <cell r="F1826">
            <v>89.819884178078084</v>
          </cell>
        </row>
        <row r="1827">
          <cell r="A1827" t="str">
            <v>31952PI</v>
          </cell>
          <cell r="F1827">
            <v>89.819884178078084</v>
          </cell>
        </row>
        <row r="1828">
          <cell r="A1828" t="str">
            <v>31952PR</v>
          </cell>
          <cell r="F1828">
            <v>89.819884178078084</v>
          </cell>
        </row>
        <row r="1829">
          <cell r="A1829" t="str">
            <v>31952RJ</v>
          </cell>
          <cell r="F1829">
            <v>89.819884178078084</v>
          </cell>
        </row>
        <row r="1830">
          <cell r="A1830" t="str">
            <v>31952RN</v>
          </cell>
          <cell r="F1830">
            <v>89.819884178078084</v>
          </cell>
        </row>
        <row r="1831">
          <cell r="A1831" t="str">
            <v>31952RO</v>
          </cell>
          <cell r="F1831">
            <v>89.819884178078084</v>
          </cell>
        </row>
        <row r="1832">
          <cell r="A1832" t="str">
            <v>31952RR</v>
          </cell>
          <cell r="F1832">
            <v>89.819884178078084</v>
          </cell>
        </row>
        <row r="1833">
          <cell r="A1833" t="str">
            <v>31952RS</v>
          </cell>
          <cell r="F1833">
            <v>89.819884178078084</v>
          </cell>
        </row>
        <row r="1834">
          <cell r="A1834" t="str">
            <v>31952SC</v>
          </cell>
          <cell r="F1834">
            <v>89.819884178078084</v>
          </cell>
        </row>
        <row r="1835">
          <cell r="A1835" t="str">
            <v>31952SE</v>
          </cell>
          <cell r="F1835">
            <v>89.819884178078084</v>
          </cell>
        </row>
        <row r="1836">
          <cell r="A1836" t="str">
            <v>31952SP</v>
          </cell>
          <cell r="F1836">
            <v>89.819884178078084</v>
          </cell>
        </row>
        <row r="1837">
          <cell r="A1837" t="str">
            <v>31952TO</v>
          </cell>
          <cell r="F1837">
            <v>89.819884178078084</v>
          </cell>
        </row>
        <row r="1838">
          <cell r="A1838" t="str">
            <v>31148AC</v>
          </cell>
          <cell r="F1838">
            <v>41.638215219403527</v>
          </cell>
        </row>
        <row r="1839">
          <cell r="A1839" t="str">
            <v>31148AL</v>
          </cell>
          <cell r="F1839">
            <v>41.638215219403527</v>
          </cell>
        </row>
        <row r="1840">
          <cell r="A1840" t="str">
            <v>31148AM</v>
          </cell>
          <cell r="F1840">
            <v>41.638215219403527</v>
          </cell>
        </row>
        <row r="1841">
          <cell r="A1841" t="str">
            <v>31148AP</v>
          </cell>
          <cell r="F1841">
            <v>41.638215219403527</v>
          </cell>
        </row>
        <row r="1842">
          <cell r="A1842" t="str">
            <v>31148BA</v>
          </cell>
          <cell r="F1842">
            <v>41.638215219403527</v>
          </cell>
        </row>
        <row r="1843">
          <cell r="A1843" t="str">
            <v>31148CE</v>
          </cell>
          <cell r="F1843">
            <v>41.638215219403527</v>
          </cell>
        </row>
        <row r="1844">
          <cell r="A1844" t="str">
            <v>31148DF</v>
          </cell>
          <cell r="F1844">
            <v>41.638215219403527</v>
          </cell>
        </row>
        <row r="1845">
          <cell r="A1845" t="str">
            <v>31148ES</v>
          </cell>
          <cell r="F1845">
            <v>41.638215219403527</v>
          </cell>
        </row>
        <row r="1846">
          <cell r="A1846" t="str">
            <v>31148GO</v>
          </cell>
          <cell r="F1846">
            <v>41.638215219403527</v>
          </cell>
        </row>
        <row r="1847">
          <cell r="A1847" t="str">
            <v>31148MA</v>
          </cell>
          <cell r="F1847">
            <v>41.638215219403527</v>
          </cell>
        </row>
        <row r="1848">
          <cell r="A1848" t="str">
            <v>31148MG</v>
          </cell>
          <cell r="F1848">
            <v>41.638215219403527</v>
          </cell>
        </row>
        <row r="1849">
          <cell r="A1849" t="str">
            <v>31148MS</v>
          </cell>
          <cell r="F1849">
            <v>41.638215219403527</v>
          </cell>
        </row>
        <row r="1850">
          <cell r="A1850" t="str">
            <v>31148MT</v>
          </cell>
          <cell r="F1850">
            <v>41.638215219403527</v>
          </cell>
        </row>
        <row r="1851">
          <cell r="A1851" t="str">
            <v>31148PA</v>
          </cell>
          <cell r="F1851">
            <v>41.638215219403527</v>
          </cell>
        </row>
        <row r="1852">
          <cell r="A1852" t="str">
            <v>31148PB</v>
          </cell>
          <cell r="F1852">
            <v>41.638215219403527</v>
          </cell>
        </row>
        <row r="1853">
          <cell r="A1853" t="str">
            <v>31148PE</v>
          </cell>
          <cell r="F1853">
            <v>41.638215219403527</v>
          </cell>
        </row>
        <row r="1854">
          <cell r="A1854" t="str">
            <v>31148PI</v>
          </cell>
          <cell r="F1854">
            <v>41.638215219403527</v>
          </cell>
        </row>
        <row r="1855">
          <cell r="A1855" t="str">
            <v>31148PR</v>
          </cell>
          <cell r="F1855">
            <v>41.638215219403527</v>
          </cell>
        </row>
        <row r="1856">
          <cell r="A1856" t="str">
            <v>31148RJ</v>
          </cell>
          <cell r="F1856">
            <v>41.638215219403527</v>
          </cell>
        </row>
        <row r="1857">
          <cell r="A1857" t="str">
            <v>31148RN</v>
          </cell>
          <cell r="F1857">
            <v>41.638215219403527</v>
          </cell>
        </row>
        <row r="1858">
          <cell r="A1858" t="str">
            <v>31148RO</v>
          </cell>
          <cell r="F1858">
            <v>41.638215219403527</v>
          </cell>
        </row>
        <row r="1859">
          <cell r="A1859" t="str">
            <v>31148RR</v>
          </cell>
          <cell r="F1859">
            <v>41.638215219403527</v>
          </cell>
        </row>
        <row r="1860">
          <cell r="A1860" t="str">
            <v>31148RS</v>
          </cell>
          <cell r="F1860">
            <v>41.638215219403527</v>
          </cell>
        </row>
        <row r="1861">
          <cell r="A1861" t="str">
            <v>31148SC</v>
          </cell>
          <cell r="F1861">
            <v>41.638215219403527</v>
          </cell>
        </row>
        <row r="1862">
          <cell r="A1862" t="str">
            <v>31148SE</v>
          </cell>
          <cell r="F1862">
            <v>41.638215219403527</v>
          </cell>
        </row>
        <row r="1863">
          <cell r="A1863" t="str">
            <v>31148SP</v>
          </cell>
          <cell r="F1863">
            <v>41.638215219403527</v>
          </cell>
        </row>
        <row r="1864">
          <cell r="A1864" t="str">
            <v>31148TO</v>
          </cell>
          <cell r="F1864">
            <v>41.638215219403527</v>
          </cell>
        </row>
        <row r="1865">
          <cell r="A1865" t="str">
            <v>31118AC</v>
          </cell>
          <cell r="F1865">
            <v>78.940005622372098</v>
          </cell>
        </row>
        <row r="1866">
          <cell r="A1866" t="str">
            <v>31118AL</v>
          </cell>
          <cell r="F1866">
            <v>78.940005622372098</v>
          </cell>
        </row>
        <row r="1867">
          <cell r="A1867" t="str">
            <v>31118AM</v>
          </cell>
          <cell r="F1867">
            <v>78.940005622372098</v>
          </cell>
        </row>
        <row r="1868">
          <cell r="A1868" t="str">
            <v>31118AP</v>
          </cell>
          <cell r="F1868">
            <v>78.940005622372098</v>
          </cell>
        </row>
        <row r="1869">
          <cell r="A1869" t="str">
            <v>31118BA</v>
          </cell>
          <cell r="F1869">
            <v>78.940005622372098</v>
          </cell>
        </row>
        <row r="1870">
          <cell r="A1870" t="str">
            <v>31118CE</v>
          </cell>
          <cell r="F1870">
            <v>78.940005622372098</v>
          </cell>
        </row>
        <row r="1871">
          <cell r="A1871" t="str">
            <v>31118DF</v>
          </cell>
          <cell r="F1871">
            <v>78.940005622372098</v>
          </cell>
        </row>
        <row r="1872">
          <cell r="A1872" t="str">
            <v>31118ES</v>
          </cell>
          <cell r="F1872">
            <v>78.940005622372098</v>
          </cell>
        </row>
        <row r="1873">
          <cell r="A1873" t="str">
            <v>31118GO</v>
          </cell>
          <cell r="F1873">
            <v>78.940005622372098</v>
          </cell>
        </row>
        <row r="1874">
          <cell r="A1874" t="str">
            <v>31118MA</v>
          </cell>
          <cell r="F1874">
            <v>78.940005622372098</v>
          </cell>
        </row>
        <row r="1875">
          <cell r="A1875" t="str">
            <v>31118MG</v>
          </cell>
          <cell r="F1875">
            <v>78.940005622372098</v>
          </cell>
        </row>
        <row r="1876">
          <cell r="A1876" t="str">
            <v>31118MS</v>
          </cell>
          <cell r="F1876">
            <v>78.940005622372098</v>
          </cell>
        </row>
        <row r="1877">
          <cell r="A1877" t="str">
            <v>31118MT</v>
          </cell>
          <cell r="F1877">
            <v>78.940005622372098</v>
          </cell>
        </row>
        <row r="1878">
          <cell r="A1878" t="str">
            <v>31118PA</v>
          </cell>
          <cell r="F1878">
            <v>78.940005622372098</v>
          </cell>
        </row>
        <row r="1879">
          <cell r="A1879" t="str">
            <v>31118PB</v>
          </cell>
          <cell r="F1879">
            <v>78.940005622372098</v>
          </cell>
        </row>
        <row r="1880">
          <cell r="A1880" t="str">
            <v>31118PE</v>
          </cell>
          <cell r="F1880">
            <v>78.940005622372098</v>
          </cell>
        </row>
        <row r="1881">
          <cell r="A1881" t="str">
            <v>31118PI</v>
          </cell>
          <cell r="F1881">
            <v>78.940005622372098</v>
          </cell>
        </row>
        <row r="1882">
          <cell r="A1882" t="str">
            <v>31118PR</v>
          </cell>
          <cell r="F1882">
            <v>78.940005622372098</v>
          </cell>
        </row>
        <row r="1883">
          <cell r="A1883" t="str">
            <v>31118RJ</v>
          </cell>
          <cell r="F1883">
            <v>78.940005622372098</v>
          </cell>
        </row>
        <row r="1884">
          <cell r="A1884" t="str">
            <v>31118RN</v>
          </cell>
          <cell r="F1884">
            <v>78.940005622372098</v>
          </cell>
        </row>
        <row r="1885">
          <cell r="A1885" t="str">
            <v>31118RO</v>
          </cell>
          <cell r="F1885">
            <v>78.940005622372098</v>
          </cell>
        </row>
        <row r="1886">
          <cell r="A1886" t="str">
            <v>31118RR</v>
          </cell>
          <cell r="F1886">
            <v>78.940005622372098</v>
          </cell>
        </row>
        <row r="1887">
          <cell r="A1887" t="str">
            <v>31118RS</v>
          </cell>
          <cell r="F1887">
            <v>78.940005622372098</v>
          </cell>
        </row>
        <row r="1888">
          <cell r="A1888" t="str">
            <v>31118SC</v>
          </cell>
          <cell r="F1888">
            <v>78.940005622372098</v>
          </cell>
        </row>
        <row r="1889">
          <cell r="A1889" t="str">
            <v>31118SE</v>
          </cell>
          <cell r="F1889">
            <v>78.940005622372098</v>
          </cell>
        </row>
        <row r="1890">
          <cell r="A1890" t="str">
            <v>31118SP</v>
          </cell>
          <cell r="F1890">
            <v>78.940005622372098</v>
          </cell>
        </row>
        <row r="1891">
          <cell r="A1891" t="str">
            <v>31118TO</v>
          </cell>
          <cell r="F1891">
            <v>78.940005622372098</v>
          </cell>
        </row>
        <row r="1892">
          <cell r="A1892" t="str">
            <v>32068AC</v>
          </cell>
          <cell r="F1892">
            <v>54.1</v>
          </cell>
        </row>
        <row r="1893">
          <cell r="A1893" t="str">
            <v>32068AL</v>
          </cell>
          <cell r="F1893">
            <v>54.1</v>
          </cell>
        </row>
        <row r="1894">
          <cell r="A1894" t="str">
            <v>32068AM</v>
          </cell>
          <cell r="F1894">
            <v>54.1</v>
          </cell>
        </row>
        <row r="1895">
          <cell r="A1895" t="str">
            <v>32068AP</v>
          </cell>
          <cell r="F1895">
            <v>54.1</v>
          </cell>
        </row>
        <row r="1896">
          <cell r="A1896" t="str">
            <v>32068BA</v>
          </cell>
          <cell r="F1896">
            <v>54.1</v>
          </cell>
        </row>
        <row r="1897">
          <cell r="A1897" t="str">
            <v>32068CE</v>
          </cell>
          <cell r="F1897">
            <v>54.1</v>
          </cell>
        </row>
        <row r="1898">
          <cell r="A1898" t="str">
            <v>32068DF</v>
          </cell>
          <cell r="F1898">
            <v>54.1</v>
          </cell>
        </row>
        <row r="1899">
          <cell r="A1899" t="str">
            <v>32068ES</v>
          </cell>
          <cell r="F1899">
            <v>54.1</v>
          </cell>
        </row>
        <row r="1900">
          <cell r="A1900" t="str">
            <v>32068GO</v>
          </cell>
          <cell r="F1900">
            <v>54.1</v>
          </cell>
        </row>
        <row r="1901">
          <cell r="A1901" t="str">
            <v>32068MA</v>
          </cell>
          <cell r="F1901">
            <v>54.1</v>
          </cell>
        </row>
        <row r="1902">
          <cell r="A1902" t="str">
            <v>32068MG</v>
          </cell>
          <cell r="F1902">
            <v>56.8</v>
          </cell>
        </row>
        <row r="1903">
          <cell r="A1903" t="str">
            <v>32068MS</v>
          </cell>
          <cell r="F1903">
            <v>54.1</v>
          </cell>
        </row>
        <row r="1904">
          <cell r="A1904" t="str">
            <v>32068MT</v>
          </cell>
          <cell r="F1904">
            <v>54.1</v>
          </cell>
        </row>
        <row r="1905">
          <cell r="A1905" t="str">
            <v>32068PA</v>
          </cell>
          <cell r="F1905">
            <v>54.1</v>
          </cell>
        </row>
        <row r="1906">
          <cell r="A1906" t="str">
            <v>32068PB</v>
          </cell>
          <cell r="F1906">
            <v>54.1</v>
          </cell>
        </row>
        <row r="1907">
          <cell r="A1907" t="str">
            <v>32068PE</v>
          </cell>
          <cell r="F1907">
            <v>54.1</v>
          </cell>
        </row>
        <row r="1908">
          <cell r="A1908" t="str">
            <v>32068PI</v>
          </cell>
          <cell r="F1908">
            <v>54.1</v>
          </cell>
        </row>
        <row r="1909">
          <cell r="A1909" t="str">
            <v>32068PR</v>
          </cell>
          <cell r="F1909">
            <v>56.899999999999991</v>
          </cell>
        </row>
        <row r="1910">
          <cell r="A1910" t="str">
            <v>32068RJ</v>
          </cell>
          <cell r="F1910">
            <v>56.899999999999991</v>
          </cell>
        </row>
        <row r="1911">
          <cell r="A1911" t="str">
            <v>32068RN</v>
          </cell>
          <cell r="F1911">
            <v>54.1</v>
          </cell>
        </row>
        <row r="1912">
          <cell r="A1912" t="str">
            <v>32068RO</v>
          </cell>
          <cell r="F1912">
            <v>54.1</v>
          </cell>
        </row>
        <row r="1913">
          <cell r="A1913" t="str">
            <v>32068RR</v>
          </cell>
          <cell r="F1913">
            <v>54.1</v>
          </cell>
        </row>
        <row r="1914">
          <cell r="A1914" t="str">
            <v>32068RS</v>
          </cell>
          <cell r="F1914">
            <v>56.899999999999991</v>
          </cell>
        </row>
        <row r="1915">
          <cell r="A1915" t="str">
            <v>32068SC</v>
          </cell>
          <cell r="F1915">
            <v>56.899999999999991</v>
          </cell>
        </row>
        <row r="1916">
          <cell r="A1916" t="str">
            <v>32068SE</v>
          </cell>
          <cell r="F1916">
            <v>54.1</v>
          </cell>
        </row>
        <row r="1917">
          <cell r="A1917" t="str">
            <v>32068SP</v>
          </cell>
          <cell r="F1917">
            <v>60.099999999999994</v>
          </cell>
        </row>
        <row r="1918">
          <cell r="A1918" t="str">
            <v>32068TO</v>
          </cell>
          <cell r="F1918">
            <v>54.1</v>
          </cell>
        </row>
        <row r="1919">
          <cell r="A1919" t="str">
            <v>36019AC</v>
          </cell>
          <cell r="F1919">
            <v>56.17488529371775</v>
          </cell>
        </row>
        <row r="1920">
          <cell r="A1920" t="str">
            <v>36019AL</v>
          </cell>
          <cell r="F1920">
            <v>59.84031245585939</v>
          </cell>
        </row>
        <row r="1921">
          <cell r="A1921" t="str">
            <v>36019AM</v>
          </cell>
          <cell r="F1921">
            <v>54.326084838372225</v>
          </cell>
        </row>
        <row r="1922">
          <cell r="A1922" t="str">
            <v>36019AP</v>
          </cell>
          <cell r="F1922">
            <v>54.995432475723327</v>
          </cell>
        </row>
        <row r="1923">
          <cell r="A1923" t="str">
            <v>36019BA</v>
          </cell>
          <cell r="F1923">
            <v>57.793534302295548</v>
          </cell>
        </row>
        <row r="1924">
          <cell r="A1924" t="str">
            <v>36019CE</v>
          </cell>
          <cell r="F1924">
            <v>52.010686887832506</v>
          </cell>
        </row>
        <row r="1925">
          <cell r="A1925" t="str">
            <v>36019DF</v>
          </cell>
          <cell r="F1925">
            <v>64.664020222679113</v>
          </cell>
        </row>
        <row r="1926">
          <cell r="A1926" t="str">
            <v>36019ES</v>
          </cell>
          <cell r="F1926">
            <v>61.234047542058399</v>
          </cell>
        </row>
        <row r="1927">
          <cell r="A1927" t="str">
            <v>36019GO</v>
          </cell>
          <cell r="F1927">
            <v>61.630854172338154</v>
          </cell>
        </row>
        <row r="1928">
          <cell r="A1928" t="str">
            <v>36019MA</v>
          </cell>
          <cell r="F1928">
            <v>63.260805983134205</v>
          </cell>
        </row>
        <row r="1929">
          <cell r="A1929" t="str">
            <v>36019MG</v>
          </cell>
          <cell r="F1929">
            <v>60.733396682514154</v>
          </cell>
        </row>
        <row r="1930">
          <cell r="A1930" t="str">
            <v>36019MS</v>
          </cell>
          <cell r="F1930">
            <v>67.676791584758661</v>
          </cell>
        </row>
        <row r="1931">
          <cell r="A1931" t="str">
            <v>36019MT</v>
          </cell>
          <cell r="F1931">
            <v>61.86711900503424</v>
          </cell>
        </row>
        <row r="1932">
          <cell r="A1932" t="str">
            <v>36019PA</v>
          </cell>
          <cell r="F1932">
            <v>56.747977119789816</v>
          </cell>
        </row>
        <row r="1933">
          <cell r="A1933" t="str">
            <v>36019PB</v>
          </cell>
          <cell r="F1933">
            <v>52.243718044859179</v>
          </cell>
        </row>
        <row r="1934">
          <cell r="A1934" t="str">
            <v>36019PE</v>
          </cell>
          <cell r="F1934">
            <v>58.125131615731405</v>
          </cell>
        </row>
        <row r="1935">
          <cell r="A1935" t="str">
            <v>36019PI</v>
          </cell>
          <cell r="F1935">
            <v>56.608261660067797</v>
          </cell>
        </row>
        <row r="1936">
          <cell r="A1936" t="str">
            <v>36019PR</v>
          </cell>
          <cell r="F1936">
            <v>67.997224850221428</v>
          </cell>
        </row>
        <row r="1937">
          <cell r="A1937" t="str">
            <v>36019RJ</v>
          </cell>
          <cell r="F1937">
            <v>62.512553047467442</v>
          </cell>
        </row>
        <row r="1938">
          <cell r="A1938" t="str">
            <v>36019RN</v>
          </cell>
          <cell r="F1938">
            <v>53.046736113681611</v>
          </cell>
        </row>
        <row r="1939">
          <cell r="A1939" t="str">
            <v>36019RO</v>
          </cell>
          <cell r="F1939">
            <v>52.538703864085115</v>
          </cell>
        </row>
        <row r="1940">
          <cell r="A1940" t="str">
            <v>36019RR</v>
          </cell>
          <cell r="F1940">
            <v>54.061107735225868</v>
          </cell>
        </row>
        <row r="1941">
          <cell r="A1941" t="str">
            <v>36019RS</v>
          </cell>
          <cell r="F1941">
            <v>66.100076832324802</v>
          </cell>
        </row>
        <row r="1942">
          <cell r="A1942" t="str">
            <v>36019SC</v>
          </cell>
          <cell r="F1942">
            <v>65.534605695932896</v>
          </cell>
        </row>
        <row r="1943">
          <cell r="A1943" t="str">
            <v>36019SE</v>
          </cell>
          <cell r="F1943">
            <v>55.654981501191081</v>
          </cell>
        </row>
        <row r="1944">
          <cell r="A1944" t="str">
            <v>36019SP</v>
          </cell>
          <cell r="F1944">
            <v>58.165634786823837</v>
          </cell>
        </row>
        <row r="1945">
          <cell r="A1945" t="str">
            <v>36019TO</v>
          </cell>
          <cell r="F1945">
            <v>66.104244693237533</v>
          </cell>
        </row>
        <row r="1946">
          <cell r="A1946" t="str">
            <v>2312AC</v>
          </cell>
          <cell r="F1946">
            <v>25</v>
          </cell>
        </row>
        <row r="1947">
          <cell r="A1947" t="str">
            <v>2312AL</v>
          </cell>
          <cell r="F1947">
            <v>25</v>
          </cell>
        </row>
        <row r="1948">
          <cell r="A1948" t="str">
            <v>2312AM</v>
          </cell>
          <cell r="F1948">
            <v>25</v>
          </cell>
        </row>
        <row r="1949">
          <cell r="A1949" t="str">
            <v>2312AP</v>
          </cell>
          <cell r="F1949">
            <v>25</v>
          </cell>
        </row>
        <row r="1950">
          <cell r="A1950" t="str">
            <v>2312BA</v>
          </cell>
          <cell r="F1950">
            <v>25</v>
          </cell>
        </row>
        <row r="1951">
          <cell r="A1951" t="str">
            <v>2312CE</v>
          </cell>
          <cell r="F1951">
            <v>25</v>
          </cell>
        </row>
        <row r="1952">
          <cell r="A1952" t="str">
            <v>2312DF</v>
          </cell>
          <cell r="F1952">
            <v>25</v>
          </cell>
        </row>
        <row r="1953">
          <cell r="A1953" t="str">
            <v>2312ES</v>
          </cell>
          <cell r="F1953">
            <v>25</v>
          </cell>
        </row>
        <row r="1954">
          <cell r="A1954" t="str">
            <v>2312GO</v>
          </cell>
          <cell r="F1954">
            <v>25</v>
          </cell>
        </row>
        <row r="1955">
          <cell r="A1955" t="str">
            <v>2312MA</v>
          </cell>
          <cell r="F1955">
            <v>25</v>
          </cell>
        </row>
        <row r="1956">
          <cell r="A1956" t="str">
            <v>2312MG</v>
          </cell>
          <cell r="F1956">
            <v>25</v>
          </cell>
        </row>
        <row r="1957">
          <cell r="A1957" t="str">
            <v>2312MS</v>
          </cell>
          <cell r="F1957">
            <v>25</v>
          </cell>
        </row>
        <row r="1958">
          <cell r="A1958" t="str">
            <v>2312MT</v>
          </cell>
          <cell r="F1958">
            <v>25</v>
          </cell>
        </row>
        <row r="1959">
          <cell r="A1959" t="str">
            <v>2312PA</v>
          </cell>
          <cell r="F1959">
            <v>25</v>
          </cell>
        </row>
        <row r="1960">
          <cell r="A1960" t="str">
            <v>2312PB</v>
          </cell>
          <cell r="F1960">
            <v>25</v>
          </cell>
        </row>
        <row r="1961">
          <cell r="A1961" t="str">
            <v>2312PE</v>
          </cell>
          <cell r="F1961">
            <v>25</v>
          </cell>
        </row>
        <row r="1962">
          <cell r="A1962" t="str">
            <v>2312PI</v>
          </cell>
          <cell r="F1962">
            <v>25</v>
          </cell>
        </row>
        <row r="1963">
          <cell r="A1963" t="str">
            <v>2312PR</v>
          </cell>
          <cell r="F1963">
            <v>25</v>
          </cell>
        </row>
        <row r="1964">
          <cell r="A1964" t="str">
            <v>2312RJ</v>
          </cell>
          <cell r="F1964">
            <v>25</v>
          </cell>
        </row>
        <row r="1965">
          <cell r="A1965" t="str">
            <v>2312RN</v>
          </cell>
          <cell r="F1965">
            <v>25</v>
          </cell>
        </row>
        <row r="1966">
          <cell r="A1966" t="str">
            <v>2312RO</v>
          </cell>
          <cell r="F1966">
            <v>25</v>
          </cell>
        </row>
        <row r="1967">
          <cell r="A1967" t="str">
            <v>2312RR</v>
          </cell>
          <cell r="F1967">
            <v>25</v>
          </cell>
        </row>
        <row r="1968">
          <cell r="A1968" t="str">
            <v>2312RS</v>
          </cell>
          <cell r="F1968">
            <v>25</v>
          </cell>
        </row>
        <row r="1969">
          <cell r="A1969" t="str">
            <v>2312SC</v>
          </cell>
          <cell r="F1969">
            <v>25</v>
          </cell>
        </row>
        <row r="1970">
          <cell r="A1970" t="str">
            <v>2312SE</v>
          </cell>
          <cell r="F1970">
            <v>25</v>
          </cell>
        </row>
        <row r="1971">
          <cell r="A1971" t="str">
            <v>2312SP</v>
          </cell>
          <cell r="F1971">
            <v>25</v>
          </cell>
        </row>
        <row r="1972">
          <cell r="A1972" t="str">
            <v>2312TO</v>
          </cell>
          <cell r="F1972">
            <v>25</v>
          </cell>
        </row>
        <row r="1973">
          <cell r="A1973" t="str">
            <v>2436AC</v>
          </cell>
          <cell r="F1973">
            <v>25</v>
          </cell>
        </row>
        <row r="1974">
          <cell r="A1974" t="str">
            <v>2436AL</v>
          </cell>
          <cell r="F1974">
            <v>25</v>
          </cell>
        </row>
        <row r="1975">
          <cell r="A1975" t="str">
            <v>2436AM</v>
          </cell>
          <cell r="F1975">
            <v>25</v>
          </cell>
        </row>
        <row r="1976">
          <cell r="A1976" t="str">
            <v>2436AP</v>
          </cell>
          <cell r="F1976">
            <v>25</v>
          </cell>
        </row>
        <row r="1977">
          <cell r="A1977" t="str">
            <v>2436BA</v>
          </cell>
          <cell r="F1977">
            <v>25</v>
          </cell>
        </row>
        <row r="1978">
          <cell r="A1978" t="str">
            <v>2436CE</v>
          </cell>
          <cell r="F1978">
            <v>25</v>
          </cell>
        </row>
        <row r="1979">
          <cell r="A1979" t="str">
            <v>2436DF</v>
          </cell>
          <cell r="F1979">
            <v>25</v>
          </cell>
        </row>
        <row r="1980">
          <cell r="A1980" t="str">
            <v>2436ES</v>
          </cell>
          <cell r="F1980">
            <v>25</v>
          </cell>
        </row>
        <row r="1981">
          <cell r="A1981" t="str">
            <v>2436GO</v>
          </cell>
          <cell r="F1981">
            <v>25</v>
          </cell>
        </row>
        <row r="1982">
          <cell r="A1982" t="str">
            <v>2436MA</v>
          </cell>
          <cell r="F1982">
            <v>25</v>
          </cell>
        </row>
        <row r="1983">
          <cell r="A1983" t="str">
            <v>2436MG</v>
          </cell>
          <cell r="F1983">
            <v>25</v>
          </cell>
        </row>
        <row r="1984">
          <cell r="A1984" t="str">
            <v>2436MS</v>
          </cell>
          <cell r="F1984">
            <v>25</v>
          </cell>
        </row>
        <row r="1985">
          <cell r="A1985" t="str">
            <v>2436MT</v>
          </cell>
          <cell r="F1985">
            <v>25</v>
          </cell>
        </row>
        <row r="1986">
          <cell r="A1986" t="str">
            <v>2436PA</v>
          </cell>
          <cell r="F1986">
            <v>25</v>
          </cell>
        </row>
        <row r="1987">
          <cell r="A1987" t="str">
            <v>2436PB</v>
          </cell>
          <cell r="F1987">
            <v>25</v>
          </cell>
        </row>
        <row r="1988">
          <cell r="A1988" t="str">
            <v>2436PE</v>
          </cell>
          <cell r="F1988">
            <v>25</v>
          </cell>
        </row>
        <row r="1989">
          <cell r="A1989" t="str">
            <v>2436PI</v>
          </cell>
          <cell r="F1989">
            <v>25</v>
          </cell>
        </row>
        <row r="1990">
          <cell r="A1990" t="str">
            <v>2436PR</v>
          </cell>
          <cell r="F1990">
            <v>25</v>
          </cell>
        </row>
        <row r="1991">
          <cell r="A1991" t="str">
            <v>2436RJ</v>
          </cell>
          <cell r="F1991">
            <v>25</v>
          </cell>
        </row>
        <row r="1992">
          <cell r="A1992" t="str">
            <v>2436RN</v>
          </cell>
          <cell r="F1992">
            <v>25</v>
          </cell>
        </row>
        <row r="1993">
          <cell r="A1993" t="str">
            <v>2436RO</v>
          </cell>
          <cell r="F1993">
            <v>25</v>
          </cell>
        </row>
        <row r="1994">
          <cell r="A1994" t="str">
            <v>2436RR</v>
          </cell>
          <cell r="F1994">
            <v>25</v>
          </cell>
        </row>
        <row r="1995">
          <cell r="A1995" t="str">
            <v>2436RS</v>
          </cell>
          <cell r="F1995">
            <v>25</v>
          </cell>
        </row>
        <row r="1996">
          <cell r="A1996" t="str">
            <v>2436SC</v>
          </cell>
          <cell r="F1996">
            <v>25</v>
          </cell>
        </row>
        <row r="1997">
          <cell r="A1997" t="str">
            <v>2436SE</v>
          </cell>
          <cell r="F1997">
            <v>25</v>
          </cell>
        </row>
        <row r="1998">
          <cell r="A1998" t="str">
            <v>2436SP</v>
          </cell>
          <cell r="F1998">
            <v>25</v>
          </cell>
        </row>
        <row r="1999">
          <cell r="A1999" t="str">
            <v>2436TO</v>
          </cell>
          <cell r="F1999">
            <v>25</v>
          </cell>
        </row>
        <row r="2000">
          <cell r="A2000" t="str">
            <v>2315AC</v>
          </cell>
          <cell r="F2000">
            <v>25</v>
          </cell>
        </row>
        <row r="2001">
          <cell r="A2001" t="str">
            <v>2315AL</v>
          </cell>
          <cell r="F2001">
            <v>25</v>
          </cell>
        </row>
        <row r="2002">
          <cell r="A2002" t="str">
            <v>2315AM</v>
          </cell>
          <cell r="F2002">
            <v>25</v>
          </cell>
        </row>
        <row r="2003">
          <cell r="A2003" t="str">
            <v>2315AP</v>
          </cell>
          <cell r="F2003">
            <v>25</v>
          </cell>
        </row>
        <row r="2004">
          <cell r="A2004" t="str">
            <v>2315BA</v>
          </cell>
          <cell r="F2004">
            <v>25</v>
          </cell>
        </row>
        <row r="2005">
          <cell r="A2005" t="str">
            <v>2315CE</v>
          </cell>
          <cell r="F2005">
            <v>25</v>
          </cell>
        </row>
        <row r="2006">
          <cell r="A2006" t="str">
            <v>2315DF</v>
          </cell>
          <cell r="F2006">
            <v>25</v>
          </cell>
        </row>
        <row r="2007">
          <cell r="A2007" t="str">
            <v>2315ES</v>
          </cell>
          <cell r="F2007">
            <v>25</v>
          </cell>
        </row>
        <row r="2008">
          <cell r="A2008" t="str">
            <v>2315GO</v>
          </cell>
          <cell r="F2008">
            <v>25</v>
          </cell>
        </row>
        <row r="2009">
          <cell r="A2009" t="str">
            <v>2315MA</v>
          </cell>
          <cell r="F2009">
            <v>25</v>
          </cell>
        </row>
        <row r="2010">
          <cell r="A2010" t="str">
            <v>2315MG</v>
          </cell>
          <cell r="F2010">
            <v>25</v>
          </cell>
        </row>
        <row r="2011">
          <cell r="A2011" t="str">
            <v>2315MS</v>
          </cell>
          <cell r="F2011">
            <v>25</v>
          </cell>
        </row>
        <row r="2012">
          <cell r="A2012" t="str">
            <v>2315MT</v>
          </cell>
          <cell r="F2012">
            <v>25</v>
          </cell>
        </row>
        <row r="2013">
          <cell r="A2013" t="str">
            <v>2315PA</v>
          </cell>
          <cell r="F2013">
            <v>25</v>
          </cell>
        </row>
        <row r="2014">
          <cell r="A2014" t="str">
            <v>2315PB</v>
          </cell>
          <cell r="F2014">
            <v>25</v>
          </cell>
        </row>
        <row r="2015">
          <cell r="A2015" t="str">
            <v>2315PE</v>
          </cell>
          <cell r="F2015">
            <v>25</v>
          </cell>
        </row>
        <row r="2016">
          <cell r="A2016" t="str">
            <v>2315PI</v>
          </cell>
          <cell r="F2016">
            <v>25</v>
          </cell>
        </row>
        <row r="2017">
          <cell r="A2017" t="str">
            <v>2315PR</v>
          </cell>
          <cell r="F2017">
            <v>25</v>
          </cell>
        </row>
        <row r="2018">
          <cell r="A2018" t="str">
            <v>2315RJ</v>
          </cell>
          <cell r="F2018">
            <v>25</v>
          </cell>
        </row>
        <row r="2019">
          <cell r="A2019" t="str">
            <v>2315RN</v>
          </cell>
          <cell r="F2019">
            <v>25</v>
          </cell>
        </row>
        <row r="2020">
          <cell r="A2020" t="str">
            <v>2315RO</v>
          </cell>
          <cell r="F2020">
            <v>25</v>
          </cell>
        </row>
        <row r="2021">
          <cell r="A2021" t="str">
            <v>2315RR</v>
          </cell>
          <cell r="F2021">
            <v>25</v>
          </cell>
        </row>
        <row r="2022">
          <cell r="A2022" t="str">
            <v>2315RS</v>
          </cell>
          <cell r="F2022">
            <v>25</v>
          </cell>
        </row>
        <row r="2023">
          <cell r="A2023" t="str">
            <v>2315SC</v>
          </cell>
          <cell r="F2023">
            <v>25</v>
          </cell>
        </row>
        <row r="2024">
          <cell r="A2024" t="str">
            <v>2315SE</v>
          </cell>
          <cell r="F2024">
            <v>25</v>
          </cell>
        </row>
        <row r="2025">
          <cell r="A2025" t="str">
            <v>2315SP</v>
          </cell>
          <cell r="F2025">
            <v>25</v>
          </cell>
        </row>
        <row r="2026">
          <cell r="A2026" t="str">
            <v>2315TO</v>
          </cell>
          <cell r="F2026">
            <v>25</v>
          </cell>
        </row>
        <row r="2027">
          <cell r="A2027" t="str">
            <v>2309AC</v>
          </cell>
          <cell r="F2027">
            <v>25</v>
          </cell>
        </row>
        <row r="2028">
          <cell r="A2028" t="str">
            <v>2309AL</v>
          </cell>
          <cell r="F2028">
            <v>25</v>
          </cell>
        </row>
        <row r="2029">
          <cell r="A2029" t="str">
            <v>2309AM</v>
          </cell>
          <cell r="F2029">
            <v>25</v>
          </cell>
        </row>
        <row r="2030">
          <cell r="A2030" t="str">
            <v>2309AP</v>
          </cell>
          <cell r="F2030">
            <v>25</v>
          </cell>
        </row>
        <row r="2031">
          <cell r="A2031" t="str">
            <v>2309BA</v>
          </cell>
          <cell r="F2031">
            <v>25</v>
          </cell>
        </row>
        <row r="2032">
          <cell r="A2032" t="str">
            <v>2309CE</v>
          </cell>
          <cell r="F2032">
            <v>25</v>
          </cell>
        </row>
        <row r="2033">
          <cell r="A2033" t="str">
            <v>2309DF</v>
          </cell>
          <cell r="F2033">
            <v>25</v>
          </cell>
        </row>
        <row r="2034">
          <cell r="A2034" t="str">
            <v>2309ES</v>
          </cell>
          <cell r="F2034">
            <v>25</v>
          </cell>
        </row>
        <row r="2035">
          <cell r="A2035" t="str">
            <v>2309GO</v>
          </cell>
          <cell r="F2035">
            <v>25</v>
          </cell>
        </row>
        <row r="2036">
          <cell r="A2036" t="str">
            <v>2309MA</v>
          </cell>
          <cell r="F2036">
            <v>25</v>
          </cell>
        </row>
        <row r="2037">
          <cell r="A2037" t="str">
            <v>2309MG</v>
          </cell>
          <cell r="F2037">
            <v>25</v>
          </cell>
        </row>
        <row r="2038">
          <cell r="A2038" t="str">
            <v>2309MS</v>
          </cell>
          <cell r="F2038">
            <v>25</v>
          </cell>
        </row>
        <row r="2039">
          <cell r="A2039" t="str">
            <v>2309MT</v>
          </cell>
          <cell r="F2039">
            <v>25</v>
          </cell>
        </row>
        <row r="2040">
          <cell r="A2040" t="str">
            <v>2309PA</v>
          </cell>
          <cell r="F2040">
            <v>25</v>
          </cell>
        </row>
        <row r="2041">
          <cell r="A2041" t="str">
            <v>2309PB</v>
          </cell>
          <cell r="F2041">
            <v>25</v>
          </cell>
        </row>
        <row r="2042">
          <cell r="A2042" t="str">
            <v>2309PE</v>
          </cell>
          <cell r="F2042">
            <v>25</v>
          </cell>
        </row>
        <row r="2043">
          <cell r="A2043" t="str">
            <v>2309PI</v>
          </cell>
          <cell r="F2043">
            <v>25</v>
          </cell>
        </row>
        <row r="2044">
          <cell r="A2044" t="str">
            <v>2309PR</v>
          </cell>
          <cell r="F2044">
            <v>25</v>
          </cell>
        </row>
        <row r="2045">
          <cell r="A2045" t="str">
            <v>2309RJ</v>
          </cell>
          <cell r="F2045">
            <v>25</v>
          </cell>
        </row>
        <row r="2046">
          <cell r="A2046" t="str">
            <v>2309RN</v>
          </cell>
          <cell r="F2046">
            <v>25</v>
          </cell>
        </row>
        <row r="2047">
          <cell r="A2047" t="str">
            <v>2309RO</v>
          </cell>
          <cell r="F2047">
            <v>25</v>
          </cell>
        </row>
        <row r="2048">
          <cell r="A2048" t="str">
            <v>2309RR</v>
          </cell>
          <cell r="F2048">
            <v>25</v>
          </cell>
        </row>
        <row r="2049">
          <cell r="A2049" t="str">
            <v>2309RS</v>
          </cell>
          <cell r="F2049">
            <v>25</v>
          </cell>
        </row>
        <row r="2050">
          <cell r="A2050" t="str">
            <v>2309SC</v>
          </cell>
          <cell r="F2050">
            <v>25</v>
          </cell>
        </row>
        <row r="2051">
          <cell r="A2051" t="str">
            <v>2309SE</v>
          </cell>
          <cell r="F2051">
            <v>25</v>
          </cell>
        </row>
        <row r="2052">
          <cell r="A2052" t="str">
            <v>2309SP</v>
          </cell>
          <cell r="F2052">
            <v>25</v>
          </cell>
        </row>
        <row r="2053">
          <cell r="A2053" t="str">
            <v>2309TO</v>
          </cell>
          <cell r="F2053">
            <v>25</v>
          </cell>
        </row>
        <row r="2054">
          <cell r="A2054" t="str">
            <v>31047AC</v>
          </cell>
          <cell r="F2054">
            <v>39.401767397695899</v>
          </cell>
        </row>
        <row r="2055">
          <cell r="A2055" t="str">
            <v>31047AL</v>
          </cell>
          <cell r="F2055">
            <v>39.37660055982488</v>
          </cell>
        </row>
        <row r="2056">
          <cell r="A2056" t="str">
            <v>31047AM</v>
          </cell>
          <cell r="F2056">
            <v>39.38510683518107</v>
          </cell>
        </row>
        <row r="2057">
          <cell r="A2057" t="str">
            <v>31047AP</v>
          </cell>
          <cell r="F2057">
            <v>39.388995179957497</v>
          </cell>
        </row>
        <row r="2058">
          <cell r="A2058" t="str">
            <v>31047BA</v>
          </cell>
          <cell r="F2058">
            <v>39.37660055982488</v>
          </cell>
        </row>
        <row r="2059">
          <cell r="A2059" t="str">
            <v>31047CE</v>
          </cell>
          <cell r="F2059">
            <v>39.38510683518107</v>
          </cell>
        </row>
        <row r="2060">
          <cell r="A2060" t="str">
            <v>31047DF</v>
          </cell>
          <cell r="F2060">
            <v>39.405434498075095</v>
          </cell>
        </row>
        <row r="2061">
          <cell r="A2061" t="str">
            <v>31047ES</v>
          </cell>
          <cell r="F2061">
            <v>39.405434498075095</v>
          </cell>
        </row>
        <row r="2062">
          <cell r="A2062" t="str">
            <v>31047GO</v>
          </cell>
          <cell r="F2062">
            <v>39.401767397695899</v>
          </cell>
        </row>
        <row r="2063">
          <cell r="A2063" t="str">
            <v>31047MA</v>
          </cell>
          <cell r="F2063">
            <v>39.391113670561872</v>
          </cell>
        </row>
        <row r="2064">
          <cell r="A2064" t="str">
            <v>31047MG</v>
          </cell>
          <cell r="F2064">
            <v>39.388995179957497</v>
          </cell>
        </row>
        <row r="2065">
          <cell r="A2065" t="str">
            <v>31047MS</v>
          </cell>
          <cell r="F2065">
            <v>39.405434498075095</v>
          </cell>
        </row>
        <row r="2066">
          <cell r="A2066" t="str">
            <v>31047MT</v>
          </cell>
          <cell r="F2066">
            <v>39.405434498075095</v>
          </cell>
        </row>
        <row r="2067">
          <cell r="A2067" t="str">
            <v>31047PA</v>
          </cell>
          <cell r="F2067">
            <v>39.401767397695899</v>
          </cell>
        </row>
        <row r="2068">
          <cell r="A2068" t="str">
            <v>31047PB</v>
          </cell>
          <cell r="F2068">
            <v>39.38510683518107</v>
          </cell>
        </row>
        <row r="2069">
          <cell r="A2069" t="str">
            <v>31047PE</v>
          </cell>
          <cell r="F2069">
            <v>39.37660055982488</v>
          </cell>
        </row>
        <row r="2070">
          <cell r="A2070" t="str">
            <v>31047PI</v>
          </cell>
          <cell r="F2070">
            <v>39.371226027697048</v>
          </cell>
        </row>
        <row r="2071">
          <cell r="A2071" t="str">
            <v>31047PR</v>
          </cell>
          <cell r="F2071">
            <v>39.393720055972103</v>
          </cell>
        </row>
        <row r="2072">
          <cell r="A2072" t="str">
            <v>31047RJ</v>
          </cell>
          <cell r="F2072">
            <v>39.40851724452358</v>
          </cell>
        </row>
        <row r="2073">
          <cell r="A2073" t="str">
            <v>31047RN</v>
          </cell>
          <cell r="F2073">
            <v>39.38510683518107</v>
          </cell>
        </row>
        <row r="2074">
          <cell r="A2074" t="str">
            <v>31047RO</v>
          </cell>
          <cell r="F2074">
            <v>39.393720055972103</v>
          </cell>
        </row>
        <row r="2075">
          <cell r="A2075" t="str">
            <v>31047RR</v>
          </cell>
          <cell r="F2075">
            <v>39.38510683518107</v>
          </cell>
        </row>
        <row r="2076">
          <cell r="A2076" t="str">
            <v>31047RS</v>
          </cell>
          <cell r="F2076">
            <v>39.405434498075095</v>
          </cell>
        </row>
        <row r="2077">
          <cell r="A2077" t="str">
            <v>31047SC</v>
          </cell>
          <cell r="F2077">
            <v>39.405434498075095</v>
          </cell>
        </row>
        <row r="2078">
          <cell r="A2078" t="str">
            <v>31047SE</v>
          </cell>
          <cell r="F2078">
            <v>39.401767397695899</v>
          </cell>
        </row>
        <row r="2079">
          <cell r="A2079" t="str">
            <v>31047SP</v>
          </cell>
          <cell r="F2079">
            <v>39.388995179957497</v>
          </cell>
        </row>
        <row r="2080">
          <cell r="A2080" t="str">
            <v>31047TO</v>
          </cell>
          <cell r="F2080">
            <v>39.38510683518107</v>
          </cell>
        </row>
        <row r="2081">
          <cell r="A2081" t="str">
            <v>31012AC</v>
          </cell>
          <cell r="F2081">
            <v>46.18925876773821</v>
          </cell>
        </row>
        <row r="2082">
          <cell r="A2082" t="str">
            <v>31012AL</v>
          </cell>
          <cell r="F2082">
            <v>51.602916854278448</v>
          </cell>
        </row>
        <row r="2083">
          <cell r="A2083" t="str">
            <v>31012AM</v>
          </cell>
          <cell r="F2083">
            <v>43.881589448129468</v>
          </cell>
        </row>
        <row r="2084">
          <cell r="A2084" t="str">
            <v>31012AP</v>
          </cell>
          <cell r="F2084">
            <v>50.350000000000009</v>
          </cell>
        </row>
        <row r="2085">
          <cell r="A2085" t="str">
            <v>31012BA</v>
          </cell>
          <cell r="F2085">
            <v>45.807377819083719</v>
          </cell>
        </row>
        <row r="2086">
          <cell r="A2086" t="str">
            <v>31012CE</v>
          </cell>
          <cell r="F2086">
            <v>47.473678934079032</v>
          </cell>
        </row>
        <row r="2087">
          <cell r="A2087" t="str">
            <v>31012DF</v>
          </cell>
          <cell r="F2087">
            <v>45.73179557975233</v>
          </cell>
        </row>
        <row r="2088">
          <cell r="A2088" t="str">
            <v>31012ES</v>
          </cell>
          <cell r="F2088">
            <v>47.464040111291851</v>
          </cell>
        </row>
        <row r="2089">
          <cell r="A2089" t="str">
            <v>31012GO</v>
          </cell>
          <cell r="F2089">
            <v>45.742772899309728</v>
          </cell>
        </row>
        <row r="2090">
          <cell r="A2090" t="str">
            <v>31012MA</v>
          </cell>
          <cell r="F2090">
            <v>43.882574632637692</v>
          </cell>
        </row>
        <row r="2091">
          <cell r="A2091" t="str">
            <v>31012MG</v>
          </cell>
          <cell r="F2091">
            <v>49.433399658314258</v>
          </cell>
        </row>
        <row r="2092">
          <cell r="A2092" t="str">
            <v>31012MS</v>
          </cell>
          <cell r="F2092">
            <v>47.464040111291851</v>
          </cell>
        </row>
        <row r="2093">
          <cell r="A2093" t="str">
            <v>31012MT</v>
          </cell>
          <cell r="F2093">
            <v>48.447205926489964</v>
          </cell>
        </row>
        <row r="2094">
          <cell r="A2094" t="str">
            <v>31012PA</v>
          </cell>
          <cell r="F2094">
            <v>47.137887179728807</v>
          </cell>
        </row>
        <row r="2095">
          <cell r="A2095" t="str">
            <v>31012PB</v>
          </cell>
          <cell r="F2095">
            <v>43.881589448129418</v>
          </cell>
        </row>
        <row r="2096">
          <cell r="A2096" t="str">
            <v>31012PE</v>
          </cell>
          <cell r="F2096">
            <v>43.868460296376021</v>
          </cell>
        </row>
        <row r="2097">
          <cell r="A2097" t="str">
            <v>31012PI</v>
          </cell>
          <cell r="F2097">
            <v>44.64383399872888</v>
          </cell>
        </row>
        <row r="2098">
          <cell r="A2098" t="str">
            <v>31012PR</v>
          </cell>
          <cell r="F2098">
            <v>53.038719922878727</v>
          </cell>
        </row>
        <row r="2099">
          <cell r="A2099" t="str">
            <v>31012RJ</v>
          </cell>
          <cell r="F2099">
            <v>50.078018929932</v>
          </cell>
        </row>
        <row r="2100">
          <cell r="A2100" t="str">
            <v>31012RN</v>
          </cell>
          <cell r="F2100">
            <v>43.881589448129446</v>
          </cell>
        </row>
        <row r="2101">
          <cell r="A2101" t="str">
            <v>31012RO</v>
          </cell>
          <cell r="F2101">
            <v>46.791598728859064</v>
          </cell>
        </row>
        <row r="2102">
          <cell r="A2102" t="str">
            <v>31012RR</v>
          </cell>
          <cell r="F2102">
            <v>43.881589448129446</v>
          </cell>
        </row>
        <row r="2103">
          <cell r="A2103" t="str">
            <v>31012RS</v>
          </cell>
          <cell r="F2103">
            <v>49.738009520302128</v>
          </cell>
        </row>
        <row r="2104">
          <cell r="A2104" t="str">
            <v>31012SC</v>
          </cell>
          <cell r="F2104">
            <v>44.775568795631244</v>
          </cell>
        </row>
        <row r="2105">
          <cell r="A2105" t="str">
            <v>31012SE</v>
          </cell>
          <cell r="F2105">
            <v>50.197121029298152</v>
          </cell>
        </row>
        <row r="2106">
          <cell r="A2106" t="str">
            <v>31012SP</v>
          </cell>
          <cell r="F2106">
            <v>53.819957819957807</v>
          </cell>
        </row>
        <row r="2107">
          <cell r="A2107" t="str">
            <v>31012TO</v>
          </cell>
          <cell r="F2107">
            <v>43.881589448129439</v>
          </cell>
        </row>
        <row r="2108">
          <cell r="A2108" t="str">
            <v>31262AC</v>
          </cell>
          <cell r="F2108">
            <v>46.180427751638049</v>
          </cell>
        </row>
        <row r="2109">
          <cell r="A2109" t="str">
            <v>31262AL</v>
          </cell>
          <cell r="F2109">
            <v>44.465263311402872</v>
          </cell>
        </row>
        <row r="2110">
          <cell r="A2110" t="str">
            <v>31262AM</v>
          </cell>
          <cell r="F2110">
            <v>38.322877887946142</v>
          </cell>
        </row>
        <row r="2111">
          <cell r="A2111" t="str">
            <v>31262AP</v>
          </cell>
          <cell r="F2111">
            <v>46.464449415009526</v>
          </cell>
        </row>
        <row r="2112">
          <cell r="A2112" t="str">
            <v>31262BA</v>
          </cell>
          <cell r="F2112">
            <v>46.475004224824254</v>
          </cell>
        </row>
        <row r="2113">
          <cell r="A2113" t="str">
            <v>31262CE</v>
          </cell>
          <cell r="F2113">
            <v>46.466793721673817</v>
          </cell>
        </row>
        <row r="2114">
          <cell r="A2114" t="str">
            <v>31262DF</v>
          </cell>
          <cell r="F2114">
            <v>46.465602486356325</v>
          </cell>
        </row>
        <row r="2115">
          <cell r="A2115" t="str">
            <v>31262ES</v>
          </cell>
          <cell r="F2115">
            <v>46.474015832513935</v>
          </cell>
        </row>
        <row r="2116">
          <cell r="A2116" t="str">
            <v>31262GO</v>
          </cell>
          <cell r="F2116">
            <v>46.473345835363375</v>
          </cell>
        </row>
        <row r="2117">
          <cell r="A2117" t="str">
            <v>31262MA</v>
          </cell>
          <cell r="F2117">
            <v>46.466692649476613</v>
          </cell>
        </row>
        <row r="2118">
          <cell r="A2118" t="str">
            <v>31262MG</v>
          </cell>
          <cell r="F2118">
            <v>41.96209925401174</v>
          </cell>
        </row>
        <row r="2119">
          <cell r="A2119" t="str">
            <v>31262MS</v>
          </cell>
          <cell r="F2119">
            <v>46.466432869885985</v>
          </cell>
        </row>
        <row r="2120">
          <cell r="A2120" t="str">
            <v>31262MT</v>
          </cell>
          <cell r="F2120">
            <v>46.470599686640561</v>
          </cell>
        </row>
        <row r="2121">
          <cell r="A2121" t="str">
            <v>31262PA</v>
          </cell>
          <cell r="F2121">
            <v>37.037875242815211</v>
          </cell>
        </row>
        <row r="2122">
          <cell r="A2122" t="str">
            <v>31262PB</v>
          </cell>
          <cell r="F2122">
            <v>46.46565526474815</v>
          </cell>
        </row>
        <row r="2123">
          <cell r="A2123" t="str">
            <v>31262PE</v>
          </cell>
          <cell r="F2123">
            <v>45.6090273027393</v>
          </cell>
        </row>
        <row r="2124">
          <cell r="A2124" t="str">
            <v>31262PI</v>
          </cell>
          <cell r="F2124">
            <v>41.892861520551499</v>
          </cell>
        </row>
        <row r="2125">
          <cell r="A2125" t="str">
            <v>31262PR</v>
          </cell>
          <cell r="F2125">
            <v>46.471542730774885</v>
          </cell>
        </row>
        <row r="2126">
          <cell r="A2126" t="str">
            <v>31262RJ</v>
          </cell>
          <cell r="F2126">
            <v>50.046988312030308</v>
          </cell>
        </row>
        <row r="2127">
          <cell r="A2127" t="str">
            <v>31262RN</v>
          </cell>
          <cell r="F2127">
            <v>42.892966729461257</v>
          </cell>
        </row>
        <row r="2128">
          <cell r="A2128" t="str">
            <v>31262RO</v>
          </cell>
          <cell r="F2128">
            <v>44.751125836744706</v>
          </cell>
        </row>
        <row r="2129">
          <cell r="A2129" t="str">
            <v>31262RR</v>
          </cell>
          <cell r="F2129">
            <v>44.463673754156531</v>
          </cell>
        </row>
        <row r="2130">
          <cell r="A2130" t="str">
            <v>31262RS</v>
          </cell>
          <cell r="F2130">
            <v>46.466693408606602</v>
          </cell>
        </row>
        <row r="2131">
          <cell r="A2131" t="str">
            <v>31262SC</v>
          </cell>
          <cell r="F2131">
            <v>46.467684642360659</v>
          </cell>
        </row>
        <row r="2132">
          <cell r="A2132" t="str">
            <v>31262SE</v>
          </cell>
          <cell r="F2132">
            <v>46.4661324627791</v>
          </cell>
        </row>
        <row r="2133">
          <cell r="A2133" t="str">
            <v>31262SP</v>
          </cell>
          <cell r="F2133">
            <v>41.953502634305472</v>
          </cell>
        </row>
        <row r="2134">
          <cell r="A2134" t="str">
            <v>31262TO</v>
          </cell>
          <cell r="F2134">
            <v>46.466053709254155</v>
          </cell>
        </row>
        <row r="2135">
          <cell r="A2135" t="str">
            <v>2023AC</v>
          </cell>
          <cell r="F2135">
            <v>42</v>
          </cell>
        </row>
        <row r="2136">
          <cell r="A2136" t="str">
            <v>2023AL</v>
          </cell>
          <cell r="F2136">
            <v>42</v>
          </cell>
        </row>
        <row r="2137">
          <cell r="A2137" t="str">
            <v>2023AM</v>
          </cell>
          <cell r="F2137">
            <v>42</v>
          </cell>
        </row>
        <row r="2138">
          <cell r="A2138" t="str">
            <v>2023AP</v>
          </cell>
          <cell r="F2138">
            <v>42</v>
          </cell>
        </row>
        <row r="2139">
          <cell r="A2139" t="str">
            <v>2023BA</v>
          </cell>
          <cell r="F2139">
            <v>42</v>
          </cell>
        </row>
        <row r="2140">
          <cell r="A2140" t="str">
            <v>2023CE</v>
          </cell>
          <cell r="F2140">
            <v>42</v>
          </cell>
        </row>
        <row r="2141">
          <cell r="A2141" t="str">
            <v>2023DF</v>
          </cell>
          <cell r="F2141">
            <v>42</v>
          </cell>
        </row>
        <row r="2142">
          <cell r="A2142" t="str">
            <v>2023ES</v>
          </cell>
          <cell r="F2142">
            <v>42</v>
          </cell>
        </row>
        <row r="2143">
          <cell r="A2143" t="str">
            <v>2023GO</v>
          </cell>
          <cell r="F2143">
            <v>42</v>
          </cell>
        </row>
        <row r="2144">
          <cell r="A2144" t="str">
            <v>2023MA</v>
          </cell>
          <cell r="F2144">
            <v>42</v>
          </cell>
        </row>
        <row r="2145">
          <cell r="A2145" t="str">
            <v>2023MG</v>
          </cell>
          <cell r="F2145">
            <v>42</v>
          </cell>
        </row>
        <row r="2146">
          <cell r="A2146" t="str">
            <v>2023MS</v>
          </cell>
          <cell r="F2146">
            <v>42</v>
          </cell>
        </row>
        <row r="2147">
          <cell r="A2147" t="str">
            <v>2023MT</v>
          </cell>
          <cell r="F2147">
            <v>42</v>
          </cell>
        </row>
        <row r="2148">
          <cell r="A2148" t="str">
            <v>2023PA</v>
          </cell>
          <cell r="F2148">
            <v>42</v>
          </cell>
        </row>
        <row r="2149">
          <cell r="A2149" t="str">
            <v>2023PB</v>
          </cell>
          <cell r="F2149">
            <v>42</v>
          </cell>
        </row>
        <row r="2150">
          <cell r="A2150" t="str">
            <v>2023PE</v>
          </cell>
          <cell r="F2150">
            <v>42</v>
          </cell>
        </row>
        <row r="2151">
          <cell r="A2151" t="str">
            <v>2023PI</v>
          </cell>
          <cell r="F2151">
            <v>42</v>
          </cell>
        </row>
        <row r="2152">
          <cell r="A2152" t="str">
            <v>2023PR</v>
          </cell>
          <cell r="F2152">
            <v>42</v>
          </cell>
        </row>
        <row r="2153">
          <cell r="A2153" t="str">
            <v>2023RJ</v>
          </cell>
          <cell r="F2153">
            <v>42</v>
          </cell>
        </row>
        <row r="2154">
          <cell r="A2154" t="str">
            <v>2023RN</v>
          </cell>
          <cell r="F2154">
            <v>42</v>
          </cell>
        </row>
        <row r="2155">
          <cell r="A2155" t="str">
            <v>2023RO</v>
          </cell>
          <cell r="F2155">
            <v>42</v>
          </cell>
        </row>
        <row r="2156">
          <cell r="A2156" t="str">
            <v>2023RR</v>
          </cell>
          <cell r="F2156">
            <v>42</v>
          </cell>
        </row>
        <row r="2157">
          <cell r="A2157" t="str">
            <v>2023RS</v>
          </cell>
          <cell r="F2157">
            <v>42</v>
          </cell>
        </row>
        <row r="2158">
          <cell r="A2158" t="str">
            <v>2023SC</v>
          </cell>
          <cell r="F2158">
            <v>42</v>
          </cell>
        </row>
        <row r="2159">
          <cell r="A2159" t="str">
            <v>2023SE</v>
          </cell>
          <cell r="F2159">
            <v>42</v>
          </cell>
        </row>
        <row r="2160">
          <cell r="A2160" t="str">
            <v>2023SP</v>
          </cell>
          <cell r="F2160">
            <v>42</v>
          </cell>
        </row>
        <row r="2161">
          <cell r="A2161" t="str">
            <v>2023TO</v>
          </cell>
          <cell r="F2161">
            <v>42</v>
          </cell>
        </row>
        <row r="2162">
          <cell r="A2162" t="str">
            <v>60020AC</v>
          </cell>
          <cell r="F2162">
            <v>42</v>
          </cell>
        </row>
        <row r="2163">
          <cell r="A2163" t="str">
            <v>60020AL</v>
          </cell>
          <cell r="F2163">
            <v>42</v>
          </cell>
        </row>
        <row r="2164">
          <cell r="A2164" t="str">
            <v>60020AM</v>
          </cell>
          <cell r="F2164">
            <v>42</v>
          </cell>
        </row>
        <row r="2165">
          <cell r="A2165" t="str">
            <v>60020AP</v>
          </cell>
          <cell r="F2165">
            <v>42</v>
          </cell>
        </row>
        <row r="2166">
          <cell r="A2166" t="str">
            <v>60020BA</v>
          </cell>
          <cell r="F2166">
            <v>42</v>
          </cell>
        </row>
        <row r="2167">
          <cell r="A2167" t="str">
            <v>60020CE</v>
          </cell>
          <cell r="F2167">
            <v>42</v>
          </cell>
        </row>
        <row r="2168">
          <cell r="A2168" t="str">
            <v>60020DF</v>
          </cell>
          <cell r="F2168">
            <v>42</v>
          </cell>
        </row>
        <row r="2169">
          <cell r="A2169" t="str">
            <v>60020ES</v>
          </cell>
          <cell r="F2169">
            <v>42</v>
          </cell>
        </row>
        <row r="2170">
          <cell r="A2170" t="str">
            <v>60020GO</v>
          </cell>
          <cell r="F2170">
            <v>42</v>
          </cell>
        </row>
        <row r="2171">
          <cell r="A2171" t="str">
            <v>60020MA</v>
          </cell>
          <cell r="F2171">
            <v>42</v>
          </cell>
        </row>
        <row r="2172">
          <cell r="A2172" t="str">
            <v>60020MG</v>
          </cell>
          <cell r="F2172">
            <v>42</v>
          </cell>
        </row>
        <row r="2173">
          <cell r="A2173" t="str">
            <v>60020MS</v>
          </cell>
          <cell r="F2173">
            <v>42</v>
          </cell>
        </row>
        <row r="2174">
          <cell r="A2174" t="str">
            <v>60020MT</v>
          </cell>
          <cell r="F2174">
            <v>42</v>
          </cell>
        </row>
        <row r="2175">
          <cell r="A2175" t="str">
            <v>60020PA</v>
          </cell>
          <cell r="F2175">
            <v>42</v>
          </cell>
        </row>
        <row r="2176">
          <cell r="A2176" t="str">
            <v>60020PB</v>
          </cell>
          <cell r="F2176">
            <v>42</v>
          </cell>
        </row>
        <row r="2177">
          <cell r="A2177" t="str">
            <v>60020PE</v>
          </cell>
          <cell r="F2177">
            <v>42</v>
          </cell>
        </row>
        <row r="2178">
          <cell r="A2178" t="str">
            <v>60020PI</v>
          </cell>
          <cell r="F2178">
            <v>42</v>
          </cell>
        </row>
        <row r="2179">
          <cell r="A2179" t="str">
            <v>60020PR</v>
          </cell>
          <cell r="F2179">
            <v>42</v>
          </cell>
        </row>
        <row r="2180">
          <cell r="A2180" t="str">
            <v>60020RJ</v>
          </cell>
          <cell r="F2180">
            <v>42</v>
          </cell>
        </row>
        <row r="2181">
          <cell r="A2181" t="str">
            <v>60020RN</v>
          </cell>
          <cell r="F2181">
            <v>42</v>
          </cell>
        </row>
        <row r="2182">
          <cell r="A2182" t="str">
            <v>60020RO</v>
          </cell>
          <cell r="F2182">
            <v>42</v>
          </cell>
        </row>
        <row r="2183">
          <cell r="A2183" t="str">
            <v>60020RR</v>
          </cell>
          <cell r="F2183">
            <v>42</v>
          </cell>
        </row>
        <row r="2184">
          <cell r="A2184" t="str">
            <v>60020RS</v>
          </cell>
          <cell r="F2184">
            <v>42</v>
          </cell>
        </row>
        <row r="2185">
          <cell r="A2185" t="str">
            <v>60020SC</v>
          </cell>
          <cell r="F2185">
            <v>42</v>
          </cell>
        </row>
        <row r="2186">
          <cell r="A2186" t="str">
            <v>60020SE</v>
          </cell>
          <cell r="F2186">
            <v>42</v>
          </cell>
        </row>
        <row r="2187">
          <cell r="A2187" t="str">
            <v>60020SP</v>
          </cell>
          <cell r="F2187">
            <v>42</v>
          </cell>
        </row>
        <row r="2188">
          <cell r="A2188" t="str">
            <v>60020TO</v>
          </cell>
          <cell r="F2188">
            <v>42</v>
          </cell>
        </row>
        <row r="2189">
          <cell r="A2189" t="str">
            <v>60634AC</v>
          </cell>
          <cell r="F2189">
            <v>50</v>
          </cell>
        </row>
        <row r="2190">
          <cell r="A2190" t="str">
            <v>60634AL</v>
          </cell>
          <cell r="F2190">
            <v>50</v>
          </cell>
        </row>
        <row r="2191">
          <cell r="A2191" t="str">
            <v>60634AM</v>
          </cell>
          <cell r="F2191">
            <v>50</v>
          </cell>
        </row>
        <row r="2192">
          <cell r="A2192" t="str">
            <v>60634AP</v>
          </cell>
          <cell r="F2192">
            <v>50</v>
          </cell>
        </row>
        <row r="2193">
          <cell r="A2193" t="str">
            <v>60634BA</v>
          </cell>
          <cell r="F2193">
            <v>50</v>
          </cell>
        </row>
        <row r="2194">
          <cell r="A2194" t="str">
            <v>60634CE</v>
          </cell>
          <cell r="F2194">
            <v>50</v>
          </cell>
        </row>
        <row r="2195">
          <cell r="A2195" t="str">
            <v>60634DF</v>
          </cell>
          <cell r="F2195">
            <v>50</v>
          </cell>
        </row>
        <row r="2196">
          <cell r="A2196" t="str">
            <v>60634ES</v>
          </cell>
          <cell r="F2196">
            <v>50</v>
          </cell>
        </row>
        <row r="2197">
          <cell r="A2197" t="str">
            <v>60634GO</v>
          </cell>
          <cell r="F2197">
            <v>50</v>
          </cell>
        </row>
        <row r="2198">
          <cell r="A2198" t="str">
            <v>60634MA</v>
          </cell>
          <cell r="F2198">
            <v>50</v>
          </cell>
        </row>
        <row r="2199">
          <cell r="A2199" t="str">
            <v>60634MG</v>
          </cell>
          <cell r="F2199">
            <v>50</v>
          </cell>
        </row>
        <row r="2200">
          <cell r="A2200" t="str">
            <v>60634MS</v>
          </cell>
          <cell r="F2200">
            <v>50</v>
          </cell>
        </row>
        <row r="2201">
          <cell r="A2201" t="str">
            <v>60634MT</v>
          </cell>
          <cell r="F2201">
            <v>50</v>
          </cell>
        </row>
        <row r="2202">
          <cell r="A2202" t="str">
            <v>60634PA</v>
          </cell>
          <cell r="F2202">
            <v>50</v>
          </cell>
        </row>
        <row r="2203">
          <cell r="A2203" t="str">
            <v>60634PB</v>
          </cell>
          <cell r="F2203">
            <v>50</v>
          </cell>
        </row>
        <row r="2204">
          <cell r="A2204" t="str">
            <v>60634PE</v>
          </cell>
          <cell r="F2204">
            <v>50</v>
          </cell>
        </row>
        <row r="2205">
          <cell r="A2205" t="str">
            <v>60634PI</v>
          </cell>
          <cell r="F2205">
            <v>50</v>
          </cell>
        </row>
        <row r="2206">
          <cell r="A2206" t="str">
            <v>60634PR</v>
          </cell>
          <cell r="F2206">
            <v>50</v>
          </cell>
        </row>
        <row r="2207">
          <cell r="A2207" t="str">
            <v>60634RJ</v>
          </cell>
          <cell r="F2207">
            <v>50</v>
          </cell>
        </row>
        <row r="2208">
          <cell r="A2208" t="str">
            <v>60634RN</v>
          </cell>
          <cell r="F2208">
            <v>50</v>
          </cell>
        </row>
        <row r="2209">
          <cell r="A2209" t="str">
            <v>60634RO</v>
          </cell>
          <cell r="F2209">
            <v>50</v>
          </cell>
        </row>
        <row r="2210">
          <cell r="A2210" t="str">
            <v>60634RR</v>
          </cell>
          <cell r="F2210">
            <v>50</v>
          </cell>
        </row>
        <row r="2211">
          <cell r="A2211" t="str">
            <v>60634RS</v>
          </cell>
          <cell r="F2211">
            <v>50</v>
          </cell>
        </row>
        <row r="2212">
          <cell r="A2212" t="str">
            <v>60634SC</v>
          </cell>
          <cell r="F2212">
            <v>50</v>
          </cell>
        </row>
        <row r="2213">
          <cell r="A2213" t="str">
            <v>60634SE</v>
          </cell>
          <cell r="F2213">
            <v>50</v>
          </cell>
        </row>
        <row r="2214">
          <cell r="A2214" t="str">
            <v>60634SP</v>
          </cell>
          <cell r="F2214">
            <v>50</v>
          </cell>
        </row>
        <row r="2215">
          <cell r="A2215" t="str">
            <v>60634TO</v>
          </cell>
          <cell r="F2215">
            <v>50</v>
          </cell>
        </row>
        <row r="2216">
          <cell r="A2216" t="str">
            <v>8003AC</v>
          </cell>
          <cell r="F2216">
            <v>43</v>
          </cell>
        </row>
        <row r="2217">
          <cell r="A2217" t="str">
            <v>8003AL</v>
          </cell>
          <cell r="F2217">
            <v>43</v>
          </cell>
        </row>
        <row r="2218">
          <cell r="A2218" t="str">
            <v>8003AM</v>
          </cell>
          <cell r="F2218">
            <v>43</v>
          </cell>
        </row>
        <row r="2219">
          <cell r="A2219" t="str">
            <v>8003AP</v>
          </cell>
          <cell r="F2219">
            <v>43</v>
          </cell>
        </row>
        <row r="2220">
          <cell r="A2220" t="str">
            <v>8003BA</v>
          </cell>
          <cell r="F2220">
            <v>43</v>
          </cell>
        </row>
        <row r="2221">
          <cell r="A2221" t="str">
            <v>8003CE</v>
          </cell>
          <cell r="F2221">
            <v>43</v>
          </cell>
        </row>
        <row r="2222">
          <cell r="A2222" t="str">
            <v>8003DF</v>
          </cell>
          <cell r="F2222">
            <v>43</v>
          </cell>
        </row>
        <row r="2223">
          <cell r="A2223" t="str">
            <v>8003ES</v>
          </cell>
          <cell r="F2223">
            <v>43</v>
          </cell>
        </row>
        <row r="2224">
          <cell r="A2224" t="str">
            <v>8003GO</v>
          </cell>
          <cell r="F2224">
            <v>43</v>
          </cell>
        </row>
        <row r="2225">
          <cell r="A2225" t="str">
            <v>8003MA</v>
          </cell>
          <cell r="F2225">
            <v>43</v>
          </cell>
        </row>
        <row r="2226">
          <cell r="A2226" t="str">
            <v>8003MG</v>
          </cell>
          <cell r="F2226">
            <v>43</v>
          </cell>
        </row>
        <row r="2227">
          <cell r="A2227" t="str">
            <v>8003MS</v>
          </cell>
          <cell r="F2227">
            <v>43</v>
          </cell>
        </row>
        <row r="2228">
          <cell r="A2228" t="str">
            <v>8003MT</v>
          </cell>
          <cell r="F2228">
            <v>43</v>
          </cell>
        </row>
        <row r="2229">
          <cell r="A2229" t="str">
            <v>8003PA</v>
          </cell>
          <cell r="F2229">
            <v>43</v>
          </cell>
        </row>
        <row r="2230">
          <cell r="A2230" t="str">
            <v>8003PB</v>
          </cell>
          <cell r="F2230">
            <v>43</v>
          </cell>
        </row>
        <row r="2231">
          <cell r="A2231" t="str">
            <v>8003PE</v>
          </cell>
          <cell r="F2231">
            <v>43</v>
          </cell>
        </row>
        <row r="2232">
          <cell r="A2232" t="str">
            <v>8003PI</v>
          </cell>
          <cell r="F2232">
            <v>43</v>
          </cell>
        </row>
        <row r="2233">
          <cell r="A2233" t="str">
            <v>8003PR</v>
          </cell>
          <cell r="F2233">
            <v>43</v>
          </cell>
        </row>
        <row r="2234">
          <cell r="A2234" t="str">
            <v>8003RJ</v>
          </cell>
          <cell r="F2234">
            <v>43</v>
          </cell>
        </row>
        <row r="2235">
          <cell r="A2235" t="str">
            <v>8003RN</v>
          </cell>
          <cell r="F2235">
            <v>43</v>
          </cell>
        </row>
        <row r="2236">
          <cell r="A2236" t="str">
            <v>8003RO</v>
          </cell>
          <cell r="F2236">
            <v>43</v>
          </cell>
        </row>
        <row r="2237">
          <cell r="A2237" t="str">
            <v>8003RR</v>
          </cell>
          <cell r="F2237">
            <v>43</v>
          </cell>
        </row>
        <row r="2238">
          <cell r="A2238" t="str">
            <v>8003RS</v>
          </cell>
          <cell r="F2238">
            <v>43</v>
          </cell>
        </row>
        <row r="2239">
          <cell r="A2239" t="str">
            <v>8003SC</v>
          </cell>
          <cell r="F2239">
            <v>43</v>
          </cell>
        </row>
        <row r="2240">
          <cell r="A2240" t="str">
            <v>8003SE</v>
          </cell>
          <cell r="F2240">
            <v>43</v>
          </cell>
        </row>
        <row r="2241">
          <cell r="A2241" t="str">
            <v>8003SP</v>
          </cell>
          <cell r="F2241">
            <v>43</v>
          </cell>
        </row>
        <row r="2242">
          <cell r="A2242" t="str">
            <v>8003TO</v>
          </cell>
          <cell r="F2242">
            <v>43</v>
          </cell>
        </row>
        <row r="2243">
          <cell r="A2243" t="str">
            <v>1018AC</v>
          </cell>
          <cell r="F2243">
            <v>55.500000000000007</v>
          </cell>
        </row>
        <row r="2244">
          <cell r="A2244" t="str">
            <v>1018AL</v>
          </cell>
          <cell r="F2244">
            <v>55.500000000000007</v>
          </cell>
        </row>
        <row r="2245">
          <cell r="A2245" t="str">
            <v>1018AM</v>
          </cell>
          <cell r="F2245">
            <v>55.500000000000007</v>
          </cell>
        </row>
        <row r="2246">
          <cell r="A2246" t="str">
            <v>1018AP</v>
          </cell>
          <cell r="F2246">
            <v>55.500000000000007</v>
          </cell>
        </row>
        <row r="2247">
          <cell r="A2247" t="str">
            <v>1018BA</v>
          </cell>
          <cell r="F2247">
            <v>55.500000000000007</v>
          </cell>
        </row>
        <row r="2248">
          <cell r="A2248" t="str">
            <v>1018CE</v>
          </cell>
          <cell r="F2248">
            <v>55.500000000000007</v>
          </cell>
        </row>
        <row r="2249">
          <cell r="A2249" t="str">
            <v>1018DF</v>
          </cell>
          <cell r="F2249">
            <v>55.500000000000007</v>
          </cell>
        </row>
        <row r="2250">
          <cell r="A2250" t="str">
            <v>1018ES</v>
          </cell>
          <cell r="F2250">
            <v>55.500000000000007</v>
          </cell>
        </row>
        <row r="2251">
          <cell r="A2251" t="str">
            <v>1018GO</v>
          </cell>
          <cell r="F2251">
            <v>55.500000000000007</v>
          </cell>
        </row>
        <row r="2252">
          <cell r="A2252" t="str">
            <v>1018MA</v>
          </cell>
          <cell r="F2252">
            <v>55.500000000000007</v>
          </cell>
        </row>
        <row r="2253">
          <cell r="A2253" t="str">
            <v>1018MG</v>
          </cell>
          <cell r="F2253">
            <v>55.500000000000007</v>
          </cell>
        </row>
        <row r="2254">
          <cell r="A2254" t="str">
            <v>1018MS</v>
          </cell>
          <cell r="F2254">
            <v>55.500000000000007</v>
          </cell>
        </row>
        <row r="2255">
          <cell r="A2255" t="str">
            <v>1018MT</v>
          </cell>
          <cell r="F2255">
            <v>55.500000000000007</v>
          </cell>
        </row>
        <row r="2256">
          <cell r="A2256" t="str">
            <v>1018PA</v>
          </cell>
          <cell r="F2256">
            <v>55.500000000000007</v>
          </cell>
        </row>
        <row r="2257">
          <cell r="A2257" t="str">
            <v>1018PB</v>
          </cell>
          <cell r="F2257">
            <v>55.500000000000007</v>
          </cell>
        </row>
        <row r="2258">
          <cell r="A2258" t="str">
            <v>1018PE</v>
          </cell>
          <cell r="F2258">
            <v>55.500000000000007</v>
          </cell>
        </row>
        <row r="2259">
          <cell r="A2259" t="str">
            <v>1018PI</v>
          </cell>
          <cell r="F2259">
            <v>55.500000000000007</v>
          </cell>
        </row>
        <row r="2260">
          <cell r="A2260" t="str">
            <v>1018PR</v>
          </cell>
          <cell r="F2260">
            <v>55.500000000000007</v>
          </cell>
        </row>
        <row r="2261">
          <cell r="A2261" t="str">
            <v>1018RJ</v>
          </cell>
          <cell r="F2261">
            <v>55.500000000000007</v>
          </cell>
        </row>
        <row r="2262">
          <cell r="A2262" t="str">
            <v>1018RN</v>
          </cell>
          <cell r="F2262">
            <v>55.500000000000007</v>
          </cell>
        </row>
        <row r="2263">
          <cell r="A2263" t="str">
            <v>1018RO</v>
          </cell>
          <cell r="F2263">
            <v>55.500000000000007</v>
          </cell>
        </row>
        <row r="2264">
          <cell r="A2264" t="str">
            <v>1018RR</v>
          </cell>
          <cell r="F2264">
            <v>55.500000000000007</v>
          </cell>
        </row>
        <row r="2265">
          <cell r="A2265" t="str">
            <v>1018RS</v>
          </cell>
          <cell r="F2265">
            <v>55.500000000000007</v>
          </cell>
        </row>
        <row r="2266">
          <cell r="A2266" t="str">
            <v>1018SC</v>
          </cell>
          <cell r="F2266">
            <v>55.500000000000007</v>
          </cell>
        </row>
        <row r="2267">
          <cell r="A2267" t="str">
            <v>1018SE</v>
          </cell>
          <cell r="F2267">
            <v>55.500000000000007</v>
          </cell>
        </row>
        <row r="2268">
          <cell r="A2268" t="str">
            <v>1018SP</v>
          </cell>
          <cell r="F2268">
            <v>55.500000000000007</v>
          </cell>
        </row>
        <row r="2269">
          <cell r="A2269" t="str">
            <v>1018TO</v>
          </cell>
          <cell r="F2269">
            <v>55.500000000000007</v>
          </cell>
        </row>
        <row r="2270">
          <cell r="A2270" t="str">
            <v>32484AC</v>
          </cell>
          <cell r="F2270">
            <v>57.961491511142249</v>
          </cell>
        </row>
        <row r="2271">
          <cell r="A2271" t="str">
            <v>32484AL</v>
          </cell>
          <cell r="F2271">
            <v>56.488152663778536</v>
          </cell>
        </row>
        <row r="2272">
          <cell r="A2272" t="str">
            <v>32484AM</v>
          </cell>
          <cell r="F2272">
            <v>51.197978553328596</v>
          </cell>
        </row>
        <row r="2273">
          <cell r="A2273" t="str">
            <v>32484AP</v>
          </cell>
          <cell r="F2273">
            <v>58.201220968643732</v>
          </cell>
        </row>
        <row r="2274">
          <cell r="A2274" t="str">
            <v>32484BA</v>
          </cell>
          <cell r="F2274">
            <v>58.222812940381452</v>
          </cell>
        </row>
        <row r="2275">
          <cell r="A2275" t="str">
            <v>32484CE</v>
          </cell>
          <cell r="F2275">
            <v>58.225399763042894</v>
          </cell>
        </row>
        <row r="2276">
          <cell r="A2276" t="str">
            <v>32484DF</v>
          </cell>
          <cell r="F2276">
            <v>58.210665658772356</v>
          </cell>
        </row>
        <row r="2277">
          <cell r="A2277" t="str">
            <v>32484ES</v>
          </cell>
          <cell r="F2277">
            <v>58.259643003925518</v>
          </cell>
        </row>
        <row r="2278">
          <cell r="A2278" t="str">
            <v>32484GO</v>
          </cell>
          <cell r="F2278">
            <v>58.230235509218709</v>
          </cell>
        </row>
        <row r="2279">
          <cell r="A2279" t="str">
            <v>32484MA</v>
          </cell>
          <cell r="F2279">
            <v>58.205140787193152</v>
          </cell>
        </row>
        <row r="2280">
          <cell r="A2280" t="str">
            <v>32484MG</v>
          </cell>
          <cell r="F2280">
            <v>54.721807351693698</v>
          </cell>
        </row>
        <row r="2281">
          <cell r="A2281" t="str">
            <v>32484MS</v>
          </cell>
          <cell r="F2281">
            <v>58.205325624793147</v>
          </cell>
        </row>
        <row r="2282">
          <cell r="A2282" t="str">
            <v>32484MT</v>
          </cell>
          <cell r="F2282">
            <v>58.218061253386452</v>
          </cell>
        </row>
        <row r="2283">
          <cell r="A2283" t="str">
            <v>32484PA</v>
          </cell>
          <cell r="F2283">
            <v>50.10304326756588</v>
          </cell>
        </row>
        <row r="2284">
          <cell r="A2284" t="str">
            <v>32484PB</v>
          </cell>
          <cell r="F2284">
            <v>58.202861229861306</v>
          </cell>
        </row>
        <row r="2285">
          <cell r="A2285" t="str">
            <v>32484PE</v>
          </cell>
          <cell r="F2285">
            <v>57.479705046352706</v>
          </cell>
        </row>
        <row r="2286">
          <cell r="A2286" t="str">
            <v>32484PI</v>
          </cell>
          <cell r="F2286">
            <v>54.266594175742647</v>
          </cell>
        </row>
        <row r="2287">
          <cell r="A2287" t="str">
            <v>32484PR</v>
          </cell>
          <cell r="F2287">
            <v>58.20338634435214</v>
          </cell>
        </row>
        <row r="2288">
          <cell r="A2288" t="str">
            <v>32484RJ</v>
          </cell>
          <cell r="F2288">
            <v>61.27720065305671</v>
          </cell>
        </row>
        <row r="2289">
          <cell r="A2289" t="str">
            <v>32484RN</v>
          </cell>
          <cell r="F2289">
            <v>55.126307514574144</v>
          </cell>
        </row>
        <row r="2290">
          <cell r="A2290" t="str">
            <v>32484RO</v>
          </cell>
          <cell r="F2290">
            <v>56.727045834598087</v>
          </cell>
        </row>
        <row r="2291">
          <cell r="A2291" t="str">
            <v>32484RR</v>
          </cell>
          <cell r="F2291">
            <v>48.068518984308781</v>
          </cell>
        </row>
        <row r="2292">
          <cell r="A2292" t="str">
            <v>32484RS</v>
          </cell>
          <cell r="F2292">
            <v>58.211106767390653</v>
          </cell>
        </row>
        <row r="2293">
          <cell r="A2293" t="str">
            <v>32484SC</v>
          </cell>
          <cell r="F2293">
            <v>58.20839973399282</v>
          </cell>
        </row>
        <row r="2294">
          <cell r="A2294" t="str">
            <v>32484SE</v>
          </cell>
          <cell r="F2294">
            <v>58.201326006170603</v>
          </cell>
        </row>
        <row r="2295">
          <cell r="A2295" t="str">
            <v>32484SP</v>
          </cell>
          <cell r="F2295">
            <v>54.716727709680548</v>
          </cell>
        </row>
        <row r="2296">
          <cell r="A2296" t="str">
            <v>32484TO</v>
          </cell>
          <cell r="F2296">
            <v>58.200670349135933</v>
          </cell>
        </row>
        <row r="2297">
          <cell r="A2297" t="str">
            <v>31516AC</v>
          </cell>
          <cell r="F2297">
            <v>75.273983373276721</v>
          </cell>
        </row>
        <row r="2298">
          <cell r="A2298" t="str">
            <v>31516AL</v>
          </cell>
          <cell r="F2298">
            <v>75.273983373276721</v>
          </cell>
        </row>
        <row r="2299">
          <cell r="A2299" t="str">
            <v>31516AM</v>
          </cell>
          <cell r="F2299">
            <v>75.273983373276721</v>
          </cell>
        </row>
        <row r="2300">
          <cell r="A2300" t="str">
            <v>31516AP</v>
          </cell>
          <cell r="F2300">
            <v>75.273983373276721</v>
          </cell>
        </row>
        <row r="2301">
          <cell r="A2301" t="str">
            <v>31516BA</v>
          </cell>
          <cell r="F2301">
            <v>75.273983373276721</v>
          </cell>
        </row>
        <row r="2302">
          <cell r="A2302" t="str">
            <v>31516CE</v>
          </cell>
          <cell r="F2302">
            <v>75.273983373276721</v>
          </cell>
        </row>
        <row r="2303">
          <cell r="A2303" t="str">
            <v>31516DF</v>
          </cell>
          <cell r="F2303">
            <v>75.273983373276721</v>
          </cell>
        </row>
        <row r="2304">
          <cell r="A2304" t="str">
            <v>31516ES</v>
          </cell>
          <cell r="F2304">
            <v>75.273983373276721</v>
          </cell>
        </row>
        <row r="2305">
          <cell r="A2305" t="str">
            <v>31516GO</v>
          </cell>
          <cell r="F2305">
            <v>75.273983373276721</v>
          </cell>
        </row>
        <row r="2306">
          <cell r="A2306" t="str">
            <v>31516MA</v>
          </cell>
          <cell r="F2306">
            <v>75.273983373276721</v>
          </cell>
        </row>
        <row r="2307">
          <cell r="A2307" t="str">
            <v>31516MG</v>
          </cell>
          <cell r="F2307">
            <v>75.273983373276721</v>
          </cell>
        </row>
        <row r="2308">
          <cell r="A2308" t="str">
            <v>31516MS</v>
          </cell>
          <cell r="F2308">
            <v>75.273983373276721</v>
          </cell>
        </row>
        <row r="2309">
          <cell r="A2309" t="str">
            <v>31516MT</v>
          </cell>
          <cell r="F2309">
            <v>75.273983373276721</v>
          </cell>
        </row>
        <row r="2310">
          <cell r="A2310" t="str">
            <v>31516PA</v>
          </cell>
          <cell r="F2310">
            <v>75.273983373276721</v>
          </cell>
        </row>
        <row r="2311">
          <cell r="A2311" t="str">
            <v>31516PB</v>
          </cell>
          <cell r="F2311">
            <v>75.273983373276721</v>
          </cell>
        </row>
        <row r="2312">
          <cell r="A2312" t="str">
            <v>31516PE</v>
          </cell>
          <cell r="F2312">
            <v>75.273983373276721</v>
          </cell>
        </row>
        <row r="2313">
          <cell r="A2313" t="str">
            <v>31516PI</v>
          </cell>
          <cell r="F2313">
            <v>75.273983373276721</v>
          </cell>
        </row>
        <row r="2314">
          <cell r="A2314" t="str">
            <v>31516PR</v>
          </cell>
          <cell r="F2314">
            <v>75.273983373276721</v>
          </cell>
        </row>
        <row r="2315">
          <cell r="A2315" t="str">
            <v>31516RJ</v>
          </cell>
          <cell r="F2315">
            <v>75.273983373276721</v>
          </cell>
        </row>
        <row r="2316">
          <cell r="A2316" t="str">
            <v>31516RN</v>
          </cell>
          <cell r="F2316">
            <v>75.273983373276721</v>
          </cell>
        </row>
        <row r="2317">
          <cell r="A2317" t="str">
            <v>31516RO</v>
          </cell>
          <cell r="F2317">
            <v>75.273983373276721</v>
          </cell>
        </row>
        <row r="2318">
          <cell r="A2318" t="str">
            <v>31516RR</v>
          </cell>
          <cell r="F2318">
            <v>75.273983373276721</v>
          </cell>
        </row>
        <row r="2319">
          <cell r="A2319" t="str">
            <v>31516RS</v>
          </cell>
          <cell r="F2319">
            <v>75.273983373276721</v>
          </cell>
        </row>
        <row r="2320">
          <cell r="A2320" t="str">
            <v>31516SC</v>
          </cell>
          <cell r="F2320">
            <v>75.273983373276721</v>
          </cell>
        </row>
        <row r="2321">
          <cell r="A2321" t="str">
            <v>31516SE</v>
          </cell>
          <cell r="F2321">
            <v>75.273983373276721</v>
          </cell>
        </row>
        <row r="2322">
          <cell r="A2322" t="str">
            <v>31516SP</v>
          </cell>
          <cell r="F2322">
            <v>75.273983373276721</v>
          </cell>
        </row>
        <row r="2323">
          <cell r="A2323" t="str">
            <v>31516TO</v>
          </cell>
          <cell r="F2323">
            <v>75.273983373276721</v>
          </cell>
        </row>
        <row r="2324">
          <cell r="A2324" t="str">
            <v>31292AC</v>
          </cell>
          <cell r="F2324">
            <v>78.17439422001776</v>
          </cell>
        </row>
        <row r="2325">
          <cell r="A2325" t="str">
            <v>31292AL</v>
          </cell>
          <cell r="F2325">
            <v>75.64831744569176</v>
          </cell>
        </row>
        <row r="2326">
          <cell r="A2326" t="str">
            <v>31292AM</v>
          </cell>
          <cell r="F2326">
            <v>73.82649579884027</v>
          </cell>
        </row>
        <row r="2327">
          <cell r="A2327" t="str">
            <v>31292AP</v>
          </cell>
          <cell r="F2327">
            <v>70.909574137913722</v>
          </cell>
        </row>
        <row r="2328">
          <cell r="A2328" t="str">
            <v>31292BA</v>
          </cell>
          <cell r="F2328">
            <v>76.949760304678861</v>
          </cell>
        </row>
        <row r="2329">
          <cell r="A2329" t="str">
            <v>31292CE</v>
          </cell>
          <cell r="F2329">
            <v>77.522169770769182</v>
          </cell>
        </row>
        <row r="2330">
          <cell r="A2330" t="str">
            <v>31292DF</v>
          </cell>
          <cell r="F2330">
            <v>80.84679650862364</v>
          </cell>
        </row>
        <row r="2331">
          <cell r="A2331" t="str">
            <v>31292ES</v>
          </cell>
          <cell r="F2331">
            <v>79.864172956869822</v>
          </cell>
        </row>
        <row r="2332">
          <cell r="A2332" t="str">
            <v>31292GO</v>
          </cell>
          <cell r="F2332">
            <v>75.473727746448787</v>
          </cell>
        </row>
        <row r="2333">
          <cell r="A2333" t="str">
            <v>31292MA</v>
          </cell>
          <cell r="F2333">
            <v>72.494117552723509</v>
          </cell>
        </row>
        <row r="2334">
          <cell r="A2334" t="str">
            <v>31292MG</v>
          </cell>
          <cell r="F2334">
            <v>69.418187700507588</v>
          </cell>
        </row>
        <row r="2335">
          <cell r="A2335" t="str">
            <v>31292MS</v>
          </cell>
          <cell r="F2335">
            <v>81.174204022947933</v>
          </cell>
        </row>
        <row r="2336">
          <cell r="A2336" t="str">
            <v>31292MT</v>
          </cell>
          <cell r="F2336">
            <v>80.734731922525498</v>
          </cell>
        </row>
        <row r="2337">
          <cell r="A2337" t="str">
            <v>31292PA</v>
          </cell>
          <cell r="F2337">
            <v>74.223262286261416</v>
          </cell>
        </row>
        <row r="2338">
          <cell r="A2338" t="str">
            <v>31292PB</v>
          </cell>
          <cell r="F2338">
            <v>72.638322508456255</v>
          </cell>
        </row>
        <row r="2339">
          <cell r="A2339" t="str">
            <v>31292PE</v>
          </cell>
          <cell r="F2339">
            <v>72.532241803980696</v>
          </cell>
        </row>
        <row r="2340">
          <cell r="A2340" t="str">
            <v>31292PI</v>
          </cell>
          <cell r="F2340">
            <v>68.476344110167346</v>
          </cell>
        </row>
        <row r="2341">
          <cell r="A2341" t="str">
            <v>31292PR</v>
          </cell>
          <cell r="F2341">
            <v>75.090701096960643</v>
          </cell>
        </row>
        <row r="2342">
          <cell r="A2342" t="str">
            <v>31292RJ</v>
          </cell>
          <cell r="F2342">
            <v>71.839999999999989</v>
          </cell>
        </row>
        <row r="2343">
          <cell r="A2343" t="str">
            <v>31292RN</v>
          </cell>
          <cell r="F2343">
            <v>70.110396162262646</v>
          </cell>
        </row>
        <row r="2344">
          <cell r="A2344" t="str">
            <v>31292RO</v>
          </cell>
          <cell r="F2344">
            <v>71.215840779537999</v>
          </cell>
        </row>
        <row r="2345">
          <cell r="A2345" t="str">
            <v>31292RR</v>
          </cell>
          <cell r="F2345">
            <v>70.989136451702194</v>
          </cell>
        </row>
        <row r="2346">
          <cell r="A2346" t="str">
            <v>31292RS</v>
          </cell>
          <cell r="F2346">
            <v>78.861645968324751</v>
          </cell>
        </row>
        <row r="2347">
          <cell r="A2347" t="str">
            <v>31292SC</v>
          </cell>
          <cell r="F2347">
            <v>79.308260786917046</v>
          </cell>
        </row>
        <row r="2348">
          <cell r="A2348" t="str">
            <v>31292SE</v>
          </cell>
          <cell r="F2348">
            <v>74.877381848479715</v>
          </cell>
        </row>
        <row r="2349">
          <cell r="A2349" t="str">
            <v>31292SP</v>
          </cell>
          <cell r="F2349">
            <v>77.383937871520033</v>
          </cell>
        </row>
        <row r="2350">
          <cell r="A2350" t="str">
            <v>31292TO</v>
          </cell>
          <cell r="F2350">
            <v>80.7366475371946</v>
          </cell>
        </row>
        <row r="2351">
          <cell r="A2351" t="str">
            <v>31225AC</v>
          </cell>
          <cell r="F2351">
            <v>92.62</v>
          </cell>
        </row>
        <row r="2352">
          <cell r="A2352" t="str">
            <v>31225AL</v>
          </cell>
          <cell r="F2352">
            <v>92.62</v>
          </cell>
        </row>
        <row r="2353">
          <cell r="A2353" t="str">
            <v>31225AM</v>
          </cell>
          <cell r="F2353">
            <v>92.62</v>
          </cell>
        </row>
        <row r="2354">
          <cell r="A2354" t="str">
            <v>31225AP</v>
          </cell>
          <cell r="F2354">
            <v>92.62</v>
          </cell>
        </row>
        <row r="2355">
          <cell r="A2355" t="str">
            <v>31225BA</v>
          </cell>
          <cell r="F2355">
            <v>92.62</v>
          </cell>
        </row>
        <row r="2356">
          <cell r="A2356" t="str">
            <v>31225CE</v>
          </cell>
          <cell r="F2356">
            <v>92.62</v>
          </cell>
        </row>
        <row r="2357">
          <cell r="A2357" t="str">
            <v>31225DF</v>
          </cell>
          <cell r="F2357">
            <v>92.62</v>
          </cell>
        </row>
        <row r="2358">
          <cell r="A2358" t="str">
            <v>31225ES</v>
          </cell>
          <cell r="F2358">
            <v>92.62</v>
          </cell>
        </row>
        <row r="2359">
          <cell r="A2359" t="str">
            <v>31225GO</v>
          </cell>
          <cell r="F2359">
            <v>92.62</v>
          </cell>
        </row>
        <row r="2360">
          <cell r="A2360" t="str">
            <v>31225MA</v>
          </cell>
          <cell r="F2360">
            <v>92.62</v>
          </cell>
        </row>
        <row r="2361">
          <cell r="A2361" t="str">
            <v>31225MG</v>
          </cell>
          <cell r="F2361">
            <v>92.62</v>
          </cell>
        </row>
        <row r="2362">
          <cell r="A2362" t="str">
            <v>31225MS</v>
          </cell>
          <cell r="F2362">
            <v>92.62</v>
          </cell>
        </row>
        <row r="2363">
          <cell r="A2363" t="str">
            <v>31225MT</v>
          </cell>
          <cell r="F2363">
            <v>92.62</v>
          </cell>
        </row>
        <row r="2364">
          <cell r="A2364" t="str">
            <v>31225PA</v>
          </cell>
          <cell r="F2364">
            <v>92.62</v>
          </cell>
        </row>
        <row r="2365">
          <cell r="A2365" t="str">
            <v>31225PB</v>
          </cell>
          <cell r="F2365">
            <v>92.62</v>
          </cell>
        </row>
        <row r="2366">
          <cell r="A2366" t="str">
            <v>31225PE</v>
          </cell>
          <cell r="F2366">
            <v>92.62</v>
          </cell>
        </row>
        <row r="2367">
          <cell r="A2367" t="str">
            <v>31225PI</v>
          </cell>
          <cell r="F2367">
            <v>92.62</v>
          </cell>
        </row>
        <row r="2368">
          <cell r="A2368" t="str">
            <v>31225PR</v>
          </cell>
          <cell r="F2368">
            <v>92.62</v>
          </cell>
        </row>
        <row r="2369">
          <cell r="A2369" t="str">
            <v>31225RJ</v>
          </cell>
          <cell r="F2369">
            <v>92.62</v>
          </cell>
        </row>
        <row r="2370">
          <cell r="A2370" t="str">
            <v>31225RN</v>
          </cell>
          <cell r="F2370">
            <v>92.62</v>
          </cell>
        </row>
        <row r="2371">
          <cell r="A2371" t="str">
            <v>31225RO</v>
          </cell>
          <cell r="F2371">
            <v>92.62</v>
          </cell>
        </row>
        <row r="2372">
          <cell r="A2372" t="str">
            <v>31225RR</v>
          </cell>
          <cell r="F2372">
            <v>92.62</v>
          </cell>
        </row>
        <row r="2373">
          <cell r="A2373" t="str">
            <v>31225RS</v>
          </cell>
          <cell r="F2373">
            <v>92.62</v>
          </cell>
        </row>
        <row r="2374">
          <cell r="A2374" t="str">
            <v>31225SC</v>
          </cell>
          <cell r="F2374">
            <v>92.62</v>
          </cell>
        </row>
        <row r="2375">
          <cell r="A2375" t="str">
            <v>31225SE</v>
          </cell>
          <cell r="F2375">
            <v>92.62</v>
          </cell>
        </row>
        <row r="2376">
          <cell r="A2376" t="str">
            <v>31225SP</v>
          </cell>
          <cell r="F2376">
            <v>92.62</v>
          </cell>
        </row>
        <row r="2377">
          <cell r="A2377" t="str">
            <v>31225TO</v>
          </cell>
          <cell r="F2377">
            <v>92.62</v>
          </cell>
        </row>
        <row r="2378">
          <cell r="A2378" t="str">
            <v>31713AC</v>
          </cell>
          <cell r="F2378">
            <v>30.14</v>
          </cell>
        </row>
        <row r="2379">
          <cell r="A2379" t="str">
            <v>31713AL</v>
          </cell>
          <cell r="F2379">
            <v>30.14</v>
          </cell>
        </row>
        <row r="2380">
          <cell r="A2380" t="str">
            <v>31713AM</v>
          </cell>
          <cell r="F2380">
            <v>30.14</v>
          </cell>
        </row>
        <row r="2381">
          <cell r="A2381" t="str">
            <v>31713AP</v>
          </cell>
          <cell r="F2381">
            <v>30.14</v>
          </cell>
        </row>
        <row r="2382">
          <cell r="A2382" t="str">
            <v>31713BA</v>
          </cell>
          <cell r="F2382">
            <v>30.14</v>
          </cell>
        </row>
        <row r="2383">
          <cell r="A2383" t="str">
            <v>31713CE</v>
          </cell>
          <cell r="F2383">
            <v>30.14</v>
          </cell>
        </row>
        <row r="2384">
          <cell r="A2384" t="str">
            <v>31713DF</v>
          </cell>
          <cell r="F2384">
            <v>30.14</v>
          </cell>
        </row>
        <row r="2385">
          <cell r="A2385" t="str">
            <v>31713ES</v>
          </cell>
          <cell r="F2385">
            <v>30.14</v>
          </cell>
        </row>
        <row r="2386">
          <cell r="A2386" t="str">
            <v>31713GO</v>
          </cell>
          <cell r="F2386">
            <v>30.14</v>
          </cell>
        </row>
        <row r="2387">
          <cell r="A2387" t="str">
            <v>31713MA</v>
          </cell>
          <cell r="F2387">
            <v>30.14</v>
          </cell>
        </row>
        <row r="2388">
          <cell r="A2388" t="str">
            <v>31713MG</v>
          </cell>
          <cell r="F2388">
            <v>30.14</v>
          </cell>
        </row>
        <row r="2389">
          <cell r="A2389" t="str">
            <v>31713MS</v>
          </cell>
          <cell r="F2389">
            <v>30.14</v>
          </cell>
        </row>
        <row r="2390">
          <cell r="A2390" t="str">
            <v>31713MT</v>
          </cell>
          <cell r="F2390">
            <v>30.14</v>
          </cell>
        </row>
        <row r="2391">
          <cell r="A2391" t="str">
            <v>31713PA</v>
          </cell>
          <cell r="F2391">
            <v>30.14</v>
          </cell>
        </row>
        <row r="2392">
          <cell r="A2392" t="str">
            <v>31713PB</v>
          </cell>
          <cell r="F2392">
            <v>30.14</v>
          </cell>
        </row>
        <row r="2393">
          <cell r="A2393" t="str">
            <v>31713PE</v>
          </cell>
          <cell r="F2393">
            <v>30.14</v>
          </cell>
        </row>
        <row r="2394">
          <cell r="A2394" t="str">
            <v>31713PI</v>
          </cell>
          <cell r="F2394">
            <v>30.14</v>
          </cell>
        </row>
        <row r="2395">
          <cell r="A2395" t="str">
            <v>31713PR</v>
          </cell>
          <cell r="F2395">
            <v>30.14</v>
          </cell>
        </row>
        <row r="2396">
          <cell r="A2396" t="str">
            <v>31713RJ</v>
          </cell>
          <cell r="F2396">
            <v>30.14</v>
          </cell>
        </row>
        <row r="2397">
          <cell r="A2397" t="str">
            <v>31713RN</v>
          </cell>
          <cell r="F2397">
            <v>30.14</v>
          </cell>
        </row>
        <row r="2398">
          <cell r="A2398" t="str">
            <v>31713RO</v>
          </cell>
          <cell r="F2398">
            <v>30.14</v>
          </cell>
        </row>
        <row r="2399">
          <cell r="A2399" t="str">
            <v>31713RR</v>
          </cell>
          <cell r="F2399">
            <v>30.14</v>
          </cell>
        </row>
        <row r="2400">
          <cell r="A2400" t="str">
            <v>31713RS</v>
          </cell>
          <cell r="F2400">
            <v>30.14</v>
          </cell>
        </row>
        <row r="2401">
          <cell r="A2401" t="str">
            <v>31713SC</v>
          </cell>
          <cell r="F2401">
            <v>30.14</v>
          </cell>
        </row>
        <row r="2402">
          <cell r="A2402" t="str">
            <v>31713SE</v>
          </cell>
          <cell r="F2402">
            <v>30.14</v>
          </cell>
        </row>
        <row r="2403">
          <cell r="A2403" t="str">
            <v>31713SP</v>
          </cell>
          <cell r="F2403">
            <v>30.14</v>
          </cell>
        </row>
        <row r="2404">
          <cell r="A2404" t="str">
            <v>31713TO</v>
          </cell>
          <cell r="F2404">
            <v>30.14</v>
          </cell>
        </row>
        <row r="2405">
          <cell r="A2405" t="str">
            <v>31714AC</v>
          </cell>
          <cell r="F2405">
            <v>23.51</v>
          </cell>
        </row>
        <row r="2406">
          <cell r="A2406" t="str">
            <v>31714AL</v>
          </cell>
          <cell r="F2406">
            <v>23.51</v>
          </cell>
        </row>
        <row r="2407">
          <cell r="A2407" t="str">
            <v>31714AM</v>
          </cell>
          <cell r="F2407">
            <v>23.51</v>
          </cell>
        </row>
        <row r="2408">
          <cell r="A2408" t="str">
            <v>31714AP</v>
          </cell>
          <cell r="F2408">
            <v>23.51</v>
          </cell>
        </row>
        <row r="2409">
          <cell r="A2409" t="str">
            <v>31714BA</v>
          </cell>
          <cell r="F2409">
            <v>23.51</v>
          </cell>
        </row>
        <row r="2410">
          <cell r="A2410" t="str">
            <v>31714CE</v>
          </cell>
          <cell r="F2410">
            <v>23.51</v>
          </cell>
        </row>
        <row r="2411">
          <cell r="A2411" t="str">
            <v>31714DF</v>
          </cell>
          <cell r="F2411">
            <v>23.51</v>
          </cell>
        </row>
        <row r="2412">
          <cell r="A2412" t="str">
            <v>31714ES</v>
          </cell>
          <cell r="F2412">
            <v>23.51</v>
          </cell>
        </row>
        <row r="2413">
          <cell r="A2413" t="str">
            <v>31714GO</v>
          </cell>
          <cell r="F2413">
            <v>23.51</v>
          </cell>
        </row>
        <row r="2414">
          <cell r="A2414" t="str">
            <v>31714MA</v>
          </cell>
          <cell r="F2414">
            <v>23.51</v>
          </cell>
        </row>
        <row r="2415">
          <cell r="A2415" t="str">
            <v>31714MG</v>
          </cell>
          <cell r="F2415">
            <v>23.51</v>
          </cell>
        </row>
        <row r="2416">
          <cell r="A2416" t="str">
            <v>31714MS</v>
          </cell>
          <cell r="F2416">
            <v>23.51</v>
          </cell>
        </row>
        <row r="2417">
          <cell r="A2417" t="str">
            <v>31714MT</v>
          </cell>
          <cell r="F2417">
            <v>23.51</v>
          </cell>
        </row>
        <row r="2418">
          <cell r="A2418" t="str">
            <v>31714PA</v>
          </cell>
          <cell r="F2418">
            <v>23.51</v>
          </cell>
        </row>
        <row r="2419">
          <cell r="A2419" t="str">
            <v>31714PB</v>
          </cell>
          <cell r="F2419">
            <v>23.51</v>
          </cell>
        </row>
        <row r="2420">
          <cell r="A2420" t="str">
            <v>31714PE</v>
          </cell>
          <cell r="F2420">
            <v>23.51</v>
          </cell>
        </row>
        <row r="2421">
          <cell r="A2421" t="str">
            <v>31714PI</v>
          </cell>
          <cell r="F2421">
            <v>23.51</v>
          </cell>
        </row>
        <row r="2422">
          <cell r="A2422" t="str">
            <v>31714PR</v>
          </cell>
          <cell r="F2422">
            <v>23.51</v>
          </cell>
        </row>
        <row r="2423">
          <cell r="A2423" t="str">
            <v>31714RJ</v>
          </cell>
          <cell r="F2423">
            <v>23.51</v>
          </cell>
        </row>
        <row r="2424">
          <cell r="A2424" t="str">
            <v>31714RN</v>
          </cell>
          <cell r="F2424">
            <v>23.51</v>
          </cell>
        </row>
        <row r="2425">
          <cell r="A2425" t="str">
            <v>31714RO</v>
          </cell>
          <cell r="F2425">
            <v>23.51</v>
          </cell>
        </row>
        <row r="2426">
          <cell r="A2426" t="str">
            <v>31714RR</v>
          </cell>
          <cell r="F2426">
            <v>23.51</v>
          </cell>
        </row>
        <row r="2427">
          <cell r="A2427" t="str">
            <v>31714RS</v>
          </cell>
          <cell r="F2427">
            <v>23.51</v>
          </cell>
        </row>
        <row r="2428">
          <cell r="A2428" t="str">
            <v>31714SC</v>
          </cell>
          <cell r="F2428">
            <v>23.51</v>
          </cell>
        </row>
        <row r="2429">
          <cell r="A2429" t="str">
            <v>31714SE</v>
          </cell>
          <cell r="F2429">
            <v>23.51</v>
          </cell>
        </row>
        <row r="2430">
          <cell r="A2430" t="str">
            <v>31714SP</v>
          </cell>
          <cell r="F2430">
            <v>23.51</v>
          </cell>
        </row>
        <row r="2431">
          <cell r="A2431" t="str">
            <v>31714TO</v>
          </cell>
          <cell r="F2431">
            <v>23.51</v>
          </cell>
        </row>
        <row r="2432">
          <cell r="A2432" t="str">
            <v>31497AC</v>
          </cell>
          <cell r="F2432">
            <v>7.7881592586517776</v>
          </cell>
        </row>
        <row r="2433">
          <cell r="A2433" t="str">
            <v>31497AL</v>
          </cell>
          <cell r="F2433">
            <v>26.663790106714718</v>
          </cell>
        </row>
        <row r="2434">
          <cell r="A2434" t="str">
            <v>31497AM</v>
          </cell>
          <cell r="F2434">
            <v>12.238971571259952</v>
          </cell>
        </row>
        <row r="2435">
          <cell r="A2435" t="str">
            <v>31497AP</v>
          </cell>
          <cell r="F2435">
            <v>29.401684983040543</v>
          </cell>
        </row>
        <row r="2436">
          <cell r="A2436" t="str">
            <v>31497BA</v>
          </cell>
          <cell r="F2436">
            <v>10.147744696778799</v>
          </cell>
        </row>
        <row r="2437">
          <cell r="A2437" t="str">
            <v>31497CE</v>
          </cell>
          <cell r="F2437">
            <v>20.146476002241641</v>
          </cell>
        </row>
        <row r="2438">
          <cell r="A2438" t="str">
            <v>31497DF</v>
          </cell>
          <cell r="F2438">
            <v>32.034584108476523</v>
          </cell>
        </row>
        <row r="2439">
          <cell r="A2439" t="str">
            <v>31497ES</v>
          </cell>
          <cell r="F2439">
            <v>7.7077943395607056</v>
          </cell>
        </row>
        <row r="2440">
          <cell r="A2440" t="str">
            <v>31497GO</v>
          </cell>
          <cell r="F2440">
            <v>23.391957266049555</v>
          </cell>
        </row>
        <row r="2441">
          <cell r="A2441" t="str">
            <v>31497MA</v>
          </cell>
          <cell r="F2441">
            <v>7.9224183355828401</v>
          </cell>
        </row>
        <row r="2442">
          <cell r="A2442" t="str">
            <v>31497MG</v>
          </cell>
          <cell r="F2442">
            <v>45.164760834178409</v>
          </cell>
        </row>
        <row r="2443">
          <cell r="A2443" t="str">
            <v>31497MS</v>
          </cell>
          <cell r="F2443">
            <v>7.6627560298152542</v>
          </cell>
        </row>
        <row r="2444">
          <cell r="A2444" t="str">
            <v>31497MT</v>
          </cell>
          <cell r="F2444">
            <v>21.950876590515573</v>
          </cell>
        </row>
        <row r="2445">
          <cell r="A2445" t="str">
            <v>31497PA</v>
          </cell>
          <cell r="F2445">
            <v>7.8813196335042797</v>
          </cell>
        </row>
        <row r="2446">
          <cell r="A2446" t="str">
            <v>31497PB</v>
          </cell>
          <cell r="F2446">
            <v>14.165944168648331</v>
          </cell>
        </row>
        <row r="2447">
          <cell r="A2447" t="str">
            <v>31497PE</v>
          </cell>
          <cell r="F2447">
            <v>8.3495016278843561</v>
          </cell>
        </row>
        <row r="2448">
          <cell r="A2448" t="str">
            <v>31497PI</v>
          </cell>
          <cell r="F2448">
            <v>7.714939169122462</v>
          </cell>
        </row>
        <row r="2449">
          <cell r="A2449" t="str">
            <v>31497PR</v>
          </cell>
          <cell r="F2449">
            <v>24.195962519828907</v>
          </cell>
        </row>
        <row r="2450">
          <cell r="A2450" t="str">
            <v>31497RJ</v>
          </cell>
          <cell r="F2450">
            <v>47.554482369670168</v>
          </cell>
        </row>
        <row r="2451">
          <cell r="A2451" t="str">
            <v>31497RN</v>
          </cell>
          <cell r="F2451">
            <v>20.214393456894715</v>
          </cell>
        </row>
        <row r="2452">
          <cell r="A2452" t="str">
            <v>31497RO</v>
          </cell>
          <cell r="F2452">
            <v>8.0454983685174462</v>
          </cell>
        </row>
        <row r="2453">
          <cell r="A2453" t="str">
            <v>31497RR</v>
          </cell>
          <cell r="F2453">
            <v>23.874828056501251</v>
          </cell>
        </row>
        <row r="2454">
          <cell r="A2454" t="str">
            <v>31497RS</v>
          </cell>
          <cell r="F2454">
            <v>22.252218787661366</v>
          </cell>
        </row>
        <row r="2455">
          <cell r="A2455" t="str">
            <v>31497SC</v>
          </cell>
          <cell r="F2455">
            <v>26.448948359073189</v>
          </cell>
        </row>
        <row r="2456">
          <cell r="A2456" t="str">
            <v>31497SE</v>
          </cell>
          <cell r="F2456">
            <v>7.7739494118645531</v>
          </cell>
        </row>
        <row r="2457">
          <cell r="A2457" t="str">
            <v>31497SP</v>
          </cell>
          <cell r="F2457">
            <v>34.848716021173544</v>
          </cell>
        </row>
        <row r="2458">
          <cell r="A2458" t="str">
            <v>31497TO</v>
          </cell>
          <cell r="F2458">
            <v>7.9459111386604695</v>
          </cell>
        </row>
        <row r="2459">
          <cell r="A2459" t="str">
            <v>2798AC</v>
          </cell>
          <cell r="F2459">
            <v>27</v>
          </cell>
        </row>
        <row r="2460">
          <cell r="A2460" t="str">
            <v>2798AL</v>
          </cell>
          <cell r="F2460">
            <v>27</v>
          </cell>
        </row>
        <row r="2461">
          <cell r="A2461" t="str">
            <v>2798AM</v>
          </cell>
          <cell r="F2461">
            <v>27</v>
          </cell>
        </row>
        <row r="2462">
          <cell r="A2462" t="str">
            <v>2798AP</v>
          </cell>
          <cell r="F2462">
            <v>27</v>
          </cell>
        </row>
        <row r="2463">
          <cell r="A2463" t="str">
            <v>2798BA</v>
          </cell>
          <cell r="F2463">
            <v>27</v>
          </cell>
        </row>
        <row r="2464">
          <cell r="A2464" t="str">
            <v>2798CE</v>
          </cell>
          <cell r="F2464">
            <v>27</v>
          </cell>
        </row>
        <row r="2465">
          <cell r="A2465" t="str">
            <v>2798DF</v>
          </cell>
          <cell r="F2465">
            <v>27</v>
          </cell>
        </row>
        <row r="2466">
          <cell r="A2466" t="str">
            <v>2798ES</v>
          </cell>
          <cell r="F2466">
            <v>27</v>
          </cell>
        </row>
        <row r="2467">
          <cell r="A2467" t="str">
            <v>2798GO</v>
          </cell>
          <cell r="F2467">
            <v>27</v>
          </cell>
        </row>
        <row r="2468">
          <cell r="A2468" t="str">
            <v>2798MA</v>
          </cell>
          <cell r="F2468">
            <v>27</v>
          </cell>
        </row>
        <row r="2469">
          <cell r="A2469" t="str">
            <v>2798MG</v>
          </cell>
          <cell r="F2469">
            <v>27</v>
          </cell>
        </row>
        <row r="2470">
          <cell r="A2470" t="str">
            <v>2798MS</v>
          </cell>
          <cell r="F2470">
            <v>27</v>
          </cell>
        </row>
        <row r="2471">
          <cell r="A2471" t="str">
            <v>2798MT</v>
          </cell>
          <cell r="F2471">
            <v>27</v>
          </cell>
        </row>
        <row r="2472">
          <cell r="A2472" t="str">
            <v>2798PA</v>
          </cell>
          <cell r="F2472">
            <v>27</v>
          </cell>
        </row>
        <row r="2473">
          <cell r="A2473" t="str">
            <v>2798PB</v>
          </cell>
          <cell r="F2473">
            <v>27</v>
          </cell>
        </row>
        <row r="2474">
          <cell r="A2474" t="str">
            <v>2798PE</v>
          </cell>
          <cell r="F2474">
            <v>27</v>
          </cell>
        </row>
        <row r="2475">
          <cell r="A2475" t="str">
            <v>2798PI</v>
          </cell>
          <cell r="F2475">
            <v>27</v>
          </cell>
        </row>
        <row r="2476">
          <cell r="A2476" t="str">
            <v>2798PR</v>
          </cell>
          <cell r="F2476">
            <v>27</v>
          </cell>
        </row>
        <row r="2477">
          <cell r="A2477" t="str">
            <v>2798RJ</v>
          </cell>
          <cell r="F2477">
            <v>27</v>
          </cell>
        </row>
        <row r="2478">
          <cell r="A2478" t="str">
            <v>2798RN</v>
          </cell>
          <cell r="F2478">
            <v>27</v>
          </cell>
        </row>
        <row r="2479">
          <cell r="A2479" t="str">
            <v>2798RO</v>
          </cell>
          <cell r="F2479">
            <v>27</v>
          </cell>
        </row>
        <row r="2480">
          <cell r="A2480" t="str">
            <v>2798RR</v>
          </cell>
          <cell r="F2480">
            <v>27</v>
          </cell>
        </row>
        <row r="2481">
          <cell r="A2481" t="str">
            <v>2798RS</v>
          </cell>
          <cell r="F2481">
            <v>27</v>
          </cell>
        </row>
        <row r="2482">
          <cell r="A2482" t="str">
            <v>2798SC</v>
          </cell>
          <cell r="F2482">
            <v>27</v>
          </cell>
        </row>
        <row r="2483">
          <cell r="A2483" t="str">
            <v>2798SE</v>
          </cell>
          <cell r="F2483">
            <v>27</v>
          </cell>
        </row>
        <row r="2484">
          <cell r="A2484" t="str">
            <v>2798SP</v>
          </cell>
          <cell r="F2484">
            <v>27</v>
          </cell>
        </row>
        <row r="2485">
          <cell r="A2485" t="str">
            <v>2798TO</v>
          </cell>
          <cell r="F2485">
            <v>27</v>
          </cell>
        </row>
        <row r="2486">
          <cell r="A2486" t="str">
            <v>1962AC</v>
          </cell>
          <cell r="F2486">
            <v>27</v>
          </cell>
        </row>
        <row r="2487">
          <cell r="A2487" t="str">
            <v>1962AL</v>
          </cell>
          <cell r="F2487">
            <v>27</v>
          </cell>
        </row>
        <row r="2488">
          <cell r="A2488" t="str">
            <v>1962AM</v>
          </cell>
          <cell r="F2488">
            <v>27</v>
          </cell>
        </row>
        <row r="2489">
          <cell r="A2489" t="str">
            <v>1962AP</v>
          </cell>
          <cell r="F2489">
            <v>27</v>
          </cell>
        </row>
        <row r="2490">
          <cell r="A2490" t="str">
            <v>1962BA</v>
          </cell>
          <cell r="F2490">
            <v>27</v>
          </cell>
        </row>
        <row r="2491">
          <cell r="A2491" t="str">
            <v>1962CE</v>
          </cell>
          <cell r="F2491">
            <v>27</v>
          </cell>
        </row>
        <row r="2492">
          <cell r="A2492" t="str">
            <v>1962DF</v>
          </cell>
          <cell r="F2492">
            <v>27</v>
          </cell>
        </row>
        <row r="2493">
          <cell r="A2493" t="str">
            <v>1962ES</v>
          </cell>
          <cell r="F2493">
            <v>27</v>
          </cell>
        </row>
        <row r="2494">
          <cell r="A2494" t="str">
            <v>1962GO</v>
          </cell>
          <cell r="F2494">
            <v>27</v>
          </cell>
        </row>
        <row r="2495">
          <cell r="A2495" t="str">
            <v>1962MA</v>
          </cell>
          <cell r="F2495">
            <v>27</v>
          </cell>
        </row>
        <row r="2496">
          <cell r="A2496" t="str">
            <v>1962MG</v>
          </cell>
          <cell r="F2496">
            <v>27</v>
          </cell>
        </row>
        <row r="2497">
          <cell r="A2497" t="str">
            <v>1962MS</v>
          </cell>
          <cell r="F2497">
            <v>27</v>
          </cell>
        </row>
        <row r="2498">
          <cell r="A2498" t="str">
            <v>1962MT</v>
          </cell>
          <cell r="F2498">
            <v>27</v>
          </cell>
        </row>
        <row r="2499">
          <cell r="A2499" t="str">
            <v>1962PA</v>
          </cell>
          <cell r="F2499">
            <v>27</v>
          </cell>
        </row>
        <row r="2500">
          <cell r="A2500" t="str">
            <v>1962PB</v>
          </cell>
          <cell r="F2500">
            <v>27</v>
          </cell>
        </row>
        <row r="2501">
          <cell r="A2501" t="str">
            <v>1962PE</v>
          </cell>
          <cell r="F2501">
            <v>27</v>
          </cell>
        </row>
        <row r="2502">
          <cell r="A2502" t="str">
            <v>1962PI</v>
          </cell>
          <cell r="F2502">
            <v>27</v>
          </cell>
        </row>
        <row r="2503">
          <cell r="A2503" t="str">
            <v>1962PR</v>
          </cell>
          <cell r="F2503">
            <v>27</v>
          </cell>
        </row>
        <row r="2504">
          <cell r="A2504" t="str">
            <v>1962RJ</v>
          </cell>
          <cell r="F2504">
            <v>27</v>
          </cell>
        </row>
        <row r="2505">
          <cell r="A2505" t="str">
            <v>1962RN</v>
          </cell>
          <cell r="F2505">
            <v>27</v>
          </cell>
        </row>
        <row r="2506">
          <cell r="A2506" t="str">
            <v>1962RO</v>
          </cell>
          <cell r="F2506">
            <v>27</v>
          </cell>
        </row>
        <row r="2507">
          <cell r="A2507" t="str">
            <v>1962RR</v>
          </cell>
          <cell r="F2507">
            <v>27</v>
          </cell>
        </row>
        <row r="2508">
          <cell r="A2508" t="str">
            <v>1962RS</v>
          </cell>
          <cell r="F2508">
            <v>27</v>
          </cell>
        </row>
        <row r="2509">
          <cell r="A2509" t="str">
            <v>1962SC</v>
          </cell>
          <cell r="F2509">
            <v>27</v>
          </cell>
        </row>
        <row r="2510">
          <cell r="A2510" t="str">
            <v>1962SE</v>
          </cell>
          <cell r="F2510">
            <v>27</v>
          </cell>
        </row>
        <row r="2511">
          <cell r="A2511" t="str">
            <v>1962SP</v>
          </cell>
          <cell r="F2511">
            <v>27</v>
          </cell>
        </row>
        <row r="2512">
          <cell r="A2512" t="str">
            <v>1962TO</v>
          </cell>
          <cell r="F2512">
            <v>27</v>
          </cell>
        </row>
        <row r="2513">
          <cell r="A2513" t="str">
            <v>2778AC</v>
          </cell>
          <cell r="F2513">
            <v>27</v>
          </cell>
        </row>
        <row r="2514">
          <cell r="A2514" t="str">
            <v>2778AL</v>
          </cell>
          <cell r="F2514">
            <v>27</v>
          </cell>
        </row>
        <row r="2515">
          <cell r="A2515" t="str">
            <v>2778AM</v>
          </cell>
          <cell r="F2515">
            <v>27</v>
          </cell>
        </row>
        <row r="2516">
          <cell r="A2516" t="str">
            <v>2778AP</v>
          </cell>
          <cell r="F2516">
            <v>27</v>
          </cell>
        </row>
        <row r="2517">
          <cell r="A2517" t="str">
            <v>2778BA</v>
          </cell>
          <cell r="F2517">
            <v>27</v>
          </cell>
        </row>
        <row r="2518">
          <cell r="A2518" t="str">
            <v>2778CE</v>
          </cell>
          <cell r="F2518">
            <v>27</v>
          </cell>
        </row>
        <row r="2519">
          <cell r="A2519" t="str">
            <v>2778DF</v>
          </cell>
          <cell r="F2519">
            <v>27</v>
          </cell>
        </row>
        <row r="2520">
          <cell r="A2520" t="str">
            <v>2778ES</v>
          </cell>
          <cell r="F2520">
            <v>27</v>
          </cell>
        </row>
        <row r="2521">
          <cell r="A2521" t="str">
            <v>2778GO</v>
          </cell>
          <cell r="F2521">
            <v>27</v>
          </cell>
        </row>
        <row r="2522">
          <cell r="A2522" t="str">
            <v>2778MA</v>
          </cell>
          <cell r="F2522">
            <v>27</v>
          </cell>
        </row>
        <row r="2523">
          <cell r="A2523" t="str">
            <v>2778MG</v>
          </cell>
          <cell r="F2523">
            <v>27</v>
          </cell>
        </row>
        <row r="2524">
          <cell r="A2524" t="str">
            <v>2778MS</v>
          </cell>
          <cell r="F2524">
            <v>27</v>
          </cell>
        </row>
        <row r="2525">
          <cell r="A2525" t="str">
            <v>2778MT</v>
          </cell>
          <cell r="F2525">
            <v>27</v>
          </cell>
        </row>
        <row r="2526">
          <cell r="A2526" t="str">
            <v>2778PA</v>
          </cell>
          <cell r="F2526">
            <v>27</v>
          </cell>
        </row>
        <row r="2527">
          <cell r="A2527" t="str">
            <v>2778PB</v>
          </cell>
          <cell r="F2527">
            <v>27</v>
          </cell>
        </row>
        <row r="2528">
          <cell r="A2528" t="str">
            <v>2778PE</v>
          </cell>
          <cell r="F2528">
            <v>27</v>
          </cell>
        </row>
        <row r="2529">
          <cell r="A2529" t="str">
            <v>2778PI</v>
          </cell>
          <cell r="F2529">
            <v>27</v>
          </cell>
        </row>
        <row r="2530">
          <cell r="A2530" t="str">
            <v>2778PR</v>
          </cell>
          <cell r="F2530">
            <v>27</v>
          </cell>
        </row>
        <row r="2531">
          <cell r="A2531" t="str">
            <v>2778RJ</v>
          </cell>
          <cell r="F2531">
            <v>27</v>
          </cell>
        </row>
        <row r="2532">
          <cell r="A2532" t="str">
            <v>2778RN</v>
          </cell>
          <cell r="F2532">
            <v>27</v>
          </cell>
        </row>
        <row r="2533">
          <cell r="A2533" t="str">
            <v>2778RO</v>
          </cell>
          <cell r="F2533">
            <v>27</v>
          </cell>
        </row>
        <row r="2534">
          <cell r="A2534" t="str">
            <v>2778RR</v>
          </cell>
          <cell r="F2534">
            <v>27</v>
          </cell>
        </row>
        <row r="2535">
          <cell r="A2535" t="str">
            <v>2778RS</v>
          </cell>
          <cell r="F2535">
            <v>27</v>
          </cell>
        </row>
        <row r="2536">
          <cell r="A2536" t="str">
            <v>2778SC</v>
          </cell>
          <cell r="F2536">
            <v>27</v>
          </cell>
        </row>
        <row r="2537">
          <cell r="A2537" t="str">
            <v>2778SE</v>
          </cell>
          <cell r="F2537">
            <v>27</v>
          </cell>
        </row>
        <row r="2538">
          <cell r="A2538" t="str">
            <v>2778SP</v>
          </cell>
          <cell r="F2538">
            <v>27</v>
          </cell>
        </row>
        <row r="2539">
          <cell r="A2539" t="str">
            <v>2778TO</v>
          </cell>
          <cell r="F2539">
            <v>27</v>
          </cell>
        </row>
        <row r="2540">
          <cell r="A2540" t="str">
            <v>2779AC</v>
          </cell>
          <cell r="F2540">
            <v>27</v>
          </cell>
        </row>
        <row r="2541">
          <cell r="A2541" t="str">
            <v>2779AL</v>
          </cell>
          <cell r="F2541">
            <v>27</v>
          </cell>
        </row>
        <row r="2542">
          <cell r="A2542" t="str">
            <v>2779AM</v>
          </cell>
          <cell r="F2542">
            <v>27</v>
          </cell>
        </row>
        <row r="2543">
          <cell r="A2543" t="str">
            <v>2779AP</v>
          </cell>
          <cell r="F2543">
            <v>27</v>
          </cell>
        </row>
        <row r="2544">
          <cell r="A2544" t="str">
            <v>2779BA</v>
          </cell>
          <cell r="F2544">
            <v>27</v>
          </cell>
        </row>
        <row r="2545">
          <cell r="A2545" t="str">
            <v>2779CE</v>
          </cell>
          <cell r="F2545">
            <v>27</v>
          </cell>
        </row>
        <row r="2546">
          <cell r="A2546" t="str">
            <v>2779DF</v>
          </cell>
          <cell r="F2546">
            <v>27</v>
          </cell>
        </row>
        <row r="2547">
          <cell r="A2547" t="str">
            <v>2779ES</v>
          </cell>
          <cell r="F2547">
            <v>27</v>
          </cell>
        </row>
        <row r="2548">
          <cell r="A2548" t="str">
            <v>2779GO</v>
          </cell>
          <cell r="F2548">
            <v>27</v>
          </cell>
        </row>
        <row r="2549">
          <cell r="A2549" t="str">
            <v>2779MA</v>
          </cell>
          <cell r="F2549">
            <v>27</v>
          </cell>
        </row>
        <row r="2550">
          <cell r="A2550" t="str">
            <v>2779MG</v>
          </cell>
          <cell r="F2550">
            <v>27</v>
          </cell>
        </row>
        <row r="2551">
          <cell r="A2551" t="str">
            <v>2779MS</v>
          </cell>
          <cell r="F2551">
            <v>27</v>
          </cell>
        </row>
        <row r="2552">
          <cell r="A2552" t="str">
            <v>2779MT</v>
          </cell>
          <cell r="F2552">
            <v>27</v>
          </cell>
        </row>
        <row r="2553">
          <cell r="A2553" t="str">
            <v>2779PA</v>
          </cell>
          <cell r="F2553">
            <v>27</v>
          </cell>
        </row>
        <row r="2554">
          <cell r="A2554" t="str">
            <v>2779PB</v>
          </cell>
          <cell r="F2554">
            <v>27</v>
          </cell>
        </row>
        <row r="2555">
          <cell r="A2555" t="str">
            <v>2779PE</v>
          </cell>
          <cell r="F2555">
            <v>27</v>
          </cell>
        </row>
        <row r="2556">
          <cell r="A2556" t="str">
            <v>2779PI</v>
          </cell>
          <cell r="F2556">
            <v>27</v>
          </cell>
        </row>
        <row r="2557">
          <cell r="A2557" t="str">
            <v>2779PR</v>
          </cell>
          <cell r="F2557">
            <v>27</v>
          </cell>
        </row>
        <row r="2558">
          <cell r="A2558" t="str">
            <v>2779RJ</v>
          </cell>
          <cell r="F2558">
            <v>27</v>
          </cell>
        </row>
        <row r="2559">
          <cell r="A2559" t="str">
            <v>2779RN</v>
          </cell>
          <cell r="F2559">
            <v>27</v>
          </cell>
        </row>
        <row r="2560">
          <cell r="A2560" t="str">
            <v>2779RO</v>
          </cell>
          <cell r="F2560">
            <v>27</v>
          </cell>
        </row>
        <row r="2561">
          <cell r="A2561" t="str">
            <v>2779RR</v>
          </cell>
          <cell r="F2561">
            <v>27</v>
          </cell>
        </row>
        <row r="2562">
          <cell r="A2562" t="str">
            <v>2779RS</v>
          </cell>
          <cell r="F2562">
            <v>27</v>
          </cell>
        </row>
        <row r="2563">
          <cell r="A2563" t="str">
            <v>2779SC</v>
          </cell>
          <cell r="F2563">
            <v>27</v>
          </cell>
        </row>
        <row r="2564">
          <cell r="A2564" t="str">
            <v>2779SE</v>
          </cell>
          <cell r="F2564">
            <v>27</v>
          </cell>
        </row>
        <row r="2565">
          <cell r="A2565" t="str">
            <v>2779SP</v>
          </cell>
          <cell r="F2565">
            <v>27</v>
          </cell>
        </row>
        <row r="2566">
          <cell r="A2566" t="str">
            <v>2779TO</v>
          </cell>
          <cell r="F2566">
            <v>27</v>
          </cell>
        </row>
        <row r="2567">
          <cell r="A2567" t="str">
            <v>1820AC</v>
          </cell>
          <cell r="F2567">
            <v>27</v>
          </cell>
        </row>
        <row r="2568">
          <cell r="A2568" t="str">
            <v>1820AL</v>
          </cell>
          <cell r="F2568">
            <v>27</v>
          </cell>
        </row>
        <row r="2569">
          <cell r="A2569" t="str">
            <v>1820AM</v>
          </cell>
          <cell r="F2569">
            <v>27</v>
          </cell>
        </row>
        <row r="2570">
          <cell r="A2570" t="str">
            <v>1820AP</v>
          </cell>
          <cell r="F2570">
            <v>27</v>
          </cell>
        </row>
        <row r="2571">
          <cell r="A2571" t="str">
            <v>1820BA</v>
          </cell>
          <cell r="F2571">
            <v>27</v>
          </cell>
        </row>
        <row r="2572">
          <cell r="A2572" t="str">
            <v>1820CE</v>
          </cell>
          <cell r="F2572">
            <v>27</v>
          </cell>
        </row>
        <row r="2573">
          <cell r="A2573" t="str">
            <v>1820DF</v>
          </cell>
          <cell r="F2573">
            <v>27</v>
          </cell>
        </row>
        <row r="2574">
          <cell r="A2574" t="str">
            <v>1820ES</v>
          </cell>
          <cell r="F2574">
            <v>27</v>
          </cell>
        </row>
        <row r="2575">
          <cell r="A2575" t="str">
            <v>1820GO</v>
          </cell>
          <cell r="F2575">
            <v>27</v>
          </cell>
        </row>
        <row r="2576">
          <cell r="A2576" t="str">
            <v>1820MA</v>
          </cell>
          <cell r="F2576">
            <v>27</v>
          </cell>
        </row>
        <row r="2577">
          <cell r="A2577" t="str">
            <v>1820MG</v>
          </cell>
          <cell r="F2577">
            <v>27</v>
          </cell>
        </row>
        <row r="2578">
          <cell r="A2578" t="str">
            <v>1820MS</v>
          </cell>
          <cell r="F2578">
            <v>27</v>
          </cell>
        </row>
        <row r="2579">
          <cell r="A2579" t="str">
            <v>1820MT</v>
          </cell>
          <cell r="F2579">
            <v>27</v>
          </cell>
        </row>
        <row r="2580">
          <cell r="A2580" t="str">
            <v>1820PA</v>
          </cell>
          <cell r="F2580">
            <v>27</v>
          </cell>
        </row>
        <row r="2581">
          <cell r="A2581" t="str">
            <v>1820PB</v>
          </cell>
          <cell r="F2581">
            <v>27</v>
          </cell>
        </row>
        <row r="2582">
          <cell r="A2582" t="str">
            <v>1820PE</v>
          </cell>
          <cell r="F2582">
            <v>27</v>
          </cell>
        </row>
        <row r="2583">
          <cell r="A2583" t="str">
            <v>1820PI</v>
          </cell>
          <cell r="F2583">
            <v>27</v>
          </cell>
        </row>
        <row r="2584">
          <cell r="A2584" t="str">
            <v>1820PR</v>
          </cell>
          <cell r="F2584">
            <v>27</v>
          </cell>
        </row>
        <row r="2585">
          <cell r="A2585" t="str">
            <v>1820RJ</v>
          </cell>
          <cell r="F2585">
            <v>27</v>
          </cell>
        </row>
        <row r="2586">
          <cell r="A2586" t="str">
            <v>1820RN</v>
          </cell>
          <cell r="F2586">
            <v>27</v>
          </cell>
        </row>
        <row r="2587">
          <cell r="A2587" t="str">
            <v>1820RO</v>
          </cell>
          <cell r="F2587">
            <v>27</v>
          </cell>
        </row>
        <row r="2588">
          <cell r="A2588" t="str">
            <v>1820RR</v>
          </cell>
          <cell r="F2588">
            <v>27</v>
          </cell>
        </row>
        <row r="2589">
          <cell r="A2589" t="str">
            <v>1820RS</v>
          </cell>
          <cell r="F2589">
            <v>27</v>
          </cell>
        </row>
        <row r="2590">
          <cell r="A2590" t="str">
            <v>1820SC</v>
          </cell>
          <cell r="F2590">
            <v>27</v>
          </cell>
        </row>
        <row r="2591">
          <cell r="A2591" t="str">
            <v>1820SE</v>
          </cell>
          <cell r="F2591">
            <v>27</v>
          </cell>
        </row>
        <row r="2592">
          <cell r="A2592" t="str">
            <v>1820SP</v>
          </cell>
          <cell r="F2592">
            <v>27</v>
          </cell>
        </row>
        <row r="2593">
          <cell r="A2593" t="str">
            <v>1820TO</v>
          </cell>
          <cell r="F2593">
            <v>27</v>
          </cell>
        </row>
        <row r="2594">
          <cell r="A2594" t="str">
            <v>1915AC</v>
          </cell>
          <cell r="F2594">
            <v>27</v>
          </cell>
        </row>
        <row r="2595">
          <cell r="A2595" t="str">
            <v>1915AL</v>
          </cell>
          <cell r="F2595">
            <v>27</v>
          </cell>
        </row>
        <row r="2596">
          <cell r="A2596" t="str">
            <v>1915AM</v>
          </cell>
          <cell r="F2596">
            <v>27</v>
          </cell>
        </row>
        <row r="2597">
          <cell r="A2597" t="str">
            <v>1915AP</v>
          </cell>
          <cell r="F2597">
            <v>27</v>
          </cell>
        </row>
        <row r="2598">
          <cell r="A2598" t="str">
            <v>1915BA</v>
          </cell>
          <cell r="F2598">
            <v>27</v>
          </cell>
        </row>
        <row r="2599">
          <cell r="A2599" t="str">
            <v>1915CE</v>
          </cell>
          <cell r="F2599">
            <v>27</v>
          </cell>
        </row>
        <row r="2600">
          <cell r="A2600" t="str">
            <v>1915DF</v>
          </cell>
          <cell r="F2600">
            <v>27</v>
          </cell>
        </row>
        <row r="2601">
          <cell r="A2601" t="str">
            <v>1915ES</v>
          </cell>
          <cell r="F2601">
            <v>27</v>
          </cell>
        </row>
        <row r="2602">
          <cell r="A2602" t="str">
            <v>1915GO</v>
          </cell>
          <cell r="F2602">
            <v>27</v>
          </cell>
        </row>
        <row r="2603">
          <cell r="A2603" t="str">
            <v>1915MA</v>
          </cell>
          <cell r="F2603">
            <v>27</v>
          </cell>
        </row>
        <row r="2604">
          <cell r="A2604" t="str">
            <v>1915MG</v>
          </cell>
          <cell r="F2604">
            <v>27</v>
          </cell>
        </row>
        <row r="2605">
          <cell r="A2605" t="str">
            <v>1915MS</v>
          </cell>
          <cell r="F2605">
            <v>27</v>
          </cell>
        </row>
        <row r="2606">
          <cell r="A2606" t="str">
            <v>1915MT</v>
          </cell>
          <cell r="F2606">
            <v>27</v>
          </cell>
        </row>
        <row r="2607">
          <cell r="A2607" t="str">
            <v>1915PA</v>
          </cell>
          <cell r="F2607">
            <v>27</v>
          </cell>
        </row>
        <row r="2608">
          <cell r="A2608" t="str">
            <v>1915PB</v>
          </cell>
          <cell r="F2608">
            <v>27</v>
          </cell>
        </row>
        <row r="2609">
          <cell r="A2609" t="str">
            <v>1915PE</v>
          </cell>
          <cell r="F2609">
            <v>27</v>
          </cell>
        </row>
        <row r="2610">
          <cell r="A2610" t="str">
            <v>1915PI</v>
          </cell>
          <cell r="F2610">
            <v>27</v>
          </cell>
        </row>
        <row r="2611">
          <cell r="A2611" t="str">
            <v>1915PR</v>
          </cell>
          <cell r="F2611">
            <v>27</v>
          </cell>
        </row>
        <row r="2612">
          <cell r="A2612" t="str">
            <v>1915RJ</v>
          </cell>
          <cell r="F2612">
            <v>27</v>
          </cell>
        </row>
        <row r="2613">
          <cell r="A2613" t="str">
            <v>1915RN</v>
          </cell>
          <cell r="F2613">
            <v>27</v>
          </cell>
        </row>
        <row r="2614">
          <cell r="A2614" t="str">
            <v>1915RO</v>
          </cell>
          <cell r="F2614">
            <v>27</v>
          </cell>
        </row>
        <row r="2615">
          <cell r="A2615" t="str">
            <v>1915RR</v>
          </cell>
          <cell r="F2615">
            <v>27</v>
          </cell>
        </row>
        <row r="2616">
          <cell r="A2616" t="str">
            <v>1915RS</v>
          </cell>
          <cell r="F2616">
            <v>27</v>
          </cell>
        </row>
        <row r="2617">
          <cell r="A2617" t="str">
            <v>1915SC</v>
          </cell>
          <cell r="F2617">
            <v>27</v>
          </cell>
        </row>
        <row r="2618">
          <cell r="A2618" t="str">
            <v>1915SE</v>
          </cell>
          <cell r="F2618">
            <v>27</v>
          </cell>
        </row>
        <row r="2619">
          <cell r="A2619" t="str">
            <v>1915SP</v>
          </cell>
          <cell r="F2619">
            <v>27</v>
          </cell>
        </row>
        <row r="2620">
          <cell r="A2620" t="str">
            <v>1915TO</v>
          </cell>
          <cell r="F2620">
            <v>27</v>
          </cell>
        </row>
        <row r="2621">
          <cell r="A2621" t="str">
            <v>17285AC</v>
          </cell>
          <cell r="F2621">
            <v>78.45</v>
          </cell>
        </row>
        <row r="2622">
          <cell r="A2622" t="str">
            <v>17285AL</v>
          </cell>
          <cell r="F2622">
            <v>78.45</v>
          </cell>
        </row>
        <row r="2623">
          <cell r="A2623" t="str">
            <v>17285AM</v>
          </cell>
          <cell r="F2623">
            <v>78.45</v>
          </cell>
        </row>
        <row r="2624">
          <cell r="A2624" t="str">
            <v>17285AP</v>
          </cell>
          <cell r="F2624">
            <v>78.45</v>
          </cell>
        </row>
        <row r="2625">
          <cell r="A2625" t="str">
            <v>17285BA</v>
          </cell>
          <cell r="F2625">
            <v>78.45</v>
          </cell>
        </row>
        <row r="2626">
          <cell r="A2626" t="str">
            <v>17285CE</v>
          </cell>
          <cell r="F2626">
            <v>78.45</v>
          </cell>
        </row>
        <row r="2627">
          <cell r="A2627" t="str">
            <v>17285DF</v>
          </cell>
          <cell r="F2627">
            <v>78.45</v>
          </cell>
        </row>
        <row r="2628">
          <cell r="A2628" t="str">
            <v>17285ES</v>
          </cell>
          <cell r="F2628">
            <v>78.45</v>
          </cell>
        </row>
        <row r="2629">
          <cell r="A2629" t="str">
            <v>17285GO</v>
          </cell>
          <cell r="F2629">
            <v>78.45</v>
          </cell>
        </row>
        <row r="2630">
          <cell r="A2630" t="str">
            <v>17285MA</v>
          </cell>
          <cell r="F2630">
            <v>78.45</v>
          </cell>
        </row>
        <row r="2631">
          <cell r="A2631" t="str">
            <v>17285MG</v>
          </cell>
          <cell r="F2631">
            <v>78.45</v>
          </cell>
        </row>
        <row r="2632">
          <cell r="A2632" t="str">
            <v>17285MS</v>
          </cell>
          <cell r="F2632">
            <v>78.45</v>
          </cell>
        </row>
        <row r="2633">
          <cell r="A2633" t="str">
            <v>17285MT</v>
          </cell>
          <cell r="F2633">
            <v>78.45</v>
          </cell>
        </row>
        <row r="2634">
          <cell r="A2634" t="str">
            <v>17285PA</v>
          </cell>
          <cell r="F2634">
            <v>78.45</v>
          </cell>
        </row>
        <row r="2635">
          <cell r="A2635" t="str">
            <v>17285PB</v>
          </cell>
          <cell r="F2635">
            <v>78.45</v>
          </cell>
        </row>
        <row r="2636">
          <cell r="A2636" t="str">
            <v>17285PE</v>
          </cell>
          <cell r="F2636">
            <v>78.45</v>
          </cell>
        </row>
        <row r="2637">
          <cell r="A2637" t="str">
            <v>17285PI</v>
          </cell>
          <cell r="F2637">
            <v>78.45</v>
          </cell>
        </row>
        <row r="2638">
          <cell r="A2638" t="str">
            <v>17285PR</v>
          </cell>
          <cell r="F2638">
            <v>78.45</v>
          </cell>
        </row>
        <row r="2639">
          <cell r="A2639" t="str">
            <v>17285RJ</v>
          </cell>
          <cell r="F2639">
            <v>78.45</v>
          </cell>
        </row>
        <row r="2640">
          <cell r="A2640" t="str">
            <v>17285RN</v>
          </cell>
          <cell r="F2640">
            <v>78.45</v>
          </cell>
        </row>
        <row r="2641">
          <cell r="A2641" t="str">
            <v>17285RO</v>
          </cell>
          <cell r="F2641">
            <v>78.45</v>
          </cell>
        </row>
        <row r="2642">
          <cell r="A2642" t="str">
            <v>17285RR</v>
          </cell>
          <cell r="F2642">
            <v>78.45</v>
          </cell>
        </row>
        <row r="2643">
          <cell r="A2643" t="str">
            <v>17285RS</v>
          </cell>
          <cell r="F2643">
            <v>78.45</v>
          </cell>
        </row>
        <row r="2644">
          <cell r="A2644" t="str">
            <v>17285SC</v>
          </cell>
          <cell r="F2644">
            <v>78.45</v>
          </cell>
        </row>
        <row r="2645">
          <cell r="A2645" t="str">
            <v>17285SE</v>
          </cell>
          <cell r="F2645">
            <v>78.45</v>
          </cell>
        </row>
        <row r="2646">
          <cell r="A2646" t="str">
            <v>17285SP</v>
          </cell>
          <cell r="F2646">
            <v>78.45</v>
          </cell>
        </row>
        <row r="2647">
          <cell r="A2647" t="str">
            <v>17285TO</v>
          </cell>
          <cell r="F2647">
            <v>78.45</v>
          </cell>
        </row>
        <row r="2648">
          <cell r="A2648" t="str">
            <v>32460AC</v>
          </cell>
          <cell r="F2648">
            <v>76.943951372662312</v>
          </cell>
        </row>
        <row r="2649">
          <cell r="A2649" t="str">
            <v>32460AL</v>
          </cell>
          <cell r="F2649">
            <v>76.943951372662312</v>
          </cell>
        </row>
        <row r="2650">
          <cell r="A2650" t="str">
            <v>32460AM</v>
          </cell>
          <cell r="F2650">
            <v>76.943951372662312</v>
          </cell>
        </row>
        <row r="2651">
          <cell r="A2651" t="str">
            <v>32460AP</v>
          </cell>
          <cell r="F2651">
            <v>76.943951372662312</v>
          </cell>
        </row>
        <row r="2652">
          <cell r="A2652" t="str">
            <v>32460BA</v>
          </cell>
          <cell r="F2652">
            <v>76.943951372662312</v>
          </cell>
        </row>
        <row r="2653">
          <cell r="A2653" t="str">
            <v>32460CE</v>
          </cell>
          <cell r="F2653">
            <v>76.943951372662312</v>
          </cell>
        </row>
        <row r="2654">
          <cell r="A2654" t="str">
            <v>32460DF</v>
          </cell>
          <cell r="F2654">
            <v>76.943951372662312</v>
          </cell>
        </row>
        <row r="2655">
          <cell r="A2655" t="str">
            <v>32460ES</v>
          </cell>
          <cell r="F2655">
            <v>76.943951372662312</v>
          </cell>
        </row>
        <row r="2656">
          <cell r="A2656" t="str">
            <v>32460GO</v>
          </cell>
          <cell r="F2656">
            <v>76.943951372662312</v>
          </cell>
        </row>
        <row r="2657">
          <cell r="A2657" t="str">
            <v>32460MA</v>
          </cell>
          <cell r="F2657">
            <v>76.943951372662312</v>
          </cell>
        </row>
        <row r="2658">
          <cell r="A2658" t="str">
            <v>32460MG</v>
          </cell>
          <cell r="F2658">
            <v>76.943951372662312</v>
          </cell>
        </row>
        <row r="2659">
          <cell r="A2659" t="str">
            <v>32460MS</v>
          </cell>
          <cell r="F2659">
            <v>76.943951372662312</v>
          </cell>
        </row>
        <row r="2660">
          <cell r="A2660" t="str">
            <v>32460MT</v>
          </cell>
          <cell r="F2660">
            <v>76.943951372662312</v>
          </cell>
        </row>
        <row r="2661">
          <cell r="A2661" t="str">
            <v>32460PA</v>
          </cell>
          <cell r="F2661">
            <v>76.943951372662312</v>
          </cell>
        </row>
        <row r="2662">
          <cell r="A2662" t="str">
            <v>32460PB</v>
          </cell>
          <cell r="F2662">
            <v>76.943951372662312</v>
          </cell>
        </row>
        <row r="2663">
          <cell r="A2663" t="str">
            <v>32460PE</v>
          </cell>
          <cell r="F2663">
            <v>76.943951372662312</v>
          </cell>
        </row>
        <row r="2664">
          <cell r="A2664" t="str">
            <v>32460PI</v>
          </cell>
          <cell r="F2664">
            <v>76.943951372662312</v>
          </cell>
        </row>
        <row r="2665">
          <cell r="A2665" t="str">
            <v>32460PR</v>
          </cell>
          <cell r="F2665">
            <v>76.943951372662312</v>
          </cell>
        </row>
        <row r="2666">
          <cell r="A2666" t="str">
            <v>32460RJ</v>
          </cell>
          <cell r="F2666">
            <v>76.943951372662312</v>
          </cell>
        </row>
        <row r="2667">
          <cell r="A2667" t="str">
            <v>32460RN</v>
          </cell>
          <cell r="F2667">
            <v>76.943951372662312</v>
          </cell>
        </row>
        <row r="2668">
          <cell r="A2668" t="str">
            <v>32460RO</v>
          </cell>
          <cell r="F2668">
            <v>76.943951372662312</v>
          </cell>
        </row>
        <row r="2669">
          <cell r="A2669" t="str">
            <v>32460RR</v>
          </cell>
          <cell r="F2669">
            <v>76.943951372662312</v>
          </cell>
        </row>
        <row r="2670">
          <cell r="A2670" t="str">
            <v>32460RS</v>
          </cell>
          <cell r="F2670">
            <v>76.943951372662312</v>
          </cell>
        </row>
        <row r="2671">
          <cell r="A2671" t="str">
            <v>32460SC</v>
          </cell>
          <cell r="F2671">
            <v>76.943951372662312</v>
          </cell>
        </row>
        <row r="2672">
          <cell r="A2672" t="str">
            <v>32460SE</v>
          </cell>
          <cell r="F2672">
            <v>76.943951372662312</v>
          </cell>
        </row>
        <row r="2673">
          <cell r="A2673" t="str">
            <v>32460SP</v>
          </cell>
          <cell r="F2673">
            <v>76.943951372662312</v>
          </cell>
        </row>
        <row r="2674">
          <cell r="A2674" t="str">
            <v>32460TO</v>
          </cell>
          <cell r="F2674">
            <v>76.943951372662312</v>
          </cell>
        </row>
        <row r="2675">
          <cell r="A2675" t="str">
            <v>31933AC</v>
          </cell>
          <cell r="F2675">
            <v>76.141640851853225</v>
          </cell>
        </row>
        <row r="2676">
          <cell r="A2676" t="str">
            <v>31933AL</v>
          </cell>
          <cell r="F2676">
            <v>76.141640851853225</v>
          </cell>
        </row>
        <row r="2677">
          <cell r="A2677" t="str">
            <v>31933AM</v>
          </cell>
          <cell r="F2677">
            <v>76.141640851853225</v>
          </cell>
        </row>
        <row r="2678">
          <cell r="A2678" t="str">
            <v>31933AP</v>
          </cell>
          <cell r="F2678">
            <v>76.141640851853225</v>
          </cell>
        </row>
        <row r="2679">
          <cell r="A2679" t="str">
            <v>31933BA</v>
          </cell>
          <cell r="F2679">
            <v>76.141640851853225</v>
          </cell>
        </row>
        <row r="2680">
          <cell r="A2680" t="str">
            <v>31933CE</v>
          </cell>
          <cell r="F2680">
            <v>76.141640851853225</v>
          </cell>
        </row>
        <row r="2681">
          <cell r="A2681" t="str">
            <v>31933DF</v>
          </cell>
          <cell r="F2681">
            <v>76.141640851853225</v>
          </cell>
        </row>
        <row r="2682">
          <cell r="A2682" t="str">
            <v>31933ES</v>
          </cell>
          <cell r="F2682">
            <v>76.141640851853225</v>
          </cell>
        </row>
        <row r="2683">
          <cell r="A2683" t="str">
            <v>31933GO</v>
          </cell>
          <cell r="F2683">
            <v>76.141640851853225</v>
          </cell>
        </row>
        <row r="2684">
          <cell r="A2684" t="str">
            <v>31933MA</v>
          </cell>
          <cell r="F2684">
            <v>76.141640851853225</v>
          </cell>
        </row>
        <row r="2685">
          <cell r="A2685" t="str">
            <v>31933MG</v>
          </cell>
          <cell r="F2685">
            <v>76.141640851853225</v>
          </cell>
        </row>
        <row r="2686">
          <cell r="A2686" t="str">
            <v>31933MS</v>
          </cell>
          <cell r="F2686">
            <v>76.141640851853225</v>
          </cell>
        </row>
        <row r="2687">
          <cell r="A2687" t="str">
            <v>31933MT</v>
          </cell>
          <cell r="F2687">
            <v>76.141640851853225</v>
          </cell>
        </row>
        <row r="2688">
          <cell r="A2688" t="str">
            <v>31933PA</v>
          </cell>
          <cell r="F2688">
            <v>76.141640851853225</v>
          </cell>
        </row>
        <row r="2689">
          <cell r="A2689" t="str">
            <v>31933PB</v>
          </cell>
          <cell r="F2689">
            <v>76.141640851853225</v>
          </cell>
        </row>
        <row r="2690">
          <cell r="A2690" t="str">
            <v>31933PE</v>
          </cell>
          <cell r="F2690">
            <v>76.141640851853225</v>
          </cell>
        </row>
        <row r="2691">
          <cell r="A2691" t="str">
            <v>31933PI</v>
          </cell>
          <cell r="F2691">
            <v>76.141640851853225</v>
          </cell>
        </row>
        <row r="2692">
          <cell r="A2692" t="str">
            <v>31933PR</v>
          </cell>
          <cell r="F2692">
            <v>76.141640851853225</v>
          </cell>
        </row>
        <row r="2693">
          <cell r="A2693" t="str">
            <v>31933RJ</v>
          </cell>
          <cell r="F2693">
            <v>76.141640851853225</v>
          </cell>
        </row>
        <row r="2694">
          <cell r="A2694" t="str">
            <v>31933RN</v>
          </cell>
          <cell r="F2694">
            <v>76.141640851853225</v>
          </cell>
        </row>
        <row r="2695">
          <cell r="A2695" t="str">
            <v>31933RO</v>
          </cell>
          <cell r="F2695">
            <v>76.141640851853225</v>
          </cell>
        </row>
        <row r="2696">
          <cell r="A2696" t="str">
            <v>31933RR</v>
          </cell>
          <cell r="F2696">
            <v>76.141640851853225</v>
          </cell>
        </row>
        <row r="2697">
          <cell r="A2697" t="str">
            <v>31933RS</v>
          </cell>
          <cell r="F2697">
            <v>76.141640851853225</v>
          </cell>
        </row>
        <row r="2698">
          <cell r="A2698" t="str">
            <v>31933SC</v>
          </cell>
          <cell r="F2698">
            <v>76.141640851853225</v>
          </cell>
        </row>
        <row r="2699">
          <cell r="A2699" t="str">
            <v>31933SE</v>
          </cell>
          <cell r="F2699">
            <v>76.141640851853225</v>
          </cell>
        </row>
        <row r="2700">
          <cell r="A2700" t="str">
            <v>31933SP</v>
          </cell>
          <cell r="F2700">
            <v>76.141640851853225</v>
          </cell>
        </row>
        <row r="2701">
          <cell r="A2701" t="str">
            <v>31933TO</v>
          </cell>
          <cell r="F2701">
            <v>76.141640851853225</v>
          </cell>
        </row>
        <row r="2702">
          <cell r="A2702" t="str">
            <v>31936AC</v>
          </cell>
          <cell r="F2702">
            <v>76.499165065003382</v>
          </cell>
        </row>
        <row r="2703">
          <cell r="A2703" t="str">
            <v>31936AL</v>
          </cell>
          <cell r="F2703">
            <v>76.499165065003382</v>
          </cell>
        </row>
        <row r="2704">
          <cell r="A2704" t="str">
            <v>31936AM</v>
          </cell>
          <cell r="F2704">
            <v>76.499165065003382</v>
          </cell>
        </row>
        <row r="2705">
          <cell r="A2705" t="str">
            <v>31936AP</v>
          </cell>
          <cell r="F2705">
            <v>76.499165065003382</v>
          </cell>
        </row>
        <row r="2706">
          <cell r="A2706" t="str">
            <v>31936BA</v>
          </cell>
          <cell r="F2706">
            <v>76.499165065003382</v>
          </cell>
        </row>
        <row r="2707">
          <cell r="A2707" t="str">
            <v>31936CE</v>
          </cell>
          <cell r="F2707">
            <v>76.499165065003382</v>
          </cell>
        </row>
        <row r="2708">
          <cell r="A2708" t="str">
            <v>31936DF</v>
          </cell>
          <cell r="F2708">
            <v>76.499165065003382</v>
          </cell>
        </row>
        <row r="2709">
          <cell r="A2709" t="str">
            <v>31936ES</v>
          </cell>
          <cell r="F2709">
            <v>76.499165065003382</v>
          </cell>
        </row>
        <row r="2710">
          <cell r="A2710" t="str">
            <v>31936GO</v>
          </cell>
          <cell r="F2710">
            <v>76.499165065003382</v>
          </cell>
        </row>
        <row r="2711">
          <cell r="A2711" t="str">
            <v>31936MA</v>
          </cell>
          <cell r="F2711">
            <v>76.499165065003382</v>
          </cell>
        </row>
        <row r="2712">
          <cell r="A2712" t="str">
            <v>31936MG</v>
          </cell>
          <cell r="F2712">
            <v>76.499165065003382</v>
          </cell>
        </row>
        <row r="2713">
          <cell r="A2713" t="str">
            <v>31936MS</v>
          </cell>
          <cell r="F2713">
            <v>76.499165065003382</v>
          </cell>
        </row>
        <row r="2714">
          <cell r="A2714" t="str">
            <v>31936MT</v>
          </cell>
          <cell r="F2714">
            <v>76.499165065003382</v>
          </cell>
        </row>
        <row r="2715">
          <cell r="A2715" t="str">
            <v>31936PA</v>
          </cell>
          <cell r="F2715">
            <v>76.499165065003382</v>
          </cell>
        </row>
        <row r="2716">
          <cell r="A2716" t="str">
            <v>31936PB</v>
          </cell>
          <cell r="F2716">
            <v>76.499165065003382</v>
          </cell>
        </row>
        <row r="2717">
          <cell r="A2717" t="str">
            <v>31936PE</v>
          </cell>
          <cell r="F2717">
            <v>76.499165065003382</v>
          </cell>
        </row>
        <row r="2718">
          <cell r="A2718" t="str">
            <v>31936PI</v>
          </cell>
          <cell r="F2718">
            <v>76.499165065003382</v>
          </cell>
        </row>
        <row r="2719">
          <cell r="A2719" t="str">
            <v>31936PR</v>
          </cell>
          <cell r="F2719">
            <v>76.499165065003382</v>
          </cell>
        </row>
        <row r="2720">
          <cell r="A2720" t="str">
            <v>31936RJ</v>
          </cell>
          <cell r="F2720">
            <v>76.499165065003382</v>
          </cell>
        </row>
        <row r="2721">
          <cell r="A2721" t="str">
            <v>31936RN</v>
          </cell>
          <cell r="F2721">
            <v>76.499165065003382</v>
          </cell>
        </row>
        <row r="2722">
          <cell r="A2722" t="str">
            <v>31936RO</v>
          </cell>
          <cell r="F2722">
            <v>76.499165065003382</v>
          </cell>
        </row>
        <row r="2723">
          <cell r="A2723" t="str">
            <v>31936RR</v>
          </cell>
          <cell r="F2723">
            <v>76.499165065003382</v>
          </cell>
        </row>
        <row r="2724">
          <cell r="A2724" t="str">
            <v>31936RS</v>
          </cell>
          <cell r="F2724">
            <v>76.499165065003382</v>
          </cell>
        </row>
        <row r="2725">
          <cell r="A2725" t="str">
            <v>31936SC</v>
          </cell>
          <cell r="F2725">
            <v>76.499165065003382</v>
          </cell>
        </row>
        <row r="2726">
          <cell r="A2726" t="str">
            <v>31936SE</v>
          </cell>
          <cell r="F2726">
            <v>76.499165065003382</v>
          </cell>
        </row>
        <row r="2727">
          <cell r="A2727" t="str">
            <v>31936SP</v>
          </cell>
          <cell r="F2727">
            <v>76.499165065003382</v>
          </cell>
        </row>
        <row r="2728">
          <cell r="A2728" t="str">
            <v>31936TO</v>
          </cell>
          <cell r="F2728">
            <v>76.499165065003382</v>
          </cell>
        </row>
        <row r="2729">
          <cell r="A2729" t="str">
            <v>19161AC</v>
          </cell>
          <cell r="F2729">
            <v>88</v>
          </cell>
        </row>
        <row r="2730">
          <cell r="A2730" t="str">
            <v>19161AL</v>
          </cell>
          <cell r="F2730">
            <v>88</v>
          </cell>
        </row>
        <row r="2731">
          <cell r="A2731" t="str">
            <v>19161AM</v>
          </cell>
          <cell r="F2731">
            <v>88</v>
          </cell>
        </row>
        <row r="2732">
          <cell r="A2732" t="str">
            <v>19161AP</v>
          </cell>
          <cell r="F2732">
            <v>88</v>
          </cell>
        </row>
        <row r="2733">
          <cell r="A2733" t="str">
            <v>19161BA</v>
          </cell>
          <cell r="F2733">
            <v>88</v>
          </cell>
        </row>
        <row r="2734">
          <cell r="A2734" t="str">
            <v>19161CE</v>
          </cell>
          <cell r="F2734">
            <v>88</v>
          </cell>
        </row>
        <row r="2735">
          <cell r="A2735" t="str">
            <v>19161DF</v>
          </cell>
          <cell r="F2735">
            <v>88</v>
          </cell>
        </row>
        <row r="2736">
          <cell r="A2736" t="str">
            <v>19161ES</v>
          </cell>
          <cell r="F2736">
            <v>88</v>
          </cell>
        </row>
        <row r="2737">
          <cell r="A2737" t="str">
            <v>19161GO</v>
          </cell>
          <cell r="F2737">
            <v>88</v>
          </cell>
        </row>
        <row r="2738">
          <cell r="A2738" t="str">
            <v>19161MA</v>
          </cell>
          <cell r="F2738">
            <v>88</v>
          </cell>
        </row>
        <row r="2739">
          <cell r="A2739" t="str">
            <v>19161MG</v>
          </cell>
          <cell r="F2739">
            <v>88</v>
          </cell>
        </row>
        <row r="2740">
          <cell r="A2740" t="str">
            <v>19161MS</v>
          </cell>
          <cell r="F2740">
            <v>88</v>
          </cell>
        </row>
        <row r="2741">
          <cell r="A2741" t="str">
            <v>19161MT</v>
          </cell>
          <cell r="F2741">
            <v>88</v>
          </cell>
        </row>
        <row r="2742">
          <cell r="A2742" t="str">
            <v>19161PA</v>
          </cell>
          <cell r="F2742">
            <v>88</v>
          </cell>
        </row>
        <row r="2743">
          <cell r="A2743" t="str">
            <v>19161PB</v>
          </cell>
          <cell r="F2743">
            <v>88</v>
          </cell>
        </row>
        <row r="2744">
          <cell r="A2744" t="str">
            <v>19161PE</v>
          </cell>
          <cell r="F2744">
            <v>88</v>
          </cell>
        </row>
        <row r="2745">
          <cell r="A2745" t="str">
            <v>19161PI</v>
          </cell>
          <cell r="F2745">
            <v>88</v>
          </cell>
        </row>
        <row r="2746">
          <cell r="A2746" t="str">
            <v>19161PR</v>
          </cell>
          <cell r="F2746">
            <v>88</v>
          </cell>
        </row>
        <row r="2747">
          <cell r="A2747" t="str">
            <v>19161RJ</v>
          </cell>
          <cell r="F2747">
            <v>88</v>
          </cell>
        </row>
        <row r="2748">
          <cell r="A2748" t="str">
            <v>19161RN</v>
          </cell>
          <cell r="F2748">
            <v>88</v>
          </cell>
        </row>
        <row r="2749">
          <cell r="A2749" t="str">
            <v>19161RO</v>
          </cell>
          <cell r="F2749">
            <v>88</v>
          </cell>
        </row>
        <row r="2750">
          <cell r="A2750" t="str">
            <v>19161RR</v>
          </cell>
          <cell r="F2750">
            <v>88</v>
          </cell>
        </row>
        <row r="2751">
          <cell r="A2751" t="str">
            <v>19161RS</v>
          </cell>
          <cell r="F2751">
            <v>88</v>
          </cell>
        </row>
        <row r="2752">
          <cell r="A2752" t="str">
            <v>19161SC</v>
          </cell>
          <cell r="F2752">
            <v>88</v>
          </cell>
        </row>
        <row r="2753">
          <cell r="A2753" t="str">
            <v>19161SE</v>
          </cell>
          <cell r="F2753">
            <v>88</v>
          </cell>
        </row>
        <row r="2754">
          <cell r="A2754" t="str">
            <v>19161SP</v>
          </cell>
          <cell r="F2754">
            <v>88</v>
          </cell>
        </row>
        <row r="2755">
          <cell r="A2755" t="str">
            <v>19161TO</v>
          </cell>
          <cell r="F2755">
            <v>88</v>
          </cell>
        </row>
        <row r="2756">
          <cell r="A2756" t="str">
            <v>32465AC</v>
          </cell>
          <cell r="F2756">
            <v>73.605815265313609</v>
          </cell>
        </row>
        <row r="2757">
          <cell r="A2757" t="str">
            <v>32465AL</v>
          </cell>
          <cell r="F2757">
            <v>73.605815265313609</v>
          </cell>
        </row>
        <row r="2758">
          <cell r="A2758" t="str">
            <v>32465AM</v>
          </cell>
          <cell r="F2758">
            <v>73.605815265313609</v>
          </cell>
        </row>
        <row r="2759">
          <cell r="A2759" t="str">
            <v>32465AP</v>
          </cell>
          <cell r="F2759">
            <v>73.605815265313609</v>
          </cell>
        </row>
        <row r="2760">
          <cell r="A2760" t="str">
            <v>32465BA</v>
          </cell>
          <cell r="F2760">
            <v>73.605815265313609</v>
          </cell>
        </row>
        <row r="2761">
          <cell r="A2761" t="str">
            <v>32465CE</v>
          </cell>
          <cell r="F2761">
            <v>73.605815265313609</v>
          </cell>
        </row>
        <row r="2762">
          <cell r="A2762" t="str">
            <v>32465DF</v>
          </cell>
          <cell r="F2762">
            <v>73.605815265313609</v>
          </cell>
        </row>
        <row r="2763">
          <cell r="A2763" t="str">
            <v>32465ES</v>
          </cell>
          <cell r="F2763">
            <v>73.605815265313609</v>
          </cell>
        </row>
        <row r="2764">
          <cell r="A2764" t="str">
            <v>32465GO</v>
          </cell>
          <cell r="F2764">
            <v>73.605815265313609</v>
          </cell>
        </row>
        <row r="2765">
          <cell r="A2765" t="str">
            <v>32465MA</v>
          </cell>
          <cell r="F2765">
            <v>73.605815265313609</v>
          </cell>
        </row>
        <row r="2766">
          <cell r="A2766" t="str">
            <v>32465MG</v>
          </cell>
          <cell r="F2766">
            <v>73.605815265313609</v>
          </cell>
        </row>
        <row r="2767">
          <cell r="A2767" t="str">
            <v>32465MS</v>
          </cell>
          <cell r="F2767">
            <v>73.605815265313609</v>
          </cell>
        </row>
        <row r="2768">
          <cell r="A2768" t="str">
            <v>32465MT</v>
          </cell>
          <cell r="F2768">
            <v>73.605815265313609</v>
          </cell>
        </row>
        <row r="2769">
          <cell r="A2769" t="str">
            <v>32465PA</v>
          </cell>
          <cell r="F2769">
            <v>73.605815265313609</v>
          </cell>
        </row>
        <row r="2770">
          <cell r="A2770" t="str">
            <v>32465PB</v>
          </cell>
          <cell r="F2770">
            <v>73.605815265313609</v>
          </cell>
        </row>
        <row r="2771">
          <cell r="A2771" t="str">
            <v>32465PE</v>
          </cell>
          <cell r="F2771">
            <v>73.605815265313609</v>
          </cell>
        </row>
        <row r="2772">
          <cell r="A2772" t="str">
            <v>32465PI</v>
          </cell>
          <cell r="F2772">
            <v>73.605815265313609</v>
          </cell>
        </row>
        <row r="2773">
          <cell r="A2773" t="str">
            <v>32465PR</v>
          </cell>
          <cell r="F2773">
            <v>73.605815265313609</v>
          </cell>
        </row>
        <row r="2774">
          <cell r="A2774" t="str">
            <v>32465RJ</v>
          </cell>
          <cell r="F2774">
            <v>73.605815265313609</v>
          </cell>
        </row>
        <row r="2775">
          <cell r="A2775" t="str">
            <v>32465RN</v>
          </cell>
          <cell r="F2775">
            <v>73.605815265313609</v>
          </cell>
        </row>
        <row r="2776">
          <cell r="A2776" t="str">
            <v>32465RO</v>
          </cell>
          <cell r="F2776">
            <v>73.605815265313609</v>
          </cell>
        </row>
        <row r="2777">
          <cell r="A2777" t="str">
            <v>32465RR</v>
          </cell>
          <cell r="F2777">
            <v>73.605815265313609</v>
          </cell>
        </row>
        <row r="2778">
          <cell r="A2778" t="str">
            <v>32465RS</v>
          </cell>
          <cell r="F2778">
            <v>73.605815265313609</v>
          </cell>
        </row>
        <row r="2779">
          <cell r="A2779" t="str">
            <v>32465SC</v>
          </cell>
          <cell r="F2779">
            <v>73.605815265313609</v>
          </cell>
        </row>
        <row r="2780">
          <cell r="A2780" t="str">
            <v>32465SE</v>
          </cell>
          <cell r="F2780">
            <v>73.605815265313609</v>
          </cell>
        </row>
        <row r="2781">
          <cell r="A2781" t="str">
            <v>32465SP</v>
          </cell>
          <cell r="F2781">
            <v>73.605815265313609</v>
          </cell>
        </row>
        <row r="2782">
          <cell r="A2782" t="str">
            <v>32465TO</v>
          </cell>
          <cell r="F2782">
            <v>73.605815265313609</v>
          </cell>
        </row>
        <row r="2783">
          <cell r="A2783" t="str">
            <v>31222AC</v>
          </cell>
          <cell r="F2783">
            <v>73.77063413616186</v>
          </cell>
        </row>
        <row r="2784">
          <cell r="A2784" t="str">
            <v>31222AL</v>
          </cell>
          <cell r="F2784">
            <v>73.77063413616186</v>
          </cell>
        </row>
        <row r="2785">
          <cell r="A2785" t="str">
            <v>31222AM</v>
          </cell>
          <cell r="F2785">
            <v>73.77063413616186</v>
          </cell>
        </row>
        <row r="2786">
          <cell r="A2786" t="str">
            <v>31222AP</v>
          </cell>
          <cell r="F2786">
            <v>73.77063413616186</v>
          </cell>
        </row>
        <row r="2787">
          <cell r="A2787" t="str">
            <v>31222BA</v>
          </cell>
          <cell r="F2787">
            <v>73.77063413616186</v>
          </cell>
        </row>
        <row r="2788">
          <cell r="A2788" t="str">
            <v>31222CE</v>
          </cell>
          <cell r="F2788">
            <v>73.77063413616186</v>
          </cell>
        </row>
        <row r="2789">
          <cell r="A2789" t="str">
            <v>31222DF</v>
          </cell>
          <cell r="F2789">
            <v>73.77063413616186</v>
          </cell>
        </row>
        <row r="2790">
          <cell r="A2790" t="str">
            <v>31222ES</v>
          </cell>
          <cell r="F2790">
            <v>73.77063413616186</v>
          </cell>
        </row>
        <row r="2791">
          <cell r="A2791" t="str">
            <v>31222GO</v>
          </cell>
          <cell r="F2791">
            <v>73.77063413616186</v>
          </cell>
        </row>
        <row r="2792">
          <cell r="A2792" t="str">
            <v>31222MA</v>
          </cell>
          <cell r="F2792">
            <v>73.77063413616186</v>
          </cell>
        </row>
        <row r="2793">
          <cell r="A2793" t="str">
            <v>31222MG</v>
          </cell>
          <cell r="F2793">
            <v>73.77063413616186</v>
          </cell>
        </row>
        <row r="2794">
          <cell r="A2794" t="str">
            <v>31222MS</v>
          </cell>
          <cell r="F2794">
            <v>73.77063413616186</v>
          </cell>
        </row>
        <row r="2795">
          <cell r="A2795" t="str">
            <v>31222MT</v>
          </cell>
          <cell r="F2795">
            <v>73.77063413616186</v>
          </cell>
        </row>
        <row r="2796">
          <cell r="A2796" t="str">
            <v>31222PA</v>
          </cell>
          <cell r="F2796">
            <v>73.77063413616186</v>
          </cell>
        </row>
        <row r="2797">
          <cell r="A2797" t="str">
            <v>31222PB</v>
          </cell>
          <cell r="F2797">
            <v>73.77063413616186</v>
          </cell>
        </row>
        <row r="2798">
          <cell r="A2798" t="str">
            <v>31222PE</v>
          </cell>
          <cell r="F2798">
            <v>73.77063413616186</v>
          </cell>
        </row>
        <row r="2799">
          <cell r="A2799" t="str">
            <v>31222PI</v>
          </cell>
          <cell r="F2799">
            <v>73.77063413616186</v>
          </cell>
        </row>
        <row r="2800">
          <cell r="A2800" t="str">
            <v>31222PR</v>
          </cell>
          <cell r="F2800">
            <v>73.77063413616186</v>
          </cell>
        </row>
        <row r="2801">
          <cell r="A2801" t="str">
            <v>31222RJ</v>
          </cell>
          <cell r="F2801">
            <v>73.77063413616186</v>
          </cell>
        </row>
        <row r="2802">
          <cell r="A2802" t="str">
            <v>31222RN</v>
          </cell>
          <cell r="F2802">
            <v>73.77063413616186</v>
          </cell>
        </row>
        <row r="2803">
          <cell r="A2803" t="str">
            <v>31222RO</v>
          </cell>
          <cell r="F2803">
            <v>73.77063413616186</v>
          </cell>
        </row>
        <row r="2804">
          <cell r="A2804" t="str">
            <v>31222RR</v>
          </cell>
          <cell r="F2804">
            <v>73.77063413616186</v>
          </cell>
        </row>
        <row r="2805">
          <cell r="A2805" t="str">
            <v>31222RS</v>
          </cell>
          <cell r="F2805">
            <v>73.77063413616186</v>
          </cell>
        </row>
        <row r="2806">
          <cell r="A2806" t="str">
            <v>31222SC</v>
          </cell>
          <cell r="F2806">
            <v>73.77063413616186</v>
          </cell>
        </row>
        <row r="2807">
          <cell r="A2807" t="str">
            <v>31222SE</v>
          </cell>
          <cell r="F2807">
            <v>73.77063413616186</v>
          </cell>
        </row>
        <row r="2808">
          <cell r="A2808" t="str">
            <v>31222SP</v>
          </cell>
          <cell r="F2808">
            <v>73.77063413616186</v>
          </cell>
        </row>
        <row r="2809">
          <cell r="A2809" t="str">
            <v>31222TO</v>
          </cell>
          <cell r="F2809">
            <v>73.77063413616186</v>
          </cell>
        </row>
        <row r="2810">
          <cell r="A2810" t="str">
            <v>32600AC</v>
          </cell>
          <cell r="F2810">
            <v>65.850999583341277</v>
          </cell>
        </row>
        <row r="2811">
          <cell r="A2811" t="str">
            <v>32600AL</v>
          </cell>
          <cell r="F2811">
            <v>66.747402678982752</v>
          </cell>
        </row>
        <row r="2812">
          <cell r="A2812" t="str">
            <v>32600AM</v>
          </cell>
          <cell r="F2812">
            <v>65.123582555031987</v>
          </cell>
        </row>
        <row r="2813">
          <cell r="A2813" t="str">
            <v>32600AP</v>
          </cell>
          <cell r="F2813">
            <v>65.073214097452038</v>
          </cell>
        </row>
        <row r="2814">
          <cell r="A2814" t="str">
            <v>32600BA</v>
          </cell>
          <cell r="F2814">
            <v>65.965610849887923</v>
          </cell>
        </row>
        <row r="2815">
          <cell r="A2815" t="str">
            <v>32600CE</v>
          </cell>
          <cell r="F2815">
            <v>65.250931588572698</v>
          </cell>
        </row>
        <row r="2816">
          <cell r="A2816" t="str">
            <v>32600DF</v>
          </cell>
          <cell r="F2816">
            <v>65.920475770584503</v>
          </cell>
        </row>
        <row r="2817">
          <cell r="A2817" t="str">
            <v>32600ES</v>
          </cell>
          <cell r="F2817">
            <v>66.874868827740116</v>
          </cell>
        </row>
        <row r="2818">
          <cell r="A2818" t="str">
            <v>32600GO</v>
          </cell>
          <cell r="F2818">
            <v>66.36732148485882</v>
          </cell>
        </row>
        <row r="2819">
          <cell r="A2819" t="str">
            <v>32600MA</v>
          </cell>
          <cell r="F2819">
            <v>64.09747352335485</v>
          </cell>
        </row>
        <row r="2820">
          <cell r="A2820" t="str">
            <v>32600MG</v>
          </cell>
          <cell r="F2820">
            <v>67.080815860139069</v>
          </cell>
        </row>
        <row r="2821">
          <cell r="A2821" t="str">
            <v>32600MS</v>
          </cell>
          <cell r="F2821">
            <v>65.102069975499759</v>
          </cell>
        </row>
        <row r="2822">
          <cell r="A2822" t="str">
            <v>32600MT</v>
          </cell>
          <cell r="F2822">
            <v>65.344111174616486</v>
          </cell>
        </row>
        <row r="2823">
          <cell r="A2823" t="str">
            <v>32600PA</v>
          </cell>
          <cell r="F2823">
            <v>62.49682929110579</v>
          </cell>
        </row>
        <row r="2824">
          <cell r="A2824" t="str">
            <v>32600PB</v>
          </cell>
          <cell r="F2824">
            <v>64.43032299447502</v>
          </cell>
        </row>
        <row r="2825">
          <cell r="A2825" t="str">
            <v>32600PE</v>
          </cell>
          <cell r="F2825">
            <v>65.457759263996905</v>
          </cell>
        </row>
        <row r="2826">
          <cell r="A2826" t="str">
            <v>32600PI</v>
          </cell>
          <cell r="F2826">
            <v>63.096140659902545</v>
          </cell>
        </row>
        <row r="2827">
          <cell r="A2827" t="str">
            <v>32600PR</v>
          </cell>
          <cell r="F2827">
            <v>66.92894036532094</v>
          </cell>
        </row>
        <row r="2828">
          <cell r="A2828" t="str">
            <v>32600RJ</v>
          </cell>
          <cell r="F2828">
            <v>66.351126338343931</v>
          </cell>
        </row>
        <row r="2829">
          <cell r="A2829" t="str">
            <v>32600RN</v>
          </cell>
          <cell r="F2829">
            <v>65.27275828445454</v>
          </cell>
        </row>
        <row r="2830">
          <cell r="A2830" t="str">
            <v>32600RO</v>
          </cell>
          <cell r="F2830">
            <v>65.367627363057068</v>
          </cell>
        </row>
        <row r="2831">
          <cell r="A2831" t="str">
            <v>32600RR</v>
          </cell>
          <cell r="F2831">
            <v>65.542346051401907</v>
          </cell>
        </row>
        <row r="2832">
          <cell r="A2832" t="str">
            <v>32600RS</v>
          </cell>
          <cell r="F2832">
            <v>65.903310679067701</v>
          </cell>
        </row>
        <row r="2833">
          <cell r="A2833" t="str">
            <v>32600SC</v>
          </cell>
          <cell r="F2833">
            <v>65.670560261164567</v>
          </cell>
        </row>
        <row r="2834">
          <cell r="A2834" t="str">
            <v>32600SE</v>
          </cell>
          <cell r="F2834">
            <v>65.898449037463607</v>
          </cell>
        </row>
        <row r="2835">
          <cell r="A2835" t="str">
            <v>32600SP</v>
          </cell>
          <cell r="F2835">
            <v>69.458537450998364</v>
          </cell>
        </row>
        <row r="2836">
          <cell r="A2836" t="str">
            <v>32600TO</v>
          </cell>
          <cell r="F2836">
            <v>64.361742458388065</v>
          </cell>
        </row>
        <row r="2837">
          <cell r="A2837" t="str">
            <v>32586AC</v>
          </cell>
          <cell r="F2837">
            <v>54.805385605700074</v>
          </cell>
        </row>
        <row r="2838">
          <cell r="A2838" t="str">
            <v>32586AL</v>
          </cell>
          <cell r="F2838">
            <v>58.368783326653443</v>
          </cell>
        </row>
        <row r="2839">
          <cell r="A2839" t="str">
            <v>32586AM</v>
          </cell>
          <cell r="F2839">
            <v>52.7895211408702</v>
          </cell>
        </row>
        <row r="2840">
          <cell r="A2840" t="str">
            <v>32586AP</v>
          </cell>
          <cell r="F2840">
            <v>52.75469147912586</v>
          </cell>
        </row>
        <row r="2841">
          <cell r="A2841" t="str">
            <v>32586BA</v>
          </cell>
          <cell r="F2841">
            <v>56.782448545863083</v>
          </cell>
        </row>
        <row r="2842">
          <cell r="A2842" t="str">
            <v>32586CE</v>
          </cell>
          <cell r="F2842">
            <v>54.997807725739769</v>
          </cell>
        </row>
        <row r="2843">
          <cell r="A2843" t="str">
            <v>32586DF</v>
          </cell>
          <cell r="F2843">
            <v>56.604604941766226</v>
          </cell>
        </row>
        <row r="2844">
          <cell r="A2844" t="str">
            <v>32586ES</v>
          </cell>
          <cell r="F2844">
            <v>58.69419014297231</v>
          </cell>
        </row>
        <row r="2845">
          <cell r="A2845" t="str">
            <v>32586GO</v>
          </cell>
          <cell r="F2845">
            <v>57.559958552164979</v>
          </cell>
        </row>
        <row r="2846">
          <cell r="A2846" t="str">
            <v>32586MA</v>
          </cell>
          <cell r="F2846">
            <v>51.961963716808121</v>
          </cell>
        </row>
        <row r="2847">
          <cell r="A2847" t="str">
            <v>32586MG</v>
          </cell>
          <cell r="F2847">
            <v>57.728827729119438</v>
          </cell>
        </row>
        <row r="2848">
          <cell r="A2848" t="str">
            <v>32586MS</v>
          </cell>
          <cell r="F2848">
            <v>54.176786752569797</v>
          </cell>
        </row>
        <row r="2849">
          <cell r="A2849" t="str">
            <v>32586MT</v>
          </cell>
          <cell r="F2849">
            <v>55.075565430147947</v>
          </cell>
        </row>
        <row r="2850">
          <cell r="A2850" t="str">
            <v>32586PA</v>
          </cell>
          <cell r="F2850">
            <v>54.65177281937941</v>
          </cell>
        </row>
        <row r="2851">
          <cell r="A2851" t="str">
            <v>32586PB</v>
          </cell>
          <cell r="F2851">
            <v>52.227561267160752</v>
          </cell>
        </row>
        <row r="2852">
          <cell r="A2852" t="str">
            <v>32586PE</v>
          </cell>
          <cell r="F2852">
            <v>55.658983252169904</v>
          </cell>
        </row>
        <row r="2853">
          <cell r="A2853" t="str">
            <v>32586PI</v>
          </cell>
          <cell r="F2853">
            <v>51.14705792540645</v>
          </cell>
        </row>
        <row r="2854">
          <cell r="A2854" t="str">
            <v>32586PR</v>
          </cell>
          <cell r="F2854">
            <v>57.596277105045203</v>
          </cell>
        </row>
        <row r="2855">
          <cell r="A2855" t="str">
            <v>32586RJ</v>
          </cell>
          <cell r="F2855">
            <v>56.899537042087609</v>
          </cell>
        </row>
        <row r="2856">
          <cell r="A2856" t="str">
            <v>32586RN</v>
          </cell>
          <cell r="F2856">
            <v>52.197748417578083</v>
          </cell>
        </row>
        <row r="2857">
          <cell r="A2857" t="str">
            <v>32586RO</v>
          </cell>
          <cell r="F2857">
            <v>54.402962135139141</v>
          </cell>
        </row>
        <row r="2858">
          <cell r="A2858" t="str">
            <v>32586RR</v>
          </cell>
          <cell r="F2858">
            <v>52.413334135194781</v>
          </cell>
        </row>
        <row r="2859">
          <cell r="A2859" t="str">
            <v>32586RS</v>
          </cell>
          <cell r="F2859">
            <v>55.51688327715236</v>
          </cell>
        </row>
        <row r="2860">
          <cell r="A2860" t="str">
            <v>32586SC</v>
          </cell>
          <cell r="F2860">
            <v>54.620630226008871</v>
          </cell>
        </row>
        <row r="2861">
          <cell r="A2861" t="str">
            <v>32586SE</v>
          </cell>
          <cell r="F2861">
            <v>56.725984073948155</v>
          </cell>
        </row>
        <row r="2862">
          <cell r="A2862" t="str">
            <v>32586SP</v>
          </cell>
          <cell r="F2862">
            <v>60.343720629997158</v>
          </cell>
        </row>
        <row r="2863">
          <cell r="A2863" t="str">
            <v>32586TO</v>
          </cell>
          <cell r="F2863">
            <v>51.469221293196163</v>
          </cell>
        </row>
        <row r="2864">
          <cell r="A2864" t="str">
            <v>6112006AC</v>
          </cell>
          <cell r="F2864">
            <v>33</v>
          </cell>
        </row>
        <row r="2865">
          <cell r="A2865" t="str">
            <v>6112006AL</v>
          </cell>
          <cell r="F2865">
            <v>33</v>
          </cell>
        </row>
        <row r="2866">
          <cell r="A2866" t="str">
            <v>6112006AM</v>
          </cell>
          <cell r="F2866">
            <v>33</v>
          </cell>
        </row>
        <row r="2867">
          <cell r="A2867" t="str">
            <v>6112006AP</v>
          </cell>
          <cell r="F2867">
            <v>33</v>
          </cell>
        </row>
        <row r="2868">
          <cell r="A2868" t="str">
            <v>6112006BA</v>
          </cell>
          <cell r="F2868">
            <v>33</v>
          </cell>
        </row>
        <row r="2869">
          <cell r="A2869" t="str">
            <v>6112006CE</v>
          </cell>
          <cell r="F2869">
            <v>33</v>
          </cell>
        </row>
        <row r="2870">
          <cell r="A2870" t="str">
            <v>6112006DF</v>
          </cell>
          <cell r="F2870">
            <v>33</v>
          </cell>
        </row>
        <row r="2871">
          <cell r="A2871" t="str">
            <v>6112006ES</v>
          </cell>
          <cell r="F2871">
            <v>33</v>
          </cell>
        </row>
        <row r="2872">
          <cell r="A2872" t="str">
            <v>6112006GO</v>
          </cell>
          <cell r="F2872">
            <v>33</v>
          </cell>
        </row>
        <row r="2873">
          <cell r="A2873" t="str">
            <v>6112006MA</v>
          </cell>
          <cell r="F2873">
            <v>33</v>
          </cell>
        </row>
        <row r="2874">
          <cell r="A2874" t="str">
            <v>6112006MG</v>
          </cell>
          <cell r="F2874">
            <v>33</v>
          </cell>
        </row>
        <row r="2875">
          <cell r="A2875" t="str">
            <v>6112006MS</v>
          </cell>
          <cell r="F2875">
            <v>33</v>
          </cell>
        </row>
        <row r="2876">
          <cell r="A2876" t="str">
            <v>6112006MT</v>
          </cell>
          <cell r="F2876">
            <v>33</v>
          </cell>
        </row>
        <row r="2877">
          <cell r="A2877" t="str">
            <v>6112006PA</v>
          </cell>
          <cell r="F2877">
            <v>33</v>
          </cell>
        </row>
        <row r="2878">
          <cell r="A2878" t="str">
            <v>6112006PB</v>
          </cell>
          <cell r="F2878">
            <v>33</v>
          </cell>
        </row>
        <row r="2879">
          <cell r="A2879" t="str">
            <v>6112006PE</v>
          </cell>
          <cell r="F2879">
            <v>33</v>
          </cell>
        </row>
        <row r="2880">
          <cell r="A2880" t="str">
            <v>6112006PI</v>
          </cell>
          <cell r="F2880">
            <v>33</v>
          </cell>
        </row>
        <row r="2881">
          <cell r="A2881" t="str">
            <v>6112006PR</v>
          </cell>
          <cell r="F2881">
            <v>33</v>
          </cell>
        </row>
        <row r="2882">
          <cell r="A2882" t="str">
            <v>6112006RJ</v>
          </cell>
          <cell r="F2882">
            <v>33</v>
          </cell>
        </row>
        <row r="2883">
          <cell r="A2883" t="str">
            <v>6112006RN</v>
          </cell>
          <cell r="F2883">
            <v>33</v>
          </cell>
        </row>
        <row r="2884">
          <cell r="A2884" t="str">
            <v>6112006RO</v>
          </cell>
          <cell r="F2884">
            <v>33</v>
          </cell>
        </row>
        <row r="2885">
          <cell r="A2885" t="str">
            <v>6112006RR</v>
          </cell>
          <cell r="F2885">
            <v>33</v>
          </cell>
        </row>
        <row r="2886">
          <cell r="A2886" t="str">
            <v>6112006RS</v>
          </cell>
          <cell r="F2886">
            <v>33</v>
          </cell>
        </row>
        <row r="2887">
          <cell r="A2887" t="str">
            <v>6112006SC</v>
          </cell>
          <cell r="F2887">
            <v>33</v>
          </cell>
        </row>
        <row r="2888">
          <cell r="A2888" t="str">
            <v>6112006SE</v>
          </cell>
          <cell r="F2888">
            <v>33</v>
          </cell>
        </row>
        <row r="2889">
          <cell r="A2889" t="str">
            <v>6112006SP</v>
          </cell>
          <cell r="F2889">
            <v>33</v>
          </cell>
        </row>
        <row r="2890">
          <cell r="A2890" t="str">
            <v>6112006TO</v>
          </cell>
          <cell r="F2890">
            <v>33</v>
          </cell>
        </row>
        <row r="2891">
          <cell r="A2891" t="str">
            <v>6112008AC</v>
          </cell>
          <cell r="F2891">
            <v>33</v>
          </cell>
        </row>
        <row r="2892">
          <cell r="A2892" t="str">
            <v>6112008AL</v>
          </cell>
          <cell r="F2892">
            <v>33</v>
          </cell>
        </row>
        <row r="2893">
          <cell r="A2893" t="str">
            <v>6112008AM</v>
          </cell>
          <cell r="F2893">
            <v>33</v>
          </cell>
        </row>
        <row r="2894">
          <cell r="A2894" t="str">
            <v>6112008AP</v>
          </cell>
          <cell r="F2894">
            <v>33</v>
          </cell>
        </row>
        <row r="2895">
          <cell r="A2895" t="str">
            <v>6112008BA</v>
          </cell>
          <cell r="F2895">
            <v>33</v>
          </cell>
        </row>
        <row r="2896">
          <cell r="A2896" t="str">
            <v>6112008CE</v>
          </cell>
          <cell r="F2896">
            <v>33</v>
          </cell>
        </row>
        <row r="2897">
          <cell r="A2897" t="str">
            <v>6112008DF</v>
          </cell>
          <cell r="F2897">
            <v>33</v>
          </cell>
        </row>
        <row r="2898">
          <cell r="A2898" t="str">
            <v>6112008ES</v>
          </cell>
          <cell r="F2898">
            <v>33</v>
          </cell>
        </row>
        <row r="2899">
          <cell r="A2899" t="str">
            <v>6112008GO</v>
          </cell>
          <cell r="F2899">
            <v>33</v>
          </cell>
        </row>
        <row r="2900">
          <cell r="A2900" t="str">
            <v>6112008MA</v>
          </cell>
          <cell r="F2900">
            <v>33</v>
          </cell>
        </row>
        <row r="2901">
          <cell r="A2901" t="str">
            <v>6112008MG</v>
          </cell>
          <cell r="F2901">
            <v>33</v>
          </cell>
        </row>
        <row r="2902">
          <cell r="A2902" t="str">
            <v>6112008MS</v>
          </cell>
          <cell r="F2902">
            <v>33</v>
          </cell>
        </row>
        <row r="2903">
          <cell r="A2903" t="str">
            <v>6112008MT</v>
          </cell>
          <cell r="F2903">
            <v>33</v>
          </cell>
        </row>
        <row r="2904">
          <cell r="A2904" t="str">
            <v>6112008PA</v>
          </cell>
          <cell r="F2904">
            <v>33</v>
          </cell>
        </row>
        <row r="2905">
          <cell r="A2905" t="str">
            <v>6112008PB</v>
          </cell>
          <cell r="F2905">
            <v>33</v>
          </cell>
        </row>
        <row r="2906">
          <cell r="A2906" t="str">
            <v>6112008PE</v>
          </cell>
          <cell r="F2906">
            <v>33</v>
          </cell>
        </row>
        <row r="2907">
          <cell r="A2907" t="str">
            <v>6112008PI</v>
          </cell>
          <cell r="F2907">
            <v>33</v>
          </cell>
        </row>
        <row r="2908">
          <cell r="A2908" t="str">
            <v>6112008PR</v>
          </cell>
          <cell r="F2908">
            <v>33</v>
          </cell>
        </row>
        <row r="2909">
          <cell r="A2909" t="str">
            <v>6112008RJ</v>
          </cell>
          <cell r="F2909">
            <v>33</v>
          </cell>
        </row>
        <row r="2910">
          <cell r="A2910" t="str">
            <v>6112008RN</v>
          </cell>
          <cell r="F2910">
            <v>33</v>
          </cell>
        </row>
        <row r="2911">
          <cell r="A2911" t="str">
            <v>6112008RO</v>
          </cell>
          <cell r="F2911">
            <v>33</v>
          </cell>
        </row>
        <row r="2912">
          <cell r="A2912" t="str">
            <v>6112008RR</v>
          </cell>
          <cell r="F2912">
            <v>33</v>
          </cell>
        </row>
        <row r="2913">
          <cell r="A2913" t="str">
            <v>6112008RS</v>
          </cell>
          <cell r="F2913">
            <v>33</v>
          </cell>
        </row>
        <row r="2914">
          <cell r="A2914" t="str">
            <v>6112008SC</v>
          </cell>
          <cell r="F2914">
            <v>33</v>
          </cell>
        </row>
        <row r="2915">
          <cell r="A2915" t="str">
            <v>6112008SE</v>
          </cell>
          <cell r="F2915">
            <v>33</v>
          </cell>
        </row>
        <row r="2916">
          <cell r="A2916" t="str">
            <v>6112008SP</v>
          </cell>
          <cell r="F2916">
            <v>33</v>
          </cell>
        </row>
        <row r="2917">
          <cell r="A2917" t="str">
            <v>6112008TO</v>
          </cell>
          <cell r="F2917">
            <v>33</v>
          </cell>
        </row>
        <row r="2918">
          <cell r="A2918" t="str">
            <v>19163AC</v>
          </cell>
          <cell r="F2918">
            <v>33</v>
          </cell>
        </row>
        <row r="2919">
          <cell r="A2919" t="str">
            <v>19163AL</v>
          </cell>
          <cell r="F2919">
            <v>33</v>
          </cell>
        </row>
        <row r="2920">
          <cell r="A2920" t="str">
            <v>19163AM</v>
          </cell>
          <cell r="F2920">
            <v>33</v>
          </cell>
        </row>
        <row r="2921">
          <cell r="A2921" t="str">
            <v>19163AP</v>
          </cell>
          <cell r="F2921">
            <v>33</v>
          </cell>
        </row>
        <row r="2922">
          <cell r="A2922" t="str">
            <v>19163BA</v>
          </cell>
          <cell r="F2922">
            <v>33</v>
          </cell>
        </row>
        <row r="2923">
          <cell r="A2923" t="str">
            <v>19163CE</v>
          </cell>
          <cell r="F2923">
            <v>33</v>
          </cell>
        </row>
        <row r="2924">
          <cell r="A2924" t="str">
            <v>19163DF</v>
          </cell>
          <cell r="F2924">
            <v>33</v>
          </cell>
        </row>
        <row r="2925">
          <cell r="A2925" t="str">
            <v>19163ES</v>
          </cell>
          <cell r="F2925">
            <v>33</v>
          </cell>
        </row>
        <row r="2926">
          <cell r="A2926" t="str">
            <v>19163GO</v>
          </cell>
          <cell r="F2926">
            <v>33</v>
          </cell>
        </row>
        <row r="2927">
          <cell r="A2927" t="str">
            <v>19163MA</v>
          </cell>
          <cell r="F2927">
            <v>33</v>
          </cell>
        </row>
        <row r="2928">
          <cell r="A2928" t="str">
            <v>19163MG</v>
          </cell>
          <cell r="F2928">
            <v>33</v>
          </cell>
        </row>
        <row r="2929">
          <cell r="A2929" t="str">
            <v>19163MS</v>
          </cell>
          <cell r="F2929">
            <v>33</v>
          </cell>
        </row>
        <row r="2930">
          <cell r="A2930" t="str">
            <v>19163MT</v>
          </cell>
          <cell r="F2930">
            <v>33</v>
          </cell>
        </row>
        <row r="2931">
          <cell r="A2931" t="str">
            <v>19163PA</v>
          </cell>
          <cell r="F2931">
            <v>33</v>
          </cell>
        </row>
        <row r="2932">
          <cell r="A2932" t="str">
            <v>19163PB</v>
          </cell>
          <cell r="F2932">
            <v>33</v>
          </cell>
        </row>
        <row r="2933">
          <cell r="A2933" t="str">
            <v>19163PE</v>
          </cell>
          <cell r="F2933">
            <v>33</v>
          </cell>
        </row>
        <row r="2934">
          <cell r="A2934" t="str">
            <v>19163PI</v>
          </cell>
          <cell r="F2934">
            <v>33</v>
          </cell>
        </row>
        <row r="2935">
          <cell r="A2935" t="str">
            <v>19163PR</v>
          </cell>
          <cell r="F2935">
            <v>33</v>
          </cell>
        </row>
        <row r="2936">
          <cell r="A2936" t="str">
            <v>19163RJ</v>
          </cell>
          <cell r="F2936">
            <v>33</v>
          </cell>
        </row>
        <row r="2937">
          <cell r="A2937" t="str">
            <v>19163RN</v>
          </cell>
          <cell r="F2937">
            <v>33</v>
          </cell>
        </row>
        <row r="2938">
          <cell r="A2938" t="str">
            <v>19163RO</v>
          </cell>
          <cell r="F2938">
            <v>33</v>
          </cell>
        </row>
        <row r="2939">
          <cell r="A2939" t="str">
            <v>19163RR</v>
          </cell>
          <cell r="F2939">
            <v>33</v>
          </cell>
        </row>
        <row r="2940">
          <cell r="A2940" t="str">
            <v>19163RS</v>
          </cell>
          <cell r="F2940">
            <v>33</v>
          </cell>
        </row>
        <row r="2941">
          <cell r="A2941" t="str">
            <v>19163SC</v>
          </cell>
          <cell r="F2941">
            <v>33</v>
          </cell>
        </row>
        <row r="2942">
          <cell r="A2942" t="str">
            <v>19163SE</v>
          </cell>
          <cell r="F2942">
            <v>33</v>
          </cell>
        </row>
        <row r="2943">
          <cell r="A2943" t="str">
            <v>19163SP</v>
          </cell>
          <cell r="F2943">
            <v>33</v>
          </cell>
        </row>
        <row r="2944">
          <cell r="A2944" t="str">
            <v>19163TO</v>
          </cell>
          <cell r="F2944">
            <v>33</v>
          </cell>
        </row>
        <row r="2945">
          <cell r="A2945" t="str">
            <v>2674AC</v>
          </cell>
          <cell r="F2945">
            <v>33</v>
          </cell>
        </row>
        <row r="2946">
          <cell r="A2946" t="str">
            <v>2674AL</v>
          </cell>
          <cell r="F2946">
            <v>33</v>
          </cell>
        </row>
        <row r="2947">
          <cell r="A2947" t="str">
            <v>2674AM</v>
          </cell>
          <cell r="F2947">
            <v>33</v>
          </cell>
        </row>
        <row r="2948">
          <cell r="A2948" t="str">
            <v>2674AP</v>
          </cell>
          <cell r="F2948">
            <v>33</v>
          </cell>
        </row>
        <row r="2949">
          <cell r="A2949" t="str">
            <v>2674BA</v>
          </cell>
          <cell r="F2949">
            <v>33</v>
          </cell>
        </row>
        <row r="2950">
          <cell r="A2950" t="str">
            <v>2674CE</v>
          </cell>
          <cell r="F2950">
            <v>33</v>
          </cell>
        </row>
        <row r="2951">
          <cell r="A2951" t="str">
            <v>2674DF</v>
          </cell>
          <cell r="F2951">
            <v>33</v>
          </cell>
        </row>
        <row r="2952">
          <cell r="A2952" t="str">
            <v>2674ES</v>
          </cell>
          <cell r="F2952">
            <v>33</v>
          </cell>
        </row>
        <row r="2953">
          <cell r="A2953" t="str">
            <v>2674GO</v>
          </cell>
          <cell r="F2953">
            <v>33</v>
          </cell>
        </row>
        <row r="2954">
          <cell r="A2954" t="str">
            <v>2674MA</v>
          </cell>
          <cell r="F2954">
            <v>33</v>
          </cell>
        </row>
        <row r="2955">
          <cell r="A2955" t="str">
            <v>2674MG</v>
          </cell>
          <cell r="F2955">
            <v>33</v>
          </cell>
        </row>
        <row r="2956">
          <cell r="A2956" t="str">
            <v>2674MS</v>
          </cell>
          <cell r="F2956">
            <v>33</v>
          </cell>
        </row>
        <row r="2957">
          <cell r="A2957" t="str">
            <v>2674MT</v>
          </cell>
          <cell r="F2957">
            <v>33</v>
          </cell>
        </row>
        <row r="2958">
          <cell r="A2958" t="str">
            <v>2674PA</v>
          </cell>
          <cell r="F2958">
            <v>33</v>
          </cell>
        </row>
        <row r="2959">
          <cell r="A2959" t="str">
            <v>2674PB</v>
          </cell>
          <cell r="F2959">
            <v>33</v>
          </cell>
        </row>
        <row r="2960">
          <cell r="A2960" t="str">
            <v>2674PE</v>
          </cell>
          <cell r="F2960">
            <v>33</v>
          </cell>
        </row>
        <row r="2961">
          <cell r="A2961" t="str">
            <v>2674PI</v>
          </cell>
          <cell r="F2961">
            <v>33</v>
          </cell>
        </row>
        <row r="2962">
          <cell r="A2962" t="str">
            <v>2674PR</v>
          </cell>
          <cell r="F2962">
            <v>33</v>
          </cell>
        </row>
        <row r="2963">
          <cell r="A2963" t="str">
            <v>2674RJ</v>
          </cell>
          <cell r="F2963">
            <v>33</v>
          </cell>
        </row>
        <row r="2964">
          <cell r="A2964" t="str">
            <v>2674RN</v>
          </cell>
          <cell r="F2964">
            <v>33</v>
          </cell>
        </row>
        <row r="2965">
          <cell r="A2965" t="str">
            <v>2674RO</v>
          </cell>
          <cell r="F2965">
            <v>33</v>
          </cell>
        </row>
        <row r="2966">
          <cell r="A2966" t="str">
            <v>2674RR</v>
          </cell>
          <cell r="F2966">
            <v>33</v>
          </cell>
        </row>
        <row r="2967">
          <cell r="A2967" t="str">
            <v>2674RS</v>
          </cell>
          <cell r="F2967">
            <v>33</v>
          </cell>
        </row>
        <row r="2968">
          <cell r="A2968" t="str">
            <v>2674SC</v>
          </cell>
          <cell r="F2968">
            <v>33</v>
          </cell>
        </row>
        <row r="2969">
          <cell r="A2969" t="str">
            <v>2674SE</v>
          </cell>
          <cell r="F2969">
            <v>33</v>
          </cell>
        </row>
        <row r="2970">
          <cell r="A2970" t="str">
            <v>2674SP</v>
          </cell>
          <cell r="F2970">
            <v>33</v>
          </cell>
        </row>
        <row r="2971">
          <cell r="A2971" t="str">
            <v>2674TO</v>
          </cell>
          <cell r="F2971">
            <v>33</v>
          </cell>
        </row>
        <row r="2972">
          <cell r="A2972" t="str">
            <v>2763AC</v>
          </cell>
          <cell r="F2972">
            <v>32</v>
          </cell>
        </row>
        <row r="2973">
          <cell r="A2973" t="str">
            <v>2763AL</v>
          </cell>
          <cell r="F2973">
            <v>32</v>
          </cell>
        </row>
        <row r="2974">
          <cell r="A2974" t="str">
            <v>2763AM</v>
          </cell>
          <cell r="F2974">
            <v>32</v>
          </cell>
        </row>
        <row r="2975">
          <cell r="A2975" t="str">
            <v>2763AP</v>
          </cell>
          <cell r="F2975">
            <v>32</v>
          </cell>
        </row>
        <row r="2976">
          <cell r="A2976" t="str">
            <v>2763BA</v>
          </cell>
          <cell r="F2976">
            <v>32</v>
          </cell>
        </row>
        <row r="2977">
          <cell r="A2977" t="str">
            <v>2763CE</v>
          </cell>
          <cell r="F2977">
            <v>32</v>
          </cell>
        </row>
        <row r="2978">
          <cell r="A2978" t="str">
            <v>2763DF</v>
          </cell>
          <cell r="F2978">
            <v>32</v>
          </cell>
        </row>
        <row r="2979">
          <cell r="A2979" t="str">
            <v>2763ES</v>
          </cell>
          <cell r="F2979">
            <v>32</v>
          </cell>
        </row>
        <row r="2980">
          <cell r="A2980" t="str">
            <v>2763GO</v>
          </cell>
          <cell r="F2980">
            <v>32</v>
          </cell>
        </row>
        <row r="2981">
          <cell r="A2981" t="str">
            <v>2763MA</v>
          </cell>
          <cell r="F2981">
            <v>32</v>
          </cell>
        </row>
        <row r="2982">
          <cell r="A2982" t="str">
            <v>2763MG</v>
          </cell>
          <cell r="F2982">
            <v>32</v>
          </cell>
        </row>
        <row r="2983">
          <cell r="A2983" t="str">
            <v>2763MS</v>
          </cell>
          <cell r="F2983">
            <v>32</v>
          </cell>
        </row>
        <row r="2984">
          <cell r="A2984" t="str">
            <v>2763MT</v>
          </cell>
          <cell r="F2984">
            <v>32</v>
          </cell>
        </row>
        <row r="2985">
          <cell r="A2985" t="str">
            <v>2763PA</v>
          </cell>
          <cell r="F2985">
            <v>32</v>
          </cell>
        </row>
        <row r="2986">
          <cell r="A2986" t="str">
            <v>2763PB</v>
          </cell>
          <cell r="F2986">
            <v>32</v>
          </cell>
        </row>
        <row r="2987">
          <cell r="A2987" t="str">
            <v>2763PE</v>
          </cell>
          <cell r="F2987">
            <v>32</v>
          </cell>
        </row>
        <row r="2988">
          <cell r="A2988" t="str">
            <v>2763PI</v>
          </cell>
          <cell r="F2988">
            <v>32</v>
          </cell>
        </row>
        <row r="2989">
          <cell r="A2989" t="str">
            <v>2763PR</v>
          </cell>
          <cell r="F2989">
            <v>32</v>
          </cell>
        </row>
        <row r="2990">
          <cell r="A2990" t="str">
            <v>2763RJ</v>
          </cell>
          <cell r="F2990">
            <v>32</v>
          </cell>
        </row>
        <row r="2991">
          <cell r="A2991" t="str">
            <v>2763RN</v>
          </cell>
          <cell r="F2991">
            <v>32</v>
          </cell>
        </row>
        <row r="2992">
          <cell r="A2992" t="str">
            <v>2763RO</v>
          </cell>
          <cell r="F2992">
            <v>32</v>
          </cell>
        </row>
        <row r="2993">
          <cell r="A2993" t="str">
            <v>2763RR</v>
          </cell>
          <cell r="F2993">
            <v>32</v>
          </cell>
        </row>
        <row r="2994">
          <cell r="A2994" t="str">
            <v>2763RS</v>
          </cell>
          <cell r="F2994">
            <v>32</v>
          </cell>
        </row>
        <row r="2995">
          <cell r="A2995" t="str">
            <v>2763SC</v>
          </cell>
          <cell r="F2995">
            <v>32</v>
          </cell>
        </row>
        <row r="2996">
          <cell r="A2996" t="str">
            <v>2763SE</v>
          </cell>
          <cell r="F2996">
            <v>32</v>
          </cell>
        </row>
        <row r="2997">
          <cell r="A2997" t="str">
            <v>2763SP</v>
          </cell>
          <cell r="F2997">
            <v>32</v>
          </cell>
        </row>
        <row r="2998">
          <cell r="A2998" t="str">
            <v>2763TO</v>
          </cell>
          <cell r="F2998">
            <v>32</v>
          </cell>
        </row>
        <row r="2999">
          <cell r="A2999" t="str">
            <v>2764AC</v>
          </cell>
          <cell r="F2999">
            <v>32</v>
          </cell>
        </row>
        <row r="3000">
          <cell r="A3000" t="str">
            <v>2764AL</v>
          </cell>
          <cell r="F3000">
            <v>32</v>
          </cell>
        </row>
        <row r="3001">
          <cell r="A3001" t="str">
            <v>2764AM</v>
          </cell>
          <cell r="F3001">
            <v>32</v>
          </cell>
        </row>
        <row r="3002">
          <cell r="A3002" t="str">
            <v>2764AP</v>
          </cell>
          <cell r="F3002">
            <v>32</v>
          </cell>
        </row>
        <row r="3003">
          <cell r="A3003" t="str">
            <v>2764BA</v>
          </cell>
          <cell r="F3003">
            <v>32</v>
          </cell>
        </row>
        <row r="3004">
          <cell r="A3004" t="str">
            <v>2764CE</v>
          </cell>
          <cell r="F3004">
            <v>32</v>
          </cell>
        </row>
        <row r="3005">
          <cell r="A3005" t="str">
            <v>2764DF</v>
          </cell>
          <cell r="F3005">
            <v>32</v>
          </cell>
        </row>
        <row r="3006">
          <cell r="A3006" t="str">
            <v>2764ES</v>
          </cell>
          <cell r="F3006">
            <v>32</v>
          </cell>
        </row>
        <row r="3007">
          <cell r="A3007" t="str">
            <v>2764GO</v>
          </cell>
          <cell r="F3007">
            <v>32</v>
          </cell>
        </row>
        <row r="3008">
          <cell r="A3008" t="str">
            <v>2764MA</v>
          </cell>
          <cell r="F3008">
            <v>32</v>
          </cell>
        </row>
        <row r="3009">
          <cell r="A3009" t="str">
            <v>2764MG</v>
          </cell>
          <cell r="F3009">
            <v>32</v>
          </cell>
        </row>
        <row r="3010">
          <cell r="A3010" t="str">
            <v>2764MS</v>
          </cell>
          <cell r="F3010">
            <v>32</v>
          </cell>
        </row>
        <row r="3011">
          <cell r="A3011" t="str">
            <v>2764MT</v>
          </cell>
          <cell r="F3011">
            <v>32</v>
          </cell>
        </row>
        <row r="3012">
          <cell r="A3012" t="str">
            <v>2764PA</v>
          </cell>
          <cell r="F3012">
            <v>32</v>
          </cell>
        </row>
        <row r="3013">
          <cell r="A3013" t="str">
            <v>2764PB</v>
          </cell>
          <cell r="F3013">
            <v>32</v>
          </cell>
        </row>
        <row r="3014">
          <cell r="A3014" t="str">
            <v>2764PE</v>
          </cell>
          <cell r="F3014">
            <v>32</v>
          </cell>
        </row>
        <row r="3015">
          <cell r="A3015" t="str">
            <v>2764PI</v>
          </cell>
          <cell r="F3015">
            <v>32</v>
          </cell>
        </row>
        <row r="3016">
          <cell r="A3016" t="str">
            <v>2764PR</v>
          </cell>
          <cell r="F3016">
            <v>32</v>
          </cell>
        </row>
        <row r="3017">
          <cell r="A3017" t="str">
            <v>2764RJ</v>
          </cell>
          <cell r="F3017">
            <v>32</v>
          </cell>
        </row>
        <row r="3018">
          <cell r="A3018" t="str">
            <v>2764RN</v>
          </cell>
          <cell r="F3018">
            <v>32</v>
          </cell>
        </row>
        <row r="3019">
          <cell r="A3019" t="str">
            <v>2764RO</v>
          </cell>
          <cell r="F3019">
            <v>32</v>
          </cell>
        </row>
        <row r="3020">
          <cell r="A3020" t="str">
            <v>2764RR</v>
          </cell>
          <cell r="F3020">
            <v>32</v>
          </cell>
        </row>
        <row r="3021">
          <cell r="A3021" t="str">
            <v>2764RS</v>
          </cell>
          <cell r="F3021">
            <v>32</v>
          </cell>
        </row>
        <row r="3022">
          <cell r="A3022" t="str">
            <v>2764SC</v>
          </cell>
          <cell r="F3022">
            <v>32</v>
          </cell>
        </row>
        <row r="3023">
          <cell r="A3023" t="str">
            <v>2764SE</v>
          </cell>
          <cell r="F3023">
            <v>32</v>
          </cell>
        </row>
        <row r="3024">
          <cell r="A3024" t="str">
            <v>2764SP</v>
          </cell>
          <cell r="F3024">
            <v>32</v>
          </cell>
        </row>
        <row r="3025">
          <cell r="A3025" t="str">
            <v>2764TO</v>
          </cell>
          <cell r="F3025">
            <v>32</v>
          </cell>
        </row>
        <row r="3026">
          <cell r="A3026" t="str">
            <v>32028AC</v>
          </cell>
          <cell r="F3026">
            <v>65.472200328407226</v>
          </cell>
        </row>
        <row r="3027">
          <cell r="A3027" t="str">
            <v>32028AL</v>
          </cell>
          <cell r="F3027">
            <v>62.147482014388487</v>
          </cell>
        </row>
        <row r="3028">
          <cell r="A3028" t="str">
            <v>32028AM</v>
          </cell>
          <cell r="F3028">
            <v>56.842199623502232</v>
          </cell>
        </row>
        <row r="3029">
          <cell r="A3029" t="str">
            <v>32028AP</v>
          </cell>
          <cell r="F3029">
            <v>62.215439856373436</v>
          </cell>
        </row>
        <row r="3030">
          <cell r="A3030" t="str">
            <v>32028BA</v>
          </cell>
          <cell r="F3030">
            <v>60.221972008573957</v>
          </cell>
        </row>
        <row r="3031">
          <cell r="A3031" t="str">
            <v>32028CE</v>
          </cell>
          <cell r="F3031">
            <v>56.842199623502232</v>
          </cell>
        </row>
        <row r="3032">
          <cell r="A3032" t="str">
            <v>32028DF</v>
          </cell>
          <cell r="F3032">
            <v>62.079279279279284</v>
          </cell>
        </row>
        <row r="3033">
          <cell r="A3033" t="str">
            <v>32028ES</v>
          </cell>
          <cell r="F3033">
            <v>66</v>
          </cell>
        </row>
        <row r="3034">
          <cell r="A3034" t="str">
            <v>32028GO</v>
          </cell>
          <cell r="F3034">
            <v>57.302377942327375</v>
          </cell>
        </row>
        <row r="3035">
          <cell r="A3035" t="str">
            <v>32028MA</v>
          </cell>
          <cell r="F3035">
            <v>61.524680073126149</v>
          </cell>
        </row>
        <row r="3036">
          <cell r="A3036" t="str">
            <v>32028MG</v>
          </cell>
          <cell r="F3036">
            <v>57.393617712449441</v>
          </cell>
        </row>
        <row r="3037">
          <cell r="A3037" t="str">
            <v>32028MS</v>
          </cell>
          <cell r="F3037">
            <v>57.902235982940994</v>
          </cell>
        </row>
        <row r="3038">
          <cell r="A3038" t="str">
            <v>32028MT</v>
          </cell>
          <cell r="F3038">
            <v>58.942081027649898</v>
          </cell>
        </row>
        <row r="3039">
          <cell r="A3039" t="str">
            <v>32028PA</v>
          </cell>
          <cell r="F3039">
            <v>56.218613909405981</v>
          </cell>
        </row>
        <row r="3040">
          <cell r="A3040" t="str">
            <v>32028PB</v>
          </cell>
          <cell r="F3040">
            <v>60.097131931166345</v>
          </cell>
        </row>
        <row r="3041">
          <cell r="A3041" t="str">
            <v>32028PE</v>
          </cell>
          <cell r="F3041">
            <v>59.375295649621698</v>
          </cell>
        </row>
        <row r="3042">
          <cell r="A3042" t="str">
            <v>32028PI</v>
          </cell>
          <cell r="F3042">
            <v>58.075697211155386</v>
          </cell>
        </row>
        <row r="3043">
          <cell r="A3043" t="str">
            <v>32028PR</v>
          </cell>
          <cell r="F3043">
            <v>64.354694527087801</v>
          </cell>
        </row>
        <row r="3044">
          <cell r="A3044" t="str">
            <v>32028RJ</v>
          </cell>
          <cell r="F3044">
            <v>58.090319086169707</v>
          </cell>
        </row>
        <row r="3045">
          <cell r="A3045" t="str">
            <v>32028RN</v>
          </cell>
          <cell r="F3045">
            <v>59.988593155893533</v>
          </cell>
        </row>
        <row r="3046">
          <cell r="A3046" t="str">
            <v>32028RO</v>
          </cell>
          <cell r="F3046">
            <v>64.27272727272728</v>
          </cell>
        </row>
        <row r="3047">
          <cell r="A3047" t="str">
            <v>32028RR</v>
          </cell>
          <cell r="F3047">
            <v>56.842199623502232</v>
          </cell>
        </row>
        <row r="3048">
          <cell r="A3048" t="str">
            <v>32028RS</v>
          </cell>
          <cell r="F3048">
            <v>54.970590069212065</v>
          </cell>
        </row>
        <row r="3049">
          <cell r="A3049" t="str">
            <v>32028SC</v>
          </cell>
          <cell r="F3049">
            <v>58.213336887467236</v>
          </cell>
        </row>
        <row r="3050">
          <cell r="A3050" t="str">
            <v>32028SE</v>
          </cell>
          <cell r="F3050">
            <v>62.010830324909747</v>
          </cell>
        </row>
        <row r="3051">
          <cell r="A3051" t="str">
            <v>32028SP</v>
          </cell>
          <cell r="F3051">
            <v>65.694111377564624</v>
          </cell>
        </row>
        <row r="3052">
          <cell r="A3052" t="str">
            <v>32028TO</v>
          </cell>
          <cell r="F3052">
            <v>56.842199623502232</v>
          </cell>
        </row>
        <row r="3053">
          <cell r="A3053" t="str">
            <v>32052AC</v>
          </cell>
          <cell r="F3053">
            <v>67.776283263050743</v>
          </cell>
        </row>
        <row r="3054">
          <cell r="A3054" t="str">
            <v>32052AL</v>
          </cell>
          <cell r="F3054">
            <v>69.413043478260875</v>
          </cell>
        </row>
        <row r="3055">
          <cell r="A3055" t="str">
            <v>32052AM</v>
          </cell>
          <cell r="F3055">
            <v>63.450789820339381</v>
          </cell>
        </row>
        <row r="3056">
          <cell r="A3056" t="str">
            <v>32052AP</v>
          </cell>
          <cell r="F3056">
            <v>65.90862858464385</v>
          </cell>
        </row>
        <row r="3057">
          <cell r="A3057" t="str">
            <v>32052BA</v>
          </cell>
          <cell r="F3057">
            <v>66.306833830082795</v>
          </cell>
        </row>
        <row r="3058">
          <cell r="A3058" t="str">
            <v>32052CE</v>
          </cell>
          <cell r="F3058">
            <v>63.450789820339381</v>
          </cell>
        </row>
        <row r="3059">
          <cell r="A3059" t="str">
            <v>32052DF</v>
          </cell>
          <cell r="F3059">
            <v>67.885935342048057</v>
          </cell>
        </row>
        <row r="3060">
          <cell r="A3060" t="str">
            <v>32052ES</v>
          </cell>
          <cell r="F3060">
            <v>72.471739130434784</v>
          </cell>
        </row>
        <row r="3061">
          <cell r="A3061" t="str">
            <v>32052GO</v>
          </cell>
          <cell r="F3061">
            <v>63.835095414732514</v>
          </cell>
        </row>
        <row r="3062">
          <cell r="A3062" t="str">
            <v>32052MA</v>
          </cell>
          <cell r="F3062">
            <v>66.833420639078042</v>
          </cell>
        </row>
        <row r="3063">
          <cell r="A3063" t="str">
            <v>32052MG</v>
          </cell>
          <cell r="F3063">
            <v>63.913775928747206</v>
          </cell>
        </row>
        <row r="3064">
          <cell r="A3064" t="str">
            <v>32052MS</v>
          </cell>
          <cell r="F3064">
            <v>64.342239265392053</v>
          </cell>
        </row>
        <row r="3065">
          <cell r="A3065" t="str">
            <v>32052MT</v>
          </cell>
          <cell r="F3065">
            <v>65.223011597867313</v>
          </cell>
        </row>
        <row r="3066">
          <cell r="A3066" t="str">
            <v>32052PA</v>
          </cell>
          <cell r="F3066">
            <v>62.917146804137602</v>
          </cell>
        </row>
        <row r="3067">
          <cell r="A3067" t="str">
            <v>32052PB</v>
          </cell>
          <cell r="F3067">
            <v>66.207306695517488</v>
          </cell>
        </row>
        <row r="3068">
          <cell r="A3068" t="str">
            <v>32052PE</v>
          </cell>
          <cell r="F3068">
            <v>65.58967391304347</v>
          </cell>
        </row>
        <row r="3069">
          <cell r="A3069" t="str">
            <v>32052PI</v>
          </cell>
          <cell r="F3069">
            <v>64.492511721939366</v>
          </cell>
        </row>
        <row r="3070">
          <cell r="A3070" t="str">
            <v>32052PR</v>
          </cell>
          <cell r="F3070">
            <v>68.864964197807126</v>
          </cell>
        </row>
        <row r="3071">
          <cell r="A3071" t="str">
            <v>32052RJ</v>
          </cell>
          <cell r="F3071">
            <v>64.508040589929919</v>
          </cell>
        </row>
        <row r="3072">
          <cell r="A3072" t="str">
            <v>32052RN</v>
          </cell>
          <cell r="F3072">
            <v>66.111635974210031</v>
          </cell>
        </row>
        <row r="3073">
          <cell r="A3073" t="str">
            <v>32052RO</v>
          </cell>
          <cell r="F3073">
            <v>67.40976652265833</v>
          </cell>
        </row>
        <row r="3074">
          <cell r="A3074" t="str">
            <v>32052RR</v>
          </cell>
          <cell r="F3074">
            <v>63.450789820339381</v>
          </cell>
        </row>
        <row r="3075">
          <cell r="A3075" t="str">
            <v>32052RS</v>
          </cell>
          <cell r="F3075">
            <v>61.859068698233742</v>
          </cell>
        </row>
        <row r="3076">
          <cell r="A3076" t="str">
            <v>32052SC</v>
          </cell>
          <cell r="F3076">
            <v>64.605748786074003</v>
          </cell>
        </row>
        <row r="3077">
          <cell r="A3077" t="str">
            <v>32052SE</v>
          </cell>
          <cell r="F3077">
            <v>69.576909024479349</v>
          </cell>
        </row>
        <row r="3078">
          <cell r="A3078" t="str">
            <v>32052SP</v>
          </cell>
          <cell r="F3078">
            <v>67.969791203909381</v>
          </cell>
        </row>
        <row r="3079">
          <cell r="A3079" t="str">
            <v>32052TO</v>
          </cell>
          <cell r="F3079">
            <v>63.450789820339381</v>
          </cell>
        </row>
        <row r="3080">
          <cell r="A3080" t="str">
            <v>33007AC</v>
          </cell>
          <cell r="F3080">
            <v>67.842362157560217</v>
          </cell>
        </row>
        <row r="3081">
          <cell r="A3081" t="str">
            <v>33007AL</v>
          </cell>
          <cell r="F3081">
            <v>67.842362157560217</v>
          </cell>
        </row>
        <row r="3082">
          <cell r="A3082" t="str">
            <v>33007AM</v>
          </cell>
          <cell r="F3082">
            <v>67.842362157560217</v>
          </cell>
        </row>
        <row r="3083">
          <cell r="A3083" t="str">
            <v>33007AP</v>
          </cell>
          <cell r="F3083">
            <v>67.842362157560217</v>
          </cell>
        </row>
        <row r="3084">
          <cell r="A3084" t="str">
            <v>33007BA</v>
          </cell>
          <cell r="F3084">
            <v>67.842362157560217</v>
          </cell>
        </row>
        <row r="3085">
          <cell r="A3085" t="str">
            <v>33007CE</v>
          </cell>
          <cell r="F3085">
            <v>67.842362157560217</v>
          </cell>
        </row>
        <row r="3086">
          <cell r="A3086" t="str">
            <v>33007DF</v>
          </cell>
          <cell r="F3086">
            <v>67.842362157560217</v>
          </cell>
        </row>
        <row r="3087">
          <cell r="A3087" t="str">
            <v>33007ES</v>
          </cell>
          <cell r="F3087">
            <v>67.842362157560217</v>
          </cell>
        </row>
        <row r="3088">
          <cell r="A3088" t="str">
            <v>33007GO</v>
          </cell>
          <cell r="F3088">
            <v>67.842362157560217</v>
          </cell>
        </row>
        <row r="3089">
          <cell r="A3089" t="str">
            <v>33007MA</v>
          </cell>
          <cell r="F3089">
            <v>67.842362157560217</v>
          </cell>
        </row>
        <row r="3090">
          <cell r="A3090" t="str">
            <v>33007MG</v>
          </cell>
          <cell r="F3090">
            <v>67.842362157560217</v>
          </cell>
        </row>
        <row r="3091">
          <cell r="A3091" t="str">
            <v>33007MS</v>
          </cell>
          <cell r="F3091">
            <v>67.842362157560217</v>
          </cell>
        </row>
        <row r="3092">
          <cell r="A3092" t="str">
            <v>33007MT</v>
          </cell>
          <cell r="F3092">
            <v>67.842362157560217</v>
          </cell>
        </row>
        <row r="3093">
          <cell r="A3093" t="str">
            <v>33007PA</v>
          </cell>
          <cell r="F3093">
            <v>67.842362157560217</v>
          </cell>
        </row>
        <row r="3094">
          <cell r="A3094" t="str">
            <v>33007PB</v>
          </cell>
          <cell r="F3094">
            <v>67.842362157560217</v>
          </cell>
        </row>
        <row r="3095">
          <cell r="A3095" t="str">
            <v>33007PE</v>
          </cell>
          <cell r="F3095">
            <v>67.842362157560217</v>
          </cell>
        </row>
        <row r="3096">
          <cell r="A3096" t="str">
            <v>33007PI</v>
          </cell>
          <cell r="F3096">
            <v>67.842362157560217</v>
          </cell>
        </row>
        <row r="3097">
          <cell r="A3097" t="str">
            <v>33007PR</v>
          </cell>
          <cell r="F3097">
            <v>67.842362157560217</v>
          </cell>
        </row>
        <row r="3098">
          <cell r="A3098" t="str">
            <v>33007RJ</v>
          </cell>
          <cell r="F3098">
            <v>67.842362157560217</v>
          </cell>
        </row>
        <row r="3099">
          <cell r="A3099" t="str">
            <v>33007RN</v>
          </cell>
          <cell r="F3099">
            <v>67.842362157560217</v>
          </cell>
        </row>
        <row r="3100">
          <cell r="A3100" t="str">
            <v>33007RO</v>
          </cell>
          <cell r="F3100">
            <v>67.842362157560217</v>
          </cell>
        </row>
        <row r="3101">
          <cell r="A3101" t="str">
            <v>33007RR</v>
          </cell>
          <cell r="F3101">
            <v>67.842362157560217</v>
          </cell>
        </row>
        <row r="3102">
          <cell r="A3102" t="str">
            <v>33007RS</v>
          </cell>
          <cell r="F3102">
            <v>67.842362157560217</v>
          </cell>
        </row>
        <row r="3103">
          <cell r="A3103" t="str">
            <v>33007SC</v>
          </cell>
          <cell r="F3103">
            <v>67.842362157560217</v>
          </cell>
        </row>
        <row r="3104">
          <cell r="A3104" t="str">
            <v>33007SE</v>
          </cell>
          <cell r="F3104">
            <v>67.842362157560217</v>
          </cell>
        </row>
        <row r="3105">
          <cell r="A3105" t="str">
            <v>33007SP</v>
          </cell>
          <cell r="F3105">
            <v>67.842362157560217</v>
          </cell>
        </row>
        <row r="3106">
          <cell r="A3106" t="str">
            <v>33007TO</v>
          </cell>
          <cell r="F3106">
            <v>67.842362157560217</v>
          </cell>
        </row>
        <row r="3107">
          <cell r="A3107" t="str">
            <v>31450AC</v>
          </cell>
          <cell r="F3107">
            <v>66.741376042735766</v>
          </cell>
        </row>
        <row r="3108">
          <cell r="A3108" t="str">
            <v>31450AL</v>
          </cell>
          <cell r="F3108">
            <v>66.741376042735766</v>
          </cell>
        </row>
        <row r="3109">
          <cell r="A3109" t="str">
            <v>31450AM</v>
          </cell>
          <cell r="F3109">
            <v>66.741376042735766</v>
          </cell>
        </row>
        <row r="3110">
          <cell r="A3110" t="str">
            <v>31450AP</v>
          </cell>
          <cell r="F3110">
            <v>66.741376042735766</v>
          </cell>
        </row>
        <row r="3111">
          <cell r="A3111" t="str">
            <v>31450BA</v>
          </cell>
          <cell r="F3111">
            <v>66.741376042735766</v>
          </cell>
        </row>
        <row r="3112">
          <cell r="A3112" t="str">
            <v>31450CE</v>
          </cell>
          <cell r="F3112">
            <v>66.741376042735766</v>
          </cell>
        </row>
        <row r="3113">
          <cell r="A3113" t="str">
            <v>31450DF</v>
          </cell>
          <cell r="F3113">
            <v>66.741376042735766</v>
          </cell>
        </row>
        <row r="3114">
          <cell r="A3114" t="str">
            <v>31450ES</v>
          </cell>
          <cell r="F3114">
            <v>66.741376042735766</v>
          </cell>
        </row>
        <row r="3115">
          <cell r="A3115" t="str">
            <v>31450GO</v>
          </cell>
          <cell r="F3115">
            <v>66.741376042735766</v>
          </cell>
        </row>
        <row r="3116">
          <cell r="A3116" t="str">
            <v>31450MA</v>
          </cell>
          <cell r="F3116">
            <v>66.741376042735766</v>
          </cell>
        </row>
        <row r="3117">
          <cell r="A3117" t="str">
            <v>31450MG</v>
          </cell>
          <cell r="F3117">
            <v>66.741376042735766</v>
          </cell>
        </row>
        <row r="3118">
          <cell r="A3118" t="str">
            <v>31450MS</v>
          </cell>
          <cell r="F3118">
            <v>66.741376042735766</v>
          </cell>
        </row>
        <row r="3119">
          <cell r="A3119" t="str">
            <v>31450MT</v>
          </cell>
          <cell r="F3119">
            <v>66.741376042735766</v>
          </cell>
        </row>
        <row r="3120">
          <cell r="A3120" t="str">
            <v>31450PA</v>
          </cell>
          <cell r="F3120">
            <v>66.741376042735766</v>
          </cell>
        </row>
        <row r="3121">
          <cell r="A3121" t="str">
            <v>31450PB</v>
          </cell>
          <cell r="F3121">
            <v>66.741376042735766</v>
          </cell>
        </row>
        <row r="3122">
          <cell r="A3122" t="str">
            <v>31450PE</v>
          </cell>
          <cell r="F3122">
            <v>66.741376042735766</v>
          </cell>
        </row>
        <row r="3123">
          <cell r="A3123" t="str">
            <v>31450PI</v>
          </cell>
          <cell r="F3123">
            <v>66.741376042735766</v>
          </cell>
        </row>
        <row r="3124">
          <cell r="A3124" t="str">
            <v>31450PR</v>
          </cell>
          <cell r="F3124">
            <v>66.741376042735766</v>
          </cell>
        </row>
        <row r="3125">
          <cell r="A3125" t="str">
            <v>31450RJ</v>
          </cell>
          <cell r="F3125">
            <v>66.741376042735766</v>
          </cell>
        </row>
        <row r="3126">
          <cell r="A3126" t="str">
            <v>31450RN</v>
          </cell>
          <cell r="F3126">
            <v>66.741376042735766</v>
          </cell>
        </row>
        <row r="3127">
          <cell r="A3127" t="str">
            <v>31450RO</v>
          </cell>
          <cell r="F3127">
            <v>66.741376042735766</v>
          </cell>
        </row>
        <row r="3128">
          <cell r="A3128" t="str">
            <v>31450RR</v>
          </cell>
          <cell r="F3128">
            <v>66.741376042735766</v>
          </cell>
        </row>
        <row r="3129">
          <cell r="A3129" t="str">
            <v>31450RS</v>
          </cell>
          <cell r="F3129">
            <v>66.741376042735766</v>
          </cell>
        </row>
        <row r="3130">
          <cell r="A3130" t="str">
            <v>31450SC</v>
          </cell>
          <cell r="F3130">
            <v>66.741376042735766</v>
          </cell>
        </row>
        <row r="3131">
          <cell r="A3131" t="str">
            <v>31450SE</v>
          </cell>
          <cell r="F3131">
            <v>66.741376042735766</v>
          </cell>
        </row>
        <row r="3132">
          <cell r="A3132" t="str">
            <v>31450SP</v>
          </cell>
          <cell r="F3132">
            <v>66.741376042735766</v>
          </cell>
        </row>
        <row r="3133">
          <cell r="A3133" t="str">
            <v>31450TO</v>
          </cell>
          <cell r="F3133">
            <v>66.741376042735766</v>
          </cell>
        </row>
        <row r="3134">
          <cell r="A3134" t="str">
            <v>32411AC</v>
          </cell>
          <cell r="F3134">
            <v>61.235911661371532</v>
          </cell>
        </row>
        <row r="3135">
          <cell r="A3135" t="str">
            <v>32411AL</v>
          </cell>
          <cell r="F3135">
            <v>61.235911661371532</v>
          </cell>
        </row>
        <row r="3136">
          <cell r="A3136" t="str">
            <v>32411AM</v>
          </cell>
          <cell r="F3136">
            <v>62.654933319071191</v>
          </cell>
        </row>
        <row r="3137">
          <cell r="A3137" t="str">
            <v>32411AP</v>
          </cell>
          <cell r="F3137">
            <v>61.235911661371532</v>
          </cell>
        </row>
        <row r="3138">
          <cell r="A3138" t="str">
            <v>32411BA</v>
          </cell>
          <cell r="F3138">
            <v>61.266266481354592</v>
          </cell>
        </row>
        <row r="3139">
          <cell r="A3139" t="str">
            <v>32411CE</v>
          </cell>
          <cell r="F3139">
            <v>62.654933319071191</v>
          </cell>
        </row>
        <row r="3140">
          <cell r="A3140" t="str">
            <v>32411DF</v>
          </cell>
          <cell r="F3140">
            <v>61.235911661371532</v>
          </cell>
        </row>
        <row r="3141">
          <cell r="A3141" t="str">
            <v>32411ES</v>
          </cell>
          <cell r="F3141">
            <v>61.235911661371532</v>
          </cell>
        </row>
        <row r="3142">
          <cell r="A3142" t="str">
            <v>32411GO</v>
          </cell>
          <cell r="F3142">
            <v>64.509359786758949</v>
          </cell>
        </row>
        <row r="3143">
          <cell r="A3143" t="str">
            <v>32411MA</v>
          </cell>
          <cell r="F3143">
            <v>63.380375685164495</v>
          </cell>
        </row>
        <row r="3144">
          <cell r="A3144" t="str">
            <v>32411MG</v>
          </cell>
          <cell r="F3144">
            <v>64.810046585648749</v>
          </cell>
        </row>
        <row r="3145">
          <cell r="A3145" t="str">
            <v>32411MS</v>
          </cell>
          <cell r="F3145">
            <v>61.235911661371532</v>
          </cell>
        </row>
        <row r="3146">
          <cell r="A3146" t="str">
            <v>32411MT</v>
          </cell>
          <cell r="F3146">
            <v>61.235911661371532</v>
          </cell>
        </row>
        <row r="3147">
          <cell r="A3147" t="str">
            <v>32411PA</v>
          </cell>
          <cell r="F3147">
            <v>61.235911661371532</v>
          </cell>
        </row>
        <row r="3148">
          <cell r="A3148" t="str">
            <v>32411PB</v>
          </cell>
          <cell r="F3148">
            <v>62.654933319071191</v>
          </cell>
        </row>
        <row r="3149">
          <cell r="A3149" t="str">
            <v>32411PE</v>
          </cell>
          <cell r="F3149">
            <v>64.814263603062784</v>
          </cell>
        </row>
        <row r="3150">
          <cell r="A3150" t="str">
            <v>32411PI</v>
          </cell>
          <cell r="F3150">
            <v>61.235911661371532</v>
          </cell>
        </row>
        <row r="3151">
          <cell r="A3151" t="str">
            <v>32411PR</v>
          </cell>
          <cell r="F3151">
            <v>63.546142548532345</v>
          </cell>
        </row>
        <row r="3152">
          <cell r="A3152" t="str">
            <v>32411RJ</v>
          </cell>
          <cell r="F3152">
            <v>61.235911661371532</v>
          </cell>
        </row>
        <row r="3153">
          <cell r="A3153" t="str">
            <v>32411RN</v>
          </cell>
          <cell r="F3153">
            <v>62.654933319071191</v>
          </cell>
        </row>
        <row r="3154">
          <cell r="A3154" t="str">
            <v>32411RO</v>
          </cell>
          <cell r="F3154">
            <v>61.235911661371532</v>
          </cell>
        </row>
        <row r="3155">
          <cell r="A3155" t="str">
            <v>32411RR</v>
          </cell>
          <cell r="F3155">
            <v>62.654933319071191</v>
          </cell>
        </row>
        <row r="3156">
          <cell r="A3156" t="str">
            <v>32411RS</v>
          </cell>
          <cell r="F3156">
            <v>65.457922091524892</v>
          </cell>
        </row>
        <row r="3157">
          <cell r="A3157" t="str">
            <v>32411SC</v>
          </cell>
          <cell r="F3157">
            <v>65.457922091524892</v>
          </cell>
        </row>
        <row r="3158">
          <cell r="A3158" t="str">
            <v>32411SE</v>
          </cell>
          <cell r="F3158">
            <v>61.235911661371532</v>
          </cell>
        </row>
        <row r="3159">
          <cell r="A3159" t="str">
            <v>32411SP</v>
          </cell>
          <cell r="F3159">
            <v>70.404837587297465</v>
          </cell>
        </row>
        <row r="3160">
          <cell r="A3160" t="str">
            <v>32411TO</v>
          </cell>
          <cell r="F3160">
            <v>62.654933319071191</v>
          </cell>
        </row>
        <row r="3161">
          <cell r="A3161" t="str">
            <v>33019AC</v>
          </cell>
          <cell r="F3161">
            <v>64.495520520139422</v>
          </cell>
        </row>
        <row r="3162">
          <cell r="A3162" t="str">
            <v>33019AL</v>
          </cell>
          <cell r="F3162">
            <v>64.495520520139422</v>
          </cell>
        </row>
        <row r="3163">
          <cell r="A3163" t="str">
            <v>33019AM</v>
          </cell>
          <cell r="F3163">
            <v>64.495520520139422</v>
          </cell>
        </row>
        <row r="3164">
          <cell r="A3164" t="str">
            <v>33019AP</v>
          </cell>
          <cell r="F3164">
            <v>64.495520520139422</v>
          </cell>
        </row>
        <row r="3165">
          <cell r="A3165" t="str">
            <v>33019BA</v>
          </cell>
          <cell r="F3165">
            <v>64.495520520139422</v>
          </cell>
        </row>
        <row r="3166">
          <cell r="A3166" t="str">
            <v>33019CE</v>
          </cell>
          <cell r="F3166">
            <v>64.495520520139422</v>
          </cell>
        </row>
        <row r="3167">
          <cell r="A3167" t="str">
            <v>33019DF</v>
          </cell>
          <cell r="F3167">
            <v>64.495520520139422</v>
          </cell>
        </row>
        <row r="3168">
          <cell r="A3168" t="str">
            <v>33019ES</v>
          </cell>
          <cell r="F3168">
            <v>64.495520520139422</v>
          </cell>
        </row>
        <row r="3169">
          <cell r="A3169" t="str">
            <v>33019GO</v>
          </cell>
          <cell r="F3169">
            <v>64.495520520139422</v>
          </cell>
        </row>
        <row r="3170">
          <cell r="A3170" t="str">
            <v>33019MA</v>
          </cell>
          <cell r="F3170">
            <v>64.495520520139422</v>
          </cell>
        </row>
        <row r="3171">
          <cell r="A3171" t="str">
            <v>33019MG</v>
          </cell>
          <cell r="F3171">
            <v>64.495520520139422</v>
          </cell>
        </row>
        <row r="3172">
          <cell r="A3172" t="str">
            <v>33019MS</v>
          </cell>
          <cell r="F3172">
            <v>64.495520520139422</v>
          </cell>
        </row>
        <row r="3173">
          <cell r="A3173" t="str">
            <v>33019MT</v>
          </cell>
          <cell r="F3173">
            <v>64.495520520139422</v>
          </cell>
        </row>
        <row r="3174">
          <cell r="A3174" t="str">
            <v>33019PA</v>
          </cell>
          <cell r="F3174">
            <v>64.495520520139422</v>
          </cell>
        </row>
        <row r="3175">
          <cell r="A3175" t="str">
            <v>33019PB</v>
          </cell>
          <cell r="F3175">
            <v>64.495520520139422</v>
          </cell>
        </row>
        <row r="3176">
          <cell r="A3176" t="str">
            <v>33019PE</v>
          </cell>
          <cell r="F3176">
            <v>64.495520520139422</v>
          </cell>
        </row>
        <row r="3177">
          <cell r="A3177" t="str">
            <v>33019PI</v>
          </cell>
          <cell r="F3177">
            <v>64.495520520139422</v>
          </cell>
        </row>
        <row r="3178">
          <cell r="A3178" t="str">
            <v>33019PR</v>
          </cell>
          <cell r="F3178">
            <v>64.495520520139422</v>
          </cell>
        </row>
        <row r="3179">
          <cell r="A3179" t="str">
            <v>33019RJ</v>
          </cell>
          <cell r="F3179">
            <v>64.495520520139422</v>
          </cell>
        </row>
        <row r="3180">
          <cell r="A3180" t="str">
            <v>33019RN</v>
          </cell>
          <cell r="F3180">
            <v>64.495520520139422</v>
          </cell>
        </row>
        <row r="3181">
          <cell r="A3181" t="str">
            <v>33019RO</v>
          </cell>
          <cell r="F3181">
            <v>64.495520520139422</v>
          </cell>
        </row>
        <row r="3182">
          <cell r="A3182" t="str">
            <v>33019RR</v>
          </cell>
          <cell r="F3182">
            <v>64.495520520139422</v>
          </cell>
        </row>
        <row r="3183">
          <cell r="A3183" t="str">
            <v>33019RS</v>
          </cell>
          <cell r="F3183">
            <v>64.495520520139422</v>
          </cell>
        </row>
        <row r="3184">
          <cell r="A3184" t="str">
            <v>33019SC</v>
          </cell>
          <cell r="F3184">
            <v>64.495520520139422</v>
          </cell>
        </row>
        <row r="3185">
          <cell r="A3185" t="str">
            <v>33019SE</v>
          </cell>
          <cell r="F3185">
            <v>64.495520520139422</v>
          </cell>
        </row>
        <row r="3186">
          <cell r="A3186" t="str">
            <v>33019SP</v>
          </cell>
          <cell r="F3186">
            <v>64.495520520139422</v>
          </cell>
        </row>
        <row r="3187">
          <cell r="A3187" t="str">
            <v>33019TO</v>
          </cell>
          <cell r="F3187">
            <v>64.495520520139422</v>
          </cell>
        </row>
        <row r="3188">
          <cell r="A3188" t="str">
            <v>33018AC</v>
          </cell>
          <cell r="F3188">
            <v>63.562767730035752</v>
          </cell>
        </row>
        <row r="3189">
          <cell r="A3189" t="str">
            <v>33018AL</v>
          </cell>
          <cell r="F3189">
            <v>63.569804412385089</v>
          </cell>
        </row>
        <row r="3190">
          <cell r="A3190" t="str">
            <v>33018AM</v>
          </cell>
          <cell r="F3190">
            <v>63.563637696986049</v>
          </cell>
        </row>
        <row r="3191">
          <cell r="A3191" t="str">
            <v>33018AP</v>
          </cell>
          <cell r="F3191">
            <v>63.561587833045905</v>
          </cell>
        </row>
        <row r="3192">
          <cell r="A3192" t="str">
            <v>33018BA</v>
          </cell>
          <cell r="F3192">
            <v>63.569804412385089</v>
          </cell>
        </row>
        <row r="3193">
          <cell r="A3193" t="str">
            <v>33018CE</v>
          </cell>
          <cell r="F3193">
            <v>63.563637696986049</v>
          </cell>
        </row>
        <row r="3194">
          <cell r="A3194" t="str">
            <v>33018DF</v>
          </cell>
          <cell r="F3194">
            <v>63.572365146547085</v>
          </cell>
        </row>
        <row r="3195">
          <cell r="A3195" t="str">
            <v>33018ES</v>
          </cell>
          <cell r="F3195">
            <v>63.572365146547085</v>
          </cell>
        </row>
        <row r="3196">
          <cell r="A3196" t="str">
            <v>33018GO</v>
          </cell>
          <cell r="F3196">
            <v>63.562767730035752</v>
          </cell>
        </row>
        <row r="3197">
          <cell r="A3197" t="str">
            <v>33018MA</v>
          </cell>
          <cell r="F3197">
            <v>63.564493546143638</v>
          </cell>
        </row>
        <row r="3198">
          <cell r="A3198" t="str">
            <v>33018MG</v>
          </cell>
          <cell r="F3198">
            <v>63.561587833045905</v>
          </cell>
        </row>
        <row r="3199">
          <cell r="A3199" t="str">
            <v>33018MS</v>
          </cell>
          <cell r="F3199">
            <v>63.572365146547085</v>
          </cell>
        </row>
        <row r="3200">
          <cell r="A3200" t="str">
            <v>33018MT</v>
          </cell>
          <cell r="F3200">
            <v>63.572365146547085</v>
          </cell>
        </row>
        <row r="3201">
          <cell r="A3201" t="str">
            <v>33018PA</v>
          </cell>
          <cell r="F3201">
            <v>63.562767730035752</v>
          </cell>
        </row>
        <row r="3202">
          <cell r="A3202" t="str">
            <v>33018PB</v>
          </cell>
          <cell r="F3202">
            <v>63.563637696986049</v>
          </cell>
        </row>
        <row r="3203">
          <cell r="A3203" t="str">
            <v>33018PE</v>
          </cell>
          <cell r="F3203">
            <v>63.569804412385089</v>
          </cell>
        </row>
        <row r="3204">
          <cell r="A3204" t="str">
            <v>33018PI</v>
          </cell>
          <cell r="F3204">
            <v>63.55903141050365</v>
          </cell>
        </row>
        <row r="3205">
          <cell r="A3205" t="str">
            <v>33018PR</v>
          </cell>
          <cell r="F3205">
            <v>63.557392274306842</v>
          </cell>
        </row>
        <row r="3206">
          <cell r="A3206" t="str">
            <v>33018RJ</v>
          </cell>
          <cell r="F3206">
            <v>63.564490025384735</v>
          </cell>
        </row>
        <row r="3207">
          <cell r="A3207" t="str">
            <v>33018RN</v>
          </cell>
          <cell r="F3207">
            <v>63.563637696986049</v>
          </cell>
        </row>
        <row r="3208">
          <cell r="A3208" t="str">
            <v>33018RO</v>
          </cell>
          <cell r="F3208">
            <v>63.557392274306842</v>
          </cell>
        </row>
        <row r="3209">
          <cell r="A3209" t="str">
            <v>33018RR</v>
          </cell>
          <cell r="F3209">
            <v>63.563637696986049</v>
          </cell>
        </row>
        <row r="3210">
          <cell r="A3210" t="str">
            <v>33018RS</v>
          </cell>
          <cell r="F3210">
            <v>63.572365146547085</v>
          </cell>
        </row>
        <row r="3211">
          <cell r="A3211" t="str">
            <v>33018SC</v>
          </cell>
          <cell r="F3211">
            <v>63.572365146547085</v>
          </cell>
        </row>
        <row r="3212">
          <cell r="A3212" t="str">
            <v>33018SE</v>
          </cell>
          <cell r="F3212">
            <v>63.562767730035752</v>
          </cell>
        </row>
        <row r="3213">
          <cell r="A3213" t="str">
            <v>33018SP</v>
          </cell>
          <cell r="F3213">
            <v>63.561587833045905</v>
          </cell>
        </row>
        <row r="3214">
          <cell r="A3214" t="str">
            <v>33018TO</v>
          </cell>
          <cell r="F3214">
            <v>63.563637696986049</v>
          </cell>
        </row>
        <row r="3215">
          <cell r="A3215" t="str">
            <v>31084AC</v>
          </cell>
          <cell r="F3215">
            <v>68.657894264875466</v>
          </cell>
        </row>
        <row r="3216">
          <cell r="A3216" t="str">
            <v>31084AL</v>
          </cell>
          <cell r="F3216">
            <v>68.693106194232854</v>
          </cell>
        </row>
        <row r="3217">
          <cell r="A3217" t="str">
            <v>31084AM</v>
          </cell>
          <cell r="F3217">
            <v>68.67309187739761</v>
          </cell>
        </row>
        <row r="3218">
          <cell r="A3218" t="str">
            <v>31084AP</v>
          </cell>
          <cell r="F3218">
            <v>68.666495867868193</v>
          </cell>
        </row>
        <row r="3219">
          <cell r="A3219" t="str">
            <v>31084BA</v>
          </cell>
          <cell r="F3219">
            <v>68.693106194232854</v>
          </cell>
        </row>
        <row r="3220">
          <cell r="A3220" t="str">
            <v>31084CE</v>
          </cell>
          <cell r="F3220">
            <v>68.67309187739761</v>
          </cell>
        </row>
        <row r="3221">
          <cell r="A3221" t="str">
            <v>31084DF</v>
          </cell>
          <cell r="F3221">
            <v>68.675303744313993</v>
          </cell>
        </row>
        <row r="3222">
          <cell r="A3222" t="str">
            <v>31084ES</v>
          </cell>
          <cell r="F3222">
            <v>68.675303744313993</v>
          </cell>
        </row>
        <row r="3223">
          <cell r="A3223" t="str">
            <v>31084GO</v>
          </cell>
          <cell r="F3223">
            <v>68.657894264875466</v>
          </cell>
        </row>
        <row r="3224">
          <cell r="A3224" t="str">
            <v>31084MA</v>
          </cell>
          <cell r="F3224">
            <v>68.669389678415598</v>
          </cell>
        </row>
        <row r="3225">
          <cell r="A3225" t="str">
            <v>31084MG</v>
          </cell>
          <cell r="F3225">
            <v>68.666495867868193</v>
          </cell>
        </row>
        <row r="3226">
          <cell r="A3226" t="str">
            <v>31084MS</v>
          </cell>
          <cell r="F3226">
            <v>68.675303744313993</v>
          </cell>
        </row>
        <row r="3227">
          <cell r="A3227" t="str">
            <v>31084MT</v>
          </cell>
          <cell r="F3227">
            <v>68.675303744313993</v>
          </cell>
        </row>
        <row r="3228">
          <cell r="A3228" t="str">
            <v>31084PA</v>
          </cell>
          <cell r="F3228">
            <v>68.657894264875466</v>
          </cell>
        </row>
        <row r="3229">
          <cell r="A3229" t="str">
            <v>31084PB</v>
          </cell>
          <cell r="F3229">
            <v>68.67309187739761</v>
          </cell>
        </row>
        <row r="3230">
          <cell r="A3230" t="str">
            <v>31084PE</v>
          </cell>
          <cell r="F3230">
            <v>68.693106194232854</v>
          </cell>
        </row>
        <row r="3231">
          <cell r="A3231" t="str">
            <v>31084PI</v>
          </cell>
          <cell r="F3231">
            <v>68.67434653902437</v>
          </cell>
        </row>
        <row r="3232">
          <cell r="A3232" t="str">
            <v>31084PR</v>
          </cell>
          <cell r="F3232">
            <v>68.653388599754678</v>
          </cell>
        </row>
        <row r="3233">
          <cell r="A3233" t="str">
            <v>31084RJ</v>
          </cell>
          <cell r="F3233">
            <v>68.678808913580255</v>
          </cell>
        </row>
        <row r="3234">
          <cell r="A3234" t="str">
            <v>31084RN</v>
          </cell>
          <cell r="F3234">
            <v>68.67309187739761</v>
          </cell>
        </row>
        <row r="3235">
          <cell r="A3235" t="str">
            <v>31084RO</v>
          </cell>
          <cell r="F3235">
            <v>68.653388599754678</v>
          </cell>
        </row>
        <row r="3236">
          <cell r="A3236" t="str">
            <v>31084RR</v>
          </cell>
          <cell r="F3236">
            <v>68.67309187739761</v>
          </cell>
        </row>
        <row r="3237">
          <cell r="A3237" t="str">
            <v>31084RS</v>
          </cell>
          <cell r="F3237">
            <v>68.675303744313993</v>
          </cell>
        </row>
        <row r="3238">
          <cell r="A3238" t="str">
            <v>31084SC</v>
          </cell>
          <cell r="F3238">
            <v>68.675303744313993</v>
          </cell>
        </row>
        <row r="3239">
          <cell r="A3239" t="str">
            <v>31084SE</v>
          </cell>
          <cell r="F3239">
            <v>68.657894264875466</v>
          </cell>
        </row>
        <row r="3240">
          <cell r="A3240" t="str">
            <v>31084SP</v>
          </cell>
          <cell r="F3240">
            <v>68.666495867868193</v>
          </cell>
        </row>
        <row r="3241">
          <cell r="A3241" t="str">
            <v>31084TO</v>
          </cell>
          <cell r="F3241">
            <v>68.67309187739761</v>
          </cell>
        </row>
        <row r="3242">
          <cell r="A3242" t="str">
            <v>2578AC</v>
          </cell>
          <cell r="F3242">
            <v>25</v>
          </cell>
        </row>
        <row r="3243">
          <cell r="A3243" t="str">
            <v>2578AL</v>
          </cell>
          <cell r="F3243">
            <v>25</v>
          </cell>
        </row>
        <row r="3244">
          <cell r="A3244" t="str">
            <v>2578AM</v>
          </cell>
          <cell r="F3244">
            <v>25</v>
          </cell>
        </row>
        <row r="3245">
          <cell r="A3245" t="str">
            <v>2578AP</v>
          </cell>
          <cell r="F3245">
            <v>25</v>
          </cell>
        </row>
        <row r="3246">
          <cell r="A3246" t="str">
            <v>2578BA</v>
          </cell>
          <cell r="F3246">
            <v>25</v>
          </cell>
        </row>
        <row r="3247">
          <cell r="A3247" t="str">
            <v>2578CE</v>
          </cell>
          <cell r="F3247">
            <v>25</v>
          </cell>
        </row>
        <row r="3248">
          <cell r="A3248" t="str">
            <v>2578DF</v>
          </cell>
          <cell r="F3248">
            <v>25</v>
          </cell>
        </row>
        <row r="3249">
          <cell r="A3249" t="str">
            <v>2578ES</v>
          </cell>
          <cell r="F3249">
            <v>25</v>
          </cell>
        </row>
        <row r="3250">
          <cell r="A3250" t="str">
            <v>2578GO</v>
          </cell>
          <cell r="F3250">
            <v>25</v>
          </cell>
        </row>
        <row r="3251">
          <cell r="A3251" t="str">
            <v>2578MA</v>
          </cell>
          <cell r="F3251">
            <v>25</v>
          </cell>
        </row>
        <row r="3252">
          <cell r="A3252" t="str">
            <v>2578MG</v>
          </cell>
          <cell r="F3252">
            <v>25</v>
          </cell>
        </row>
        <row r="3253">
          <cell r="A3253" t="str">
            <v>2578MS</v>
          </cell>
          <cell r="F3253">
            <v>25</v>
          </cell>
        </row>
        <row r="3254">
          <cell r="A3254" t="str">
            <v>2578MT</v>
          </cell>
          <cell r="F3254">
            <v>25</v>
          </cell>
        </row>
        <row r="3255">
          <cell r="A3255" t="str">
            <v>2578PA</v>
          </cell>
          <cell r="F3255">
            <v>25</v>
          </cell>
        </row>
        <row r="3256">
          <cell r="A3256" t="str">
            <v>2578PB</v>
          </cell>
          <cell r="F3256">
            <v>25</v>
          </cell>
        </row>
        <row r="3257">
          <cell r="A3257" t="str">
            <v>2578PE</v>
          </cell>
          <cell r="F3257">
            <v>25</v>
          </cell>
        </row>
        <row r="3258">
          <cell r="A3258" t="str">
            <v>2578PI</v>
          </cell>
          <cell r="F3258">
            <v>25</v>
          </cell>
        </row>
        <row r="3259">
          <cell r="A3259" t="str">
            <v>2578PR</v>
          </cell>
          <cell r="F3259">
            <v>25</v>
          </cell>
        </row>
        <row r="3260">
          <cell r="A3260" t="str">
            <v>2578RJ</v>
          </cell>
          <cell r="F3260">
            <v>25</v>
          </cell>
        </row>
        <row r="3261">
          <cell r="A3261" t="str">
            <v>2578RN</v>
          </cell>
          <cell r="F3261">
            <v>25</v>
          </cell>
        </row>
        <row r="3262">
          <cell r="A3262" t="str">
            <v>2578RO</v>
          </cell>
          <cell r="F3262">
            <v>25</v>
          </cell>
        </row>
        <row r="3263">
          <cell r="A3263" t="str">
            <v>2578RR</v>
          </cell>
          <cell r="F3263">
            <v>25</v>
          </cell>
        </row>
        <row r="3264">
          <cell r="A3264" t="str">
            <v>2578RS</v>
          </cell>
          <cell r="F3264">
            <v>25</v>
          </cell>
        </row>
        <row r="3265">
          <cell r="A3265" t="str">
            <v>2578SC</v>
          </cell>
          <cell r="F3265">
            <v>25</v>
          </cell>
        </row>
        <row r="3266">
          <cell r="A3266" t="str">
            <v>2578SE</v>
          </cell>
          <cell r="F3266">
            <v>25</v>
          </cell>
        </row>
        <row r="3267">
          <cell r="A3267" t="str">
            <v>2578SP</v>
          </cell>
          <cell r="F3267">
            <v>25</v>
          </cell>
        </row>
        <row r="3268">
          <cell r="A3268" t="str">
            <v>2578TO</v>
          </cell>
          <cell r="F3268">
            <v>25</v>
          </cell>
        </row>
        <row r="3269">
          <cell r="A3269" t="str">
            <v>31019AC</v>
          </cell>
          <cell r="F3269">
            <v>74.82745232864194</v>
          </cell>
        </row>
        <row r="3270">
          <cell r="A3270" t="str">
            <v>31019AL</v>
          </cell>
          <cell r="F3270">
            <v>74.82745232864194</v>
          </cell>
        </row>
        <row r="3271">
          <cell r="A3271" t="str">
            <v>31019AM</v>
          </cell>
          <cell r="F3271">
            <v>74.82745232864194</v>
          </cell>
        </row>
        <row r="3272">
          <cell r="A3272" t="str">
            <v>31019AP</v>
          </cell>
          <cell r="F3272">
            <v>74.82745232864194</v>
          </cell>
        </row>
        <row r="3273">
          <cell r="A3273" t="str">
            <v>31019BA</v>
          </cell>
          <cell r="F3273">
            <v>74.82745232864194</v>
          </cell>
        </row>
        <row r="3274">
          <cell r="A3274" t="str">
            <v>31019CE</v>
          </cell>
          <cell r="F3274">
            <v>74.82745232864194</v>
          </cell>
        </row>
        <row r="3275">
          <cell r="A3275" t="str">
            <v>31019DF</v>
          </cell>
          <cell r="F3275">
            <v>74.82745232864194</v>
          </cell>
        </row>
        <row r="3276">
          <cell r="A3276" t="str">
            <v>31019ES</v>
          </cell>
          <cell r="F3276">
            <v>74.82745232864194</v>
          </cell>
        </row>
        <row r="3277">
          <cell r="A3277" t="str">
            <v>31019GO</v>
          </cell>
          <cell r="F3277">
            <v>74.82745232864194</v>
          </cell>
        </row>
        <row r="3278">
          <cell r="A3278" t="str">
            <v>31019MA</v>
          </cell>
          <cell r="F3278">
            <v>74.82745232864194</v>
          </cell>
        </row>
        <row r="3279">
          <cell r="A3279" t="str">
            <v>31019MG</v>
          </cell>
          <cell r="F3279">
            <v>74.82745232864194</v>
          </cell>
        </row>
        <row r="3280">
          <cell r="A3280" t="str">
            <v>31019MS</v>
          </cell>
          <cell r="F3280">
            <v>74.82745232864194</v>
          </cell>
        </row>
        <row r="3281">
          <cell r="A3281" t="str">
            <v>31019MT</v>
          </cell>
          <cell r="F3281">
            <v>74.82745232864194</v>
          </cell>
        </row>
        <row r="3282">
          <cell r="A3282" t="str">
            <v>31019PA</v>
          </cell>
          <cell r="F3282">
            <v>74.82745232864194</v>
          </cell>
        </row>
        <row r="3283">
          <cell r="A3283" t="str">
            <v>31019PB</v>
          </cell>
          <cell r="F3283">
            <v>74.82745232864194</v>
          </cell>
        </row>
        <row r="3284">
          <cell r="A3284" t="str">
            <v>31019PE</v>
          </cell>
          <cell r="F3284">
            <v>74.82745232864194</v>
          </cell>
        </row>
        <row r="3285">
          <cell r="A3285" t="str">
            <v>31019PI</v>
          </cell>
          <cell r="F3285">
            <v>74.82745232864194</v>
          </cell>
        </row>
        <row r="3286">
          <cell r="A3286" t="str">
            <v>31019PR</v>
          </cell>
          <cell r="F3286">
            <v>74.82745232864194</v>
          </cell>
        </row>
        <row r="3287">
          <cell r="A3287" t="str">
            <v>31019RJ</v>
          </cell>
          <cell r="F3287">
            <v>74.82745232864194</v>
          </cell>
        </row>
        <row r="3288">
          <cell r="A3288" t="str">
            <v>31019RN</v>
          </cell>
          <cell r="F3288">
            <v>74.82745232864194</v>
          </cell>
        </row>
        <row r="3289">
          <cell r="A3289" t="str">
            <v>31019RO</v>
          </cell>
          <cell r="F3289">
            <v>74.82745232864194</v>
          </cell>
        </row>
        <row r="3290">
          <cell r="A3290" t="str">
            <v>31019RR</v>
          </cell>
          <cell r="F3290">
            <v>74.82745232864194</v>
          </cell>
        </row>
        <row r="3291">
          <cell r="A3291" t="str">
            <v>31019RS</v>
          </cell>
          <cell r="F3291">
            <v>74.82745232864194</v>
          </cell>
        </row>
        <row r="3292">
          <cell r="A3292" t="str">
            <v>31019SC</v>
          </cell>
          <cell r="F3292">
            <v>74.82745232864194</v>
          </cell>
        </row>
        <row r="3293">
          <cell r="A3293" t="str">
            <v>31019SE</v>
          </cell>
          <cell r="F3293">
            <v>74.82745232864194</v>
          </cell>
        </row>
        <row r="3294">
          <cell r="A3294" t="str">
            <v>31019SP</v>
          </cell>
          <cell r="F3294">
            <v>74.82745232864194</v>
          </cell>
        </row>
        <row r="3295">
          <cell r="A3295" t="str">
            <v>31019TO</v>
          </cell>
          <cell r="F3295">
            <v>74.82745232864194</v>
          </cell>
        </row>
        <row r="3296">
          <cell r="A3296" t="str">
            <v>31686AC</v>
          </cell>
          <cell r="F3296">
            <v>80.722144239223113</v>
          </cell>
        </row>
        <row r="3297">
          <cell r="A3297" t="str">
            <v>31686AL</v>
          </cell>
          <cell r="F3297">
            <v>80.722144239223113</v>
          </cell>
        </row>
        <row r="3298">
          <cell r="A3298" t="str">
            <v>31686AM</v>
          </cell>
          <cell r="F3298">
            <v>80.722144239223113</v>
          </cell>
        </row>
        <row r="3299">
          <cell r="A3299" t="str">
            <v>31686AP</v>
          </cell>
          <cell r="F3299">
            <v>80.722144239223113</v>
          </cell>
        </row>
        <row r="3300">
          <cell r="A3300" t="str">
            <v>31686BA</v>
          </cell>
          <cell r="F3300">
            <v>80.722144239223113</v>
          </cell>
        </row>
        <row r="3301">
          <cell r="A3301" t="str">
            <v>31686CE</v>
          </cell>
          <cell r="F3301">
            <v>80.722144239223113</v>
          </cell>
        </row>
        <row r="3302">
          <cell r="A3302" t="str">
            <v>31686DF</v>
          </cell>
          <cell r="F3302">
            <v>80.722144239223113</v>
          </cell>
        </row>
        <row r="3303">
          <cell r="A3303" t="str">
            <v>31686ES</v>
          </cell>
          <cell r="F3303">
            <v>80.722144239223113</v>
          </cell>
        </row>
        <row r="3304">
          <cell r="A3304" t="str">
            <v>31686GO</v>
          </cell>
          <cell r="F3304">
            <v>80.722144239223113</v>
          </cell>
        </row>
        <row r="3305">
          <cell r="A3305" t="str">
            <v>31686MA</v>
          </cell>
          <cell r="F3305">
            <v>80.722144239223113</v>
          </cell>
        </row>
        <row r="3306">
          <cell r="A3306" t="str">
            <v>31686MG</v>
          </cell>
          <cell r="F3306">
            <v>80.722144239223113</v>
          </cell>
        </row>
        <row r="3307">
          <cell r="A3307" t="str">
            <v>31686MS</v>
          </cell>
          <cell r="F3307">
            <v>80.722144239223113</v>
          </cell>
        </row>
        <row r="3308">
          <cell r="A3308" t="str">
            <v>31686MT</v>
          </cell>
          <cell r="F3308">
            <v>80.722144239223113</v>
          </cell>
        </row>
        <row r="3309">
          <cell r="A3309" t="str">
            <v>31686PA</v>
          </cell>
          <cell r="F3309">
            <v>80.722144239223113</v>
          </cell>
        </row>
        <row r="3310">
          <cell r="A3310" t="str">
            <v>31686PB</v>
          </cell>
          <cell r="F3310">
            <v>80.722144239223113</v>
          </cell>
        </row>
        <row r="3311">
          <cell r="A3311" t="str">
            <v>31686PE</v>
          </cell>
          <cell r="F3311">
            <v>80.722144239223113</v>
          </cell>
        </row>
        <row r="3312">
          <cell r="A3312" t="str">
            <v>31686PI</v>
          </cell>
          <cell r="F3312">
            <v>80.722144239223113</v>
          </cell>
        </row>
        <row r="3313">
          <cell r="A3313" t="str">
            <v>31686PR</v>
          </cell>
          <cell r="F3313">
            <v>80.722144239223113</v>
          </cell>
        </row>
        <row r="3314">
          <cell r="A3314" t="str">
            <v>31686RJ</v>
          </cell>
          <cell r="F3314">
            <v>80.722144239223113</v>
          </cell>
        </row>
        <row r="3315">
          <cell r="A3315" t="str">
            <v>31686RN</v>
          </cell>
          <cell r="F3315">
            <v>80.722144239223113</v>
          </cell>
        </row>
        <row r="3316">
          <cell r="A3316" t="str">
            <v>31686RO</v>
          </cell>
          <cell r="F3316">
            <v>80.722144239223113</v>
          </cell>
        </row>
        <row r="3317">
          <cell r="A3317" t="str">
            <v>31686RR</v>
          </cell>
          <cell r="F3317">
            <v>80.722144239223113</v>
          </cell>
        </row>
        <row r="3318">
          <cell r="A3318" t="str">
            <v>31686RS</v>
          </cell>
          <cell r="F3318">
            <v>80.722144239223113</v>
          </cell>
        </row>
        <row r="3319">
          <cell r="A3319" t="str">
            <v>31686SC</v>
          </cell>
          <cell r="F3319">
            <v>80.722144239223113</v>
          </cell>
        </row>
        <row r="3320">
          <cell r="A3320" t="str">
            <v>31686SE</v>
          </cell>
          <cell r="F3320">
            <v>80.722144239223113</v>
          </cell>
        </row>
        <row r="3321">
          <cell r="A3321" t="str">
            <v>31686SP</v>
          </cell>
          <cell r="F3321">
            <v>80.722144239223113</v>
          </cell>
        </row>
        <row r="3322">
          <cell r="A3322" t="str">
            <v>31686TO</v>
          </cell>
          <cell r="F3322">
            <v>80.722144239223113</v>
          </cell>
        </row>
        <row r="3323">
          <cell r="A3323" t="str">
            <v>31687AC</v>
          </cell>
          <cell r="F3323">
            <v>82.892815042943582</v>
          </cell>
        </row>
        <row r="3324">
          <cell r="A3324" t="str">
            <v>31687AL</v>
          </cell>
          <cell r="F3324">
            <v>82.892815042943582</v>
          </cell>
        </row>
        <row r="3325">
          <cell r="A3325" t="str">
            <v>31687AM</v>
          </cell>
          <cell r="F3325">
            <v>82.892815042943582</v>
          </cell>
        </row>
        <row r="3326">
          <cell r="A3326" t="str">
            <v>31687AP</v>
          </cell>
          <cell r="F3326">
            <v>82.892815042943582</v>
          </cell>
        </row>
        <row r="3327">
          <cell r="A3327" t="str">
            <v>31687BA</v>
          </cell>
          <cell r="F3327">
            <v>82.892815042943582</v>
          </cell>
        </row>
        <row r="3328">
          <cell r="A3328" t="str">
            <v>31687CE</v>
          </cell>
          <cell r="F3328">
            <v>82.892815042943582</v>
          </cell>
        </row>
        <row r="3329">
          <cell r="A3329" t="str">
            <v>31687DF</v>
          </cell>
          <cell r="F3329">
            <v>82.892815042943582</v>
          </cell>
        </row>
        <row r="3330">
          <cell r="A3330" t="str">
            <v>31687ES</v>
          </cell>
          <cell r="F3330">
            <v>82.892815042943582</v>
          </cell>
        </row>
        <row r="3331">
          <cell r="A3331" t="str">
            <v>31687GO</v>
          </cell>
          <cell r="F3331">
            <v>82.892815042943582</v>
          </cell>
        </row>
        <row r="3332">
          <cell r="A3332" t="str">
            <v>31687MA</v>
          </cell>
          <cell r="F3332">
            <v>82.892815042943582</v>
          </cell>
        </row>
        <row r="3333">
          <cell r="A3333" t="str">
            <v>31687MG</v>
          </cell>
          <cell r="F3333">
            <v>82.892815042943582</v>
          </cell>
        </row>
        <row r="3334">
          <cell r="A3334" t="str">
            <v>31687MS</v>
          </cell>
          <cell r="F3334">
            <v>82.892815042943582</v>
          </cell>
        </row>
        <row r="3335">
          <cell r="A3335" t="str">
            <v>31687MT</v>
          </cell>
          <cell r="F3335">
            <v>82.892815042943582</v>
          </cell>
        </row>
        <row r="3336">
          <cell r="A3336" t="str">
            <v>31687PA</v>
          </cell>
          <cell r="F3336">
            <v>82.892815042943582</v>
          </cell>
        </row>
        <row r="3337">
          <cell r="A3337" t="str">
            <v>31687PB</v>
          </cell>
          <cell r="F3337">
            <v>82.892815042943582</v>
          </cell>
        </row>
        <row r="3338">
          <cell r="A3338" t="str">
            <v>31687PE</v>
          </cell>
          <cell r="F3338">
            <v>82.892815042943582</v>
          </cell>
        </row>
        <row r="3339">
          <cell r="A3339" t="str">
            <v>31687PI</v>
          </cell>
          <cell r="F3339">
            <v>82.892815042943582</v>
          </cell>
        </row>
        <row r="3340">
          <cell r="A3340" t="str">
            <v>31687PR</v>
          </cell>
          <cell r="F3340">
            <v>82.892815042943582</v>
          </cell>
        </row>
        <row r="3341">
          <cell r="A3341" t="str">
            <v>31687RJ</v>
          </cell>
          <cell r="F3341">
            <v>82.892815042943582</v>
          </cell>
        </row>
        <row r="3342">
          <cell r="A3342" t="str">
            <v>31687RN</v>
          </cell>
          <cell r="F3342">
            <v>82.892815042943582</v>
          </cell>
        </row>
        <row r="3343">
          <cell r="A3343" t="str">
            <v>31687RO</v>
          </cell>
          <cell r="F3343">
            <v>82.892815042943582</v>
          </cell>
        </row>
        <row r="3344">
          <cell r="A3344" t="str">
            <v>31687RR</v>
          </cell>
          <cell r="F3344">
            <v>82.892815042943582</v>
          </cell>
        </row>
        <row r="3345">
          <cell r="A3345" t="str">
            <v>31687RS</v>
          </cell>
          <cell r="F3345">
            <v>82.892815042943582</v>
          </cell>
        </row>
        <row r="3346">
          <cell r="A3346" t="str">
            <v>31687SC</v>
          </cell>
          <cell r="F3346">
            <v>82.892815042943582</v>
          </cell>
        </row>
        <row r="3347">
          <cell r="A3347" t="str">
            <v>31687SE</v>
          </cell>
          <cell r="F3347">
            <v>82.892815042943582</v>
          </cell>
        </row>
        <row r="3348">
          <cell r="A3348" t="str">
            <v>31687SP</v>
          </cell>
          <cell r="F3348">
            <v>82.892815042943582</v>
          </cell>
        </row>
        <row r="3349">
          <cell r="A3349" t="str">
            <v>31687TO</v>
          </cell>
          <cell r="F3349">
            <v>82.892815042943582</v>
          </cell>
        </row>
        <row r="3350">
          <cell r="A3350" t="str">
            <v>31180AC</v>
          </cell>
          <cell r="F3350">
            <v>77.015967815283474</v>
          </cell>
        </row>
        <row r="3351">
          <cell r="A3351" t="str">
            <v>31180AL</v>
          </cell>
          <cell r="F3351">
            <v>77.015967815283474</v>
          </cell>
        </row>
        <row r="3352">
          <cell r="A3352" t="str">
            <v>31180AM</v>
          </cell>
          <cell r="F3352">
            <v>77.015967815283474</v>
          </cell>
        </row>
        <row r="3353">
          <cell r="A3353" t="str">
            <v>31180AP</v>
          </cell>
          <cell r="F3353">
            <v>77.015967815283474</v>
          </cell>
        </row>
        <row r="3354">
          <cell r="A3354" t="str">
            <v>31180BA</v>
          </cell>
          <cell r="F3354">
            <v>77.015967815283474</v>
          </cell>
        </row>
        <row r="3355">
          <cell r="A3355" t="str">
            <v>31180CE</v>
          </cell>
          <cell r="F3355">
            <v>77.015967815283474</v>
          </cell>
        </row>
        <row r="3356">
          <cell r="A3356" t="str">
            <v>31180DF</v>
          </cell>
          <cell r="F3356">
            <v>77.015967815283474</v>
          </cell>
        </row>
        <row r="3357">
          <cell r="A3357" t="str">
            <v>31180ES</v>
          </cell>
          <cell r="F3357">
            <v>77.015967815283474</v>
          </cell>
        </row>
        <row r="3358">
          <cell r="A3358" t="str">
            <v>31180GO</v>
          </cell>
          <cell r="F3358">
            <v>77.015967815283474</v>
          </cell>
        </row>
        <row r="3359">
          <cell r="A3359" t="str">
            <v>31180MA</v>
          </cell>
          <cell r="F3359">
            <v>77.015967815283474</v>
          </cell>
        </row>
        <row r="3360">
          <cell r="A3360" t="str">
            <v>31180MG</v>
          </cell>
          <cell r="F3360">
            <v>77.015967815283474</v>
          </cell>
        </row>
        <row r="3361">
          <cell r="A3361" t="str">
            <v>31180MS</v>
          </cell>
          <cell r="F3361">
            <v>77.015967815283474</v>
          </cell>
        </row>
        <row r="3362">
          <cell r="A3362" t="str">
            <v>31180MT</v>
          </cell>
          <cell r="F3362">
            <v>77.015967815283474</v>
          </cell>
        </row>
        <row r="3363">
          <cell r="A3363" t="str">
            <v>31180PA</v>
          </cell>
          <cell r="F3363">
            <v>77.015967815283474</v>
          </cell>
        </row>
        <row r="3364">
          <cell r="A3364" t="str">
            <v>31180PB</v>
          </cell>
          <cell r="F3364">
            <v>77.015967815283474</v>
          </cell>
        </row>
        <row r="3365">
          <cell r="A3365" t="str">
            <v>31180PE</v>
          </cell>
          <cell r="F3365">
            <v>77.015967815283474</v>
          </cell>
        </row>
        <row r="3366">
          <cell r="A3366" t="str">
            <v>31180PI</v>
          </cell>
          <cell r="F3366">
            <v>77.015967815283474</v>
          </cell>
        </row>
        <row r="3367">
          <cell r="A3367" t="str">
            <v>31180PR</v>
          </cell>
          <cell r="F3367">
            <v>77.015967815283474</v>
          </cell>
        </row>
        <row r="3368">
          <cell r="A3368" t="str">
            <v>31180RJ</v>
          </cell>
          <cell r="F3368">
            <v>77.015967815283474</v>
          </cell>
        </row>
        <row r="3369">
          <cell r="A3369" t="str">
            <v>31180RN</v>
          </cell>
          <cell r="F3369">
            <v>77.015967815283474</v>
          </cell>
        </row>
        <row r="3370">
          <cell r="A3370" t="str">
            <v>31180RO</v>
          </cell>
          <cell r="F3370">
            <v>77.015967815283474</v>
          </cell>
        </row>
        <row r="3371">
          <cell r="A3371" t="str">
            <v>31180RR</v>
          </cell>
          <cell r="F3371">
            <v>77.015967815283474</v>
          </cell>
        </row>
        <row r="3372">
          <cell r="A3372" t="str">
            <v>31180RS</v>
          </cell>
          <cell r="F3372">
            <v>77.015967815283474</v>
          </cell>
        </row>
        <row r="3373">
          <cell r="A3373" t="str">
            <v>31180SC</v>
          </cell>
          <cell r="F3373">
            <v>77.015967815283474</v>
          </cell>
        </row>
        <row r="3374">
          <cell r="A3374" t="str">
            <v>31180SE</v>
          </cell>
          <cell r="F3374">
            <v>77.015967815283474</v>
          </cell>
        </row>
        <row r="3375">
          <cell r="A3375" t="str">
            <v>31180SP</v>
          </cell>
          <cell r="F3375">
            <v>77.015967815283474</v>
          </cell>
        </row>
        <row r="3376">
          <cell r="A3376" t="str">
            <v>31180TO</v>
          </cell>
          <cell r="F3376">
            <v>77.015967815283474</v>
          </cell>
        </row>
        <row r="3377">
          <cell r="A3377" t="str">
            <v>31963AC</v>
          </cell>
          <cell r="F3377">
            <v>59.770699831472342</v>
          </cell>
        </row>
        <row r="3378">
          <cell r="A3378" t="str">
            <v>31963AL</v>
          </cell>
          <cell r="F3378">
            <v>59.901913040015216</v>
          </cell>
        </row>
        <row r="3379">
          <cell r="A3379" t="str">
            <v>31963AM</v>
          </cell>
          <cell r="F3379">
            <v>48.319876671229743</v>
          </cell>
        </row>
        <row r="3380">
          <cell r="A3380" t="str">
            <v>31963AP</v>
          </cell>
          <cell r="F3380">
            <v>50.352630182899219</v>
          </cell>
        </row>
        <row r="3381">
          <cell r="A3381" t="str">
            <v>31963BA</v>
          </cell>
          <cell r="F3381">
            <v>49.950693928453383</v>
          </cell>
        </row>
        <row r="3382">
          <cell r="A3382" t="str">
            <v>31963CE</v>
          </cell>
          <cell r="F3382">
            <v>56.423393736047679</v>
          </cell>
        </row>
        <row r="3383">
          <cell r="A3383" t="str">
            <v>31963ES</v>
          </cell>
          <cell r="F3383">
            <v>57.486570985250395</v>
          </cell>
        </row>
        <row r="3384">
          <cell r="A3384" t="str">
            <v>31963MA</v>
          </cell>
          <cell r="F3384">
            <v>54.404990146462254</v>
          </cell>
        </row>
        <row r="3385">
          <cell r="A3385" t="str">
            <v>31963MG</v>
          </cell>
          <cell r="F3385">
            <v>53.018210483792338</v>
          </cell>
        </row>
        <row r="3386">
          <cell r="A3386" t="str">
            <v>31963MS</v>
          </cell>
          <cell r="F3386">
            <v>65.593595166782293</v>
          </cell>
        </row>
        <row r="3387">
          <cell r="A3387" t="str">
            <v>31963MT</v>
          </cell>
          <cell r="F3387">
            <v>65.563487540547285</v>
          </cell>
        </row>
        <row r="3388">
          <cell r="A3388" t="str">
            <v>31963PA</v>
          </cell>
          <cell r="F3388">
            <v>48.564531464363512</v>
          </cell>
        </row>
        <row r="3389">
          <cell r="A3389" t="str">
            <v>31963PB</v>
          </cell>
          <cell r="F3389">
            <v>53.513520995015696</v>
          </cell>
        </row>
        <row r="3390">
          <cell r="A3390" t="str">
            <v>31963PE</v>
          </cell>
          <cell r="F3390">
            <v>46.725147641723275</v>
          </cell>
        </row>
        <row r="3391">
          <cell r="A3391" t="str">
            <v>31963PI</v>
          </cell>
          <cell r="F3391">
            <v>50.304677895281301</v>
          </cell>
        </row>
        <row r="3392">
          <cell r="A3392" t="str">
            <v>31963PR</v>
          </cell>
          <cell r="F3392">
            <v>60.392989587093346</v>
          </cell>
        </row>
        <row r="3393">
          <cell r="A3393" t="str">
            <v>31963RJ</v>
          </cell>
          <cell r="F3393">
            <v>58.647417181935701</v>
          </cell>
        </row>
        <row r="3394">
          <cell r="A3394" t="str">
            <v>31963RN</v>
          </cell>
          <cell r="F3394">
            <v>49.279735888282246</v>
          </cell>
        </row>
        <row r="3395">
          <cell r="A3395" t="str">
            <v>31963RO</v>
          </cell>
          <cell r="F3395">
            <v>41.403244516748195</v>
          </cell>
        </row>
        <row r="3396">
          <cell r="A3396" t="str">
            <v>31963RR</v>
          </cell>
          <cell r="F3396">
            <v>58.964945192340636</v>
          </cell>
        </row>
        <row r="3397">
          <cell r="A3397" t="str">
            <v>31963RS</v>
          </cell>
          <cell r="F3397">
            <v>58.593519557609021</v>
          </cell>
        </row>
        <row r="3398">
          <cell r="A3398" t="str">
            <v>31963SC</v>
          </cell>
          <cell r="F3398">
            <v>60.399878034278785</v>
          </cell>
        </row>
        <row r="3399">
          <cell r="A3399" t="str">
            <v>31963SE</v>
          </cell>
          <cell r="F3399">
            <v>60.425774899603503</v>
          </cell>
        </row>
        <row r="3400">
          <cell r="A3400" t="str">
            <v>31963SP</v>
          </cell>
          <cell r="F3400">
            <v>60.362715500348109</v>
          </cell>
        </row>
        <row r="3401">
          <cell r="A3401" t="str">
            <v>31963GO</v>
          </cell>
          <cell r="F3401">
            <v>55.912573674788234</v>
          </cell>
        </row>
        <row r="3402">
          <cell r="A3402" t="str">
            <v>31963DF</v>
          </cell>
          <cell r="F3402">
            <v>59.865257363809434</v>
          </cell>
        </row>
        <row r="3403">
          <cell r="A3403" t="str">
            <v>31963TO</v>
          </cell>
          <cell r="F3403">
            <v>65.58852705835406</v>
          </cell>
        </row>
        <row r="3404">
          <cell r="A3404" t="str">
            <v>32589AC</v>
          </cell>
          <cell r="F3404">
            <v>54.124407080993095</v>
          </cell>
        </row>
        <row r="3405">
          <cell r="A3405" t="str">
            <v>32589AL</v>
          </cell>
          <cell r="F3405">
            <v>54.274036423673508</v>
          </cell>
        </row>
        <row r="3406">
          <cell r="A3406" t="str">
            <v>32589AM</v>
          </cell>
          <cell r="F3406">
            <v>41.067317647949707</v>
          </cell>
        </row>
        <row r="3407">
          <cell r="A3407" t="str">
            <v>32589AP</v>
          </cell>
          <cell r="F3407">
            <v>43.378099865245588</v>
          </cell>
        </row>
        <row r="3408">
          <cell r="A3408" t="str">
            <v>32589BA</v>
          </cell>
          <cell r="F3408">
            <v>42.927434237035634</v>
          </cell>
        </row>
        <row r="3409">
          <cell r="A3409" t="str">
            <v>32589CE</v>
          </cell>
          <cell r="F3409">
            <v>50.308046314119025</v>
          </cell>
        </row>
        <row r="3410">
          <cell r="A3410" t="str">
            <v>32589ES</v>
          </cell>
          <cell r="F3410">
            <v>51.518230747140123</v>
          </cell>
        </row>
        <row r="3411">
          <cell r="A3411" t="str">
            <v>32589MA</v>
          </cell>
          <cell r="F3411">
            <v>47.994586513395923</v>
          </cell>
        </row>
        <row r="3412">
          <cell r="A3412" t="str">
            <v>32589MG</v>
          </cell>
          <cell r="F3412">
            <v>46.418144527316528</v>
          </cell>
        </row>
        <row r="3413">
          <cell r="A3413" t="str">
            <v>32589MS</v>
          </cell>
          <cell r="F3413">
            <v>60.763377158642776</v>
          </cell>
        </row>
        <row r="3414">
          <cell r="A3414" t="str">
            <v>32589MT</v>
          </cell>
          <cell r="F3414">
            <v>60.729042807786925</v>
          </cell>
        </row>
        <row r="3415">
          <cell r="A3415" t="str">
            <v>32589PA</v>
          </cell>
          <cell r="F3415">
            <v>41.345422210818285</v>
          </cell>
        </row>
        <row r="3416">
          <cell r="A3416" t="str">
            <v>32589PB</v>
          </cell>
          <cell r="F3416">
            <v>46.989814953849404</v>
          </cell>
        </row>
        <row r="3417">
          <cell r="A3417" t="str">
            <v>32589PE</v>
          </cell>
          <cell r="F3417">
            <v>39.249257314707705</v>
          </cell>
        </row>
        <row r="3418">
          <cell r="A3418" t="str">
            <v>32589PI</v>
          </cell>
          <cell r="F3418">
            <v>43.326274494690885</v>
          </cell>
        </row>
        <row r="3419">
          <cell r="A3419" t="str">
            <v>32589PR</v>
          </cell>
          <cell r="F3419">
            <v>54.838693932061602</v>
          </cell>
        </row>
        <row r="3420">
          <cell r="A3420" t="str">
            <v>32589RJ</v>
          </cell>
          <cell r="F3420">
            <v>52.841265420367932</v>
          </cell>
        </row>
        <row r="3421">
          <cell r="A3421" t="str">
            <v>32589RN</v>
          </cell>
          <cell r="F3421">
            <v>42.161879245285348</v>
          </cell>
        </row>
        <row r="3422">
          <cell r="A3422" t="str">
            <v>32589RO</v>
          </cell>
          <cell r="F3422">
            <v>33.185918821458515</v>
          </cell>
        </row>
        <row r="3423">
          <cell r="A3423" t="str">
            <v>32589RR</v>
          </cell>
          <cell r="F3423">
            <v>53.206267816073563</v>
          </cell>
        </row>
        <row r="3424">
          <cell r="A3424" t="str">
            <v>32589RS</v>
          </cell>
          <cell r="F3424">
            <v>52.780580703462256</v>
          </cell>
        </row>
        <row r="3425">
          <cell r="A3425" t="str">
            <v>32589SC</v>
          </cell>
          <cell r="F3425">
            <v>54.840528745373149</v>
          </cell>
        </row>
        <row r="3426">
          <cell r="A3426" t="str">
            <v>32589SE</v>
          </cell>
          <cell r="F3426">
            <v>54.871423733807923</v>
          </cell>
        </row>
        <row r="3427">
          <cell r="A3427" t="str">
            <v>32589SP</v>
          </cell>
          <cell r="F3427">
            <v>54.794415639333891</v>
          </cell>
        </row>
        <row r="3428">
          <cell r="A3428" t="str">
            <v>32589GO</v>
          </cell>
          <cell r="F3428">
            <v>49.724782323596031</v>
          </cell>
        </row>
        <row r="3429">
          <cell r="A3429" t="str">
            <v>32589DF</v>
          </cell>
          <cell r="F3429">
            <v>54.230854188787482</v>
          </cell>
        </row>
        <row r="3430">
          <cell r="A3430" t="str">
            <v>32589TO</v>
          </cell>
          <cell r="F3430">
            <v>60.759373749264419</v>
          </cell>
        </row>
        <row r="3431">
          <cell r="A3431" t="str">
            <v>32487AC</v>
          </cell>
          <cell r="F3431">
            <v>57.043009456371841</v>
          </cell>
        </row>
        <row r="3432">
          <cell r="A3432" t="str">
            <v>32487AL</v>
          </cell>
          <cell r="F3432">
            <v>57.183119389553958</v>
          </cell>
        </row>
        <row r="3433">
          <cell r="A3433" t="str">
            <v>32487AM</v>
          </cell>
          <cell r="F3433">
            <v>44.813123315925296</v>
          </cell>
        </row>
        <row r="3434">
          <cell r="A3434" t="str">
            <v>32487AP</v>
          </cell>
          <cell r="F3434">
            <v>46.979340778902781</v>
          </cell>
        </row>
        <row r="3435">
          <cell r="A3435" t="str">
            <v>32487BA</v>
          </cell>
          <cell r="F3435">
            <v>46.54899164568991</v>
          </cell>
        </row>
        <row r="3436">
          <cell r="A3436" t="str">
            <v>32487CE</v>
          </cell>
          <cell r="F3436">
            <v>53.466504309589503</v>
          </cell>
        </row>
        <row r="3437">
          <cell r="A3437" t="str">
            <v>32487ES</v>
          </cell>
          <cell r="F3437">
            <v>54.602629583362273</v>
          </cell>
        </row>
        <row r="3438">
          <cell r="A3438" t="str">
            <v>32487MA</v>
          </cell>
          <cell r="F3438">
            <v>51.304070080856413</v>
          </cell>
        </row>
        <row r="3439">
          <cell r="A3439" t="str">
            <v>32487MG</v>
          </cell>
          <cell r="F3439">
            <v>49.8260338722284</v>
          </cell>
        </row>
        <row r="3440">
          <cell r="A3440" t="str">
            <v>32487MS</v>
          </cell>
          <cell r="F3440">
            <v>63.259601939507817</v>
          </cell>
        </row>
        <row r="3441">
          <cell r="A3441" t="str">
            <v>32487MT</v>
          </cell>
          <cell r="F3441">
            <v>63.227451932034114</v>
          </cell>
        </row>
        <row r="3442">
          <cell r="A3442" t="str">
            <v>32487PA</v>
          </cell>
          <cell r="F3442">
            <v>45.077022810827451</v>
          </cell>
        </row>
        <row r="3443">
          <cell r="A3443" t="str">
            <v>32487PB</v>
          </cell>
          <cell r="F3443">
            <v>50.359182233283931</v>
          </cell>
        </row>
        <row r="3444">
          <cell r="A3444" t="str">
            <v>32487PE</v>
          </cell>
          <cell r="F3444">
            <v>43.104214583790935</v>
          </cell>
        </row>
        <row r="3445">
          <cell r="A3445" t="str">
            <v>32487PI</v>
          </cell>
          <cell r="F3445">
            <v>46.928835874544703</v>
          </cell>
        </row>
        <row r="3446">
          <cell r="A3446" t="str">
            <v>32487PR</v>
          </cell>
          <cell r="F3446">
            <v>57.71050744570514</v>
          </cell>
        </row>
        <row r="3447">
          <cell r="A3447" t="str">
            <v>32487RJ</v>
          </cell>
          <cell r="F3447">
            <v>55.833098996441954</v>
          </cell>
        </row>
        <row r="3448">
          <cell r="A3448" t="str">
            <v>32487RN</v>
          </cell>
          <cell r="F3448">
            <v>45.838113753903997</v>
          </cell>
        </row>
        <row r="3449">
          <cell r="A3449" t="str">
            <v>32487RO</v>
          </cell>
          <cell r="F3449">
            <v>37.434635210252964</v>
          </cell>
        </row>
        <row r="3450">
          <cell r="A3450" t="str">
            <v>32487RR</v>
          </cell>
          <cell r="F3450">
            <v>56.180512670451662</v>
          </cell>
        </row>
        <row r="3451">
          <cell r="A3451" t="str">
            <v>32487RS</v>
          </cell>
          <cell r="F3451">
            <v>55.784669130303968</v>
          </cell>
        </row>
        <row r="3452">
          <cell r="A3452" t="str">
            <v>32487SC</v>
          </cell>
          <cell r="F3452">
            <v>57.713563758920273</v>
          </cell>
        </row>
        <row r="3453">
          <cell r="A3453" t="str">
            <v>32487SE</v>
          </cell>
          <cell r="F3453">
            <v>57.742500956079603</v>
          </cell>
        </row>
        <row r="3454">
          <cell r="A3454" t="str">
            <v>32487SP</v>
          </cell>
          <cell r="F3454">
            <v>57.669561113752323</v>
          </cell>
        </row>
        <row r="3455">
          <cell r="A3455" t="str">
            <v>32487GO</v>
          </cell>
          <cell r="F3455">
            <v>52.923288553087012</v>
          </cell>
        </row>
        <row r="3456">
          <cell r="A3456" t="str">
            <v>32487DF</v>
          </cell>
          <cell r="F3456">
            <v>57.142676555225925</v>
          </cell>
        </row>
        <row r="3457">
          <cell r="A3457" t="str">
            <v>32487TO</v>
          </cell>
          <cell r="F3457">
            <v>63.253537502864617</v>
          </cell>
        </row>
        <row r="3458">
          <cell r="A3458" t="str">
            <v>32588AC</v>
          </cell>
          <cell r="F3458">
            <v>51.010358811267231</v>
          </cell>
        </row>
        <row r="3459">
          <cell r="A3459" t="str">
            <v>32588AL</v>
          </cell>
          <cell r="F3459">
            <v>51.170145036203031</v>
          </cell>
        </row>
        <row r="3460">
          <cell r="A3460" t="str">
            <v>32588AM</v>
          </cell>
          <cell r="F3460">
            <v>37.070362610082555</v>
          </cell>
        </row>
        <row r="3461">
          <cell r="A3461" t="str">
            <v>32588AP</v>
          </cell>
          <cell r="F3461">
            <v>39.532418385044764</v>
          </cell>
        </row>
        <row r="3462">
          <cell r="A3462" t="str">
            <v>32588BA</v>
          </cell>
          <cell r="F3462">
            <v>39.050221889008149</v>
          </cell>
        </row>
        <row r="3463">
          <cell r="A3463" t="str">
            <v>32588CE</v>
          </cell>
          <cell r="F3463">
            <v>46.937819528245704</v>
          </cell>
        </row>
        <row r="3464">
          <cell r="A3464" t="str">
            <v>32588ES</v>
          </cell>
          <cell r="F3464">
            <v>48.225593927047449</v>
          </cell>
        </row>
        <row r="3465">
          <cell r="A3465" t="str">
            <v>32588MA</v>
          </cell>
          <cell r="F3465">
            <v>44.469052226989525</v>
          </cell>
        </row>
        <row r="3466">
          <cell r="A3466" t="str">
            <v>32588MG</v>
          </cell>
          <cell r="F3466">
            <v>42.778938693960569</v>
          </cell>
        </row>
        <row r="3467">
          <cell r="A3467" t="str">
            <v>32588MS</v>
          </cell>
          <cell r="F3467">
            <v>58.09862397297141</v>
          </cell>
        </row>
        <row r="3468">
          <cell r="A3468" t="str">
            <v>32588MT</v>
          </cell>
          <cell r="F3468">
            <v>58.061957806475093</v>
          </cell>
        </row>
        <row r="3469">
          <cell r="A3469" t="str">
            <v>32588PA</v>
          </cell>
          <cell r="F3469">
            <v>37.363932820623901</v>
          </cell>
        </row>
        <row r="3470">
          <cell r="A3470" t="str">
            <v>32588PB</v>
          </cell>
          <cell r="F3470">
            <v>43.394537805038105</v>
          </cell>
        </row>
        <row r="3471">
          <cell r="A3471" t="str">
            <v>32588PE</v>
          </cell>
          <cell r="F3471">
            <v>35.122168817065557</v>
          </cell>
        </row>
        <row r="3472">
          <cell r="A3472" t="str">
            <v>32588PI</v>
          </cell>
          <cell r="F3472">
            <v>39.488501485072106</v>
          </cell>
        </row>
        <row r="3473">
          <cell r="A3473" t="str">
            <v>32588PR</v>
          </cell>
          <cell r="F3473">
            <v>51.76706098258785</v>
          </cell>
        </row>
        <row r="3474">
          <cell r="A3474" t="str">
            <v>32588RJ</v>
          </cell>
          <cell r="F3474">
            <v>49.637925505035575</v>
          </cell>
        </row>
        <row r="3475">
          <cell r="A3475" t="str">
            <v>32588RN</v>
          </cell>
          <cell r="F3475">
            <v>38.239159984853053</v>
          </cell>
        </row>
        <row r="3476">
          <cell r="A3476" t="str">
            <v>32588RO</v>
          </cell>
          <cell r="F3476">
            <v>28.641578741300368</v>
          </cell>
        </row>
        <row r="3477">
          <cell r="A3477" t="str">
            <v>32588RR</v>
          </cell>
          <cell r="F3477">
            <v>50.032605323063947</v>
          </cell>
        </row>
        <row r="3478">
          <cell r="A3478" t="str">
            <v>32588RS</v>
          </cell>
          <cell r="F3478">
            <v>49.573676314551093</v>
          </cell>
        </row>
        <row r="3479">
          <cell r="A3479" t="str">
            <v>32588SC</v>
          </cell>
          <cell r="F3479">
            <v>51.773525619860571</v>
          </cell>
        </row>
        <row r="3480">
          <cell r="A3480" t="str">
            <v>32588SE</v>
          </cell>
          <cell r="F3480">
            <v>51.80808316652552</v>
          </cell>
        </row>
        <row r="3481">
          <cell r="A3481" t="str">
            <v>32588SP</v>
          </cell>
          <cell r="F3481">
            <v>51.724114604509317</v>
          </cell>
        </row>
        <row r="3482">
          <cell r="A3482" t="str">
            <v>32588GO</v>
          </cell>
          <cell r="F3482">
            <v>46.312086276447353</v>
          </cell>
        </row>
        <row r="3483">
          <cell r="A3483" t="str">
            <v>32588DF</v>
          </cell>
          <cell r="F3483">
            <v>51.122445047689588</v>
          </cell>
        </row>
        <row r="3484">
          <cell r="A3484" t="str">
            <v>32588TO</v>
          </cell>
          <cell r="F3484">
            <v>58.097980910482775</v>
          </cell>
        </row>
        <row r="3485">
          <cell r="A3485" t="str">
            <v>32069AC</v>
          </cell>
          <cell r="F3485">
            <v>62.159171810821555</v>
          </cell>
        </row>
        <row r="3486">
          <cell r="A3486" t="str">
            <v>32069AL</v>
          </cell>
          <cell r="F3486">
            <v>62.060982245633767</v>
          </cell>
        </row>
        <row r="3487">
          <cell r="A3487" t="str">
            <v>32069AM</v>
          </cell>
          <cell r="F3487">
            <v>58.361864279806518</v>
          </cell>
        </row>
        <row r="3488">
          <cell r="A3488" t="str">
            <v>32069AP</v>
          </cell>
          <cell r="F3488">
            <v>58.052789521261758</v>
          </cell>
        </row>
        <row r="3489">
          <cell r="A3489" t="str">
            <v>32069BA</v>
          </cell>
          <cell r="F3489">
            <v>58.258932655894036</v>
          </cell>
        </row>
        <row r="3490">
          <cell r="A3490" t="str">
            <v>32069CE</v>
          </cell>
          <cell r="F3490">
            <v>63.120440757199148</v>
          </cell>
        </row>
        <row r="3491">
          <cell r="A3491" t="str">
            <v>32069ES</v>
          </cell>
          <cell r="F3491">
            <v>62.883233706702434</v>
          </cell>
        </row>
        <row r="3492">
          <cell r="A3492" t="str">
            <v>32069MA</v>
          </cell>
          <cell r="F3492">
            <v>59.911757397650156</v>
          </cell>
        </row>
        <row r="3493">
          <cell r="A3493" t="str">
            <v>32069MG</v>
          </cell>
          <cell r="F3493">
            <v>61.274821699295693</v>
          </cell>
        </row>
        <row r="3494">
          <cell r="A3494" t="str">
            <v>32069MS</v>
          </cell>
          <cell r="F3494">
            <v>66.490766862709478</v>
          </cell>
        </row>
        <row r="3495">
          <cell r="A3495" t="str">
            <v>32069MT</v>
          </cell>
          <cell r="F3495">
            <v>66.468325045864205</v>
          </cell>
        </row>
        <row r="3496">
          <cell r="A3496" t="str">
            <v>32069PA</v>
          </cell>
          <cell r="F3496">
            <v>58.340225011396171</v>
          </cell>
        </row>
        <row r="3497">
          <cell r="A3497" t="str">
            <v>32069PB</v>
          </cell>
          <cell r="F3497">
            <v>58.352101683425687</v>
          </cell>
        </row>
        <row r="3498">
          <cell r="A3498" t="str">
            <v>32069PE</v>
          </cell>
          <cell r="F3498">
            <v>58.334911215436634</v>
          </cell>
        </row>
        <row r="3499">
          <cell r="A3499" t="str">
            <v>32069PI</v>
          </cell>
          <cell r="F3499">
            <v>58.374378228944202</v>
          </cell>
        </row>
        <row r="3500">
          <cell r="A3500" t="str">
            <v>32069PR</v>
          </cell>
          <cell r="F3500">
            <v>63.123251579273777</v>
          </cell>
        </row>
        <row r="3501">
          <cell r="A3501" t="str">
            <v>32069RJ</v>
          </cell>
          <cell r="F3501">
            <v>63.149999999999991</v>
          </cell>
        </row>
        <row r="3502">
          <cell r="A3502" t="str">
            <v>32069RN</v>
          </cell>
          <cell r="F3502">
            <v>57.898090251622406</v>
          </cell>
        </row>
        <row r="3503">
          <cell r="A3503" t="str">
            <v>32069RO</v>
          </cell>
          <cell r="F3503">
            <v>57.801155828916272</v>
          </cell>
        </row>
        <row r="3504">
          <cell r="A3504" t="str">
            <v>32069RR</v>
          </cell>
          <cell r="F3504">
            <v>62.297910815160165</v>
          </cell>
        </row>
        <row r="3505">
          <cell r="A3505" t="str">
            <v>32069RS</v>
          </cell>
          <cell r="F3505">
            <v>63.14255115805738</v>
          </cell>
        </row>
        <row r="3506">
          <cell r="A3506" t="str">
            <v>32069SC</v>
          </cell>
          <cell r="F3506">
            <v>63.134852213113426</v>
          </cell>
        </row>
        <row r="3507">
          <cell r="A3507" t="str">
            <v>32069SE</v>
          </cell>
          <cell r="F3507">
            <v>63.139615959202658</v>
          </cell>
        </row>
        <row r="3508">
          <cell r="A3508" t="str">
            <v>32069SP</v>
          </cell>
          <cell r="F3508">
            <v>63.108229531755413</v>
          </cell>
        </row>
        <row r="3509">
          <cell r="A3509" t="str">
            <v>32069GO</v>
          </cell>
          <cell r="F3509">
            <v>63.075079293625549</v>
          </cell>
        </row>
        <row r="3510">
          <cell r="A3510" t="str">
            <v>32069DF</v>
          </cell>
          <cell r="F3510">
            <v>63.128108276222207</v>
          </cell>
        </row>
        <row r="3511">
          <cell r="A3511" t="str">
            <v>32069TO</v>
          </cell>
          <cell r="F3511">
            <v>62.15108530239889</v>
          </cell>
        </row>
        <row r="3512">
          <cell r="A3512" t="str">
            <v>31064AC</v>
          </cell>
          <cell r="F3512">
            <v>60.820047079313468</v>
          </cell>
        </row>
        <row r="3513">
          <cell r="A3513" t="str">
            <v>31064AL</v>
          </cell>
          <cell r="F3513">
            <v>60.947837702360495</v>
          </cell>
        </row>
        <row r="3514">
          <cell r="A3514" t="str">
            <v>31064AM</v>
          </cell>
          <cell r="F3514">
            <v>49.670384829443478</v>
          </cell>
        </row>
        <row r="3515">
          <cell r="A3515" t="str">
            <v>31064AP</v>
          </cell>
          <cell r="F3515">
            <v>51.63923051395647</v>
          </cell>
        </row>
        <row r="3516">
          <cell r="A3516" t="str">
            <v>31064BA</v>
          </cell>
          <cell r="F3516">
            <v>51.252270245133644</v>
          </cell>
        </row>
        <row r="3517">
          <cell r="A3517" t="str">
            <v>31064CE</v>
          </cell>
          <cell r="F3517">
            <v>57.562140288418483</v>
          </cell>
        </row>
        <row r="3518">
          <cell r="A3518" t="str">
            <v>31064ES</v>
          </cell>
          <cell r="F3518">
            <v>58.586930901568515</v>
          </cell>
        </row>
        <row r="3519">
          <cell r="A3519" t="str">
            <v>31064MA</v>
          </cell>
          <cell r="F3519">
            <v>55.592048840907225</v>
          </cell>
        </row>
        <row r="3520">
          <cell r="A3520" t="str">
            <v>31064MG</v>
          </cell>
          <cell r="F3520">
            <v>54.235732905783664</v>
          </cell>
        </row>
        <row r="3521">
          <cell r="A3521" t="str">
            <v>31064MS</v>
          </cell>
          <cell r="F3521">
            <v>66.484123868429762</v>
          </cell>
        </row>
        <row r="3522">
          <cell r="A3522" t="str">
            <v>31064MT</v>
          </cell>
          <cell r="F3522">
            <v>66.454795507143544</v>
          </cell>
        </row>
        <row r="3523">
          <cell r="A3523" t="str">
            <v>31064PA</v>
          </cell>
          <cell r="F3523">
            <v>49.906182130002335</v>
          </cell>
        </row>
        <row r="3524">
          <cell r="A3524" t="str">
            <v>31064PB</v>
          </cell>
          <cell r="F3524">
            <v>54.728308520646721</v>
          </cell>
        </row>
        <row r="3525">
          <cell r="A3525" t="str">
            <v>31064PE</v>
          </cell>
          <cell r="F3525">
            <v>48.110607132511127</v>
          </cell>
        </row>
        <row r="3526">
          <cell r="A3526" t="str">
            <v>31064PI</v>
          </cell>
          <cell r="F3526">
            <v>51.596291757947824</v>
          </cell>
        </row>
        <row r="3527">
          <cell r="A3527" t="str">
            <v>31064PR</v>
          </cell>
          <cell r="F3527">
            <v>61.425703253803462</v>
          </cell>
        </row>
        <row r="3528">
          <cell r="A3528" t="str">
            <v>31064RJ</v>
          </cell>
          <cell r="F3528">
            <v>59.723244191595192</v>
          </cell>
        </row>
        <row r="3529">
          <cell r="A3529" t="str">
            <v>31064RN</v>
          </cell>
          <cell r="F3529">
            <v>50.60516094645925</v>
          </cell>
        </row>
        <row r="3530">
          <cell r="A3530" t="str">
            <v>31064RO</v>
          </cell>
          <cell r="F3530">
            <v>42.931097025219913</v>
          </cell>
        </row>
        <row r="3531">
          <cell r="A3531" t="str">
            <v>31064RR</v>
          </cell>
          <cell r="F3531">
            <v>60.037275765894826</v>
          </cell>
        </row>
        <row r="3532">
          <cell r="A3532" t="str">
            <v>31064RS</v>
          </cell>
          <cell r="F3532">
            <v>59.66522871893801</v>
          </cell>
        </row>
        <row r="3533">
          <cell r="A3533" t="str">
            <v>31064SC</v>
          </cell>
          <cell r="F3533">
            <v>61.424833863583217</v>
          </cell>
        </row>
        <row r="3534">
          <cell r="A3534" t="str">
            <v>31064SE</v>
          </cell>
          <cell r="F3534">
            <v>61.458035068698713</v>
          </cell>
        </row>
        <row r="3535">
          <cell r="A3535" t="str">
            <v>31064SP</v>
          </cell>
          <cell r="F3535">
            <v>61.389906740233236</v>
          </cell>
        </row>
        <row r="3536">
          <cell r="A3536" t="str">
            <v>31064GO</v>
          </cell>
          <cell r="F3536">
            <v>57.062556878198563</v>
          </cell>
        </row>
        <row r="3537">
          <cell r="A3537" t="str">
            <v>31064DF</v>
          </cell>
          <cell r="F3537">
            <v>60.90405058919913</v>
          </cell>
        </row>
        <row r="3538">
          <cell r="A3538" t="str">
            <v>31064TO</v>
          </cell>
          <cell r="F3538">
            <v>66.487769783612265</v>
          </cell>
        </row>
        <row r="3539">
          <cell r="A3539" t="str">
            <v>39018AC</v>
          </cell>
          <cell r="F3539">
            <v>65.079088433901816</v>
          </cell>
        </row>
        <row r="3540">
          <cell r="A3540" t="str">
            <v>39018AL</v>
          </cell>
          <cell r="F3540">
            <v>61.827202580491502</v>
          </cell>
        </row>
        <row r="3541">
          <cell r="A3541" t="str">
            <v>39018AM</v>
          </cell>
          <cell r="F3541">
            <v>61.580846663680532</v>
          </cell>
        </row>
        <row r="3542">
          <cell r="A3542" t="str">
            <v>39018AP</v>
          </cell>
          <cell r="F3542">
            <v>61.5906332257521</v>
          </cell>
        </row>
        <row r="3543">
          <cell r="A3543" t="str">
            <v>39018BA</v>
          </cell>
          <cell r="F3543">
            <v>61.806667214656684</v>
          </cell>
        </row>
        <row r="3544">
          <cell r="A3544" t="str">
            <v>39018CE</v>
          </cell>
          <cell r="F3544">
            <v>61.816306553107999</v>
          </cell>
        </row>
        <row r="3545">
          <cell r="A3545" t="str">
            <v>39018ES</v>
          </cell>
          <cell r="F3545">
            <v>61.779442346699696</v>
          </cell>
        </row>
        <row r="3546">
          <cell r="A3546" t="str">
            <v>39018MA</v>
          </cell>
          <cell r="F3546">
            <v>61.302155328259843</v>
          </cell>
        </row>
        <row r="3547">
          <cell r="A3547" t="str">
            <v>39018MG</v>
          </cell>
          <cell r="F3547">
            <v>61.785332454125928</v>
          </cell>
        </row>
        <row r="3548">
          <cell r="A3548" t="str">
            <v>39018MS</v>
          </cell>
          <cell r="F3548">
            <v>65.294957714258288</v>
          </cell>
        </row>
        <row r="3549">
          <cell r="A3549" t="str">
            <v>39018MT</v>
          </cell>
          <cell r="F3549">
            <v>65.282521028518772</v>
          </cell>
        </row>
        <row r="3550">
          <cell r="A3550" t="str">
            <v>39018PA</v>
          </cell>
          <cell r="F3550">
            <v>61.49610415991382</v>
          </cell>
        </row>
        <row r="3551">
          <cell r="A3551" t="str">
            <v>39018PB</v>
          </cell>
          <cell r="F3551">
            <v>61.822283847114754</v>
          </cell>
        </row>
        <row r="3552">
          <cell r="A3552" t="str">
            <v>39018PE</v>
          </cell>
          <cell r="F3552">
            <v>61.575728677919962</v>
          </cell>
        </row>
        <row r="3553">
          <cell r="A3553" t="str">
            <v>39018PI</v>
          </cell>
          <cell r="F3553">
            <v>61.586983865322985</v>
          </cell>
        </row>
        <row r="3554">
          <cell r="A3554" t="str">
            <v>39018PR</v>
          </cell>
          <cell r="F3554">
            <v>61.821019747890659</v>
          </cell>
        </row>
        <row r="3555">
          <cell r="A3555" t="str">
            <v>39018RJ</v>
          </cell>
          <cell r="F3555">
            <v>61.830000000000005</v>
          </cell>
        </row>
        <row r="3556">
          <cell r="A3556" t="str">
            <v>39018RN</v>
          </cell>
          <cell r="F3556">
            <v>61.822743049587636</v>
          </cell>
        </row>
        <row r="3557">
          <cell r="A3557" t="str">
            <v>39018RO</v>
          </cell>
          <cell r="F3557">
            <v>61.584107022963089</v>
          </cell>
        </row>
        <row r="3558">
          <cell r="A3558" t="str">
            <v>39018RR</v>
          </cell>
          <cell r="F3558">
            <v>64.900001978237938</v>
          </cell>
        </row>
        <row r="3559">
          <cell r="A3559" t="str">
            <v>39018RS</v>
          </cell>
          <cell r="F3559">
            <v>61.823517451571774</v>
          </cell>
        </row>
        <row r="3560">
          <cell r="A3560" t="str">
            <v>39018SC</v>
          </cell>
          <cell r="F3560">
            <v>61.821895934384472</v>
          </cell>
        </row>
        <row r="3561">
          <cell r="A3561" t="str">
            <v>39018SE</v>
          </cell>
          <cell r="F3561">
            <v>61.823956609183469</v>
          </cell>
        </row>
        <row r="3562">
          <cell r="A3562" t="str">
            <v>39018SP</v>
          </cell>
          <cell r="F3562">
            <v>61.816441966302691</v>
          </cell>
        </row>
        <row r="3563">
          <cell r="A3563" t="str">
            <v>39018GO</v>
          </cell>
          <cell r="F3563">
            <v>61.802787723108175</v>
          </cell>
        </row>
        <row r="3564">
          <cell r="A3564" t="str">
            <v>39018DF</v>
          </cell>
          <cell r="F3564">
            <v>61.821651658748891</v>
          </cell>
        </row>
        <row r="3565">
          <cell r="A3565" t="str">
            <v>39018TO</v>
          </cell>
          <cell r="F3565">
            <v>65.293408584610972</v>
          </cell>
        </row>
        <row r="3566">
          <cell r="A3566" t="str">
            <v>31166AC</v>
          </cell>
          <cell r="F3566">
            <v>21.350811032948936</v>
          </cell>
        </row>
        <row r="3567">
          <cell r="A3567" t="str">
            <v>31166AL</v>
          </cell>
          <cell r="F3567">
            <v>30.215707232674838</v>
          </cell>
        </row>
        <row r="3568">
          <cell r="A3568" t="str">
            <v>31166AM</v>
          </cell>
          <cell r="F3568">
            <v>23.286154416943074</v>
          </cell>
        </row>
        <row r="3569">
          <cell r="A3569" t="str">
            <v>31166AP</v>
          </cell>
          <cell r="F3569">
            <v>32.13026973020304</v>
          </cell>
        </row>
        <row r="3570">
          <cell r="A3570" t="str">
            <v>31166BA</v>
          </cell>
          <cell r="F3570">
            <v>22.741475989904114</v>
          </cell>
        </row>
        <row r="3571">
          <cell r="A3571" t="str">
            <v>31166CE</v>
          </cell>
          <cell r="F3571">
            <v>40.449838020948924</v>
          </cell>
        </row>
        <row r="3572">
          <cell r="A3572" t="str">
            <v>31166DF</v>
          </cell>
          <cell r="F3572">
            <v>42.20554588410841</v>
          </cell>
        </row>
        <row r="3573">
          <cell r="A3573" t="str">
            <v>31166ES</v>
          </cell>
          <cell r="F3573">
            <v>33.316203408789058</v>
          </cell>
        </row>
        <row r="3574">
          <cell r="A3574" t="str">
            <v>31166GO</v>
          </cell>
          <cell r="F3574">
            <v>43.443295205646152</v>
          </cell>
        </row>
        <row r="3575">
          <cell r="A3575" t="str">
            <v>31166MA</v>
          </cell>
          <cell r="F3575">
            <v>41.525261569535424</v>
          </cell>
        </row>
        <row r="3576">
          <cell r="A3576" t="str">
            <v>31166MG</v>
          </cell>
          <cell r="F3576">
            <v>32.29139963593849</v>
          </cell>
        </row>
        <row r="3577">
          <cell r="A3577" t="str">
            <v>31166MS</v>
          </cell>
          <cell r="F3577">
            <v>41.359702245773398</v>
          </cell>
        </row>
        <row r="3578">
          <cell r="A3578" t="str">
            <v>31166MT</v>
          </cell>
          <cell r="F3578">
            <v>42.36</v>
          </cell>
        </row>
        <row r="3579">
          <cell r="A3579" t="str">
            <v>31166PA</v>
          </cell>
          <cell r="F3579">
            <v>42.431889656200553</v>
          </cell>
        </row>
        <row r="3580">
          <cell r="A3580" t="str">
            <v>31166PB</v>
          </cell>
          <cell r="F3580">
            <v>26.828182003649736</v>
          </cell>
        </row>
        <row r="3581">
          <cell r="A3581" t="str">
            <v>31166PE</v>
          </cell>
          <cell r="F3581">
            <v>26.930098144652469</v>
          </cell>
        </row>
        <row r="3582">
          <cell r="A3582" t="str">
            <v>31166PI</v>
          </cell>
          <cell r="F3582">
            <v>25.971201023003321</v>
          </cell>
        </row>
        <row r="3583">
          <cell r="A3583" t="str">
            <v>31166PR</v>
          </cell>
          <cell r="F3583">
            <v>44.032000000000004</v>
          </cell>
        </row>
        <row r="3584">
          <cell r="A3584" t="str">
            <v>31166RJ</v>
          </cell>
          <cell r="F3584">
            <v>41.941999999999993</v>
          </cell>
        </row>
        <row r="3585">
          <cell r="A3585" t="str">
            <v>31166RN</v>
          </cell>
          <cell r="F3585">
            <v>41.978749613110047</v>
          </cell>
        </row>
        <row r="3586">
          <cell r="A3586" t="str">
            <v>31166RO</v>
          </cell>
          <cell r="F3586">
            <v>21.350811032948958</v>
          </cell>
        </row>
        <row r="3587">
          <cell r="A3587" t="str">
            <v>31166RR</v>
          </cell>
          <cell r="F3587">
            <v>21.350811032948958</v>
          </cell>
        </row>
        <row r="3588">
          <cell r="A3588" t="str">
            <v>31166RS</v>
          </cell>
          <cell r="F3588">
            <v>43.085740929421256</v>
          </cell>
        </row>
        <row r="3589">
          <cell r="A3589" t="str">
            <v>31166SC</v>
          </cell>
          <cell r="F3589">
            <v>42.69</v>
          </cell>
        </row>
        <row r="3590">
          <cell r="A3590" t="str">
            <v>31166SE</v>
          </cell>
          <cell r="F3590">
            <v>35.776633629754016</v>
          </cell>
        </row>
        <row r="3591">
          <cell r="A3591" t="str">
            <v>31166SP</v>
          </cell>
          <cell r="F3591">
            <v>41.829411764705881</v>
          </cell>
        </row>
        <row r="3592">
          <cell r="A3592" t="str">
            <v>31166TO</v>
          </cell>
          <cell r="F3592">
            <v>43.370520497466593</v>
          </cell>
        </row>
        <row r="3593">
          <cell r="A3593" t="str">
            <v>31205AC</v>
          </cell>
          <cell r="F3593">
            <v>35.125820851526079</v>
          </cell>
        </row>
        <row r="3594">
          <cell r="A3594" t="str">
            <v>31205AL</v>
          </cell>
          <cell r="F3594">
            <v>42.438075074955826</v>
          </cell>
        </row>
        <row r="3595">
          <cell r="A3595" t="str">
            <v>31205AM</v>
          </cell>
          <cell r="F3595">
            <v>36.721739201409285</v>
          </cell>
        </row>
        <row r="3596">
          <cell r="A3596" t="str">
            <v>31205AP</v>
          </cell>
          <cell r="F3596">
            <v>44.013364311580425</v>
          </cell>
        </row>
        <row r="3597">
          <cell r="A3597" t="str">
            <v>31205BA</v>
          </cell>
          <cell r="F3597">
            <v>36.269831666524233</v>
          </cell>
        </row>
        <row r="3598">
          <cell r="A3598" t="str">
            <v>31205CE</v>
          </cell>
          <cell r="F3598">
            <v>50.879392739751154</v>
          </cell>
        </row>
        <row r="3599">
          <cell r="A3599" t="str">
            <v>31205DF</v>
          </cell>
          <cell r="F3599">
            <v>52.325692639064002</v>
          </cell>
        </row>
        <row r="3600">
          <cell r="A3600" t="str">
            <v>31205ES</v>
          </cell>
          <cell r="F3600">
            <v>44.99292599409852</v>
          </cell>
        </row>
        <row r="3601">
          <cell r="A3601" t="str">
            <v>31205GO</v>
          </cell>
          <cell r="F3601">
            <v>53.348917553194752</v>
          </cell>
        </row>
        <row r="3602">
          <cell r="A3602" t="str">
            <v>31205MA</v>
          </cell>
          <cell r="F3602">
            <v>51.764169522638348</v>
          </cell>
        </row>
        <row r="3603">
          <cell r="A3603" t="str">
            <v>31205MG</v>
          </cell>
          <cell r="F3603">
            <v>44.146282496094472</v>
          </cell>
        </row>
        <row r="3604">
          <cell r="A3604" t="str">
            <v>31205MS</v>
          </cell>
          <cell r="F3604">
            <v>51.627961166206518</v>
          </cell>
        </row>
        <row r="3605">
          <cell r="A3605" t="str">
            <v>31205MT</v>
          </cell>
          <cell r="F3605">
            <v>52.45310093639668</v>
          </cell>
        </row>
        <row r="3606">
          <cell r="A3606" t="str">
            <v>31205PA</v>
          </cell>
          <cell r="F3606">
            <v>52.514654598061369</v>
          </cell>
        </row>
        <row r="3607">
          <cell r="A3607" t="str">
            <v>31205PB</v>
          </cell>
          <cell r="F3607">
            <v>39.643419684038214</v>
          </cell>
        </row>
        <row r="3608">
          <cell r="A3608" t="str">
            <v>31205PE</v>
          </cell>
          <cell r="F3608">
            <v>39.725005039659798</v>
          </cell>
        </row>
        <row r="3609">
          <cell r="A3609" t="str">
            <v>31205PI</v>
          </cell>
          <cell r="F3609">
            <v>38.939736125673541</v>
          </cell>
        </row>
        <row r="3610">
          <cell r="A3610" t="str">
            <v>31205PR</v>
          </cell>
          <cell r="F3610">
            <v>53.831584115152118</v>
          </cell>
        </row>
        <row r="3611">
          <cell r="A3611" t="str">
            <v>31205RJ</v>
          </cell>
          <cell r="F3611">
            <v>52.112786026543077</v>
          </cell>
        </row>
        <row r="3612">
          <cell r="A3612" t="str">
            <v>31205RN</v>
          </cell>
          <cell r="F3612">
            <v>52.140532312815758</v>
          </cell>
        </row>
        <row r="3613">
          <cell r="A3613" t="str">
            <v>31205RO</v>
          </cell>
          <cell r="F3613">
            <v>35.121704094539673</v>
          </cell>
        </row>
        <row r="3614">
          <cell r="A3614" t="str">
            <v>31205RR</v>
          </cell>
          <cell r="F3614">
            <v>35.125349886593682</v>
          </cell>
        </row>
        <row r="3615">
          <cell r="A3615" t="str">
            <v>31205RS</v>
          </cell>
          <cell r="F3615">
            <v>53.051760386735303</v>
          </cell>
        </row>
        <row r="3616">
          <cell r="A3616" t="str">
            <v>31205SC</v>
          </cell>
          <cell r="F3616">
            <v>52.725316007371504</v>
          </cell>
        </row>
        <row r="3617">
          <cell r="A3617" t="str">
            <v>31205SE</v>
          </cell>
          <cell r="F3617">
            <v>47.025033186713706</v>
          </cell>
        </row>
        <row r="3618">
          <cell r="A3618" t="str">
            <v>31205SP</v>
          </cell>
          <cell r="F3618">
            <v>52.014314505684858</v>
          </cell>
        </row>
        <row r="3619">
          <cell r="A3619" t="str">
            <v>31205TO</v>
          </cell>
          <cell r="F3619">
            <v>53.288549861966615</v>
          </cell>
        </row>
        <row r="3620">
          <cell r="A3620" t="str">
            <v>32567AC</v>
          </cell>
          <cell r="F3620">
            <v>21.450101488255569</v>
          </cell>
        </row>
        <row r="3621">
          <cell r="A3621" t="str">
            <v>32567AL</v>
          </cell>
          <cell r="F3621">
            <v>30.303806223816654</v>
          </cell>
        </row>
        <row r="3622">
          <cell r="A3622" t="str">
            <v>32567AM</v>
          </cell>
          <cell r="F3622">
            <v>23.386028846572039</v>
          </cell>
        </row>
        <row r="3623">
          <cell r="A3623" t="str">
            <v>32567AP</v>
          </cell>
          <cell r="F3623">
            <v>32.220689892664382</v>
          </cell>
        </row>
        <row r="3624">
          <cell r="A3624" t="str">
            <v>32567BA</v>
          </cell>
          <cell r="F3624">
            <v>22.837335595028797</v>
          </cell>
        </row>
        <row r="3625">
          <cell r="A3625" t="str">
            <v>32567CE</v>
          </cell>
          <cell r="F3625">
            <v>40.527366900081049</v>
          </cell>
        </row>
        <row r="3626">
          <cell r="A3626" t="str">
            <v>32567DF</v>
          </cell>
          <cell r="F3626">
            <v>42.283423049655376</v>
          </cell>
        </row>
        <row r="3627">
          <cell r="A3627" t="str">
            <v>32567ES</v>
          </cell>
          <cell r="F3627">
            <v>33.406058830833871</v>
          </cell>
        </row>
        <row r="3628">
          <cell r="A3628" t="str">
            <v>32567GO</v>
          </cell>
          <cell r="F3628">
            <v>43.514695064226082</v>
          </cell>
        </row>
        <row r="3629">
          <cell r="A3629" t="str">
            <v>32567MA</v>
          </cell>
          <cell r="F3629">
            <v>41.600225233294339</v>
          </cell>
        </row>
        <row r="3630">
          <cell r="A3630" t="str">
            <v>32567MG</v>
          </cell>
          <cell r="F3630">
            <v>32.381605131387047</v>
          </cell>
        </row>
        <row r="3631">
          <cell r="A3631" t="str">
            <v>32567MS</v>
          </cell>
          <cell r="F3631">
            <v>41.43871917301648</v>
          </cell>
        </row>
        <row r="3632">
          <cell r="A3632" t="str">
            <v>32567MT</v>
          </cell>
          <cell r="F3632">
            <v>42.437669040927794</v>
          </cell>
        </row>
        <row r="3633">
          <cell r="A3633" t="str">
            <v>32567PA</v>
          </cell>
          <cell r="F3633">
            <v>42.50456636097335</v>
          </cell>
        </row>
        <row r="3634">
          <cell r="A3634" t="str">
            <v>32567PB</v>
          </cell>
          <cell r="F3634">
            <v>26.923445036440707</v>
          </cell>
        </row>
        <row r="3635">
          <cell r="A3635" t="str">
            <v>32567PE</v>
          </cell>
          <cell r="F3635">
            <v>27.020760657664443</v>
          </cell>
        </row>
        <row r="3636">
          <cell r="A3636" t="str">
            <v>32567PI</v>
          </cell>
          <cell r="F3636">
            <v>26.073268360147416</v>
          </cell>
        </row>
        <row r="3637">
          <cell r="A3637" t="str">
            <v>32567PR</v>
          </cell>
          <cell r="F3637">
            <v>44.103768890324723</v>
          </cell>
        </row>
        <row r="3638">
          <cell r="A3638" t="str">
            <v>32567RJ</v>
          </cell>
          <cell r="F3638">
            <v>42.017339370538686</v>
          </cell>
        </row>
        <row r="3639">
          <cell r="A3639" t="str">
            <v>32567RN</v>
          </cell>
          <cell r="F3639">
            <v>42.054287988806202</v>
          </cell>
        </row>
        <row r="3640">
          <cell r="A3640" t="str">
            <v>32567RO</v>
          </cell>
          <cell r="F3640">
            <v>21.451664467359766</v>
          </cell>
        </row>
        <row r="3641">
          <cell r="A3641" t="str">
            <v>32567RR</v>
          </cell>
          <cell r="F3641">
            <v>21.453205103134888</v>
          </cell>
        </row>
        <row r="3642">
          <cell r="A3642" t="str">
            <v>32567RS</v>
          </cell>
          <cell r="F3642">
            <v>43.162432045263174</v>
          </cell>
        </row>
        <row r="3643">
          <cell r="A3643" t="str">
            <v>32567SC</v>
          </cell>
          <cell r="F3643">
            <v>42.767224370846158</v>
          </cell>
        </row>
        <row r="3644">
          <cell r="A3644" t="str">
            <v>32567SE</v>
          </cell>
          <cell r="F3644">
            <v>35.857712244447647</v>
          </cell>
        </row>
        <row r="3645">
          <cell r="A3645" t="str">
            <v>32567SP</v>
          </cell>
          <cell r="F3645">
            <v>41.906910143111062</v>
          </cell>
        </row>
        <row r="3646">
          <cell r="A3646" t="str">
            <v>32567TO</v>
          </cell>
          <cell r="F3646">
            <v>43.444246914419274</v>
          </cell>
        </row>
        <row r="3647">
          <cell r="A3647" t="str">
            <v>32598AC</v>
          </cell>
          <cell r="F3647">
            <v>50.487353773761512</v>
          </cell>
        </row>
        <row r="3648">
          <cell r="A3648" t="str">
            <v>32598AL</v>
          </cell>
          <cell r="F3648">
            <v>50.487353773761512</v>
          </cell>
        </row>
        <row r="3649">
          <cell r="A3649" t="str">
            <v>32598AM</v>
          </cell>
          <cell r="F3649">
            <v>52.325456984838027</v>
          </cell>
        </row>
        <row r="3650">
          <cell r="A3650" t="str">
            <v>32598AP</v>
          </cell>
          <cell r="F3650">
            <v>50.48155251126871</v>
          </cell>
        </row>
        <row r="3651">
          <cell r="A3651" t="str">
            <v>32598BA</v>
          </cell>
          <cell r="F3651">
            <v>50.522060801007221</v>
          </cell>
        </row>
        <row r="3652">
          <cell r="A3652" t="str">
            <v>32598CE</v>
          </cell>
          <cell r="F3652">
            <v>52.325456984838013</v>
          </cell>
        </row>
        <row r="3653">
          <cell r="A3653" t="str">
            <v>32598DF</v>
          </cell>
          <cell r="F3653">
            <v>50.49156202557549</v>
          </cell>
        </row>
        <row r="3654">
          <cell r="A3654" t="str">
            <v>32598ES</v>
          </cell>
          <cell r="F3654">
            <v>50.49156202557549</v>
          </cell>
        </row>
        <row r="3655">
          <cell r="A3655" t="str">
            <v>32598GO</v>
          </cell>
          <cell r="F3655">
            <v>54.759236821618131</v>
          </cell>
        </row>
        <row r="3656">
          <cell r="A3656" t="str">
            <v>32598MA</v>
          </cell>
          <cell r="F3656">
            <v>53.285598302460414</v>
          </cell>
        </row>
        <row r="3657">
          <cell r="A3657" t="str">
            <v>32598MG</v>
          </cell>
          <cell r="F3657">
            <v>55.146423264904676</v>
          </cell>
        </row>
        <row r="3658">
          <cell r="A3658" t="str">
            <v>32598MS</v>
          </cell>
          <cell r="F3658">
            <v>50.49156202557549</v>
          </cell>
        </row>
        <row r="3659">
          <cell r="A3659" t="str">
            <v>32598MT</v>
          </cell>
          <cell r="F3659">
            <v>50.49156202557549</v>
          </cell>
        </row>
        <row r="3660">
          <cell r="A3660" t="str">
            <v>32598PA</v>
          </cell>
          <cell r="F3660">
            <v>50.487353773761512</v>
          </cell>
        </row>
        <row r="3661">
          <cell r="A3661" t="str">
            <v>32598PB</v>
          </cell>
          <cell r="F3661">
            <v>52.325456984838027</v>
          </cell>
        </row>
        <row r="3662">
          <cell r="A3662" t="str">
            <v>32598PE</v>
          </cell>
          <cell r="F3662">
            <v>55.152727476299788</v>
          </cell>
        </row>
        <row r="3663">
          <cell r="A3663" t="str">
            <v>32598PI</v>
          </cell>
          <cell r="F3663">
            <v>50.497297671734223</v>
          </cell>
        </row>
        <row r="3664">
          <cell r="A3664" t="str">
            <v>32598PR</v>
          </cell>
          <cell r="F3664">
            <v>53.511036320401736</v>
          </cell>
        </row>
        <row r="3665">
          <cell r="A3665" t="str">
            <v>32598RJ</v>
          </cell>
          <cell r="F3665">
            <v>50.490468375843491</v>
          </cell>
        </row>
        <row r="3666">
          <cell r="A3666" t="str">
            <v>32598RN</v>
          </cell>
          <cell r="F3666">
            <v>52.325456984838027</v>
          </cell>
        </row>
        <row r="3667">
          <cell r="A3667" t="str">
            <v>32598RO</v>
          </cell>
          <cell r="F3667">
            <v>50.496779471664169</v>
          </cell>
        </row>
        <row r="3668">
          <cell r="A3668" t="str">
            <v>32598RR</v>
          </cell>
          <cell r="F3668">
            <v>52.325456984838027</v>
          </cell>
        </row>
        <row r="3669">
          <cell r="A3669" t="str">
            <v>32598RS</v>
          </cell>
          <cell r="F3669">
            <v>56.000824335057601</v>
          </cell>
        </row>
        <row r="3670">
          <cell r="A3670" t="str">
            <v>32598SC</v>
          </cell>
          <cell r="F3670">
            <v>56.000824335057587</v>
          </cell>
        </row>
        <row r="3671">
          <cell r="A3671" t="str">
            <v>32598SE</v>
          </cell>
          <cell r="F3671">
            <v>50.487353773761512</v>
          </cell>
        </row>
        <row r="3672">
          <cell r="A3672" t="str">
            <v>32598SP</v>
          </cell>
          <cell r="F3672">
            <v>62.448603364212154</v>
          </cell>
        </row>
        <row r="3673">
          <cell r="A3673" t="str">
            <v>32598TO</v>
          </cell>
          <cell r="F3673">
            <v>52.325456984838027</v>
          </cell>
        </row>
        <row r="3674">
          <cell r="A3674" t="str">
            <v>32603AC</v>
          </cell>
          <cell r="F3674">
            <v>71.734639572402074</v>
          </cell>
        </row>
        <row r="3675">
          <cell r="A3675" t="str">
            <v>32603AL</v>
          </cell>
          <cell r="F3675">
            <v>72.476598525155509</v>
          </cell>
        </row>
        <row r="3676">
          <cell r="A3676" t="str">
            <v>32603AM</v>
          </cell>
          <cell r="F3676">
            <v>71.126885364382829</v>
          </cell>
        </row>
        <row r="3677">
          <cell r="A3677" t="str">
            <v>32603AP</v>
          </cell>
          <cell r="F3677">
            <v>71.089747870011564</v>
          </cell>
        </row>
        <row r="3678">
          <cell r="A3678" t="str">
            <v>32603BA</v>
          </cell>
          <cell r="F3678">
            <v>71.825185285897803</v>
          </cell>
        </row>
        <row r="3679">
          <cell r="A3679" t="str">
            <v>32603CE</v>
          </cell>
          <cell r="F3679">
            <v>71.232313717222056</v>
          </cell>
        </row>
        <row r="3680">
          <cell r="A3680" t="str">
            <v>32603DF</v>
          </cell>
          <cell r="F3680">
            <v>71.687093053514289</v>
          </cell>
        </row>
        <row r="3681">
          <cell r="A3681" t="str">
            <v>32603ES</v>
          </cell>
          <cell r="F3681">
            <v>72.479992673700167</v>
          </cell>
        </row>
        <row r="3682">
          <cell r="A3682" t="str">
            <v>32603GO</v>
          </cell>
          <cell r="F3682">
            <v>72.16200272988813</v>
          </cell>
        </row>
        <row r="3683">
          <cell r="A3683" t="str">
            <v>32603MA</v>
          </cell>
          <cell r="F3683">
            <v>70.283459636068784</v>
          </cell>
        </row>
        <row r="3684">
          <cell r="A3684" t="str">
            <v>32603MG</v>
          </cell>
          <cell r="F3684">
            <v>72.751517530060838</v>
          </cell>
        </row>
        <row r="3685">
          <cell r="A3685" t="str">
            <v>32603MS</v>
          </cell>
          <cell r="F3685">
            <v>71.007170207035713</v>
          </cell>
        </row>
        <row r="3686">
          <cell r="A3686" t="str">
            <v>32603MT</v>
          </cell>
          <cell r="F3686">
            <v>71.208255465787445</v>
          </cell>
        </row>
        <row r="3687">
          <cell r="A3687" t="str">
            <v>32603PA</v>
          </cell>
          <cell r="F3687">
            <v>68.958369957220938</v>
          </cell>
        </row>
        <row r="3688">
          <cell r="A3688" t="str">
            <v>32603PB</v>
          </cell>
          <cell r="F3688">
            <v>70.552957070406435</v>
          </cell>
        </row>
        <row r="3689">
          <cell r="A3689" t="str">
            <v>32603PE</v>
          </cell>
          <cell r="F3689">
            <v>71.404768622280528</v>
          </cell>
        </row>
        <row r="3690">
          <cell r="A3690" t="str">
            <v>32603PI</v>
          </cell>
          <cell r="F3690">
            <v>69.452038966697998</v>
          </cell>
        </row>
        <row r="3691">
          <cell r="A3691" t="str">
            <v>32603PR</v>
          </cell>
          <cell r="F3691">
            <v>72.628015933079439</v>
          </cell>
        </row>
        <row r="3692">
          <cell r="A3692" t="str">
            <v>32603RJ</v>
          </cell>
          <cell r="F3692">
            <v>72.142743022026877</v>
          </cell>
        </row>
        <row r="3693">
          <cell r="A3693" t="str">
            <v>32603RN</v>
          </cell>
          <cell r="F3693">
            <v>71.250383368249345</v>
          </cell>
        </row>
        <row r="3694">
          <cell r="A3694" t="str">
            <v>32603RO</v>
          </cell>
          <cell r="F3694">
            <v>71.335761161278015</v>
          </cell>
        </row>
        <row r="3695">
          <cell r="A3695" t="str">
            <v>32603RR</v>
          </cell>
          <cell r="F3695">
            <v>71.473566799050786</v>
          </cell>
        </row>
        <row r="3696">
          <cell r="A3696" t="str">
            <v>32603RS</v>
          </cell>
          <cell r="F3696">
            <v>71.672832477704276</v>
          </cell>
        </row>
        <row r="3697">
          <cell r="A3697" t="str">
            <v>32603SC</v>
          </cell>
          <cell r="F3697">
            <v>71.479465901355198</v>
          </cell>
        </row>
        <row r="3698">
          <cell r="A3698" t="str">
            <v>32603SE</v>
          </cell>
          <cell r="F3698">
            <v>71.773913809026752</v>
          </cell>
        </row>
        <row r="3699">
          <cell r="A3699" t="str">
            <v>32603SP</v>
          </cell>
          <cell r="F3699">
            <v>74.719649693107797</v>
          </cell>
        </row>
        <row r="3700">
          <cell r="A3700" t="str">
            <v>32603TO</v>
          </cell>
          <cell r="F3700">
            <v>70.496181351302383</v>
          </cell>
        </row>
        <row r="3701">
          <cell r="A3701" t="str">
            <v>32587AC</v>
          </cell>
          <cell r="F3701">
            <v>68.8</v>
          </cell>
        </row>
        <row r="3702">
          <cell r="A3702" t="str">
            <v>32587AL</v>
          </cell>
          <cell r="F3702">
            <v>67.300000000000011</v>
          </cell>
        </row>
        <row r="3703">
          <cell r="A3703" t="str">
            <v>32587AM</v>
          </cell>
          <cell r="F3703">
            <v>71.2</v>
          </cell>
        </row>
        <row r="3704">
          <cell r="A3704" t="str">
            <v>32587AP</v>
          </cell>
          <cell r="F3704">
            <v>67.300000000000011</v>
          </cell>
        </row>
        <row r="3705">
          <cell r="A3705" t="str">
            <v>32587BA</v>
          </cell>
          <cell r="F3705">
            <v>67.300000000000011</v>
          </cell>
        </row>
        <row r="3706">
          <cell r="A3706" t="str">
            <v>32587CE</v>
          </cell>
          <cell r="F3706">
            <v>67.300000000000011</v>
          </cell>
        </row>
        <row r="3707">
          <cell r="A3707" t="str">
            <v>32587DF</v>
          </cell>
          <cell r="F3707">
            <v>67.300000000000011</v>
          </cell>
        </row>
        <row r="3708">
          <cell r="A3708" t="str">
            <v>32587ES</v>
          </cell>
          <cell r="F3708">
            <v>67.300000000000011</v>
          </cell>
        </row>
        <row r="3709">
          <cell r="A3709" t="str">
            <v>32587GO</v>
          </cell>
          <cell r="F3709">
            <v>67.300000000000011</v>
          </cell>
        </row>
        <row r="3710">
          <cell r="A3710" t="str">
            <v>32587MA</v>
          </cell>
          <cell r="F3710">
            <v>67.300000000000011</v>
          </cell>
        </row>
        <row r="3711">
          <cell r="A3711" t="str">
            <v>32587MG</v>
          </cell>
          <cell r="F3711">
            <v>67.300000000000011</v>
          </cell>
        </row>
        <row r="3712">
          <cell r="A3712" t="str">
            <v>32587MS</v>
          </cell>
          <cell r="F3712">
            <v>67.300000000000011</v>
          </cell>
        </row>
        <row r="3713">
          <cell r="A3713" t="str">
            <v>32587MT</v>
          </cell>
          <cell r="F3713">
            <v>67.300000000000011</v>
          </cell>
        </row>
        <row r="3714">
          <cell r="A3714" t="str">
            <v>32587PA</v>
          </cell>
          <cell r="F3714">
            <v>69.399999999999991</v>
          </cell>
        </row>
        <row r="3715">
          <cell r="A3715" t="str">
            <v>32587PB</v>
          </cell>
          <cell r="F3715">
            <v>67.300000000000011</v>
          </cell>
        </row>
        <row r="3716">
          <cell r="A3716" t="str">
            <v>32587PE</v>
          </cell>
          <cell r="F3716">
            <v>72.899999999999991</v>
          </cell>
        </row>
        <row r="3717">
          <cell r="A3717" t="str">
            <v>32587PI</v>
          </cell>
          <cell r="F3717">
            <v>67.300000000000011</v>
          </cell>
        </row>
        <row r="3718">
          <cell r="A3718" t="str">
            <v>32587PR</v>
          </cell>
          <cell r="F3718">
            <v>67.300000000000011</v>
          </cell>
        </row>
        <row r="3719">
          <cell r="A3719" t="str">
            <v>32587RJ</v>
          </cell>
          <cell r="F3719">
            <v>67.300000000000011</v>
          </cell>
        </row>
        <row r="3720">
          <cell r="A3720" t="str">
            <v>32587RN</v>
          </cell>
          <cell r="F3720">
            <v>67.300000000000011</v>
          </cell>
        </row>
        <row r="3721">
          <cell r="A3721" t="str">
            <v>32587RO</v>
          </cell>
          <cell r="F3721">
            <v>67.300000000000011</v>
          </cell>
        </row>
        <row r="3722">
          <cell r="A3722" t="str">
            <v>32587RR</v>
          </cell>
          <cell r="F3722">
            <v>70.8</v>
          </cell>
        </row>
        <row r="3723">
          <cell r="A3723" t="str">
            <v>32587RS</v>
          </cell>
          <cell r="F3723">
            <v>72.099999999999994</v>
          </cell>
        </row>
        <row r="3724">
          <cell r="A3724" t="str">
            <v>32587SC</v>
          </cell>
          <cell r="F3724">
            <v>67.300000000000011</v>
          </cell>
        </row>
        <row r="3725">
          <cell r="A3725" t="str">
            <v>32587SE</v>
          </cell>
          <cell r="F3725">
            <v>67.300000000000011</v>
          </cell>
        </row>
        <row r="3726">
          <cell r="A3726" t="str">
            <v>32587SP</v>
          </cell>
          <cell r="F3726">
            <v>67.300000000000011</v>
          </cell>
        </row>
        <row r="3727">
          <cell r="A3727" t="str">
            <v>32587TO</v>
          </cell>
          <cell r="F3727">
            <v>67.300000000000011</v>
          </cell>
        </row>
        <row r="3728">
          <cell r="A3728" t="str">
            <v>32585AC</v>
          </cell>
          <cell r="F3728">
            <v>55.400000000000006</v>
          </cell>
        </row>
        <row r="3729">
          <cell r="A3729" t="str">
            <v>32585AL</v>
          </cell>
          <cell r="F3729">
            <v>53.300000000000004</v>
          </cell>
        </row>
        <row r="3730">
          <cell r="A3730" t="str">
            <v>32585AM</v>
          </cell>
          <cell r="F3730">
            <v>58.8</v>
          </cell>
        </row>
        <row r="3731">
          <cell r="A3731" t="str">
            <v>32585AP</v>
          </cell>
          <cell r="F3731">
            <v>53.300000000000004</v>
          </cell>
        </row>
        <row r="3732">
          <cell r="A3732" t="str">
            <v>32585BA</v>
          </cell>
          <cell r="F3732">
            <v>53.300000000000004</v>
          </cell>
        </row>
        <row r="3733">
          <cell r="A3733" t="str">
            <v>32585CE</v>
          </cell>
          <cell r="F3733">
            <v>53.300000000000004</v>
          </cell>
        </row>
        <row r="3734">
          <cell r="A3734" t="str">
            <v>32585DF</v>
          </cell>
          <cell r="F3734">
            <v>53.300000000000004</v>
          </cell>
        </row>
        <row r="3735">
          <cell r="A3735" t="str">
            <v>32585ES</v>
          </cell>
          <cell r="F3735">
            <v>53.300000000000004</v>
          </cell>
        </row>
        <row r="3736">
          <cell r="A3736" t="str">
            <v>32585GO</v>
          </cell>
          <cell r="F3736">
            <v>53.300000000000004</v>
          </cell>
        </row>
        <row r="3737">
          <cell r="A3737" t="str">
            <v>32585MA</v>
          </cell>
          <cell r="F3737">
            <v>53.300000000000004</v>
          </cell>
        </row>
        <row r="3738">
          <cell r="A3738" t="str">
            <v>32585MG</v>
          </cell>
          <cell r="F3738">
            <v>53.300000000000004</v>
          </cell>
        </row>
        <row r="3739">
          <cell r="A3739" t="str">
            <v>32585MS</v>
          </cell>
          <cell r="F3739">
            <v>53.300000000000004</v>
          </cell>
        </row>
        <row r="3740">
          <cell r="A3740" t="str">
            <v>32585MT</v>
          </cell>
          <cell r="F3740">
            <v>53.300000000000004</v>
          </cell>
        </row>
        <row r="3741">
          <cell r="A3741" t="str">
            <v>32585PA</v>
          </cell>
          <cell r="F3741">
            <v>56.2</v>
          </cell>
        </row>
        <row r="3742">
          <cell r="A3742" t="str">
            <v>32585PB</v>
          </cell>
          <cell r="F3742">
            <v>53.300000000000004</v>
          </cell>
        </row>
        <row r="3743">
          <cell r="A3743" t="str">
            <v>32585PE</v>
          </cell>
          <cell r="F3743">
            <v>61.3</v>
          </cell>
        </row>
        <row r="3744">
          <cell r="A3744" t="str">
            <v>32585PI</v>
          </cell>
          <cell r="F3744">
            <v>53.300000000000004</v>
          </cell>
        </row>
        <row r="3745">
          <cell r="A3745" t="str">
            <v>32585PR</v>
          </cell>
          <cell r="F3745">
            <v>53.300000000000004</v>
          </cell>
        </row>
        <row r="3746">
          <cell r="A3746" t="str">
            <v>32585RJ</v>
          </cell>
          <cell r="F3746">
            <v>53.300000000000004</v>
          </cell>
        </row>
        <row r="3747">
          <cell r="A3747" t="str">
            <v>32585RN</v>
          </cell>
          <cell r="F3747">
            <v>53.300000000000004</v>
          </cell>
        </row>
        <row r="3748">
          <cell r="A3748" t="str">
            <v>32585RO</v>
          </cell>
          <cell r="F3748">
            <v>53.300000000000004</v>
          </cell>
        </row>
        <row r="3749">
          <cell r="A3749" t="str">
            <v>32585RR</v>
          </cell>
          <cell r="F3749">
            <v>58.4</v>
          </cell>
        </row>
        <row r="3750">
          <cell r="A3750" t="str">
            <v>32585RS</v>
          </cell>
          <cell r="F3750">
            <v>60.199999999999996</v>
          </cell>
        </row>
        <row r="3751">
          <cell r="A3751" t="str">
            <v>32585SC</v>
          </cell>
          <cell r="F3751">
            <v>53.300000000000004</v>
          </cell>
        </row>
        <row r="3752">
          <cell r="A3752" t="str">
            <v>32585SE</v>
          </cell>
          <cell r="F3752">
            <v>53.300000000000004</v>
          </cell>
        </row>
        <row r="3753">
          <cell r="A3753" t="str">
            <v>32585SP</v>
          </cell>
          <cell r="F3753">
            <v>53.300000000000004</v>
          </cell>
        </row>
        <row r="3754">
          <cell r="A3754" t="str">
            <v>32585TO</v>
          </cell>
          <cell r="F3754">
            <v>53.300000000000004</v>
          </cell>
        </row>
        <row r="3755">
          <cell r="A3755" t="str">
            <v>39042AC</v>
          </cell>
          <cell r="F3755">
            <v>64.227600371898859</v>
          </cell>
        </row>
        <row r="3756">
          <cell r="A3756" t="str">
            <v>39042AL</v>
          </cell>
          <cell r="F3756">
            <v>60.903153227264674</v>
          </cell>
        </row>
        <row r="3757">
          <cell r="A3757" t="str">
            <v>39042AM</v>
          </cell>
          <cell r="F3757">
            <v>60.644843768060319</v>
          </cell>
        </row>
        <row r="3758">
          <cell r="A3758" t="str">
            <v>39042AP</v>
          </cell>
          <cell r="F3758">
            <v>60.653550511684642</v>
          </cell>
        </row>
        <row r="3759">
          <cell r="A3759" t="str">
            <v>39042BA</v>
          </cell>
          <cell r="F3759">
            <v>60.8821207615891</v>
          </cell>
        </row>
        <row r="3760">
          <cell r="A3760" t="str">
            <v>39042CE</v>
          </cell>
          <cell r="F3760">
            <v>60.886040148773191</v>
          </cell>
        </row>
        <row r="3761">
          <cell r="A3761" t="str">
            <v>39042ES</v>
          </cell>
          <cell r="F3761">
            <v>60.84669195655524</v>
          </cell>
        </row>
        <row r="3762">
          <cell r="A3762" t="str">
            <v>39042MA</v>
          </cell>
          <cell r="F3762">
            <v>60.352962911783202</v>
          </cell>
        </row>
        <row r="3763">
          <cell r="A3763" t="str">
            <v>39042MG</v>
          </cell>
          <cell r="F3763">
            <v>60.852999864746117</v>
          </cell>
        </row>
        <row r="3764">
          <cell r="A3764" t="str">
            <v>39042MS</v>
          </cell>
          <cell r="F3764">
            <v>64.448001423728869</v>
          </cell>
        </row>
        <row r="3765">
          <cell r="A3765" t="str">
            <v>39042MT</v>
          </cell>
          <cell r="F3765">
            <v>64.435261227936437</v>
          </cell>
        </row>
        <row r="3766">
          <cell r="A3766" t="str">
            <v>39042PA</v>
          </cell>
          <cell r="F3766">
            <v>60.557251014961345</v>
          </cell>
        </row>
        <row r="3767">
          <cell r="A3767" t="str">
            <v>39042PB</v>
          </cell>
          <cell r="F3767">
            <v>60.89216306713687</v>
          </cell>
        </row>
        <row r="3768">
          <cell r="A3768" t="str">
            <v>39042PE</v>
          </cell>
          <cell r="F3768">
            <v>60.645591892994808</v>
          </cell>
        </row>
        <row r="3769">
          <cell r="A3769" t="str">
            <v>39042PI</v>
          </cell>
          <cell r="F3769">
            <v>60.649064317813242</v>
          </cell>
        </row>
        <row r="3770">
          <cell r="A3770" t="str">
            <v>39042PR</v>
          </cell>
          <cell r="F3770">
            <v>60.885102226917567</v>
          </cell>
        </row>
        <row r="3771">
          <cell r="A3771" t="str">
            <v>39042RJ</v>
          </cell>
          <cell r="F3771">
            <v>60.902582582582589</v>
          </cell>
        </row>
        <row r="3772">
          <cell r="A3772" t="str">
            <v>39042RN</v>
          </cell>
          <cell r="F3772">
            <v>60.892633457124504</v>
          </cell>
        </row>
        <row r="3773">
          <cell r="A3773" t="str">
            <v>39042RO</v>
          </cell>
          <cell r="F3773">
            <v>60.642381835867511</v>
          </cell>
        </row>
        <row r="3774">
          <cell r="A3774" t="str">
            <v>39042RR</v>
          </cell>
          <cell r="F3774">
            <v>64.044863409799603</v>
          </cell>
        </row>
        <row r="3775">
          <cell r="A3775" t="str">
            <v>39042RS</v>
          </cell>
          <cell r="F3775">
            <v>60.891842688623512</v>
          </cell>
        </row>
        <row r="3776">
          <cell r="A3776" t="str">
            <v>39042SC</v>
          </cell>
          <cell r="F3776">
            <v>60.890181599256152</v>
          </cell>
        </row>
        <row r="3777">
          <cell r="A3777" t="str">
            <v>39042SE</v>
          </cell>
          <cell r="F3777">
            <v>60.893097598236423</v>
          </cell>
        </row>
        <row r="3778">
          <cell r="A3778" t="str">
            <v>39042SP</v>
          </cell>
          <cell r="F3778">
            <v>60.884868363299184</v>
          </cell>
        </row>
        <row r="3779">
          <cell r="A3779" t="str">
            <v>39042GO</v>
          </cell>
          <cell r="F3779">
            <v>60.871412544255698</v>
          </cell>
        </row>
        <row r="3780">
          <cell r="A3780" t="str">
            <v>39042DF</v>
          </cell>
          <cell r="F3780">
            <v>60.889931362216323</v>
          </cell>
        </row>
        <row r="3781">
          <cell r="A3781" t="str">
            <v>39042TO</v>
          </cell>
          <cell r="F3781">
            <v>64.447854551248085</v>
          </cell>
        </row>
        <row r="3782">
          <cell r="A3782" t="str">
            <v>32566AC</v>
          </cell>
          <cell r="F3782">
            <v>88.045462962962972</v>
          </cell>
        </row>
        <row r="3783">
          <cell r="A3783" t="str">
            <v>32566AL</v>
          </cell>
          <cell r="F3783">
            <v>88.039181818181817</v>
          </cell>
        </row>
        <row r="3784">
          <cell r="A3784" t="str">
            <v>32566AM</v>
          </cell>
          <cell r="F3784">
            <v>88.041250000000005</v>
          </cell>
        </row>
        <row r="3785">
          <cell r="A3785" t="str">
            <v>32566AP</v>
          </cell>
          <cell r="F3785">
            <v>88.042093750000006</v>
          </cell>
        </row>
        <row r="3786">
          <cell r="A3786" t="str">
            <v>32566BA</v>
          </cell>
          <cell r="F3786">
            <v>88.039181818181817</v>
          </cell>
        </row>
        <row r="3787">
          <cell r="A3787" t="str">
            <v>32566CE</v>
          </cell>
          <cell r="F3787">
            <v>88.041250000000005</v>
          </cell>
        </row>
        <row r="3788">
          <cell r="A3788" t="str">
            <v>32566DF</v>
          </cell>
          <cell r="F3788">
            <v>88.041054296257244</v>
          </cell>
        </row>
        <row r="3789">
          <cell r="A3789" t="str">
            <v>32566ES</v>
          </cell>
          <cell r="F3789">
            <v>88.041054296257244</v>
          </cell>
        </row>
        <row r="3790">
          <cell r="A3790" t="str">
            <v>32566GO</v>
          </cell>
          <cell r="F3790">
            <v>88.045462962962972</v>
          </cell>
        </row>
        <row r="3791">
          <cell r="A3791" t="str">
            <v>32566MA</v>
          </cell>
          <cell r="F3791">
            <v>88.04403911980441</v>
          </cell>
        </row>
        <row r="3792">
          <cell r="A3792" t="str">
            <v>32566MG</v>
          </cell>
          <cell r="F3792">
            <v>88.042093750000006</v>
          </cell>
        </row>
        <row r="3793">
          <cell r="A3793" t="str">
            <v>32566MS</v>
          </cell>
          <cell r="F3793">
            <v>88.041054296257244</v>
          </cell>
        </row>
        <row r="3794">
          <cell r="A3794" t="str">
            <v>32566MT</v>
          </cell>
          <cell r="F3794">
            <v>88.041054296257244</v>
          </cell>
        </row>
        <row r="3795">
          <cell r="A3795" t="str">
            <v>32566PA</v>
          </cell>
          <cell r="F3795">
            <v>88.045462962962972</v>
          </cell>
        </row>
        <row r="3796">
          <cell r="A3796" t="str">
            <v>32566PB</v>
          </cell>
          <cell r="F3796">
            <v>88.041250000000005</v>
          </cell>
        </row>
        <row r="3797">
          <cell r="A3797" t="str">
            <v>32566PE</v>
          </cell>
          <cell r="F3797">
            <v>88.039181818181817</v>
          </cell>
        </row>
        <row r="3798">
          <cell r="A3798" t="str">
            <v>32566PI</v>
          </cell>
          <cell r="F3798">
            <v>88.03793205317578</v>
          </cell>
        </row>
        <row r="3799">
          <cell r="A3799" t="str">
            <v>32566PR</v>
          </cell>
          <cell r="F3799">
            <v>88.043343558282203</v>
          </cell>
        </row>
        <row r="3800">
          <cell r="A3800" t="str">
            <v>32566RJ</v>
          </cell>
          <cell r="F3800">
            <v>88.037670961347871</v>
          </cell>
        </row>
        <row r="3801">
          <cell r="A3801" t="str">
            <v>32566RN</v>
          </cell>
          <cell r="F3801">
            <v>88.041250000000005</v>
          </cell>
        </row>
        <row r="3802">
          <cell r="A3802" t="str">
            <v>32566RO</v>
          </cell>
          <cell r="F3802">
            <v>88.043343558282203</v>
          </cell>
        </row>
        <row r="3803">
          <cell r="A3803" t="str">
            <v>32566RR</v>
          </cell>
          <cell r="F3803">
            <v>88.041250000000005</v>
          </cell>
        </row>
        <row r="3804">
          <cell r="A3804" t="str">
            <v>32566RS</v>
          </cell>
          <cell r="F3804">
            <v>88.041054296257244</v>
          </cell>
        </row>
        <row r="3805">
          <cell r="A3805" t="str">
            <v>32566SC</v>
          </cell>
          <cell r="F3805">
            <v>88.041054296257244</v>
          </cell>
        </row>
        <row r="3806">
          <cell r="A3806" t="str">
            <v>32566SE</v>
          </cell>
          <cell r="F3806">
            <v>88.045462962962972</v>
          </cell>
        </row>
        <row r="3807">
          <cell r="A3807" t="str">
            <v>32566SP</v>
          </cell>
          <cell r="F3807">
            <v>88.042093750000006</v>
          </cell>
        </row>
        <row r="3808">
          <cell r="A3808" t="str">
            <v>32566TO</v>
          </cell>
          <cell r="F3808">
            <v>88.041250000000005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UF</v>
          </cell>
          <cell r="B1" t="str">
            <v>Estado</v>
          </cell>
          <cell r="C1" t="str">
            <v>% Alíquota ICMS</v>
          </cell>
          <cell r="D1" t="str">
            <v>% Repasse</v>
          </cell>
        </row>
        <row r="2">
          <cell r="A2" t="str">
            <v>AC</v>
          </cell>
          <cell r="B2" t="str">
            <v>ACRE</v>
          </cell>
          <cell r="C2">
            <v>0.19</v>
          </cell>
          <cell r="D2">
            <v>0.129</v>
          </cell>
        </row>
        <row r="3">
          <cell r="A3" t="str">
            <v>AL</v>
          </cell>
          <cell r="B3" t="str">
            <v>ALAGOAS</v>
          </cell>
          <cell r="C3">
            <v>0.20499999999999999</v>
          </cell>
          <cell r="D3">
            <v>0.1452</v>
          </cell>
        </row>
        <row r="4">
          <cell r="A4" t="str">
            <v>AM</v>
          </cell>
          <cell r="B4" t="str">
            <v>AMAZONAS</v>
          </cell>
          <cell r="C4">
            <v>0.2</v>
          </cell>
          <cell r="D4">
            <v>0.13980000000000001</v>
          </cell>
        </row>
        <row r="5">
          <cell r="A5" t="str">
            <v>AP</v>
          </cell>
          <cell r="B5" t="str">
            <v>AMAPA</v>
          </cell>
          <cell r="C5">
            <v>0.18</v>
          </cell>
          <cell r="D5">
            <v>0.1183</v>
          </cell>
        </row>
        <row r="6">
          <cell r="A6" t="str">
            <v>BA</v>
          </cell>
          <cell r="B6" t="str">
            <v>BAHIA</v>
          </cell>
          <cell r="C6">
            <v>0.20499999999999999</v>
          </cell>
          <cell r="D6">
            <v>0.1452</v>
          </cell>
        </row>
        <row r="7">
          <cell r="A7" t="str">
            <v>CE</v>
          </cell>
          <cell r="B7" t="str">
            <v>CEARA</v>
          </cell>
          <cell r="C7">
            <v>0.2</v>
          </cell>
          <cell r="D7">
            <v>0.13980000000000001</v>
          </cell>
        </row>
        <row r="8">
          <cell r="A8" t="str">
            <v>DF</v>
          </cell>
          <cell r="B8" t="str">
            <v>DISTRITO FEDERAL</v>
          </cell>
          <cell r="C8">
            <v>0.17</v>
          </cell>
          <cell r="D8">
            <v>0.1075</v>
          </cell>
        </row>
        <row r="9">
          <cell r="A9" t="str">
            <v>ES</v>
          </cell>
          <cell r="B9" t="str">
            <v>ESPIRITO SANTO</v>
          </cell>
          <cell r="C9">
            <v>0.17</v>
          </cell>
          <cell r="D9">
            <v>0.1075</v>
          </cell>
        </row>
        <row r="10">
          <cell r="A10" t="str">
            <v>GO</v>
          </cell>
          <cell r="B10" t="str">
            <v>GOIAS</v>
          </cell>
          <cell r="C10">
            <v>0.19</v>
          </cell>
          <cell r="D10">
            <v>0.129</v>
          </cell>
        </row>
        <row r="11">
          <cell r="A11" t="str">
            <v>MA</v>
          </cell>
          <cell r="B11" t="str">
            <v>MARANHAO</v>
          </cell>
          <cell r="C11">
            <v>0.23</v>
          </cell>
          <cell r="D11">
            <v>0.17199999999999999</v>
          </cell>
        </row>
        <row r="12">
          <cell r="A12" t="str">
            <v>MG</v>
          </cell>
          <cell r="B12" t="str">
            <v>MINAS GERAIS</v>
          </cell>
          <cell r="C12">
            <v>0.18</v>
          </cell>
          <cell r="D12">
            <v>6.8199999999999997E-2</v>
          </cell>
        </row>
        <row r="13">
          <cell r="A13" t="str">
            <v>MS</v>
          </cell>
          <cell r="B13" t="str">
            <v>MATO GROSSO DO SUL</v>
          </cell>
          <cell r="C13">
            <v>0.17</v>
          </cell>
          <cell r="D13">
            <v>0.1075</v>
          </cell>
        </row>
        <row r="14">
          <cell r="A14" t="str">
            <v>MT</v>
          </cell>
          <cell r="B14" t="str">
            <v>MATO GROSSO</v>
          </cell>
          <cell r="C14">
            <v>0.17</v>
          </cell>
          <cell r="D14">
            <v>0.1075</v>
          </cell>
        </row>
        <row r="15">
          <cell r="A15" t="str">
            <v>PA</v>
          </cell>
          <cell r="B15" t="str">
            <v>PARA</v>
          </cell>
          <cell r="C15">
            <v>0.19</v>
          </cell>
          <cell r="D15">
            <v>0.129</v>
          </cell>
        </row>
        <row r="16">
          <cell r="A16" t="str">
            <v>PB</v>
          </cell>
          <cell r="B16" t="str">
            <v>PARAIBA</v>
          </cell>
          <cell r="C16">
            <v>0.2</v>
          </cell>
          <cell r="D16">
            <v>0.13980000000000001</v>
          </cell>
        </row>
        <row r="17">
          <cell r="A17" t="str">
            <v>PE</v>
          </cell>
          <cell r="B17" t="str">
            <v>PERNAMBUCO</v>
          </cell>
          <cell r="C17">
            <v>0.20499999999999999</v>
          </cell>
          <cell r="D17">
            <v>0.1452</v>
          </cell>
        </row>
        <row r="18">
          <cell r="A18" t="str">
            <v>PI</v>
          </cell>
          <cell r="B18" t="str">
            <v>PIAUI</v>
          </cell>
          <cell r="C18">
            <v>0.22500000000000001</v>
          </cell>
          <cell r="D18">
            <v>0.16669999999999999</v>
          </cell>
        </row>
        <row r="19">
          <cell r="A19" t="str">
            <v>PR</v>
          </cell>
          <cell r="B19" t="str">
            <v>PARANA</v>
          </cell>
          <cell r="C19">
            <v>0.19500000000000001</v>
          </cell>
          <cell r="D19">
            <v>8.5199999999999998E-2</v>
          </cell>
        </row>
        <row r="20">
          <cell r="A20" t="str">
            <v>RJ</v>
          </cell>
          <cell r="B20" t="str">
            <v>RIO DE JANEIRO</v>
          </cell>
          <cell r="C20">
            <v>0.22</v>
          </cell>
          <cell r="D20">
            <v>0.11363636363636365</v>
          </cell>
        </row>
        <row r="21">
          <cell r="A21" t="str">
            <v>RN</v>
          </cell>
          <cell r="B21" t="str">
            <v>RIO GRANDE DO NORTE</v>
          </cell>
          <cell r="C21">
            <v>0.2</v>
          </cell>
          <cell r="D21">
            <v>0.13980000000000001</v>
          </cell>
        </row>
        <row r="22">
          <cell r="A22" t="str">
            <v>RO</v>
          </cell>
          <cell r="B22" t="str">
            <v>RONDONIA</v>
          </cell>
          <cell r="C22">
            <v>0.19500000000000001</v>
          </cell>
          <cell r="D22">
            <v>0.13439999999999999</v>
          </cell>
        </row>
        <row r="23">
          <cell r="A23" t="str">
            <v>RR</v>
          </cell>
          <cell r="B23" t="str">
            <v>RORAIMA</v>
          </cell>
          <cell r="C23">
            <v>0.2</v>
          </cell>
          <cell r="D23">
            <v>0.13980000000000001</v>
          </cell>
        </row>
        <row r="24">
          <cell r="A24" t="str">
            <v>RS</v>
          </cell>
          <cell r="B24" t="str">
            <v>RIO GRANDE DO SUL</v>
          </cell>
          <cell r="C24">
            <v>0.17</v>
          </cell>
          <cell r="D24">
            <v>5.6800000000000003E-2</v>
          </cell>
        </row>
        <row r="25">
          <cell r="A25" t="str">
            <v>SC</v>
          </cell>
          <cell r="B25" t="str">
            <v>SANTA CATARINA</v>
          </cell>
          <cell r="C25">
            <v>0.17</v>
          </cell>
          <cell r="D25">
            <v>5.6800000000000003E-2</v>
          </cell>
        </row>
        <row r="26">
          <cell r="A26" t="str">
            <v>SE</v>
          </cell>
          <cell r="B26" t="str">
            <v>SERGIPE</v>
          </cell>
          <cell r="C26">
            <v>0.19</v>
          </cell>
          <cell r="D26">
            <v>0.129</v>
          </cell>
        </row>
        <row r="27">
          <cell r="A27" t="str">
            <v>SP</v>
          </cell>
          <cell r="B27" t="str">
            <v>SAO PAULO</v>
          </cell>
          <cell r="C27">
            <v>0.18</v>
          </cell>
          <cell r="D27">
            <v>0</v>
          </cell>
        </row>
        <row r="28">
          <cell r="A28" t="str">
            <v>TO</v>
          </cell>
          <cell r="B28" t="str">
            <v>TOCANTINS</v>
          </cell>
          <cell r="C28">
            <v>0.2</v>
          </cell>
          <cell r="D28">
            <v>0.13980000000000001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LEGRAND COMERCIAL"/>
      <sheetName val="Tabela_Preços"/>
      <sheetName val="DESCONTOS"/>
      <sheetName val="POLITICA DEZ X JAN"/>
      <sheetName val="histórico "/>
      <sheetName val="LEGRAND_COMERCIAL"/>
      <sheetName val="POLITICA_DEZ_X_JAN"/>
      <sheetName val="histórico_"/>
      <sheetName val="LEGRAND_COMERCIAL1"/>
      <sheetName val="POLITICA_DEZ_X_JAN1"/>
      <sheetName val="histórico_1"/>
    </sheetNames>
    <sheetDataSet>
      <sheetData sheetId="0" refreshError="1">
        <row r="3">
          <cell r="D3" t="str">
            <v>UF</v>
          </cell>
          <cell r="E3" t="str">
            <v>UF_DESC</v>
          </cell>
          <cell r="F3" t="str">
            <v>ICMS</v>
          </cell>
          <cell r="G3" t="str">
            <v>REPASSE</v>
          </cell>
          <cell r="H3" t="str">
            <v>PROCV</v>
          </cell>
        </row>
        <row r="4">
          <cell r="D4" t="str">
            <v>AC</v>
          </cell>
          <cell r="E4" t="str">
            <v>ACRE</v>
          </cell>
          <cell r="F4">
            <v>0.19</v>
          </cell>
          <cell r="G4">
            <v>0.129</v>
          </cell>
          <cell r="H4">
            <v>10</v>
          </cell>
        </row>
        <row r="5">
          <cell r="D5" t="str">
            <v>AL</v>
          </cell>
          <cell r="E5" t="str">
            <v>ALAGOAS</v>
          </cell>
          <cell r="F5">
            <v>0.19</v>
          </cell>
          <cell r="G5">
            <v>0.129</v>
          </cell>
          <cell r="H5">
            <v>10</v>
          </cell>
        </row>
        <row r="6">
          <cell r="D6" t="str">
            <v>AM</v>
          </cell>
          <cell r="E6" t="str">
            <v>AMAZONAS</v>
          </cell>
          <cell r="F6">
            <v>0.2</v>
          </cell>
          <cell r="G6">
            <v>0.13980000000000001</v>
          </cell>
          <cell r="H6">
            <v>5</v>
          </cell>
        </row>
        <row r="7">
          <cell r="D7" t="str">
            <v>AP</v>
          </cell>
          <cell r="E7" t="str">
            <v>AMAPA</v>
          </cell>
          <cell r="F7">
            <v>0.18</v>
          </cell>
          <cell r="G7">
            <v>0.1183</v>
          </cell>
          <cell r="H7">
            <v>6</v>
          </cell>
        </row>
        <row r="8">
          <cell r="D8" t="str">
            <v>BA</v>
          </cell>
          <cell r="E8" t="str">
            <v>BAHIA</v>
          </cell>
          <cell r="F8">
            <v>0.20499999999999999</v>
          </cell>
          <cell r="G8">
            <v>0.1452</v>
          </cell>
          <cell r="H8">
            <v>13</v>
          </cell>
        </row>
        <row r="9">
          <cell r="D9" t="str">
            <v>CE</v>
          </cell>
          <cell r="E9" t="str">
            <v>CEARA</v>
          </cell>
          <cell r="F9">
            <v>0.2</v>
          </cell>
          <cell r="G9">
            <v>0.13980000000000001</v>
          </cell>
          <cell r="H9">
            <v>5</v>
          </cell>
        </row>
        <row r="10">
          <cell r="D10" t="str">
            <v>DF</v>
          </cell>
          <cell r="E10" t="str">
            <v>DISTRITO FEDERAL</v>
          </cell>
          <cell r="F10">
            <v>0.17</v>
          </cell>
          <cell r="G10">
            <v>0.1075</v>
          </cell>
          <cell r="H10">
            <v>7</v>
          </cell>
        </row>
        <row r="11">
          <cell r="D11" t="str">
            <v>ES</v>
          </cell>
          <cell r="E11" t="str">
            <v>ESPIRITO SANTO</v>
          </cell>
          <cell r="F11">
            <v>0.17</v>
          </cell>
          <cell r="G11">
            <v>0.1075</v>
          </cell>
          <cell r="H11">
            <v>7</v>
          </cell>
        </row>
        <row r="12">
          <cell r="D12" t="str">
            <v>GO</v>
          </cell>
          <cell r="E12" t="str">
            <v>GOIAS</v>
          </cell>
          <cell r="F12">
            <v>0.19</v>
          </cell>
          <cell r="G12">
            <v>0.129</v>
          </cell>
          <cell r="H12">
            <v>10</v>
          </cell>
        </row>
        <row r="13">
          <cell r="D13" t="str">
            <v>MA</v>
          </cell>
          <cell r="E13" t="str">
            <v>MARANHAO</v>
          </cell>
          <cell r="F13">
            <v>0.23</v>
          </cell>
          <cell r="G13">
            <v>0.17199999999999999</v>
          </cell>
          <cell r="H13">
            <v>15</v>
          </cell>
        </row>
        <row r="14">
          <cell r="D14" t="str">
            <v>MG</v>
          </cell>
          <cell r="E14" t="str">
            <v>MINAS GERAIS</v>
          </cell>
          <cell r="F14">
            <v>0.18</v>
          </cell>
          <cell r="G14">
            <v>0</v>
          </cell>
          <cell r="H14">
            <v>6</v>
          </cell>
        </row>
        <row r="15">
          <cell r="D15" t="str">
            <v>MS</v>
          </cell>
          <cell r="E15" t="str">
            <v>MATO GROSSO DO SUL</v>
          </cell>
          <cell r="F15">
            <v>0.17</v>
          </cell>
          <cell r="G15">
            <v>0.1075</v>
          </cell>
          <cell r="H15">
            <v>7</v>
          </cell>
        </row>
        <row r="16">
          <cell r="D16" t="str">
            <v>MT</v>
          </cell>
          <cell r="E16" t="str">
            <v>MATO GROSSO</v>
          </cell>
          <cell r="F16">
            <v>0.17</v>
          </cell>
          <cell r="G16">
            <v>0.1075</v>
          </cell>
          <cell r="H16">
            <v>7</v>
          </cell>
        </row>
        <row r="17">
          <cell r="D17" t="str">
            <v>PA</v>
          </cell>
          <cell r="E17" t="str">
            <v>PARA</v>
          </cell>
          <cell r="F17">
            <v>0.19</v>
          </cell>
          <cell r="G17">
            <v>0.129</v>
          </cell>
          <cell r="H17">
            <v>10</v>
          </cell>
        </row>
        <row r="18">
          <cell r="D18" t="str">
            <v>PB</v>
          </cell>
          <cell r="E18" t="str">
            <v>PARAIBA</v>
          </cell>
          <cell r="F18">
            <v>0.2</v>
          </cell>
          <cell r="G18">
            <v>0.13980000000000001</v>
          </cell>
          <cell r="H18">
            <v>5</v>
          </cell>
        </row>
        <row r="19">
          <cell r="D19" t="str">
            <v>PE</v>
          </cell>
          <cell r="E19" t="str">
            <v>PERNAMBUCO</v>
          </cell>
          <cell r="F19">
            <v>0.20499999999999999</v>
          </cell>
          <cell r="G19">
            <v>0.1452</v>
          </cell>
          <cell r="H19">
            <v>13</v>
          </cell>
        </row>
        <row r="20">
          <cell r="D20" t="str">
            <v>PI</v>
          </cell>
          <cell r="E20" t="str">
            <v>PIAUI</v>
          </cell>
          <cell r="F20">
            <v>0.22500000000000001</v>
          </cell>
          <cell r="G20">
            <v>0.1678</v>
          </cell>
          <cell r="H20">
            <v>16</v>
          </cell>
        </row>
        <row r="21">
          <cell r="D21" t="str">
            <v>PR</v>
          </cell>
          <cell r="E21" t="str">
            <v>PARANA</v>
          </cell>
          <cell r="F21">
            <v>0.19500000000000001</v>
          </cell>
          <cell r="G21">
            <v>8.5199999999999998E-2</v>
          </cell>
          <cell r="H21">
            <v>14</v>
          </cell>
        </row>
        <row r="22">
          <cell r="D22" t="str">
            <v>RJ</v>
          </cell>
          <cell r="E22" t="str">
            <v>RIO DE JANEIRO</v>
          </cell>
          <cell r="F22">
            <v>0.22</v>
          </cell>
          <cell r="G22">
            <v>0.11360000000000001</v>
          </cell>
          <cell r="H22">
            <v>12</v>
          </cell>
        </row>
        <row r="23">
          <cell r="D23" t="str">
            <v>RN</v>
          </cell>
          <cell r="E23" t="str">
            <v>RIO GRANDE DO NORTE</v>
          </cell>
          <cell r="F23">
            <v>0.2</v>
          </cell>
          <cell r="G23">
            <v>0.13980000000000001</v>
          </cell>
          <cell r="H23">
            <v>5</v>
          </cell>
        </row>
        <row r="24">
          <cell r="D24" t="str">
            <v>RO</v>
          </cell>
          <cell r="E24" t="str">
            <v>RONDONIA</v>
          </cell>
          <cell r="F24">
            <v>0.19500000000000001</v>
          </cell>
          <cell r="G24">
            <v>0.13439999999999999</v>
          </cell>
          <cell r="H24">
            <v>14</v>
          </cell>
        </row>
        <row r="25">
          <cell r="D25" t="str">
            <v>RR</v>
          </cell>
          <cell r="E25" t="str">
            <v>RORAIMA</v>
          </cell>
          <cell r="F25">
            <v>0.2</v>
          </cell>
          <cell r="G25">
            <v>0.13980000000000001</v>
          </cell>
          <cell r="H25">
            <v>5</v>
          </cell>
        </row>
        <row r="26">
          <cell r="D26" t="str">
            <v>RS</v>
          </cell>
          <cell r="E26" t="str">
            <v>RIO GRANDE DO SUL</v>
          </cell>
          <cell r="F26">
            <v>0.17</v>
          </cell>
          <cell r="G26">
            <v>5.6800000000000003E-2</v>
          </cell>
          <cell r="H26">
            <v>7</v>
          </cell>
        </row>
        <row r="27">
          <cell r="D27" t="str">
            <v>SC</v>
          </cell>
          <cell r="E27" t="str">
            <v>SANTA CATARINA</v>
          </cell>
          <cell r="F27">
            <v>0.17</v>
          </cell>
          <cell r="G27">
            <v>5.6800000000000003E-2</v>
          </cell>
          <cell r="H27">
            <v>7</v>
          </cell>
        </row>
        <row r="28">
          <cell r="D28" t="str">
            <v>SE</v>
          </cell>
          <cell r="E28" t="str">
            <v>SERGIPE</v>
          </cell>
          <cell r="F28">
            <v>0.19</v>
          </cell>
          <cell r="G28">
            <v>0.129</v>
          </cell>
          <cell r="H28">
            <v>10</v>
          </cell>
        </row>
        <row r="29">
          <cell r="D29" t="str">
            <v>SP</v>
          </cell>
          <cell r="E29" t="str">
            <v>SAO PAULO</v>
          </cell>
          <cell r="F29">
            <v>0.18</v>
          </cell>
          <cell r="G29">
            <v>0</v>
          </cell>
          <cell r="H29">
            <v>6</v>
          </cell>
        </row>
        <row r="30">
          <cell r="D30" t="str">
            <v>TO</v>
          </cell>
          <cell r="E30" t="str">
            <v>TOCANTINS</v>
          </cell>
          <cell r="F30">
            <v>0.2</v>
          </cell>
          <cell r="G30">
            <v>0.13980000000000001</v>
          </cell>
          <cell r="H30">
            <v>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0919-9978-4675-8546-E10D77CDC866}">
  <dimension ref="B1:U142"/>
  <sheetViews>
    <sheetView tabSelected="1" workbookViewId="0">
      <selection activeCell="A8" sqref="A8:XFD8"/>
    </sheetView>
  </sheetViews>
  <sheetFormatPr defaultColWidth="9.140625" defaultRowHeight="12" x14ac:dyDescent="0.25"/>
  <cols>
    <col min="1" max="1" width="1" style="51" customWidth="1"/>
    <col min="2" max="2" width="6.85546875" style="79" customWidth="1"/>
    <col min="3" max="3" width="7.85546875" style="79" customWidth="1"/>
    <col min="4" max="4" width="14.140625" style="79" customWidth="1"/>
    <col min="5" max="5" width="16.85546875" style="79" customWidth="1"/>
    <col min="6" max="6" width="17.5703125" style="79" customWidth="1"/>
    <col min="7" max="7" width="37" style="83" customWidth="1"/>
    <col min="8" max="8" width="14.5703125" style="81" bestFit="1" customWidth="1"/>
    <col min="9" max="10" width="23.85546875" style="82" customWidth="1"/>
    <col min="11" max="11" width="9.85546875" style="84" customWidth="1"/>
    <col min="12" max="12" width="9.140625" style="84"/>
    <col min="13" max="13" width="20.5703125" style="84" bestFit="1" customWidth="1"/>
    <col min="14" max="14" width="8.5703125" style="84" customWidth="1"/>
    <col min="15" max="15" width="20.7109375" style="84" bestFit="1" customWidth="1"/>
    <col min="16" max="16" width="9.85546875" style="85" customWidth="1"/>
    <col min="17" max="19" width="9.140625" style="51"/>
    <col min="20" max="21" width="9.140625" style="51" hidden="1" customWidth="1"/>
    <col min="22" max="16384" width="9.140625" style="51"/>
  </cols>
  <sheetData>
    <row r="1" spans="2:21" s="7" customFormat="1" ht="3.75" customHeight="1" x14ac:dyDescent="0.25">
      <c r="B1" s="1"/>
      <c r="C1" s="1"/>
      <c r="D1" s="1"/>
      <c r="E1" s="1"/>
      <c r="F1" s="1"/>
      <c r="G1" s="2"/>
      <c r="H1" s="3"/>
      <c r="I1" s="4"/>
      <c r="J1" s="4"/>
      <c r="K1" s="5"/>
      <c r="L1" s="5"/>
      <c r="M1" s="5"/>
      <c r="N1" s="5"/>
      <c r="O1" s="5"/>
      <c r="P1" s="6"/>
    </row>
    <row r="2" spans="2:21" s="7" customFormat="1" ht="20.25" customHeight="1" x14ac:dyDescent="0.25">
      <c r="B2" s="8"/>
      <c r="C2" s="9"/>
      <c r="D2" s="9"/>
      <c r="E2" s="9"/>
      <c r="F2" s="9"/>
      <c r="G2" s="10" t="s">
        <v>0</v>
      </c>
      <c r="H2" s="11" t="s">
        <v>1</v>
      </c>
      <c r="I2" s="12"/>
      <c r="J2" s="12"/>
      <c r="K2" s="12"/>
      <c r="L2" s="12"/>
      <c r="M2" s="86" t="s">
        <v>378</v>
      </c>
      <c r="N2" s="13"/>
      <c r="O2" s="87" t="s">
        <v>379</v>
      </c>
      <c r="P2" s="88"/>
    </row>
    <row r="3" spans="2:21" s="7" customFormat="1" ht="12.75" customHeight="1" x14ac:dyDescent="0.25">
      <c r="B3" s="14"/>
      <c r="C3" s="15"/>
      <c r="D3" s="15"/>
      <c r="E3" s="15"/>
      <c r="F3" s="15"/>
      <c r="G3" s="16" t="s">
        <v>2</v>
      </c>
      <c r="H3" s="17">
        <f>VLOOKUP($H$2,[1]REPASSE!A:D,3,0)</f>
        <v>0.19500000000000001</v>
      </c>
      <c r="I3" s="18" t="str">
        <f>IF(OR(H2="SP",H2="MG",H2="RJ"),"18%","")</f>
        <v/>
      </c>
      <c r="J3" s="12"/>
      <c r="K3" s="18"/>
      <c r="L3" s="12"/>
      <c r="M3" s="86"/>
      <c r="N3" s="13"/>
      <c r="O3" s="87"/>
      <c r="P3" s="88"/>
    </row>
    <row r="4" spans="2:21" s="7" customFormat="1" ht="16.7" customHeight="1" x14ac:dyDescent="0.25">
      <c r="B4" s="14"/>
      <c r="C4" s="15"/>
      <c r="D4" s="15"/>
      <c r="E4" s="15"/>
      <c r="F4" s="15"/>
      <c r="G4" s="16" t="s">
        <v>3</v>
      </c>
      <c r="H4" s="17">
        <f>VLOOKUP($H$2,[1]REPASSE!A:D,4,0)</f>
        <v>8.5199999999999998E-2</v>
      </c>
      <c r="I4" s="12"/>
      <c r="J4" s="12"/>
      <c r="K4" s="12"/>
      <c r="L4" s="12"/>
      <c r="M4" s="86"/>
      <c r="N4" s="13"/>
      <c r="O4" s="87"/>
      <c r="P4" s="88"/>
    </row>
    <row r="5" spans="2:21" s="25" customFormat="1" ht="15.6" customHeight="1" x14ac:dyDescent="0.2">
      <c r="B5" s="19"/>
      <c r="C5" s="20"/>
      <c r="D5" s="20"/>
      <c r="E5" s="20"/>
      <c r="F5" s="20"/>
      <c r="G5" s="21" t="s">
        <v>4</v>
      </c>
      <c r="H5" s="22">
        <f>VLOOKUP($H$2,[2]BASE!$D:$H,5,0)</f>
        <v>14</v>
      </c>
      <c r="I5" s="23"/>
      <c r="J5" s="23"/>
      <c r="K5" s="23"/>
      <c r="L5" s="23"/>
      <c r="M5" s="86"/>
      <c r="N5" s="24"/>
      <c r="O5" s="87"/>
      <c r="P5" s="88"/>
    </row>
    <row r="6" spans="2:21" s="25" customFormat="1" ht="15.6" customHeight="1" x14ac:dyDescent="0.2">
      <c r="B6" s="19"/>
      <c r="C6" s="20"/>
      <c r="D6" s="20"/>
      <c r="E6" s="20"/>
      <c r="F6" s="20"/>
      <c r="G6" s="21" t="s">
        <v>5</v>
      </c>
      <c r="H6" s="22" t="str">
        <f>IF(OR(H2="SP",H2="MG",H2="RJ"),6,"")</f>
        <v/>
      </c>
      <c r="I6" s="23"/>
      <c r="J6" s="23"/>
      <c r="K6" s="23"/>
      <c r="L6" s="23"/>
      <c r="M6" s="86"/>
      <c r="N6" s="24"/>
      <c r="O6" s="87"/>
      <c r="P6" s="88"/>
    </row>
    <row r="7" spans="2:21" s="7" customFormat="1" ht="15.6" customHeight="1" x14ac:dyDescent="0.25">
      <c r="B7" s="26"/>
      <c r="C7" s="27"/>
      <c r="D7" s="28"/>
      <c r="E7" s="28"/>
      <c r="F7" s="28"/>
      <c r="G7" s="29" t="s">
        <v>6</v>
      </c>
      <c r="H7" s="29"/>
      <c r="I7" s="12"/>
      <c r="J7" s="12"/>
      <c r="K7" s="12"/>
      <c r="L7" s="12"/>
      <c r="M7" s="86"/>
      <c r="N7" s="13"/>
      <c r="O7" s="87"/>
      <c r="P7" s="88"/>
    </row>
    <row r="8" spans="2:21" s="38" customFormat="1" ht="24" x14ac:dyDescent="0.25">
      <c r="B8" s="30" t="s">
        <v>7</v>
      </c>
      <c r="C8" s="31" t="s">
        <v>8</v>
      </c>
      <c r="D8" s="32" t="s">
        <v>9</v>
      </c>
      <c r="E8" s="30" t="s">
        <v>10</v>
      </c>
      <c r="F8" s="30" t="s">
        <v>11</v>
      </c>
      <c r="G8" s="30" t="s">
        <v>12</v>
      </c>
      <c r="H8" s="30" t="s">
        <v>13</v>
      </c>
      <c r="I8" s="33" t="s">
        <v>14</v>
      </c>
      <c r="J8" s="33" t="s">
        <v>15</v>
      </c>
      <c r="K8" s="34" t="s">
        <v>16</v>
      </c>
      <c r="L8" s="34" t="s">
        <v>17</v>
      </c>
      <c r="M8" s="35" t="s">
        <v>18</v>
      </c>
      <c r="N8" s="34" t="s">
        <v>19</v>
      </c>
      <c r="O8" s="36" t="s">
        <v>18</v>
      </c>
      <c r="P8" s="37" t="s">
        <v>18</v>
      </c>
      <c r="U8" s="38">
        <f>_xlfn.XLOOKUP(H3,T10:T22,U10:U22)</f>
        <v>16</v>
      </c>
    </row>
    <row r="9" spans="2:21" ht="12" customHeight="1" x14ac:dyDescent="0.2">
      <c r="B9" s="39" t="s">
        <v>20</v>
      </c>
      <c r="C9" s="40">
        <v>33022</v>
      </c>
      <c r="D9" s="41" t="s">
        <v>21</v>
      </c>
      <c r="E9" s="42" t="s">
        <v>22</v>
      </c>
      <c r="F9" s="43" t="s">
        <v>23</v>
      </c>
      <c r="G9" s="44" t="s">
        <v>24</v>
      </c>
      <c r="H9" s="45" t="s">
        <v>25</v>
      </c>
      <c r="I9" s="43" t="s">
        <v>26</v>
      </c>
      <c r="J9" s="43" t="s">
        <v>27</v>
      </c>
      <c r="K9" s="45" t="s">
        <v>28</v>
      </c>
      <c r="L9" s="46">
        <f>IF(ISERROR(VLOOKUP($C9,[1]TABELA_PREÇOS!B:W,$U$8,FALSE))=TRUE,"",VLOOKUP($C9,[1]TABELA_PREÇOS!B:W,$U$8,FALSE))</f>
        <v>18.27</v>
      </c>
      <c r="M9" s="47">
        <f t="shared" ref="M9:M40" si="0">$L9-($L9*P9)</f>
        <v>1.2161425701749522</v>
      </c>
      <c r="N9" s="48">
        <f t="shared" ref="N9:N72" si="1">$H$4</f>
        <v>8.5199999999999998E-2</v>
      </c>
      <c r="O9" s="49">
        <f t="shared" ref="O9:O40" si="2">M9*(1-$N9)</f>
        <v>1.1125272231960464</v>
      </c>
      <c r="P9" s="50">
        <f>_xlfn.XLOOKUP(C9&amp;$H$2,[1]POLITICA!A:A,[1]POLITICA!F:F)/100</f>
        <v>0.93343499889573334</v>
      </c>
      <c r="T9" s="52" t="s">
        <v>29</v>
      </c>
      <c r="U9" s="52" t="s">
        <v>30</v>
      </c>
    </row>
    <row r="10" spans="2:21" ht="12" customHeight="1" x14ac:dyDescent="0.2">
      <c r="B10" s="39" t="s">
        <v>20</v>
      </c>
      <c r="C10" s="40">
        <v>32568</v>
      </c>
      <c r="D10" s="53" t="s">
        <v>31</v>
      </c>
      <c r="E10" s="42" t="s">
        <v>22</v>
      </c>
      <c r="F10" s="43" t="s">
        <v>23</v>
      </c>
      <c r="G10" s="44" t="s">
        <v>32</v>
      </c>
      <c r="H10" s="45" t="s">
        <v>25</v>
      </c>
      <c r="I10" s="54" t="s">
        <v>33</v>
      </c>
      <c r="J10" s="43" t="s">
        <v>27</v>
      </c>
      <c r="K10" s="45" t="s">
        <v>28</v>
      </c>
      <c r="L10" s="46">
        <f>IF(ISERROR(VLOOKUP($C10,[1]TABELA_PREÇOS!B:W,$U$8,FALSE))=TRUE,"",VLOOKUP($C10,[1]TABELA_PREÇOS!B:W,$U$8,FALSE))</f>
        <v>48.11</v>
      </c>
      <c r="M10" s="47">
        <f t="shared" si="0"/>
        <v>5.2381132578909728</v>
      </c>
      <c r="N10" s="48">
        <f t="shared" si="1"/>
        <v>8.5199999999999998E-2</v>
      </c>
      <c r="O10" s="49">
        <f t="shared" si="2"/>
        <v>4.7918260083186626</v>
      </c>
      <c r="P10" s="50">
        <f>_xlfn.XLOOKUP(C10&amp;$H$2,[1]POLITICA!A:A,[1]POLITICA!F:F)/100</f>
        <v>0.89112215219515756</v>
      </c>
      <c r="T10" s="55">
        <v>0.2</v>
      </c>
      <c r="U10" s="56">
        <v>15</v>
      </c>
    </row>
    <row r="11" spans="2:21" ht="12" customHeight="1" x14ac:dyDescent="0.2">
      <c r="B11" s="39" t="s">
        <v>34</v>
      </c>
      <c r="C11" s="40">
        <v>32468</v>
      </c>
      <c r="D11" s="41" t="s">
        <v>35</v>
      </c>
      <c r="E11" s="42" t="s">
        <v>36</v>
      </c>
      <c r="F11" s="43" t="s">
        <v>37</v>
      </c>
      <c r="G11" s="44" t="s">
        <v>38</v>
      </c>
      <c r="H11" s="45" t="s">
        <v>25</v>
      </c>
      <c r="I11" s="43" t="s">
        <v>39</v>
      </c>
      <c r="J11" s="43" t="s">
        <v>40</v>
      </c>
      <c r="K11" s="45" t="s">
        <v>28</v>
      </c>
      <c r="L11" s="46">
        <f>IF(ISERROR(VLOOKUP($C11,[1]TABELA_PREÇOS!B:W,$U$8,FALSE))=TRUE,"",VLOOKUP($C11,[1]TABELA_PREÇOS!B:W,$U$8,FALSE))</f>
        <v>71.81</v>
      </c>
      <c r="M11" s="47">
        <f t="shared" si="0"/>
        <v>48.597688374801862</v>
      </c>
      <c r="N11" s="48">
        <f t="shared" si="1"/>
        <v>8.5199999999999998E-2</v>
      </c>
      <c r="O11" s="49">
        <f t="shared" si="2"/>
        <v>44.457165325268747</v>
      </c>
      <c r="P11" s="50">
        <f>_xlfn.XLOOKUP(C11&amp;$H$2,[1]POLITICA!A:A,[1]POLITICA!F:F)/100</f>
        <v>0.32324622789581026</v>
      </c>
      <c r="T11" s="55"/>
      <c r="U11" s="56"/>
    </row>
    <row r="12" spans="2:21" ht="12" customHeight="1" x14ac:dyDescent="0.2">
      <c r="B12" s="39" t="s">
        <v>34</v>
      </c>
      <c r="C12" s="40">
        <v>32469</v>
      </c>
      <c r="D12" s="41" t="s">
        <v>41</v>
      </c>
      <c r="E12" s="42" t="s">
        <v>36</v>
      </c>
      <c r="F12" s="43" t="s">
        <v>37</v>
      </c>
      <c r="G12" s="44" t="s">
        <v>42</v>
      </c>
      <c r="H12" s="45" t="s">
        <v>25</v>
      </c>
      <c r="I12" s="43" t="s">
        <v>39</v>
      </c>
      <c r="J12" s="43" t="s">
        <v>40</v>
      </c>
      <c r="K12" s="45" t="s">
        <v>28</v>
      </c>
      <c r="L12" s="46">
        <f>IF(ISERROR(VLOOKUP($C12,[1]TABELA_PREÇOS!B:W,$U$8,FALSE))=TRUE,"",VLOOKUP($C12,[1]TABELA_PREÇOS!B:W,$U$8,FALSE))</f>
        <v>103.16</v>
      </c>
      <c r="M12" s="47">
        <f t="shared" si="0"/>
        <v>66.864044716849435</v>
      </c>
      <c r="N12" s="48">
        <f t="shared" si="1"/>
        <v>8.5199999999999998E-2</v>
      </c>
      <c r="O12" s="49">
        <f t="shared" si="2"/>
        <v>61.167228106973866</v>
      </c>
      <c r="P12" s="50">
        <f>_xlfn.XLOOKUP(C12&amp;$H$2,[1]POLITICA!A:A,[1]POLITICA!F:F)/100</f>
        <v>0.35184136567613955</v>
      </c>
      <c r="T12" s="55">
        <v>0.18</v>
      </c>
      <c r="U12" s="56">
        <v>18</v>
      </c>
    </row>
    <row r="13" spans="2:21" ht="12" customHeight="1" x14ac:dyDescent="0.2">
      <c r="B13" s="39" t="s">
        <v>34</v>
      </c>
      <c r="C13" s="40">
        <v>32576</v>
      </c>
      <c r="D13" s="41" t="s">
        <v>43</v>
      </c>
      <c r="E13" s="42" t="s">
        <v>36</v>
      </c>
      <c r="F13" s="43" t="s">
        <v>37</v>
      </c>
      <c r="G13" s="44" t="s">
        <v>44</v>
      </c>
      <c r="H13" s="45" t="s">
        <v>25</v>
      </c>
      <c r="I13" s="43" t="s">
        <v>39</v>
      </c>
      <c r="J13" s="43" t="s">
        <v>40</v>
      </c>
      <c r="K13" s="45" t="s">
        <v>28</v>
      </c>
      <c r="L13" s="46">
        <f>IF(ISERROR(VLOOKUP($C13,[1]TABELA_PREÇOS!B:W,$U$8,FALSE))=TRUE,"",VLOOKUP($C13,[1]TABELA_PREÇOS!B:W,$U$8,FALSE))</f>
        <v>48.29</v>
      </c>
      <c r="M13" s="47">
        <f t="shared" si="0"/>
        <v>32.169425772596611</v>
      </c>
      <c r="N13" s="48">
        <f t="shared" si="1"/>
        <v>8.5199999999999998E-2</v>
      </c>
      <c r="O13" s="49">
        <f t="shared" si="2"/>
        <v>29.42859069677138</v>
      </c>
      <c r="P13" s="50">
        <f>_xlfn.XLOOKUP(C13&amp;$H$2,[1]POLITICA!A:A,[1]POLITICA!F:F)/100</f>
        <v>0.33382841638855631</v>
      </c>
      <c r="T13" s="55">
        <v>0.17</v>
      </c>
      <c r="U13" s="56">
        <v>20</v>
      </c>
    </row>
    <row r="14" spans="2:21" ht="12" customHeight="1" x14ac:dyDescent="0.2">
      <c r="B14" s="39" t="s">
        <v>20</v>
      </c>
      <c r="C14" s="57">
        <v>60638</v>
      </c>
      <c r="D14" s="41" t="s">
        <v>45</v>
      </c>
      <c r="E14" s="42" t="s">
        <v>20</v>
      </c>
      <c r="F14" s="43" t="s">
        <v>46</v>
      </c>
      <c r="G14" s="58" t="s">
        <v>47</v>
      </c>
      <c r="H14" s="45" t="str">
        <f>_xlfn.XLOOKUP($C14,[1]TABELA_PREÇOS!$B:$B,[1]TABELA_PREÇOS!J:J)</f>
        <v>NEGATIVA</v>
      </c>
      <c r="I14" s="43"/>
      <c r="J14" s="43" t="s">
        <v>20</v>
      </c>
      <c r="K14" s="45" t="s">
        <v>28</v>
      </c>
      <c r="L14" s="46">
        <f>IF(ISERROR(VLOOKUP($C14,[1]TABELA_PREÇOS!B:W,$U$8,FALSE))=TRUE,"",VLOOKUP($C14,[1]TABELA_PREÇOS!B:W,$U$8,FALSE))</f>
        <v>37.159999999999997</v>
      </c>
      <c r="M14" s="47">
        <f t="shared" si="0"/>
        <v>24.897199999999998</v>
      </c>
      <c r="N14" s="48">
        <f t="shared" si="1"/>
        <v>8.5199999999999998E-2</v>
      </c>
      <c r="O14" s="49">
        <f t="shared" si="2"/>
        <v>22.775958559999999</v>
      </c>
      <c r="P14" s="50">
        <f>_xlfn.XLOOKUP(C14&amp;$H$2,[1]POLITICA!A:A,[1]POLITICA!F:F)/100</f>
        <v>0.33</v>
      </c>
      <c r="T14" s="55">
        <v>0.17499999999999999</v>
      </c>
      <c r="U14" s="56">
        <v>19</v>
      </c>
    </row>
    <row r="15" spans="2:21" ht="12" customHeight="1" x14ac:dyDescent="0.2">
      <c r="B15" s="39" t="s">
        <v>20</v>
      </c>
      <c r="C15" s="57">
        <v>60649</v>
      </c>
      <c r="D15" s="41" t="s">
        <v>48</v>
      </c>
      <c r="E15" s="42" t="s">
        <v>20</v>
      </c>
      <c r="F15" s="43" t="s">
        <v>46</v>
      </c>
      <c r="G15" s="44" t="s">
        <v>49</v>
      </c>
      <c r="H15" s="45" t="str">
        <f>_xlfn.XLOOKUP($C15,[1]TABELA_PREÇOS!$B:$B,[1]TABELA_PREÇOS!J:J)</f>
        <v>NEGATIVA</v>
      </c>
      <c r="I15" s="43"/>
      <c r="J15" s="43" t="s">
        <v>20</v>
      </c>
      <c r="K15" s="45" t="s">
        <v>28</v>
      </c>
      <c r="L15" s="46">
        <f>IF(ISERROR(VLOOKUP($C15,[1]TABELA_PREÇOS!B:W,$U$8,FALSE))=TRUE,"",VLOOKUP($C15,[1]TABELA_PREÇOS!B:W,$U$8,FALSE))</f>
        <v>58.08</v>
      </c>
      <c r="M15" s="47">
        <f t="shared" si="0"/>
        <v>38.913600000000002</v>
      </c>
      <c r="N15" s="48">
        <f t="shared" si="1"/>
        <v>8.5199999999999998E-2</v>
      </c>
      <c r="O15" s="49">
        <f t="shared" si="2"/>
        <v>35.598161280000006</v>
      </c>
      <c r="P15" s="50">
        <f>_xlfn.XLOOKUP(C15&amp;$H$2,[1]POLITICA!A:A,[1]POLITICA!F:F)/100</f>
        <v>0.33</v>
      </c>
      <c r="T15" s="55">
        <v>0.12</v>
      </c>
      <c r="U15" s="56">
        <v>21</v>
      </c>
    </row>
    <row r="16" spans="2:21" ht="12" customHeight="1" x14ac:dyDescent="0.2">
      <c r="B16" s="39" t="s">
        <v>20</v>
      </c>
      <c r="C16" s="57">
        <v>1583</v>
      </c>
      <c r="D16" s="41" t="s">
        <v>50</v>
      </c>
      <c r="E16" s="42" t="s">
        <v>20</v>
      </c>
      <c r="F16" s="43" t="s">
        <v>46</v>
      </c>
      <c r="G16" s="44" t="s">
        <v>51</v>
      </c>
      <c r="H16" s="45" t="str">
        <f>_xlfn.XLOOKUP($C16,[1]TABELA_PREÇOS!$B:$B,[1]TABELA_PREÇOS!J:J)</f>
        <v>NEGATIVA</v>
      </c>
      <c r="I16" s="43"/>
      <c r="J16" s="43" t="s">
        <v>20</v>
      </c>
      <c r="K16" s="45" t="s">
        <v>28</v>
      </c>
      <c r="L16" s="46">
        <f>IF(ISERROR(VLOOKUP($C16,[1]TABELA_PREÇOS!B:W,$U$8,FALSE))=TRUE,"",VLOOKUP($C16,[1]TABELA_PREÇOS!B:W,$U$8,FALSE))</f>
        <v>36.26</v>
      </c>
      <c r="M16" s="47">
        <f t="shared" si="0"/>
        <v>24.294199999999996</v>
      </c>
      <c r="N16" s="48">
        <f t="shared" si="1"/>
        <v>8.5199999999999998E-2</v>
      </c>
      <c r="O16" s="49">
        <f t="shared" si="2"/>
        <v>22.224334159999998</v>
      </c>
      <c r="P16" s="50">
        <f>_xlfn.XLOOKUP(C16&amp;$H$2,[1]POLITICA!A:A,[1]POLITICA!F:F)/100</f>
        <v>0.33</v>
      </c>
      <c r="T16" s="55">
        <v>0.19</v>
      </c>
      <c r="U16" s="56">
        <v>17</v>
      </c>
    </row>
    <row r="17" spans="2:21" ht="12" customHeight="1" x14ac:dyDescent="0.2">
      <c r="B17" s="39" t="s">
        <v>20</v>
      </c>
      <c r="C17" s="57">
        <v>60016</v>
      </c>
      <c r="D17" s="41" t="s">
        <v>52</v>
      </c>
      <c r="E17" s="42" t="s">
        <v>20</v>
      </c>
      <c r="F17" s="43" t="s">
        <v>46</v>
      </c>
      <c r="G17" s="44" t="s">
        <v>53</v>
      </c>
      <c r="H17" s="45" t="str">
        <f>_xlfn.XLOOKUP($C17,[1]TABELA_PREÇOS!$B:$B,[1]TABELA_PREÇOS!J:J)</f>
        <v>NEGATIVA</v>
      </c>
      <c r="I17" s="43"/>
      <c r="J17" s="43" t="s">
        <v>20</v>
      </c>
      <c r="K17" s="45" t="s">
        <v>28</v>
      </c>
      <c r="L17" s="46">
        <f>IF(ISERROR(VLOOKUP($C17,[1]TABELA_PREÇOS!B:W,$U$8,FALSE))=TRUE,"",VLOOKUP($C17,[1]TABELA_PREÇOS!B:W,$U$8,FALSE))</f>
        <v>21.36</v>
      </c>
      <c r="M17" s="47">
        <f t="shared" si="0"/>
        <v>14.311199999999999</v>
      </c>
      <c r="N17" s="48">
        <f t="shared" si="1"/>
        <v>8.5199999999999998E-2</v>
      </c>
      <c r="O17" s="49">
        <f t="shared" si="2"/>
        <v>13.09188576</v>
      </c>
      <c r="P17" s="50">
        <f>_xlfn.XLOOKUP(C17&amp;$H$2,[1]POLITICA!A:A,[1]POLITICA!F:F)/100</f>
        <v>0.33</v>
      </c>
      <c r="T17" s="55">
        <v>0.21</v>
      </c>
      <c r="U17" s="56">
        <v>13</v>
      </c>
    </row>
    <row r="18" spans="2:21" ht="12" customHeight="1" x14ac:dyDescent="0.2">
      <c r="B18" s="39" t="s">
        <v>20</v>
      </c>
      <c r="C18" s="57">
        <v>60015</v>
      </c>
      <c r="D18" s="41" t="s">
        <v>54</v>
      </c>
      <c r="E18" s="42" t="s">
        <v>20</v>
      </c>
      <c r="F18" s="43" t="s">
        <v>46</v>
      </c>
      <c r="G18" s="44" t="s">
        <v>55</v>
      </c>
      <c r="H18" s="45" t="str">
        <f>_xlfn.XLOOKUP($C18,[1]TABELA_PREÇOS!$B:$B,[1]TABELA_PREÇOS!J:J)</f>
        <v>NEGATIVA</v>
      </c>
      <c r="I18" s="43"/>
      <c r="J18" s="43" t="s">
        <v>20</v>
      </c>
      <c r="K18" s="45" t="s">
        <v>28</v>
      </c>
      <c r="L18" s="46">
        <f>IF(ISERROR(VLOOKUP($C18,[1]TABELA_PREÇOS!B:W,$U$8,FALSE))=TRUE,"",VLOOKUP($C18,[1]TABELA_PREÇOS!B:W,$U$8,FALSE))</f>
        <v>22.49</v>
      </c>
      <c r="M18" s="47">
        <f t="shared" si="0"/>
        <v>15.068299999999999</v>
      </c>
      <c r="N18" s="48">
        <f t="shared" si="1"/>
        <v>8.5199999999999998E-2</v>
      </c>
      <c r="O18" s="49">
        <f t="shared" si="2"/>
        <v>13.784480840000001</v>
      </c>
      <c r="P18" s="50">
        <f>_xlfn.XLOOKUP(C18&amp;$H$2,[1]POLITICA!A:A,[1]POLITICA!F:F)/100</f>
        <v>0.33</v>
      </c>
      <c r="T18" s="55">
        <v>0.22</v>
      </c>
      <c r="U18" s="56">
        <v>12</v>
      </c>
    </row>
    <row r="19" spans="2:21" ht="12" customHeight="1" x14ac:dyDescent="0.2">
      <c r="B19" s="39" t="s">
        <v>20</v>
      </c>
      <c r="C19" s="57">
        <v>1582</v>
      </c>
      <c r="D19" s="41" t="s">
        <v>56</v>
      </c>
      <c r="E19" s="42" t="s">
        <v>20</v>
      </c>
      <c r="F19" s="43" t="s">
        <v>46</v>
      </c>
      <c r="G19" s="44" t="s">
        <v>57</v>
      </c>
      <c r="H19" s="45" t="str">
        <f>_xlfn.XLOOKUP($C19,[1]TABELA_PREÇOS!$B:$B,[1]TABELA_PREÇOS!J:J)</f>
        <v>NEGATIVA</v>
      </c>
      <c r="I19" s="43"/>
      <c r="J19" s="43" t="s">
        <v>20</v>
      </c>
      <c r="K19" s="45" t="s">
        <v>28</v>
      </c>
      <c r="L19" s="46">
        <f>IF(ISERROR(VLOOKUP($C19,[1]TABELA_PREÇOS!B:W,$U$8,FALSE))=TRUE,"",VLOOKUP($C19,[1]TABELA_PREÇOS!B:W,$U$8,FALSE))</f>
        <v>38.11</v>
      </c>
      <c r="M19" s="47">
        <f t="shared" si="0"/>
        <v>25.5337</v>
      </c>
      <c r="N19" s="48">
        <f t="shared" si="1"/>
        <v>8.5199999999999998E-2</v>
      </c>
      <c r="O19" s="49">
        <f t="shared" si="2"/>
        <v>23.358228759999999</v>
      </c>
      <c r="P19" s="50">
        <f>_xlfn.XLOOKUP(C19&amp;$H$2,[1]POLITICA!A:A,[1]POLITICA!F:F)/100</f>
        <v>0.33</v>
      </c>
      <c r="T19" s="55">
        <v>0.20499999999999999</v>
      </c>
      <c r="U19" s="56">
        <v>14</v>
      </c>
    </row>
    <row r="20" spans="2:21" ht="12" customHeight="1" x14ac:dyDescent="0.2">
      <c r="B20" s="39" t="s">
        <v>20</v>
      </c>
      <c r="C20" s="57">
        <v>2723</v>
      </c>
      <c r="D20" s="41" t="str">
        <f>_xlfn.XLOOKUP(C20,[1]TABELA_PREÇOS!B:B,[1]TABELA_PREÇOS!C:C)</f>
        <v>7896004793740</v>
      </c>
      <c r="E20" s="42" t="s">
        <v>20</v>
      </c>
      <c r="F20" s="43" t="str">
        <f>_xlfn.XLOOKUP($C20,[1]TABELA_PREÇOS!$B:$B,[1]TABELA_PREÇOS!E:E)</f>
        <v>BALSAMO BENGUE</v>
      </c>
      <c r="G20" s="44" t="str">
        <f>_xlfn.XLOOKUP($C20,[1]TABELA_PREÇOS!$B:$B,[1]TABELA_PREÇOS!G:G)</f>
        <v>BENGPRO</v>
      </c>
      <c r="H20" s="45" t="str">
        <f>_xlfn.XLOOKUP($C20,[1]TABELA_PREÇOS!$B:$B,[1]TABELA_PREÇOS!J:J)</f>
        <v>NEGATIVA</v>
      </c>
      <c r="I20" s="43"/>
      <c r="J20" s="43" t="s">
        <v>20</v>
      </c>
      <c r="K20" s="45" t="s">
        <v>28</v>
      </c>
      <c r="L20" s="46">
        <f>IF(ISERROR(VLOOKUP($C20,[1]TABELA_PREÇOS!B:W,$U$8,FALSE))=TRUE,"",VLOOKUP($C20,[1]TABELA_PREÇOS!B:W,$U$8,FALSE))</f>
        <v>40.11</v>
      </c>
      <c r="M20" s="47">
        <f t="shared" si="0"/>
        <v>26.873699999999999</v>
      </c>
      <c r="N20" s="48">
        <f t="shared" si="1"/>
        <v>8.5199999999999998E-2</v>
      </c>
      <c r="O20" s="49">
        <f t="shared" si="2"/>
        <v>24.58406076</v>
      </c>
      <c r="P20" s="50">
        <f>_xlfn.XLOOKUP(C20&amp;$H$2,[1]POLITICA!A:A,[1]POLITICA!F:F)/100</f>
        <v>0.33</v>
      </c>
      <c r="T20" s="55">
        <v>0.19500000000000001</v>
      </c>
      <c r="U20" s="56">
        <v>16</v>
      </c>
    </row>
    <row r="21" spans="2:21" ht="12" customHeight="1" x14ac:dyDescent="0.2">
      <c r="B21" s="39" t="s">
        <v>20</v>
      </c>
      <c r="C21" s="57">
        <v>2724</v>
      </c>
      <c r="D21" s="41" t="str">
        <f>_xlfn.XLOOKUP(C21,[1]TABELA_PREÇOS!B:B,[1]TABELA_PREÇOS!C:C)</f>
        <v>7896004793757</v>
      </c>
      <c r="E21" s="42" t="s">
        <v>20</v>
      </c>
      <c r="F21" s="43" t="str">
        <f>_xlfn.XLOOKUP($C21,[1]TABELA_PREÇOS!$B:$B,[1]TABELA_PREÇOS!E:E)</f>
        <v>BALSAMO BENGUE</v>
      </c>
      <c r="G21" s="44" t="s">
        <v>58</v>
      </c>
      <c r="H21" s="45" t="str">
        <f>_xlfn.XLOOKUP($C21,[1]TABELA_PREÇOS!$B:$B,[1]TABELA_PREÇOS!J:J)</f>
        <v>NEGATIVA</v>
      </c>
      <c r="I21" s="43"/>
      <c r="J21" s="43" t="s">
        <v>20</v>
      </c>
      <c r="K21" s="45" t="s">
        <v>28</v>
      </c>
      <c r="L21" s="46">
        <f>IF(ISERROR(VLOOKUP($C21,[1]TABELA_PREÇOS!B:W,$U$8,FALSE))=TRUE,"",VLOOKUP($C21,[1]TABELA_PREÇOS!B:W,$U$8,FALSE))</f>
        <v>40.51</v>
      </c>
      <c r="M21" s="47">
        <f t="shared" si="0"/>
        <v>27.1417</v>
      </c>
      <c r="N21" s="48">
        <f t="shared" si="1"/>
        <v>8.5199999999999998E-2</v>
      </c>
      <c r="O21" s="49">
        <f t="shared" si="2"/>
        <v>24.829227160000002</v>
      </c>
      <c r="P21" s="50">
        <f>_xlfn.XLOOKUP(C21&amp;$H$2,[1]POLITICA!A:A,[1]POLITICA!F:F)/100</f>
        <v>0.33</v>
      </c>
      <c r="T21" s="55">
        <v>0.23</v>
      </c>
      <c r="U21" s="56">
        <v>10</v>
      </c>
    </row>
    <row r="22" spans="2:21" ht="12" customHeight="1" x14ac:dyDescent="0.2">
      <c r="B22" s="39" t="s">
        <v>20</v>
      </c>
      <c r="C22" s="40">
        <v>36003</v>
      </c>
      <c r="D22" s="41" t="s">
        <v>59</v>
      </c>
      <c r="E22" s="42" t="s">
        <v>60</v>
      </c>
      <c r="F22" s="43" t="s">
        <v>61</v>
      </c>
      <c r="G22" s="44" t="s">
        <v>62</v>
      </c>
      <c r="H22" s="45" t="s">
        <v>25</v>
      </c>
      <c r="I22" s="43" t="s">
        <v>63</v>
      </c>
      <c r="J22" s="43" t="s">
        <v>40</v>
      </c>
      <c r="K22" s="45" t="s">
        <v>28</v>
      </c>
      <c r="L22" s="46">
        <f>IF(ISERROR(VLOOKUP($C22,[1]TABELA_PREÇOS!B:W,$U$8,FALSE))=TRUE,"",VLOOKUP($C22,[1]TABELA_PREÇOS!B:W,$U$8,FALSE))</f>
        <v>33.24</v>
      </c>
      <c r="M22" s="47">
        <f t="shared" si="0"/>
        <v>14.309280277464531</v>
      </c>
      <c r="N22" s="48">
        <f t="shared" si="1"/>
        <v>8.5199999999999998E-2</v>
      </c>
      <c r="O22" s="49">
        <f t="shared" si="2"/>
        <v>13.090129597824554</v>
      </c>
      <c r="P22" s="50">
        <f>_xlfn.XLOOKUP(C22&amp;$H$2,[1]POLITICA!A:A,[1]POLITICA!F:F)/100</f>
        <v>0.56951623714005628</v>
      </c>
      <c r="T22" s="55">
        <v>0.22500000000000001</v>
      </c>
      <c r="U22" s="56">
        <v>11</v>
      </c>
    </row>
    <row r="23" spans="2:21" ht="12" customHeight="1" x14ac:dyDescent="0.2">
      <c r="B23" s="39" t="s">
        <v>20</v>
      </c>
      <c r="C23" s="57">
        <v>2532</v>
      </c>
      <c r="D23" s="41" t="s">
        <v>64</v>
      </c>
      <c r="E23" s="42" t="s">
        <v>20</v>
      </c>
      <c r="F23" s="43" t="s">
        <v>65</v>
      </c>
      <c r="G23" s="59" t="s">
        <v>66</v>
      </c>
      <c r="H23" s="45" t="str">
        <f>_xlfn.XLOOKUP($C23,[1]TABELA_PREÇOS!$B:$B,[1]TABELA_PREÇOS!J:J)</f>
        <v>NEGATIVA</v>
      </c>
      <c r="I23" s="43"/>
      <c r="J23" s="43" t="s">
        <v>20</v>
      </c>
      <c r="K23" s="45" t="s">
        <v>28</v>
      </c>
      <c r="L23" s="46">
        <f>IF(ISERROR(VLOOKUP($C23,[1]TABELA_PREÇOS!B:W,$U$8,FALSE))=TRUE,"",VLOOKUP($C23,[1]TABELA_PREÇOS!B:W,$U$8,FALSE))</f>
        <v>40.130000000000003</v>
      </c>
      <c r="M23" s="47">
        <f t="shared" si="0"/>
        <v>28.893599999999999</v>
      </c>
      <c r="N23" s="60">
        <v>0</v>
      </c>
      <c r="O23" s="49">
        <f t="shared" si="2"/>
        <v>28.893599999999999</v>
      </c>
      <c r="P23" s="50">
        <f>_xlfn.XLOOKUP(C23&amp;$H$2,[1]POLITICA!A:A,[1]POLITICA!F:F)/100</f>
        <v>0.28000000000000003</v>
      </c>
    </row>
    <row r="24" spans="2:21" ht="12" customHeight="1" x14ac:dyDescent="0.2">
      <c r="B24" s="39" t="s">
        <v>20</v>
      </c>
      <c r="C24" s="57">
        <v>2631</v>
      </c>
      <c r="D24" s="41" t="str">
        <f>_xlfn.XLOOKUP(C24,[1]TABELA_PREÇOS!B:B,[1]TABELA_PREÇOS!C:C)</f>
        <v>7896004800004</v>
      </c>
      <c r="E24" s="42" t="s">
        <v>20</v>
      </c>
      <c r="F24" s="43" t="str">
        <f>_xlfn.XLOOKUP($C24,[1]TABELA_PREÇOS!$B:$B,[1]TABELA_PREÇOS!E:E)</f>
        <v>CALADRYL</v>
      </c>
      <c r="G24" s="44" t="s">
        <v>67</v>
      </c>
      <c r="H24" s="45" t="str">
        <f>_xlfn.XLOOKUP($C24,[1]TABELA_PREÇOS!$B:$B,[1]TABELA_PREÇOS!J:J)</f>
        <v>NEGATIVA</v>
      </c>
      <c r="I24" s="43"/>
      <c r="J24" s="43" t="s">
        <v>20</v>
      </c>
      <c r="K24" s="45" t="s">
        <v>28</v>
      </c>
      <c r="L24" s="46">
        <f>IF(ISERROR(VLOOKUP($C24,[1]TABELA_PREÇOS!B:W,$U$8,FALSE))=TRUE,"",VLOOKUP($C24,[1]TABELA_PREÇOS!B:W,$U$8,FALSE))</f>
        <v>67.8</v>
      </c>
      <c r="M24" s="47">
        <f t="shared" si="0"/>
        <v>48.815999999999995</v>
      </c>
      <c r="N24" s="48">
        <f t="shared" si="1"/>
        <v>8.5199999999999998E-2</v>
      </c>
      <c r="O24" s="49">
        <f t="shared" si="2"/>
        <v>44.656876799999999</v>
      </c>
      <c r="P24" s="50">
        <f>_xlfn.XLOOKUP(C24&amp;$H$2,[1]POLITICA!A:A,[1]POLITICA!F:F)/100</f>
        <v>0.28000000000000003</v>
      </c>
    </row>
    <row r="25" spans="2:21" ht="12" customHeight="1" x14ac:dyDescent="0.2">
      <c r="B25" s="39" t="s">
        <v>20</v>
      </c>
      <c r="C25" s="57">
        <v>2531</v>
      </c>
      <c r="D25" s="41" t="s">
        <v>68</v>
      </c>
      <c r="E25" s="42" t="s">
        <v>20</v>
      </c>
      <c r="F25" s="43" t="s">
        <v>65</v>
      </c>
      <c r="G25" s="44" t="s">
        <v>69</v>
      </c>
      <c r="H25" s="45" t="str">
        <f>_xlfn.XLOOKUP($C25,[1]TABELA_PREÇOS!$B:$B,[1]TABELA_PREÇOS!J:J)</f>
        <v>NEGATIVA</v>
      </c>
      <c r="I25" s="43"/>
      <c r="J25" s="43" t="s">
        <v>20</v>
      </c>
      <c r="K25" s="45" t="s">
        <v>28</v>
      </c>
      <c r="L25" s="46">
        <f>IF(ISERROR(VLOOKUP($C25,[1]TABELA_PREÇOS!B:W,$U$8,FALSE))=TRUE,"",VLOOKUP($C25,[1]TABELA_PREÇOS!B:W,$U$8,FALSE))</f>
        <v>23.46</v>
      </c>
      <c r="M25" s="47">
        <f t="shared" si="0"/>
        <v>16.891199999999998</v>
      </c>
      <c r="N25" s="60">
        <v>0</v>
      </c>
      <c r="O25" s="49">
        <f t="shared" si="2"/>
        <v>16.891199999999998</v>
      </c>
      <c r="P25" s="50">
        <f>_xlfn.XLOOKUP(C25&amp;$H$2,[1]POLITICA!A:A,[1]POLITICA!F:F)/100</f>
        <v>0.28000000000000003</v>
      </c>
    </row>
    <row r="26" spans="2:21" ht="12" customHeight="1" x14ac:dyDescent="0.2">
      <c r="B26" s="39" t="s">
        <v>20</v>
      </c>
      <c r="C26" s="57">
        <v>2533</v>
      </c>
      <c r="D26" s="41" t="s">
        <v>70</v>
      </c>
      <c r="E26" s="42" t="s">
        <v>20</v>
      </c>
      <c r="F26" s="43" t="s">
        <v>65</v>
      </c>
      <c r="G26" s="44" t="s">
        <v>71</v>
      </c>
      <c r="H26" s="45" t="str">
        <f>_xlfn.XLOOKUP($C26,[1]TABELA_PREÇOS!$B:$B,[1]TABELA_PREÇOS!J:J)</f>
        <v>NEGATIVA</v>
      </c>
      <c r="I26" s="43"/>
      <c r="J26" s="43" t="s">
        <v>20</v>
      </c>
      <c r="K26" s="45" t="s">
        <v>28</v>
      </c>
      <c r="L26" s="46">
        <f>IF(ISERROR(VLOOKUP($C26,[1]TABELA_PREÇOS!B:W,$U$8,FALSE))=TRUE,"",VLOOKUP($C26,[1]TABELA_PREÇOS!B:W,$U$8,FALSE))</f>
        <v>25.93</v>
      </c>
      <c r="M26" s="47">
        <f t="shared" si="0"/>
        <v>18.669599999999999</v>
      </c>
      <c r="N26" s="60">
        <v>0</v>
      </c>
      <c r="O26" s="49">
        <f t="shared" si="2"/>
        <v>18.669599999999999</v>
      </c>
      <c r="P26" s="50">
        <f>_xlfn.XLOOKUP(C26&amp;$H$2,[1]POLITICA!A:A,[1]POLITICA!F:F)/100</f>
        <v>0.28000000000000003</v>
      </c>
    </row>
    <row r="27" spans="2:21" ht="12" customHeight="1" x14ac:dyDescent="0.2">
      <c r="B27" s="39" t="s">
        <v>20</v>
      </c>
      <c r="C27" s="57">
        <v>2632</v>
      </c>
      <c r="D27" s="41" t="str">
        <f>_xlfn.XLOOKUP(C27,[1]TABELA_PREÇOS!B:B,[1]TABELA_PREÇOS!C:C)</f>
        <v>7896004822464</v>
      </c>
      <c r="E27" s="42" t="s">
        <v>20</v>
      </c>
      <c r="F27" s="43" t="str">
        <f>_xlfn.XLOOKUP($C27,[1]TABELA_PREÇOS!$B:$B,[1]TABELA_PREÇOS!E:E)</f>
        <v>CALADRYL</v>
      </c>
      <c r="G27" s="44" t="s">
        <v>72</v>
      </c>
      <c r="H27" s="45" t="str">
        <f>_xlfn.XLOOKUP($C27,[1]TABELA_PREÇOS!$B:$B,[1]TABELA_PREÇOS!J:J)</f>
        <v>NEGATIVA</v>
      </c>
      <c r="I27" s="43"/>
      <c r="J27" s="43" t="s">
        <v>20</v>
      </c>
      <c r="K27" s="45" t="s">
        <v>28</v>
      </c>
      <c r="L27" s="46">
        <f>IF(ISERROR(VLOOKUP($C27,[1]TABELA_PREÇOS!B:W,$U$8,FALSE))=TRUE,"",VLOOKUP($C27,[1]TABELA_PREÇOS!B:W,$U$8,FALSE))</f>
        <v>62.15</v>
      </c>
      <c r="M27" s="47">
        <f t="shared" si="0"/>
        <v>44.747999999999998</v>
      </c>
      <c r="N27" s="48">
        <f t="shared" si="1"/>
        <v>8.5199999999999998E-2</v>
      </c>
      <c r="O27" s="49">
        <f t="shared" si="2"/>
        <v>40.9354704</v>
      </c>
      <c r="P27" s="50">
        <f>_xlfn.XLOOKUP(C27&amp;$H$2,[1]POLITICA!A:A,[1]POLITICA!F:F)/100</f>
        <v>0.28000000000000003</v>
      </c>
    </row>
    <row r="28" spans="2:21" ht="12" customHeight="1" x14ac:dyDescent="0.2">
      <c r="B28" s="39" t="s">
        <v>20</v>
      </c>
      <c r="C28" s="57">
        <v>2633</v>
      </c>
      <c r="D28" s="41" t="str">
        <f>_xlfn.XLOOKUP(C28,[1]TABELA_PREÇOS!B:B,[1]TABELA_PREÇOS!C:C)</f>
        <v>7896004822556</v>
      </c>
      <c r="E28" s="42" t="s">
        <v>20</v>
      </c>
      <c r="F28" s="43" t="str">
        <f>_xlfn.XLOOKUP($C28,[1]TABELA_PREÇOS!$B:$B,[1]TABELA_PREÇOS!E:E)</f>
        <v>CALADRYL</v>
      </c>
      <c r="G28" s="44" t="s">
        <v>73</v>
      </c>
      <c r="H28" s="45" t="str">
        <f>_xlfn.XLOOKUP($C28,[1]TABELA_PREÇOS!$B:$B,[1]TABELA_PREÇOS!J:J)</f>
        <v>NEGATIVA</v>
      </c>
      <c r="I28" s="43"/>
      <c r="J28" s="43" t="s">
        <v>20</v>
      </c>
      <c r="K28" s="45" t="s">
        <v>28</v>
      </c>
      <c r="L28" s="46">
        <f>IF(ISERROR(VLOOKUP($C28,[1]TABELA_PREÇOS!B:W,$U$8,FALSE))=TRUE,"",VLOOKUP($C28,[1]TABELA_PREÇOS!B:W,$U$8,FALSE))</f>
        <v>97.08</v>
      </c>
      <c r="M28" s="47">
        <f t="shared" si="0"/>
        <v>69.897599999999997</v>
      </c>
      <c r="N28" s="48">
        <f t="shared" si="1"/>
        <v>8.5199999999999998E-2</v>
      </c>
      <c r="O28" s="49">
        <f t="shared" si="2"/>
        <v>63.942324480000003</v>
      </c>
      <c r="P28" s="50">
        <f>_xlfn.XLOOKUP(C28&amp;$H$2,[1]POLITICA!A:A,[1]POLITICA!F:F)/100</f>
        <v>0.28000000000000003</v>
      </c>
    </row>
    <row r="29" spans="2:21" ht="12" customHeight="1" x14ac:dyDescent="0.2">
      <c r="B29" s="39" t="s">
        <v>20</v>
      </c>
      <c r="C29" s="57">
        <v>2530</v>
      </c>
      <c r="D29" s="41" t="s">
        <v>74</v>
      </c>
      <c r="E29" s="42" t="s">
        <v>20</v>
      </c>
      <c r="F29" s="43" t="s">
        <v>65</v>
      </c>
      <c r="G29" s="44" t="s">
        <v>75</v>
      </c>
      <c r="H29" s="45" t="str">
        <f>_xlfn.XLOOKUP($C29,[1]TABELA_PREÇOS!$B:$B,[1]TABELA_PREÇOS!J:J)</f>
        <v>NEGATIVA</v>
      </c>
      <c r="I29" s="43"/>
      <c r="J29" s="43" t="s">
        <v>20</v>
      </c>
      <c r="K29" s="45" t="s">
        <v>28</v>
      </c>
      <c r="L29" s="46">
        <f>IF(ISERROR(VLOOKUP($C29,[1]TABELA_PREÇOS!B:W,$U$8,FALSE))=TRUE,"",VLOOKUP($C29,[1]TABELA_PREÇOS!B:W,$U$8,FALSE))</f>
        <v>30.76</v>
      </c>
      <c r="M29" s="47">
        <f t="shared" si="0"/>
        <v>22.147199999999998</v>
      </c>
      <c r="N29" s="60">
        <v>0</v>
      </c>
      <c r="O29" s="49">
        <f t="shared" si="2"/>
        <v>22.147199999999998</v>
      </c>
      <c r="P29" s="50">
        <f>_xlfn.XLOOKUP(C29&amp;$H$2,[1]POLITICA!A:A,[1]POLITICA!F:F)/100</f>
        <v>0.28000000000000003</v>
      </c>
    </row>
    <row r="30" spans="2:21" ht="12" customHeight="1" x14ac:dyDescent="0.2">
      <c r="B30" s="39" t="s">
        <v>20</v>
      </c>
      <c r="C30" s="57">
        <v>2725</v>
      </c>
      <c r="D30" s="41" t="str">
        <f>_xlfn.XLOOKUP(C30,[1]TABELA_PREÇOS!B:B,[1]TABELA_PREÇOS!C:C)</f>
        <v>7896004822525</v>
      </c>
      <c r="E30" s="42" t="s">
        <v>20</v>
      </c>
      <c r="F30" s="43" t="str">
        <f>_xlfn.XLOOKUP($C30,[1]TABELA_PREÇOS!$B:$B,[1]TABELA_PREÇOS!E:E)</f>
        <v>CALADRYL</v>
      </c>
      <c r="G30" s="44" t="str">
        <f>_xlfn.XLOOKUP($C30,[1]TABELA_PREÇOS!$B:$B,[1]TABELA_PREÇOS!G:G)</f>
        <v>CALADRYL REPEL 100ML- E</v>
      </c>
      <c r="H30" s="45" t="str">
        <f>_xlfn.XLOOKUP($C30,[1]TABELA_PREÇOS!$B:$B,[1]TABELA_PREÇOS!J:J)</f>
        <v>NEUTRA</v>
      </c>
      <c r="I30" s="43"/>
      <c r="J30" s="43" t="s">
        <v>20</v>
      </c>
      <c r="K30" s="45" t="s">
        <v>28</v>
      </c>
      <c r="L30" s="46">
        <f>IF(ISERROR(VLOOKUP($C30,[1]TABELA_PREÇOS!B:W,$U$8,FALSE))=TRUE,"",VLOOKUP($C30,[1]TABELA_PREÇOS!B:W,$U$8,FALSE))</f>
        <v>23.96</v>
      </c>
      <c r="M30" s="47">
        <f t="shared" si="0"/>
        <v>18.688800000000001</v>
      </c>
      <c r="N30" s="48">
        <f t="shared" si="1"/>
        <v>8.5199999999999998E-2</v>
      </c>
      <c r="O30" s="49">
        <f t="shared" si="2"/>
        <v>17.096514240000001</v>
      </c>
      <c r="P30" s="50">
        <f>_xlfn.XLOOKUP(C30&amp;$H$2,[1]POLITICA!A:A,[1]POLITICA!F:F)/100</f>
        <v>0.22</v>
      </c>
    </row>
    <row r="31" spans="2:21" ht="12" customHeight="1" x14ac:dyDescent="0.2">
      <c r="B31" s="39" t="s">
        <v>34</v>
      </c>
      <c r="C31" s="40">
        <v>32026</v>
      </c>
      <c r="D31" s="41" t="s">
        <v>76</v>
      </c>
      <c r="E31" s="42" t="s">
        <v>77</v>
      </c>
      <c r="F31" s="43" t="s">
        <v>78</v>
      </c>
      <c r="G31" s="44" t="s">
        <v>79</v>
      </c>
      <c r="H31" s="45" t="s">
        <v>80</v>
      </c>
      <c r="I31" s="43" t="s">
        <v>81</v>
      </c>
      <c r="J31" s="43" t="s">
        <v>27</v>
      </c>
      <c r="K31" s="45" t="s">
        <v>28</v>
      </c>
      <c r="L31" s="46">
        <f>IF(ISERROR(VLOOKUP($C31,[1]TABELA_PREÇOS!B:W,$U$8,FALSE))=TRUE,"",VLOOKUP($C31,[1]TABELA_PREÇOS!B:W,$U$8,FALSE))</f>
        <v>19.829999999999998</v>
      </c>
      <c r="M31" s="47">
        <f t="shared" si="0"/>
        <v>4.1764446224674554</v>
      </c>
      <c r="N31" s="48">
        <f t="shared" si="1"/>
        <v>8.5199999999999998E-2</v>
      </c>
      <c r="O31" s="49">
        <f t="shared" si="2"/>
        <v>3.8206115406332284</v>
      </c>
      <c r="P31" s="50">
        <f>_xlfn.XLOOKUP(C31&amp;$H$2,[1]POLITICA!A:A,[1]POLITICA!F:F)/100</f>
        <v>0.7893875631635171</v>
      </c>
    </row>
    <row r="32" spans="2:21" ht="12" customHeight="1" x14ac:dyDescent="0.2">
      <c r="B32" s="39" t="s">
        <v>34</v>
      </c>
      <c r="C32" s="40">
        <v>32027</v>
      </c>
      <c r="D32" s="41" t="s">
        <v>82</v>
      </c>
      <c r="E32" s="42" t="s">
        <v>77</v>
      </c>
      <c r="F32" s="43" t="s">
        <v>78</v>
      </c>
      <c r="G32" s="44" t="s">
        <v>83</v>
      </c>
      <c r="H32" s="45" t="s">
        <v>80</v>
      </c>
      <c r="I32" s="43" t="s">
        <v>81</v>
      </c>
      <c r="J32" s="43" t="s">
        <v>27</v>
      </c>
      <c r="K32" s="45" t="s">
        <v>28</v>
      </c>
      <c r="L32" s="46">
        <f>IF(ISERROR(VLOOKUP($C32,[1]TABELA_PREÇOS!B:W,$U$8,FALSE))=TRUE,"",VLOOKUP($C32,[1]TABELA_PREÇOS!B:W,$U$8,FALSE))</f>
        <v>27.43</v>
      </c>
      <c r="M32" s="47">
        <f t="shared" si="0"/>
        <v>6.6063067317331701</v>
      </c>
      <c r="N32" s="48">
        <f t="shared" si="1"/>
        <v>8.5199999999999998E-2</v>
      </c>
      <c r="O32" s="49">
        <f t="shared" si="2"/>
        <v>6.0434493981895043</v>
      </c>
      <c r="P32" s="50">
        <f>_xlfn.XLOOKUP(C32&amp;$H$2,[1]POLITICA!A:A,[1]POLITICA!F:F)/100</f>
        <v>0.75915761094665801</v>
      </c>
    </row>
    <row r="33" spans="2:16" ht="12" customHeight="1" x14ac:dyDescent="0.2">
      <c r="B33" s="39" t="s">
        <v>34</v>
      </c>
      <c r="C33" s="40">
        <v>31287</v>
      </c>
      <c r="D33" s="41" t="s">
        <v>84</v>
      </c>
      <c r="E33" s="42" t="s">
        <v>27</v>
      </c>
      <c r="F33" s="43" t="s">
        <v>85</v>
      </c>
      <c r="G33" s="44" t="s">
        <v>86</v>
      </c>
      <c r="H33" s="45" t="s">
        <v>80</v>
      </c>
      <c r="I33" s="43" t="s">
        <v>87</v>
      </c>
      <c r="J33" s="43" t="s">
        <v>27</v>
      </c>
      <c r="K33" s="45" t="s">
        <v>28</v>
      </c>
      <c r="L33" s="46">
        <f>IF(ISERROR(VLOOKUP($C33,[1]TABELA_PREÇOS!B:W,$U$8,FALSE))=TRUE,"",VLOOKUP($C33,[1]TABELA_PREÇOS!B:W,$U$8,FALSE))</f>
        <v>71.81</v>
      </c>
      <c r="M33" s="47">
        <f t="shared" si="0"/>
        <v>8.9510111772080236</v>
      </c>
      <c r="N33" s="48">
        <f t="shared" si="1"/>
        <v>8.5199999999999998E-2</v>
      </c>
      <c r="O33" s="49">
        <f t="shared" si="2"/>
        <v>8.1883850249099002</v>
      </c>
      <c r="P33" s="50">
        <f>_xlfn.XLOOKUP(C33&amp;$H$2,[1]POLITICA!A:A,[1]POLITICA!F:F)/100</f>
        <v>0.87535146668697916</v>
      </c>
    </row>
    <row r="34" spans="2:16" ht="12" customHeight="1" x14ac:dyDescent="0.2">
      <c r="B34" s="39" t="s">
        <v>34</v>
      </c>
      <c r="C34" s="40">
        <v>31281</v>
      </c>
      <c r="D34" s="41" t="s">
        <v>88</v>
      </c>
      <c r="E34" s="42" t="s">
        <v>27</v>
      </c>
      <c r="F34" s="43" t="s">
        <v>85</v>
      </c>
      <c r="G34" s="44" t="s">
        <v>89</v>
      </c>
      <c r="H34" s="45" t="s">
        <v>80</v>
      </c>
      <c r="I34" s="43" t="s">
        <v>90</v>
      </c>
      <c r="J34" s="43" t="s">
        <v>27</v>
      </c>
      <c r="K34" s="45" t="s">
        <v>28</v>
      </c>
      <c r="L34" s="46">
        <f>IF(ISERROR(VLOOKUP($C34,[1]TABELA_PREÇOS!B:W,$U$8,FALSE))=TRUE,"",VLOOKUP($C34,[1]TABELA_PREÇOS!B:W,$U$8,FALSE))</f>
        <v>31.59</v>
      </c>
      <c r="M34" s="47">
        <f t="shared" si="0"/>
        <v>3.948728429097482</v>
      </c>
      <c r="N34" s="48">
        <f t="shared" si="1"/>
        <v>8.5199999999999998E-2</v>
      </c>
      <c r="O34" s="49">
        <f t="shared" si="2"/>
        <v>3.612296766938377</v>
      </c>
      <c r="P34" s="50">
        <f>_xlfn.XLOOKUP(C34&amp;$H$2,[1]POLITICA!A:A,[1]POLITICA!F:F)/100</f>
        <v>0.87500068283958587</v>
      </c>
    </row>
    <row r="35" spans="2:16" ht="12" customHeight="1" x14ac:dyDescent="0.2">
      <c r="B35" s="39" t="s">
        <v>34</v>
      </c>
      <c r="C35" s="40">
        <v>32338</v>
      </c>
      <c r="D35" s="41" t="s">
        <v>91</v>
      </c>
      <c r="E35" s="42" t="s">
        <v>22</v>
      </c>
      <c r="F35" s="43" t="s">
        <v>92</v>
      </c>
      <c r="G35" s="44" t="s">
        <v>93</v>
      </c>
      <c r="H35" s="45" t="s">
        <v>25</v>
      </c>
      <c r="I35" s="43" t="s">
        <v>81</v>
      </c>
      <c r="J35" s="43" t="s">
        <v>27</v>
      </c>
      <c r="K35" s="45" t="s">
        <v>28</v>
      </c>
      <c r="L35" s="46">
        <f>IF(ISERROR(VLOOKUP($C35,[1]TABELA_PREÇOS!B:W,$U$8,FALSE))=TRUE,"",VLOOKUP($C35,[1]TABELA_PREÇOS!B:W,$U$8,FALSE))</f>
        <v>21.16</v>
      </c>
      <c r="M35" s="47">
        <f t="shared" si="0"/>
        <v>7.3265884197802826</v>
      </c>
      <c r="N35" s="48">
        <f t="shared" si="1"/>
        <v>8.5199999999999998E-2</v>
      </c>
      <c r="O35" s="49">
        <f t="shared" si="2"/>
        <v>6.7023630864150032</v>
      </c>
      <c r="P35" s="50">
        <f>_xlfn.XLOOKUP(C35&amp;$H$2,[1]POLITICA!A:A,[1]POLITICA!F:F)/100</f>
        <v>0.65375291021832316</v>
      </c>
    </row>
    <row r="36" spans="2:16" ht="12" customHeight="1" x14ac:dyDescent="0.2">
      <c r="B36" s="39" t="s">
        <v>34</v>
      </c>
      <c r="C36" s="40">
        <v>31048</v>
      </c>
      <c r="D36" s="41" t="s">
        <v>94</v>
      </c>
      <c r="E36" s="42" t="s">
        <v>22</v>
      </c>
      <c r="F36" s="43" t="s">
        <v>92</v>
      </c>
      <c r="G36" s="44" t="s">
        <v>95</v>
      </c>
      <c r="H36" s="45" t="s">
        <v>25</v>
      </c>
      <c r="I36" s="43" t="s">
        <v>96</v>
      </c>
      <c r="J36" s="43" t="s">
        <v>27</v>
      </c>
      <c r="K36" s="45" t="s">
        <v>28</v>
      </c>
      <c r="L36" s="46">
        <f>IF(ISERROR(VLOOKUP($C36,[1]TABELA_PREÇOS!B:W,$U$8,FALSE))=TRUE,"",VLOOKUP($C36,[1]TABELA_PREÇOS!B:W,$U$8,FALSE))</f>
        <v>29.36</v>
      </c>
      <c r="M36" s="47">
        <f t="shared" si="0"/>
        <v>12.369553102665648</v>
      </c>
      <c r="N36" s="48">
        <f t="shared" si="1"/>
        <v>8.5199999999999998E-2</v>
      </c>
      <c r="O36" s="49">
        <f t="shared" si="2"/>
        <v>11.315667178318536</v>
      </c>
      <c r="P36" s="50">
        <f>_xlfn.XLOOKUP(C36&amp;$H$2,[1]POLITICA!A:A,[1]POLITICA!F:F)/100</f>
        <v>0.57869369541329529</v>
      </c>
    </row>
    <row r="37" spans="2:16" ht="12" customHeight="1" x14ac:dyDescent="0.2">
      <c r="B37" s="39" t="s">
        <v>20</v>
      </c>
      <c r="C37" s="40">
        <v>31960</v>
      </c>
      <c r="D37" s="41" t="s">
        <v>97</v>
      </c>
      <c r="E37" s="42" t="s">
        <v>98</v>
      </c>
      <c r="F37" s="43" t="s">
        <v>99</v>
      </c>
      <c r="G37" s="44" t="s">
        <v>100</v>
      </c>
      <c r="H37" s="45" t="s">
        <v>101</v>
      </c>
      <c r="I37" s="43" t="s">
        <v>102</v>
      </c>
      <c r="J37" s="43" t="s">
        <v>40</v>
      </c>
      <c r="K37" s="45" t="s">
        <v>28</v>
      </c>
      <c r="L37" s="46">
        <f>IF(ISERROR(VLOOKUP($C37,[1]TABELA_PREÇOS!B:W,$U$8,FALSE))=TRUE,"",VLOOKUP($C37,[1]TABELA_PREÇOS!B:W,$U$8,FALSE))</f>
        <v>14.77</v>
      </c>
      <c r="M37" s="47">
        <f t="shared" si="0"/>
        <v>3.9362050000000011</v>
      </c>
      <c r="N37" s="48">
        <f t="shared" si="1"/>
        <v>8.5199999999999998E-2</v>
      </c>
      <c r="O37" s="49">
        <f t="shared" si="2"/>
        <v>3.6008403340000013</v>
      </c>
      <c r="P37" s="50">
        <f>_xlfn.XLOOKUP(C37&amp;$H$2,[1]POLITICA!A:A,[1]POLITICA!F:F)/100</f>
        <v>0.73349999999999993</v>
      </c>
    </row>
    <row r="38" spans="2:16" ht="12" customHeight="1" x14ac:dyDescent="0.2">
      <c r="B38" s="39" t="s">
        <v>20</v>
      </c>
      <c r="C38" s="40">
        <v>32500</v>
      </c>
      <c r="D38" s="41" t="s">
        <v>103</v>
      </c>
      <c r="E38" s="42" t="s">
        <v>98</v>
      </c>
      <c r="F38" s="43" t="s">
        <v>104</v>
      </c>
      <c r="G38" s="44" t="s">
        <v>105</v>
      </c>
      <c r="H38" s="45" t="s">
        <v>101</v>
      </c>
      <c r="I38" s="43" t="s">
        <v>106</v>
      </c>
      <c r="J38" s="43" t="s">
        <v>40</v>
      </c>
      <c r="K38" s="45" t="s">
        <v>28</v>
      </c>
      <c r="L38" s="46">
        <f>IF(ISERROR(VLOOKUP($C38,[1]TABELA_PREÇOS!B:W,$U$8,FALSE))=TRUE,"",VLOOKUP($C38,[1]TABELA_PREÇOS!B:W,$U$8,FALSE))</f>
        <v>23.26</v>
      </c>
      <c r="M38" s="47">
        <f t="shared" si="0"/>
        <v>8.1718412458003868</v>
      </c>
      <c r="N38" s="48">
        <f t="shared" si="1"/>
        <v>8.5199999999999998E-2</v>
      </c>
      <c r="O38" s="49">
        <f t="shared" si="2"/>
        <v>7.475600371658194</v>
      </c>
      <c r="P38" s="50">
        <f>_xlfn.XLOOKUP(C38&amp;$H$2,[1]POLITICA!A:A,[1]POLITICA!F:F)/100</f>
        <v>0.6486740650988656</v>
      </c>
    </row>
    <row r="39" spans="2:16" ht="12" customHeight="1" x14ac:dyDescent="0.2">
      <c r="B39" s="39" t="s">
        <v>20</v>
      </c>
      <c r="C39" s="40">
        <v>32501</v>
      </c>
      <c r="D39" s="41" t="s">
        <v>107</v>
      </c>
      <c r="E39" s="42" t="s">
        <v>98</v>
      </c>
      <c r="F39" s="43" t="s">
        <v>104</v>
      </c>
      <c r="G39" s="44" t="s">
        <v>108</v>
      </c>
      <c r="H39" s="45" t="s">
        <v>101</v>
      </c>
      <c r="I39" s="43" t="s">
        <v>109</v>
      </c>
      <c r="J39" s="43" t="s">
        <v>40</v>
      </c>
      <c r="K39" s="45" t="s">
        <v>28</v>
      </c>
      <c r="L39" s="46">
        <f>IF(ISERROR(VLOOKUP($C39,[1]TABELA_PREÇOS!B:W,$U$8,FALSE))=TRUE,"",VLOOKUP($C39,[1]TABELA_PREÇOS!B:W,$U$8,FALSE))</f>
        <v>52.33</v>
      </c>
      <c r="M39" s="47">
        <f t="shared" si="0"/>
        <v>21.746604349474275</v>
      </c>
      <c r="N39" s="48">
        <f t="shared" si="1"/>
        <v>8.5199999999999998E-2</v>
      </c>
      <c r="O39" s="49">
        <f t="shared" si="2"/>
        <v>19.893793658899067</v>
      </c>
      <c r="P39" s="50">
        <f>_xlfn.XLOOKUP(C39&amp;$H$2,[1]POLITICA!A:A,[1]POLITICA!F:F)/100</f>
        <v>0.5844333202852231</v>
      </c>
    </row>
    <row r="40" spans="2:16" ht="12" customHeight="1" x14ac:dyDescent="0.2">
      <c r="B40" s="39" t="s">
        <v>20</v>
      </c>
      <c r="C40" s="40">
        <v>31957</v>
      </c>
      <c r="D40" s="41" t="s">
        <v>110</v>
      </c>
      <c r="E40" s="42" t="s">
        <v>98</v>
      </c>
      <c r="F40" s="43" t="s">
        <v>111</v>
      </c>
      <c r="G40" s="44" t="s">
        <v>112</v>
      </c>
      <c r="H40" s="45" t="s">
        <v>101</v>
      </c>
      <c r="I40" s="43" t="s">
        <v>102</v>
      </c>
      <c r="J40" s="43" t="s">
        <v>40</v>
      </c>
      <c r="K40" s="45" t="s">
        <v>28</v>
      </c>
      <c r="L40" s="46">
        <f>IF(ISERROR(VLOOKUP($C40,[1]TABELA_PREÇOS!B:W,$U$8,FALSE))=TRUE,"",VLOOKUP($C40,[1]TABELA_PREÇOS!B:W,$U$8,FALSE))</f>
        <v>18.02</v>
      </c>
      <c r="M40" s="47">
        <f t="shared" si="0"/>
        <v>5.115179581872356</v>
      </c>
      <c r="N40" s="48">
        <f t="shared" si="1"/>
        <v>8.5199999999999998E-2</v>
      </c>
      <c r="O40" s="49">
        <f t="shared" si="2"/>
        <v>4.679366281496832</v>
      </c>
      <c r="P40" s="50">
        <f>_xlfn.XLOOKUP(C40&amp;$H$2,[1]POLITICA!A:A,[1]POLITICA!F:F)/100</f>
        <v>0.71613875794271054</v>
      </c>
    </row>
    <row r="41" spans="2:16" ht="12" customHeight="1" x14ac:dyDescent="0.2">
      <c r="B41" s="39" t="s">
        <v>20</v>
      </c>
      <c r="C41" s="40">
        <v>31958</v>
      </c>
      <c r="D41" s="41" t="s">
        <v>113</v>
      </c>
      <c r="E41" s="42" t="s">
        <v>98</v>
      </c>
      <c r="F41" s="43" t="s">
        <v>111</v>
      </c>
      <c r="G41" s="44" t="s">
        <v>114</v>
      </c>
      <c r="H41" s="45" t="s">
        <v>101</v>
      </c>
      <c r="I41" s="43" t="s">
        <v>115</v>
      </c>
      <c r="J41" s="43" t="s">
        <v>40</v>
      </c>
      <c r="K41" s="45" t="s">
        <v>28</v>
      </c>
      <c r="L41" s="46">
        <f>IF(ISERROR(VLOOKUP($C41,[1]TABELA_PREÇOS!B:W,$U$8,FALSE))=TRUE,"",VLOOKUP($C41,[1]TABELA_PREÇOS!B:W,$U$8,FALSE))</f>
        <v>54.07</v>
      </c>
      <c r="M41" s="47">
        <f t="shared" ref="M41:M72" si="3">$L41-($L41*P41)</f>
        <v>13.608894590793376</v>
      </c>
      <c r="N41" s="48">
        <f t="shared" si="1"/>
        <v>8.5199999999999998E-2</v>
      </c>
      <c r="O41" s="49">
        <f t="shared" ref="O41:O72" si="4">M41*(1-$N41)</f>
        <v>12.449416771657781</v>
      </c>
      <c r="P41" s="50">
        <f>_xlfn.XLOOKUP(C41&amp;$H$2,[1]POLITICA!A:A,[1]POLITICA!F:F)/100</f>
        <v>0.74830969870920339</v>
      </c>
    </row>
    <row r="42" spans="2:16" ht="12" customHeight="1" x14ac:dyDescent="0.2">
      <c r="B42" s="39" t="s">
        <v>34</v>
      </c>
      <c r="C42" s="40">
        <v>31153</v>
      </c>
      <c r="D42" s="41" t="s">
        <v>116</v>
      </c>
      <c r="E42" s="42" t="s">
        <v>36</v>
      </c>
      <c r="F42" s="43" t="s">
        <v>117</v>
      </c>
      <c r="G42" s="44" t="s">
        <v>118</v>
      </c>
      <c r="H42" s="45" t="s">
        <v>25</v>
      </c>
      <c r="I42" s="43" t="s">
        <v>119</v>
      </c>
      <c r="J42" s="43" t="s">
        <v>27</v>
      </c>
      <c r="K42" s="45" t="s">
        <v>28</v>
      </c>
      <c r="L42" s="46">
        <f>IF(ISERROR(VLOOKUP($C42,[1]TABELA_PREÇOS!B:W,$U$8,FALSE))=TRUE,"",VLOOKUP($C42,[1]TABELA_PREÇOS!B:W,$U$8,FALSE))</f>
        <v>49.46</v>
      </c>
      <c r="M42" s="47">
        <f t="shared" si="3"/>
        <v>37.293962195195334</v>
      </c>
      <c r="N42" s="48">
        <f t="shared" si="1"/>
        <v>8.5199999999999998E-2</v>
      </c>
      <c r="O42" s="49">
        <f t="shared" si="4"/>
        <v>34.116516616164695</v>
      </c>
      <c r="P42" s="50">
        <f>_xlfn.XLOOKUP(C42&amp;$H$2,[1]POLITICA!A:A,[1]POLITICA!F:F)/100</f>
        <v>0.2459773110554927</v>
      </c>
    </row>
    <row r="43" spans="2:16" ht="12" customHeight="1" x14ac:dyDescent="0.2">
      <c r="B43" s="39" t="s">
        <v>20</v>
      </c>
      <c r="C43" s="61">
        <v>19193</v>
      </c>
      <c r="D43" s="41" t="s">
        <v>120</v>
      </c>
      <c r="E43" s="42" t="s">
        <v>27</v>
      </c>
      <c r="F43" s="43" t="s">
        <v>121</v>
      </c>
      <c r="G43" s="44" t="s">
        <v>122</v>
      </c>
      <c r="H43" s="45" t="s">
        <v>25</v>
      </c>
      <c r="I43" s="43" t="s">
        <v>63</v>
      </c>
      <c r="J43" s="43" t="s">
        <v>27</v>
      </c>
      <c r="K43" s="45" t="s">
        <v>28</v>
      </c>
      <c r="L43" s="46">
        <f>IF(ISERROR(VLOOKUP($C43,[1]TABELA_PREÇOS!B:W,$U$8,FALSE))=TRUE,"",VLOOKUP($C43,[1]TABELA_PREÇOS!B:W,$U$8,FALSE))</f>
        <v>16.170000000000002</v>
      </c>
      <c r="M43" s="47">
        <f t="shared" si="3"/>
        <v>5.598075464873407</v>
      </c>
      <c r="N43" s="48">
        <f t="shared" si="1"/>
        <v>8.5199999999999998E-2</v>
      </c>
      <c r="O43" s="49">
        <f t="shared" si="4"/>
        <v>5.1211194352661931</v>
      </c>
      <c r="P43" s="50">
        <f>_xlfn.XLOOKUP(C43&amp;$H$2,[1]POLITICA!A:A,[1]POLITICA!F:F)/100</f>
        <v>0.65379867254957291</v>
      </c>
    </row>
    <row r="44" spans="2:16" ht="11.45" customHeight="1" x14ac:dyDescent="0.2">
      <c r="B44" s="39" t="s">
        <v>20</v>
      </c>
      <c r="C44" s="57">
        <v>893563</v>
      </c>
      <c r="D44" s="41" t="s">
        <v>123</v>
      </c>
      <c r="E44" s="42" t="s">
        <v>20</v>
      </c>
      <c r="F44" s="43" t="s">
        <v>124</v>
      </c>
      <c r="G44" s="44" t="s">
        <v>125</v>
      </c>
      <c r="H44" s="45" t="str">
        <f>_xlfn.XLOOKUP($C44,[1]TABELA_PREÇOS!$B:$B,[1]TABELA_PREÇOS!J:J)</f>
        <v>NEUTRA</v>
      </c>
      <c r="I44" s="43"/>
      <c r="J44" s="43" t="s">
        <v>20</v>
      </c>
      <c r="K44" s="45" t="s">
        <v>28</v>
      </c>
      <c r="L44" s="46">
        <f>IF(ISERROR(VLOOKUP($C44,[1]TABELA_PREÇOS!B:W,$U$8,FALSE))=TRUE,"",VLOOKUP($C44,[1]TABELA_PREÇOS!B:W,$U$8,FALSE))</f>
        <v>23.22</v>
      </c>
      <c r="M44" s="47">
        <f t="shared" si="3"/>
        <v>16.253999999999998</v>
      </c>
      <c r="N44" s="48">
        <f t="shared" si="1"/>
        <v>8.5199999999999998E-2</v>
      </c>
      <c r="O44" s="49">
        <f t="shared" si="4"/>
        <v>14.869159199999999</v>
      </c>
      <c r="P44" s="50">
        <f>_xlfn.XLOOKUP(C44&amp;$H$2,[1]POLITICA!A:A,[1]POLITICA!F:F)/100</f>
        <v>0.3</v>
      </c>
    </row>
    <row r="45" spans="2:16" ht="12" customHeight="1" x14ac:dyDescent="0.2">
      <c r="B45" s="39" t="s">
        <v>20</v>
      </c>
      <c r="C45" s="57">
        <v>893559</v>
      </c>
      <c r="D45" s="41" t="s">
        <v>126</v>
      </c>
      <c r="E45" s="42" t="s">
        <v>20</v>
      </c>
      <c r="F45" s="43" t="s">
        <v>124</v>
      </c>
      <c r="G45" s="44" t="s">
        <v>127</v>
      </c>
      <c r="H45" s="45" t="str">
        <f>_xlfn.XLOOKUP($C45,[1]TABELA_PREÇOS!$B:$B,[1]TABELA_PREÇOS!J:J)</f>
        <v>NEUTRA</v>
      </c>
      <c r="I45" s="43"/>
      <c r="J45" s="43" t="s">
        <v>20</v>
      </c>
      <c r="K45" s="45" t="s">
        <v>28</v>
      </c>
      <c r="L45" s="46">
        <f>IF(ISERROR(VLOOKUP($C45,[1]TABELA_PREÇOS!B:W,$U$8,FALSE))=TRUE,"",VLOOKUP($C45,[1]TABELA_PREÇOS!B:W,$U$8,FALSE))</f>
        <v>23.22</v>
      </c>
      <c r="M45" s="47">
        <f t="shared" si="3"/>
        <v>16.253999999999998</v>
      </c>
      <c r="N45" s="48">
        <f t="shared" si="1"/>
        <v>8.5199999999999998E-2</v>
      </c>
      <c r="O45" s="49">
        <f t="shared" si="4"/>
        <v>14.869159199999999</v>
      </c>
      <c r="P45" s="50">
        <f>_xlfn.XLOOKUP(C45&amp;$H$2,[1]POLITICA!A:A,[1]POLITICA!F:F)/100</f>
        <v>0.3</v>
      </c>
    </row>
    <row r="46" spans="2:16" ht="12" customHeight="1" x14ac:dyDescent="0.2">
      <c r="B46" s="39" t="s">
        <v>20</v>
      </c>
      <c r="C46" s="57">
        <v>893435</v>
      </c>
      <c r="D46" s="41" t="s">
        <v>128</v>
      </c>
      <c r="E46" s="42" t="s">
        <v>20</v>
      </c>
      <c r="F46" s="43" t="s">
        <v>124</v>
      </c>
      <c r="G46" s="44" t="s">
        <v>129</v>
      </c>
      <c r="H46" s="45" t="str">
        <f>_xlfn.XLOOKUP($C46,[1]TABELA_PREÇOS!$B:$B,[1]TABELA_PREÇOS!J:J)</f>
        <v>NEUTRA</v>
      </c>
      <c r="I46" s="43"/>
      <c r="J46" s="43" t="s">
        <v>20</v>
      </c>
      <c r="K46" s="45" t="s">
        <v>28</v>
      </c>
      <c r="L46" s="46">
        <f>IF(ISERROR(VLOOKUP($C46,[1]TABELA_PREÇOS!B:W,$U$8,FALSE))=TRUE,"",VLOOKUP($C46,[1]TABELA_PREÇOS!B:W,$U$8,FALSE))</f>
        <v>23.22</v>
      </c>
      <c r="M46" s="47">
        <f t="shared" si="3"/>
        <v>16.253999999999998</v>
      </c>
      <c r="N46" s="48">
        <f t="shared" si="1"/>
        <v>8.5199999999999998E-2</v>
      </c>
      <c r="O46" s="49">
        <f t="shared" si="4"/>
        <v>14.869159199999999</v>
      </c>
      <c r="P46" s="50">
        <f>_xlfn.XLOOKUP(C46&amp;$H$2,[1]POLITICA!A:A,[1]POLITICA!F:F)/100</f>
        <v>0.3</v>
      </c>
    </row>
    <row r="47" spans="2:16" ht="12" customHeight="1" x14ac:dyDescent="0.2">
      <c r="B47" s="39" t="s">
        <v>20</v>
      </c>
      <c r="C47" s="57">
        <v>893682</v>
      </c>
      <c r="D47" s="41" t="str">
        <f>_xlfn.XLOOKUP(C47,[1]TABELA_PREÇOS!B:B,[1]TABELA_PREÇOS!C:C)</f>
        <v>7896004790596</v>
      </c>
      <c r="E47" s="42" t="s">
        <v>20</v>
      </c>
      <c r="F47" s="43" t="str">
        <f>_xlfn.XLOOKUP($C47,[1]TABELA_PREÇOS!$B:$B,[1]TABELA_PREÇOS!E:E)</f>
        <v>DERMACYD</v>
      </c>
      <c r="G47" s="44" t="s">
        <v>130</v>
      </c>
      <c r="H47" s="45" t="str">
        <f>_xlfn.XLOOKUP($C47,[1]TABELA_PREÇOS!$B:$B,[1]TABELA_PREÇOS!J:J)</f>
        <v>NEUTRA</v>
      </c>
      <c r="I47" s="43"/>
      <c r="J47" s="43" t="s">
        <v>20</v>
      </c>
      <c r="K47" s="45" t="s">
        <v>28</v>
      </c>
      <c r="L47" s="46">
        <f>IF(ISERROR(VLOOKUP($C47,[1]TABELA_PREÇOS!B:W,$U$8,FALSE))=TRUE,"",VLOOKUP($C47,[1]TABELA_PREÇOS!B:W,$U$8,FALSE))</f>
        <v>23.22</v>
      </c>
      <c r="M47" s="47">
        <f t="shared" si="3"/>
        <v>16.253999999999998</v>
      </c>
      <c r="N47" s="48">
        <f t="shared" si="1"/>
        <v>8.5199999999999998E-2</v>
      </c>
      <c r="O47" s="49">
        <f t="shared" si="4"/>
        <v>14.869159199999999</v>
      </c>
      <c r="P47" s="50">
        <f>_xlfn.XLOOKUP(C47&amp;$H$2,[1]POLITICA!A:A,[1]POLITICA!F:F)/100</f>
        <v>0.3</v>
      </c>
    </row>
    <row r="48" spans="2:16" ht="12" customHeight="1" x14ac:dyDescent="0.2">
      <c r="B48" s="39" t="s">
        <v>20</v>
      </c>
      <c r="C48" s="57">
        <v>2741</v>
      </c>
      <c r="D48" s="41" t="str">
        <f>_xlfn.XLOOKUP(C48,[1]TABELA_PREÇOS!B:B,[1]TABELA_PREÇOS!C:C)</f>
        <v>7896004822761</v>
      </c>
      <c r="E48" s="42" t="s">
        <v>20</v>
      </c>
      <c r="F48" s="43" t="str">
        <f>_xlfn.XLOOKUP($C48,[1]TABELA_PREÇOS!$B:$B,[1]TABELA_PREÇOS!E:E)</f>
        <v>DERMACYD</v>
      </c>
      <c r="G48" s="44" t="s">
        <v>131</v>
      </c>
      <c r="H48" s="45" t="str">
        <f>_xlfn.XLOOKUP($C48,[1]TABELA_PREÇOS!$B:$B,[1]TABELA_PREÇOS!J:J)</f>
        <v>NEUTRA</v>
      </c>
      <c r="I48" s="43"/>
      <c r="J48" s="43" t="s">
        <v>20</v>
      </c>
      <c r="K48" s="45" t="s">
        <v>28</v>
      </c>
      <c r="L48" s="46">
        <f>IF(ISERROR(VLOOKUP($C48,[1]TABELA_PREÇOS!B:W,$U$8,FALSE))=TRUE,"",VLOOKUP($C48,[1]TABELA_PREÇOS!B:W,$U$8,FALSE))</f>
        <v>73.16</v>
      </c>
      <c r="M48" s="47">
        <f t="shared" si="3"/>
        <v>73.16</v>
      </c>
      <c r="N48" s="48">
        <f t="shared" si="1"/>
        <v>8.5199999999999998E-2</v>
      </c>
      <c r="O48" s="49">
        <f t="shared" si="4"/>
        <v>66.926767999999996</v>
      </c>
      <c r="P48" s="50">
        <f>_xlfn.XLOOKUP(C48&amp;$H$2,[1]POLITICA!A:A,[1]POLITICA!F:F)/100</f>
        <v>0</v>
      </c>
    </row>
    <row r="49" spans="2:16" ht="12" customHeight="1" x14ac:dyDescent="0.2">
      <c r="B49" s="39" t="s">
        <v>20</v>
      </c>
      <c r="C49" s="57">
        <v>2743</v>
      </c>
      <c r="D49" s="41" t="str">
        <f>_xlfn.XLOOKUP(C49,[1]TABELA_PREÇOS!B:B,[1]TABELA_PREÇOS!C:C)</f>
        <v>7896004822785</v>
      </c>
      <c r="E49" s="42" t="s">
        <v>20</v>
      </c>
      <c r="F49" s="43" t="str">
        <f>_xlfn.XLOOKUP($C49,[1]TABELA_PREÇOS!$B:$B,[1]TABELA_PREÇOS!E:E)</f>
        <v>DERMACYD</v>
      </c>
      <c r="G49" s="44" t="s">
        <v>132</v>
      </c>
      <c r="H49" s="45" t="str">
        <f>_xlfn.XLOOKUP($C49,[1]TABELA_PREÇOS!$B:$B,[1]TABELA_PREÇOS!J:J)</f>
        <v>NEUTRA</v>
      </c>
      <c r="I49" s="43"/>
      <c r="J49" s="43" t="s">
        <v>20</v>
      </c>
      <c r="K49" s="45" t="s">
        <v>28</v>
      </c>
      <c r="L49" s="46">
        <f>IF(ISERROR(VLOOKUP($C49,[1]TABELA_PREÇOS!B:W,$U$8,FALSE))=TRUE,"",VLOOKUP($C49,[1]TABELA_PREÇOS!B:W,$U$8,FALSE))</f>
        <v>29.13</v>
      </c>
      <c r="M49" s="47">
        <f t="shared" si="3"/>
        <v>29.13</v>
      </c>
      <c r="N49" s="48">
        <f t="shared" si="1"/>
        <v>8.5199999999999998E-2</v>
      </c>
      <c r="O49" s="49">
        <f t="shared" si="4"/>
        <v>26.648123999999999</v>
      </c>
      <c r="P49" s="50">
        <f>_xlfn.XLOOKUP(C49&amp;$H$2,[1]POLITICA!A:A,[1]POLITICA!F:F)/100</f>
        <v>0</v>
      </c>
    </row>
    <row r="50" spans="2:16" ht="12" customHeight="1" x14ac:dyDescent="0.2">
      <c r="B50" s="39" t="s">
        <v>20</v>
      </c>
      <c r="C50" s="57">
        <v>2701</v>
      </c>
      <c r="D50" s="41" t="s">
        <v>133</v>
      </c>
      <c r="E50" s="42" t="s">
        <v>20</v>
      </c>
      <c r="F50" s="43" t="s">
        <v>124</v>
      </c>
      <c r="G50" s="44" t="s">
        <v>134</v>
      </c>
      <c r="H50" s="45" t="str">
        <f>_xlfn.XLOOKUP($C50,[1]TABELA_PREÇOS!$B:$B,[1]TABELA_PREÇOS!J:J)</f>
        <v>NEUTRA</v>
      </c>
      <c r="I50" s="43"/>
      <c r="J50" s="43" t="s">
        <v>20</v>
      </c>
      <c r="K50" s="45" t="s">
        <v>28</v>
      </c>
      <c r="L50" s="46">
        <f>IF(ISERROR(VLOOKUP($C50,[1]TABELA_PREÇOS!B:W,$U$8,FALSE))=TRUE,"",VLOOKUP($C50,[1]TABELA_PREÇOS!B:W,$U$8,FALSE))</f>
        <v>29.13</v>
      </c>
      <c r="M50" s="47">
        <f t="shared" si="3"/>
        <v>20.390999999999998</v>
      </c>
      <c r="N50" s="48">
        <f t="shared" si="1"/>
        <v>8.5199999999999998E-2</v>
      </c>
      <c r="O50" s="49">
        <f t="shared" si="4"/>
        <v>18.653686799999999</v>
      </c>
      <c r="P50" s="50">
        <f>_xlfn.XLOOKUP(C50&amp;$H$2,[1]POLITICA!A:A,[1]POLITICA!F:F)/100</f>
        <v>0.3</v>
      </c>
    </row>
    <row r="51" spans="2:16" ht="12" customHeight="1" x14ac:dyDescent="0.2">
      <c r="B51" s="39" t="s">
        <v>20</v>
      </c>
      <c r="C51" s="57">
        <v>2744</v>
      </c>
      <c r="D51" s="41" t="str">
        <f>_xlfn.XLOOKUP(C51,[1]TABELA_PREÇOS!B:B,[1]TABELA_PREÇOS!C:C)</f>
        <v>7896004822792</v>
      </c>
      <c r="E51" s="42" t="s">
        <v>20</v>
      </c>
      <c r="F51" s="43" t="str">
        <f>_xlfn.XLOOKUP($C51,[1]TABELA_PREÇOS!$B:$B,[1]TABELA_PREÇOS!E:E)</f>
        <v>DERMACYD</v>
      </c>
      <c r="G51" s="44" t="s">
        <v>135</v>
      </c>
      <c r="H51" s="45" t="str">
        <f>_xlfn.XLOOKUP($C51,[1]TABELA_PREÇOS!$B:$B,[1]TABELA_PREÇOS!J:J)</f>
        <v>NEUTRA</v>
      </c>
      <c r="I51" s="43"/>
      <c r="J51" s="43" t="s">
        <v>20</v>
      </c>
      <c r="K51" s="45" t="s">
        <v>28</v>
      </c>
      <c r="L51" s="46">
        <f>IF(ISERROR(VLOOKUP($C51,[1]TABELA_PREÇOS!B:W,$U$8,FALSE))=TRUE,"",VLOOKUP($C51,[1]TABELA_PREÇOS!B:W,$U$8,FALSE))</f>
        <v>29.13</v>
      </c>
      <c r="M51" s="47">
        <f t="shared" si="3"/>
        <v>29.13</v>
      </c>
      <c r="N51" s="48">
        <f t="shared" si="1"/>
        <v>8.5199999999999998E-2</v>
      </c>
      <c r="O51" s="49">
        <f t="shared" si="4"/>
        <v>26.648123999999999</v>
      </c>
      <c r="P51" s="50">
        <f>_xlfn.XLOOKUP(C51&amp;$H$2,[1]POLITICA!A:A,[1]POLITICA!F:F)/100</f>
        <v>0</v>
      </c>
    </row>
    <row r="52" spans="2:16" ht="12" customHeight="1" x14ac:dyDescent="0.2">
      <c r="B52" s="39" t="s">
        <v>20</v>
      </c>
      <c r="C52" s="57">
        <v>2700</v>
      </c>
      <c r="D52" s="41" t="str">
        <f>_xlfn.XLOOKUP(C52,[1]TABELA_PREÇOS!B:B,[1]TABELA_PREÇOS!C:C)</f>
        <v>7891058018238</v>
      </c>
      <c r="E52" s="42" t="s">
        <v>20</v>
      </c>
      <c r="F52" s="43" t="str">
        <f>_xlfn.XLOOKUP($C52,[1]TABELA_PREÇOS!$B:$B,[1]TABELA_PREÇOS!E:E)</f>
        <v>DERMACYD</v>
      </c>
      <c r="G52" s="44" t="s">
        <v>136</v>
      </c>
      <c r="H52" s="45" t="str">
        <f>_xlfn.XLOOKUP($C52,[1]TABELA_PREÇOS!$B:$B,[1]TABELA_PREÇOS!J:J)</f>
        <v>NEUTRA</v>
      </c>
      <c r="I52" s="43"/>
      <c r="J52" s="43" t="s">
        <v>20</v>
      </c>
      <c r="K52" s="45" t="s">
        <v>28</v>
      </c>
      <c r="L52" s="46">
        <f>IF(ISERROR(VLOOKUP($C52,[1]TABELA_PREÇOS!B:W,$U$8,FALSE))=TRUE,"",VLOOKUP($C52,[1]TABELA_PREÇOS!B:W,$U$8,FALSE))</f>
        <v>28.26</v>
      </c>
      <c r="M52" s="47">
        <f t="shared" si="3"/>
        <v>19.782000000000004</v>
      </c>
      <c r="N52" s="48">
        <f t="shared" si="1"/>
        <v>8.5199999999999998E-2</v>
      </c>
      <c r="O52" s="49">
        <f t="shared" si="4"/>
        <v>18.096573600000003</v>
      </c>
      <c r="P52" s="50">
        <f>_xlfn.XLOOKUP(C52&amp;$H$2,[1]POLITICA!A:A,[1]POLITICA!F:F)/100</f>
        <v>0.3</v>
      </c>
    </row>
    <row r="53" spans="2:16" ht="12" customHeight="1" x14ac:dyDescent="0.2">
      <c r="B53" s="39" t="s">
        <v>20</v>
      </c>
      <c r="C53" s="57">
        <v>2703</v>
      </c>
      <c r="D53" s="41" t="s">
        <v>137</v>
      </c>
      <c r="E53" s="42" t="s">
        <v>20</v>
      </c>
      <c r="F53" s="43" t="s">
        <v>124</v>
      </c>
      <c r="G53" s="44" t="s">
        <v>138</v>
      </c>
      <c r="H53" s="45" t="str">
        <f>_xlfn.XLOOKUP($C53,[1]TABELA_PREÇOS!$B:$B,[1]TABELA_PREÇOS!J:J)</f>
        <v>NEUTRA</v>
      </c>
      <c r="I53" s="43"/>
      <c r="J53" s="43" t="s">
        <v>20</v>
      </c>
      <c r="K53" s="45" t="s">
        <v>28</v>
      </c>
      <c r="L53" s="46">
        <f>IF(ISERROR(VLOOKUP($C53,[1]TABELA_PREÇOS!B:W,$U$8,FALSE))=TRUE,"",VLOOKUP($C53,[1]TABELA_PREÇOS!B:W,$U$8,FALSE))</f>
        <v>29.13</v>
      </c>
      <c r="M53" s="47">
        <f t="shared" si="3"/>
        <v>20.390999999999998</v>
      </c>
      <c r="N53" s="48">
        <f t="shared" si="1"/>
        <v>8.5199999999999998E-2</v>
      </c>
      <c r="O53" s="49">
        <f t="shared" si="4"/>
        <v>18.653686799999999</v>
      </c>
      <c r="P53" s="50">
        <f>_xlfn.XLOOKUP(C53&amp;$H$2,[1]POLITICA!A:A,[1]POLITICA!F:F)/100</f>
        <v>0.3</v>
      </c>
    </row>
    <row r="54" spans="2:16" ht="12" customHeight="1" x14ac:dyDescent="0.2">
      <c r="B54" s="39" t="s">
        <v>20</v>
      </c>
      <c r="C54" s="57">
        <v>2738</v>
      </c>
      <c r="D54" s="41" t="str">
        <f>_xlfn.XLOOKUP(C54,[1]TABELA_PREÇOS!B:B,[1]TABELA_PREÇOS!C:C)</f>
        <v>7896004822730</v>
      </c>
      <c r="E54" s="42" t="s">
        <v>20</v>
      </c>
      <c r="F54" s="43" t="str">
        <f>_xlfn.XLOOKUP($C54,[1]TABELA_PREÇOS!$B:$B,[1]TABELA_PREÇOS!E:E)</f>
        <v>DERMACYD</v>
      </c>
      <c r="G54" s="44" t="str">
        <f>_xlfn.XLOOKUP($C54,[1]TABELA_PREÇOS!$B:$B,[1]TABELA_PREÇOS!G:G)</f>
        <v>DERMACYD KIT FEM 200ML+LENCO 16UND- E</v>
      </c>
      <c r="H54" s="45" t="str">
        <f>_xlfn.XLOOKUP($C54,[1]TABELA_PREÇOS!$B:$B,[1]TABELA_PREÇOS!J:J)</f>
        <v>NEUTRA</v>
      </c>
      <c r="I54" s="43"/>
      <c r="J54" s="43" t="s">
        <v>20</v>
      </c>
      <c r="K54" s="45" t="s">
        <v>28</v>
      </c>
      <c r="L54" s="46">
        <f>IF(ISERROR(VLOOKUP($C54,[1]TABELA_PREÇOS!B:W,$U$8,FALSE))=TRUE,"",VLOOKUP($C54,[1]TABELA_PREÇOS!B:W,$U$8,FALSE))</f>
        <v>33.78</v>
      </c>
      <c r="M54" s="47">
        <f t="shared" si="3"/>
        <v>23.646000000000001</v>
      </c>
      <c r="N54" s="48">
        <f t="shared" si="1"/>
        <v>8.5199999999999998E-2</v>
      </c>
      <c r="O54" s="49">
        <f t="shared" si="4"/>
        <v>21.631360800000003</v>
      </c>
      <c r="P54" s="50">
        <f>_xlfn.XLOOKUP(C54&amp;$H$2,[1]POLITICA!A:A,[1]POLITICA!F:F)/100</f>
        <v>0.3</v>
      </c>
    </row>
    <row r="55" spans="2:16" ht="12" customHeight="1" x14ac:dyDescent="0.2">
      <c r="B55" s="39" t="s">
        <v>20</v>
      </c>
      <c r="C55" s="57">
        <v>2699</v>
      </c>
      <c r="D55" s="41" t="s">
        <v>139</v>
      </c>
      <c r="E55" s="42" t="s">
        <v>20</v>
      </c>
      <c r="F55" s="43" t="s">
        <v>124</v>
      </c>
      <c r="G55" s="44" t="s">
        <v>140</v>
      </c>
      <c r="H55" s="45" t="str">
        <f>_xlfn.XLOOKUP($C55,[1]TABELA_PREÇOS!$B:$B,[1]TABELA_PREÇOS!J:J)</f>
        <v>NEUTRA</v>
      </c>
      <c r="I55" s="43"/>
      <c r="J55" s="43" t="s">
        <v>20</v>
      </c>
      <c r="K55" s="45" t="s">
        <v>28</v>
      </c>
      <c r="L55" s="46">
        <f>IF(ISERROR(VLOOKUP($C55,[1]TABELA_PREÇOS!B:W,$U$8,FALSE))=TRUE,"",VLOOKUP($C55,[1]TABELA_PREÇOS!B:W,$U$8,FALSE))</f>
        <v>28.26</v>
      </c>
      <c r="M55" s="47">
        <f t="shared" si="3"/>
        <v>19.782000000000004</v>
      </c>
      <c r="N55" s="48">
        <f t="shared" si="1"/>
        <v>8.5199999999999998E-2</v>
      </c>
      <c r="O55" s="49">
        <f t="shared" si="4"/>
        <v>18.096573600000003</v>
      </c>
      <c r="P55" s="50">
        <f>_xlfn.XLOOKUP(C55&amp;$H$2,[1]POLITICA!A:A,[1]POLITICA!F:F)/100</f>
        <v>0.3</v>
      </c>
    </row>
    <row r="56" spans="2:16" ht="12" customHeight="1" x14ac:dyDescent="0.2">
      <c r="B56" s="39" t="s">
        <v>20</v>
      </c>
      <c r="C56" s="57">
        <v>2702</v>
      </c>
      <c r="D56" s="41" t="str">
        <f>_xlfn.XLOOKUP(C56,[1]TABELA_PREÇOS!B:B,[1]TABELA_PREÇOS!C:C)</f>
        <v>7896004790671</v>
      </c>
      <c r="E56" s="42" t="s">
        <v>20</v>
      </c>
      <c r="F56" s="43" t="str">
        <f>_xlfn.XLOOKUP($C56,[1]TABELA_PREÇOS!$B:$B,[1]TABELA_PREÇOS!E:E)</f>
        <v>DERMACYD</v>
      </c>
      <c r="G56" s="44" t="s">
        <v>141</v>
      </c>
      <c r="H56" s="45" t="str">
        <f>_xlfn.XLOOKUP($C56,[1]TABELA_PREÇOS!$B:$B,[1]TABELA_PREÇOS!J:J)</f>
        <v>NEUTRA</v>
      </c>
      <c r="I56" s="43"/>
      <c r="J56" s="43" t="s">
        <v>20</v>
      </c>
      <c r="K56" s="45" t="s">
        <v>28</v>
      </c>
      <c r="L56" s="46">
        <f>IF(ISERROR(VLOOKUP($C56,[1]TABELA_PREÇOS!B:W,$U$8,FALSE))=TRUE,"",VLOOKUP($C56,[1]TABELA_PREÇOS!B:W,$U$8,FALSE))</f>
        <v>29.13</v>
      </c>
      <c r="M56" s="47">
        <f t="shared" si="3"/>
        <v>20.390999999999998</v>
      </c>
      <c r="N56" s="48">
        <f t="shared" si="1"/>
        <v>8.5199999999999998E-2</v>
      </c>
      <c r="O56" s="49">
        <f t="shared" si="4"/>
        <v>18.653686799999999</v>
      </c>
      <c r="P56" s="50">
        <f>_xlfn.XLOOKUP(C56&amp;$H$2,[1]POLITICA!A:A,[1]POLITICA!F:F)/100</f>
        <v>0.3</v>
      </c>
    </row>
    <row r="57" spans="2:16" ht="12" customHeight="1" x14ac:dyDescent="0.2">
      <c r="B57" s="39" t="s">
        <v>20</v>
      </c>
      <c r="C57" s="57">
        <v>2740</v>
      </c>
      <c r="D57" s="41" t="str">
        <f>_xlfn.XLOOKUP(C57,[1]TABELA_PREÇOS!B:B,[1]TABELA_PREÇOS!C:C)</f>
        <v>7896004822754</v>
      </c>
      <c r="E57" s="42" t="s">
        <v>20</v>
      </c>
      <c r="F57" s="43" t="str">
        <f>_xlfn.XLOOKUP($C57,[1]TABELA_PREÇOS!$B:$B,[1]TABELA_PREÇOS!E:E)</f>
        <v>DERMACYD</v>
      </c>
      <c r="G57" s="44" t="s">
        <v>142</v>
      </c>
      <c r="H57" s="45" t="str">
        <f>_xlfn.XLOOKUP($C57,[1]TABELA_PREÇOS!$B:$B,[1]TABELA_PREÇOS!J:J)</f>
        <v>NEUTRA</v>
      </c>
      <c r="I57" s="43"/>
      <c r="J57" s="43" t="s">
        <v>20</v>
      </c>
      <c r="K57" s="45" t="s">
        <v>28</v>
      </c>
      <c r="L57" s="46">
        <f>IF(ISERROR(VLOOKUP($C57,[1]TABELA_PREÇOS!B:W,$U$8,FALSE))=TRUE,"",VLOOKUP($C57,[1]TABELA_PREÇOS!B:W,$U$8,FALSE))</f>
        <v>46.45</v>
      </c>
      <c r="M57" s="47">
        <f t="shared" si="3"/>
        <v>46.45</v>
      </c>
      <c r="N57" s="48">
        <f t="shared" si="1"/>
        <v>8.5199999999999998E-2</v>
      </c>
      <c r="O57" s="49">
        <f t="shared" si="4"/>
        <v>42.492460000000008</v>
      </c>
      <c r="P57" s="50">
        <f>_xlfn.XLOOKUP(C57&amp;$H$2,[1]POLITICA!A:A,[1]POLITICA!F:F)/100</f>
        <v>0</v>
      </c>
    </row>
    <row r="58" spans="2:16" ht="12" customHeight="1" x14ac:dyDescent="0.2">
      <c r="B58" s="39" t="s">
        <v>20</v>
      </c>
      <c r="C58" s="57">
        <v>2771</v>
      </c>
      <c r="D58" s="41" t="str">
        <f>_xlfn.XLOOKUP(C58,[1]TABELA_PREÇOS!B:B,[1]TABELA_PREÇOS!C:C)</f>
        <v>7898655871303</v>
      </c>
      <c r="E58" s="42" t="s">
        <v>20</v>
      </c>
      <c r="F58" s="43" t="str">
        <f>_xlfn.XLOOKUP($C58,[1]TABELA_PREÇOS!$B:$B,[1]TABELA_PREÇOS!E:E)</f>
        <v>DERMACYD</v>
      </c>
      <c r="G58" s="44" t="str">
        <f>_xlfn.XLOOKUP($C58,[1]TABELA_PREÇOS!$B:$B,[1]TABELA_PREÇOS!G:G)</f>
        <v>DERMACYD KIT LENÇOS 1X48UND - E</v>
      </c>
      <c r="H58" s="45" t="str">
        <f>_xlfn.XLOOKUP($C58,[1]TABELA_PREÇOS!$B:$B,[1]TABELA_PREÇOS!J:J)</f>
        <v>NEUTRA</v>
      </c>
      <c r="I58" s="43"/>
      <c r="J58" s="43" t="s">
        <v>20</v>
      </c>
      <c r="K58" s="45" t="s">
        <v>28</v>
      </c>
      <c r="L58" s="46">
        <f>IF(ISERROR(VLOOKUP($C58,[1]TABELA_PREÇOS!B:W,$U$8,FALSE))=TRUE,"",VLOOKUP($C58,[1]TABELA_PREÇOS!B:W,$U$8,FALSE))</f>
        <v>29.07</v>
      </c>
      <c r="M58" s="47">
        <f t="shared" si="3"/>
        <v>20.349</v>
      </c>
      <c r="N58" s="48">
        <f t="shared" si="1"/>
        <v>8.5199999999999998E-2</v>
      </c>
      <c r="O58" s="49">
        <f t="shared" si="4"/>
        <v>18.6152652</v>
      </c>
      <c r="P58" s="50">
        <f>_xlfn.XLOOKUP(C58&amp;$H$2,[1]POLITICA!A:A,[1]POLITICA!F:F)/100</f>
        <v>0.3</v>
      </c>
    </row>
    <row r="59" spans="2:16" ht="12" customHeight="1" x14ac:dyDescent="0.2">
      <c r="B59" s="39" t="s">
        <v>20</v>
      </c>
      <c r="C59" s="57">
        <v>2742</v>
      </c>
      <c r="D59" s="41" t="str">
        <f>_xlfn.XLOOKUP(C59,[1]TABELA_PREÇOS!B:B,[1]TABELA_PREÇOS!C:C)</f>
        <v>7898655871310</v>
      </c>
      <c r="E59" s="42" t="s">
        <v>20</v>
      </c>
      <c r="F59" s="43" t="str">
        <f>_xlfn.XLOOKUP($C59,[1]TABELA_PREÇOS!$B:$B,[1]TABELA_PREÇOS!E:E)</f>
        <v>DERMACYD</v>
      </c>
      <c r="G59" s="44" t="s">
        <v>143</v>
      </c>
      <c r="H59" s="45" t="str">
        <f>_xlfn.XLOOKUP($C59,[1]TABELA_PREÇOS!$B:$B,[1]TABELA_PREÇOS!J:J)</f>
        <v>NEUTRA</v>
      </c>
      <c r="I59" s="43"/>
      <c r="J59" s="43" t="s">
        <v>20</v>
      </c>
      <c r="K59" s="45" t="s">
        <v>28</v>
      </c>
      <c r="L59" s="46">
        <f>IF(ISERROR(VLOOKUP($C59,[1]TABELA_PREÇOS!B:W,$U$8,FALSE))=TRUE,"",VLOOKUP($C59,[1]TABELA_PREÇOS!B:W,$U$8,FALSE))</f>
        <v>53.67</v>
      </c>
      <c r="M59" s="47">
        <f t="shared" si="3"/>
        <v>53.67</v>
      </c>
      <c r="N59" s="48">
        <f t="shared" si="1"/>
        <v>8.5199999999999998E-2</v>
      </c>
      <c r="O59" s="49">
        <f t="shared" si="4"/>
        <v>49.097316000000006</v>
      </c>
      <c r="P59" s="50">
        <f>_xlfn.XLOOKUP(C59&amp;$H$2,[1]POLITICA!A:A,[1]POLITICA!F:F)/100</f>
        <v>0</v>
      </c>
    </row>
    <row r="60" spans="2:16" ht="12" customHeight="1" x14ac:dyDescent="0.2">
      <c r="B60" s="39" t="s">
        <v>20</v>
      </c>
      <c r="C60" s="57">
        <v>2678</v>
      </c>
      <c r="D60" s="41" t="str">
        <f>_xlfn.XLOOKUP(C60,[1]TABELA_PREÇOS!B:B,[1]TABELA_PREÇOS!C:C)</f>
        <v>7891058003661</v>
      </c>
      <c r="E60" s="42" t="s">
        <v>20</v>
      </c>
      <c r="F60" s="43" t="str">
        <f>_xlfn.XLOOKUP($C60,[1]TABELA_PREÇOS!$B:$B,[1]TABELA_PREÇOS!E:E)</f>
        <v>DERMACYD</v>
      </c>
      <c r="G60" s="44" t="s">
        <v>144</v>
      </c>
      <c r="H60" s="45" t="str">
        <f>_xlfn.XLOOKUP($C60,[1]TABELA_PREÇOS!$B:$B,[1]TABELA_PREÇOS!J:J)</f>
        <v>NEUTRA</v>
      </c>
      <c r="I60" s="43"/>
      <c r="J60" s="43" t="s">
        <v>20</v>
      </c>
      <c r="K60" s="45" t="s">
        <v>28</v>
      </c>
      <c r="L60" s="46">
        <f>IF(ISERROR(VLOOKUP($C60,[1]TABELA_PREÇOS!B:W,$U$8,FALSE))=TRUE,"",VLOOKUP($C60,[1]TABELA_PREÇOS!B:W,$U$8,FALSE))</f>
        <v>22.53</v>
      </c>
      <c r="M60" s="47">
        <f t="shared" si="3"/>
        <v>15.771000000000001</v>
      </c>
      <c r="N60" s="48">
        <f t="shared" si="1"/>
        <v>8.5199999999999998E-2</v>
      </c>
      <c r="O60" s="49">
        <f t="shared" si="4"/>
        <v>14.427310800000001</v>
      </c>
      <c r="P60" s="50">
        <f>_xlfn.XLOOKUP(C60&amp;$H$2,[1]POLITICA!A:A,[1]POLITICA!F:F)/100</f>
        <v>0.3</v>
      </c>
    </row>
    <row r="61" spans="2:16" ht="12" customHeight="1" x14ac:dyDescent="0.2">
      <c r="B61" s="39" t="s">
        <v>20</v>
      </c>
      <c r="C61" s="57">
        <v>2679</v>
      </c>
      <c r="D61" s="41" t="str">
        <f>_xlfn.XLOOKUP(C61,[1]TABELA_PREÇOS!B:B,[1]TABELA_PREÇOS!C:C)</f>
        <v>7897595903914</v>
      </c>
      <c r="E61" s="42" t="s">
        <v>20</v>
      </c>
      <c r="F61" s="43" t="str">
        <f>_xlfn.XLOOKUP($C61,[1]TABELA_PREÇOS!$B:$B,[1]TABELA_PREÇOS!E:E)</f>
        <v>DERMACYD</v>
      </c>
      <c r="G61" s="44" t="s">
        <v>145</v>
      </c>
      <c r="H61" s="45" t="str">
        <f>_xlfn.XLOOKUP($C61,[1]TABELA_PREÇOS!$B:$B,[1]TABELA_PREÇOS!J:J)</f>
        <v>NEUTRA</v>
      </c>
      <c r="I61" s="43"/>
      <c r="J61" s="43" t="s">
        <v>20</v>
      </c>
      <c r="K61" s="45" t="s">
        <v>28</v>
      </c>
      <c r="L61" s="46">
        <f>IF(ISERROR(VLOOKUP($C61,[1]TABELA_PREÇOS!B:W,$U$8,FALSE))=TRUE,"",VLOOKUP($C61,[1]TABELA_PREÇOS!B:W,$U$8,FALSE))</f>
        <v>22.53</v>
      </c>
      <c r="M61" s="47">
        <f t="shared" si="3"/>
        <v>15.771000000000001</v>
      </c>
      <c r="N61" s="48">
        <f t="shared" si="1"/>
        <v>8.5199999999999998E-2</v>
      </c>
      <c r="O61" s="49">
        <f t="shared" si="4"/>
        <v>14.427310800000001</v>
      </c>
      <c r="P61" s="50">
        <f>_xlfn.XLOOKUP(C61&amp;$H$2,[1]POLITICA!A:A,[1]POLITICA!F:F)/100</f>
        <v>0.3</v>
      </c>
    </row>
    <row r="62" spans="2:16" ht="12" customHeight="1" x14ac:dyDescent="0.2">
      <c r="B62" s="39" t="s">
        <v>20</v>
      </c>
      <c r="C62" s="57">
        <v>2680</v>
      </c>
      <c r="D62" s="41" t="str">
        <f>_xlfn.XLOOKUP(C62,[1]TABELA_PREÇOS!B:B,[1]TABELA_PREÇOS!C:C)</f>
        <v>7897595901866</v>
      </c>
      <c r="E62" s="42" t="s">
        <v>20</v>
      </c>
      <c r="F62" s="43" t="str">
        <f>_xlfn.XLOOKUP($C62,[1]TABELA_PREÇOS!$B:$B,[1]TABELA_PREÇOS!E:E)</f>
        <v>DERMACYD</v>
      </c>
      <c r="G62" s="44" t="s">
        <v>146</v>
      </c>
      <c r="H62" s="45" t="str">
        <f>_xlfn.XLOOKUP($C62,[1]TABELA_PREÇOS!$B:$B,[1]TABELA_PREÇOS!J:J)</f>
        <v>NEUTRA</v>
      </c>
      <c r="I62" s="43"/>
      <c r="J62" s="43" t="s">
        <v>20</v>
      </c>
      <c r="K62" s="45" t="s">
        <v>28</v>
      </c>
      <c r="L62" s="46">
        <f>IF(ISERROR(VLOOKUP($C62,[1]TABELA_PREÇOS!B:W,$U$8,FALSE))=TRUE,"",VLOOKUP($C62,[1]TABELA_PREÇOS!B:W,$U$8,FALSE))</f>
        <v>22.53</v>
      </c>
      <c r="M62" s="47">
        <f t="shared" si="3"/>
        <v>15.771000000000001</v>
      </c>
      <c r="N62" s="48">
        <f t="shared" si="1"/>
        <v>8.5199999999999998E-2</v>
      </c>
      <c r="O62" s="49">
        <f t="shared" si="4"/>
        <v>14.427310800000001</v>
      </c>
      <c r="P62" s="50">
        <f>_xlfn.XLOOKUP(C62&amp;$H$2,[1]POLITICA!A:A,[1]POLITICA!F:F)/100</f>
        <v>0.3</v>
      </c>
    </row>
    <row r="63" spans="2:16" ht="12" customHeight="1" x14ac:dyDescent="0.2">
      <c r="B63" s="39" t="s">
        <v>20</v>
      </c>
      <c r="C63" s="57">
        <v>2677</v>
      </c>
      <c r="D63" s="41" t="s">
        <v>147</v>
      </c>
      <c r="E63" s="42" t="s">
        <v>20</v>
      </c>
      <c r="F63" s="43" t="s">
        <v>124</v>
      </c>
      <c r="G63" s="44" t="s">
        <v>148</v>
      </c>
      <c r="H63" s="45" t="str">
        <f>_xlfn.XLOOKUP($C63,[1]TABELA_PREÇOS!$B:$B,[1]TABELA_PREÇOS!J:J)</f>
        <v>NEUTRA</v>
      </c>
      <c r="I63" s="43"/>
      <c r="J63" s="43" t="s">
        <v>20</v>
      </c>
      <c r="K63" s="45" t="s">
        <v>28</v>
      </c>
      <c r="L63" s="46">
        <f>IF(ISERROR(VLOOKUP($C63,[1]TABELA_PREÇOS!B:W,$U$8,FALSE))=TRUE,"",VLOOKUP($C63,[1]TABELA_PREÇOS!B:W,$U$8,FALSE))</f>
        <v>22.53</v>
      </c>
      <c r="M63" s="47">
        <f t="shared" si="3"/>
        <v>15.771000000000001</v>
      </c>
      <c r="N63" s="48">
        <f t="shared" si="1"/>
        <v>8.5199999999999998E-2</v>
      </c>
      <c r="O63" s="49">
        <f t="shared" si="4"/>
        <v>14.427310800000001</v>
      </c>
      <c r="P63" s="50">
        <f>_xlfn.XLOOKUP(C63&amp;$H$2,[1]POLITICA!A:A,[1]POLITICA!F:F)/100</f>
        <v>0.3</v>
      </c>
    </row>
    <row r="64" spans="2:16" ht="12" customHeight="1" x14ac:dyDescent="0.2">
      <c r="B64" s="39" t="s">
        <v>20</v>
      </c>
      <c r="C64" s="57">
        <v>893681</v>
      </c>
      <c r="D64" s="41" t="s">
        <v>149</v>
      </c>
      <c r="E64" s="42" t="s">
        <v>20</v>
      </c>
      <c r="F64" s="43" t="s">
        <v>124</v>
      </c>
      <c r="G64" s="44" t="s">
        <v>150</v>
      </c>
      <c r="H64" s="45" t="str">
        <f>_xlfn.XLOOKUP($C64,[1]TABELA_PREÇOS!$B:$B,[1]TABELA_PREÇOS!J:J)</f>
        <v>NEUTRA</v>
      </c>
      <c r="I64" s="43"/>
      <c r="J64" s="43" t="s">
        <v>20</v>
      </c>
      <c r="K64" s="45" t="s">
        <v>28</v>
      </c>
      <c r="L64" s="46">
        <f>IF(ISERROR(VLOOKUP($C64,[1]TABELA_PREÇOS!B:W,$U$8,FALSE))=TRUE,"",VLOOKUP($C64,[1]TABELA_PREÇOS!B:W,$U$8,FALSE))</f>
        <v>25.55</v>
      </c>
      <c r="M64" s="47">
        <f t="shared" si="3"/>
        <v>17.885000000000002</v>
      </c>
      <c r="N64" s="48">
        <f t="shared" si="1"/>
        <v>8.5199999999999998E-2</v>
      </c>
      <c r="O64" s="49">
        <f t="shared" si="4"/>
        <v>16.361198000000002</v>
      </c>
      <c r="P64" s="50">
        <f>_xlfn.XLOOKUP(C64&amp;$H$2,[1]POLITICA!A:A,[1]POLITICA!F:F)/100</f>
        <v>0.3</v>
      </c>
    </row>
    <row r="65" spans="2:16" ht="12" customHeight="1" x14ac:dyDescent="0.2">
      <c r="B65" s="39" t="s">
        <v>20</v>
      </c>
      <c r="C65" s="40">
        <v>33002</v>
      </c>
      <c r="D65" s="41" t="s">
        <v>151</v>
      </c>
      <c r="E65" s="42" t="s">
        <v>36</v>
      </c>
      <c r="F65" s="43" t="s">
        <v>152</v>
      </c>
      <c r="G65" s="44" t="s">
        <v>153</v>
      </c>
      <c r="H65" s="45" t="s">
        <v>25</v>
      </c>
      <c r="I65" s="43" t="s">
        <v>154</v>
      </c>
      <c r="J65" s="43" t="s">
        <v>27</v>
      </c>
      <c r="K65" s="45" t="s">
        <v>28</v>
      </c>
      <c r="L65" s="46">
        <f>IF(ISERROR(VLOOKUP($C65,[1]TABELA_PREÇOS!B:W,$U$8,FALSE))=TRUE,"",VLOOKUP($C65,[1]TABELA_PREÇOS!B:W,$U$8,FALSE))</f>
        <v>21.88</v>
      </c>
      <c r="M65" s="47">
        <f t="shared" si="3"/>
        <v>5.753795067057915</v>
      </c>
      <c r="N65" s="48">
        <f t="shared" si="1"/>
        <v>8.5199999999999998E-2</v>
      </c>
      <c r="O65" s="49">
        <f t="shared" si="4"/>
        <v>5.2635717273445808</v>
      </c>
      <c r="P65" s="50">
        <f>_xlfn.XLOOKUP(C65&amp;$H$2,[1]POLITICA!A:A,[1]POLITICA!F:F)/100</f>
        <v>0.73702947591142975</v>
      </c>
    </row>
    <row r="66" spans="2:16" ht="12" customHeight="1" x14ac:dyDescent="0.2">
      <c r="B66" s="39" t="s">
        <v>20</v>
      </c>
      <c r="C66" s="40">
        <v>36005</v>
      </c>
      <c r="D66" s="41" t="s">
        <v>155</v>
      </c>
      <c r="E66" s="42" t="s">
        <v>36</v>
      </c>
      <c r="F66" s="43" t="s">
        <v>152</v>
      </c>
      <c r="G66" s="44" t="s">
        <v>156</v>
      </c>
      <c r="H66" s="45" t="s">
        <v>25</v>
      </c>
      <c r="I66" s="43" t="s">
        <v>63</v>
      </c>
      <c r="J66" s="43" t="s">
        <v>27</v>
      </c>
      <c r="K66" s="45" t="s">
        <v>28</v>
      </c>
      <c r="L66" s="46">
        <f>IF(ISERROR(VLOOKUP($C66,[1]TABELA_PREÇOS!B:W,$U$8,FALSE))=TRUE,"",VLOOKUP($C66,[1]TABELA_PREÇOS!B:W,$U$8,FALSE))</f>
        <v>28.2</v>
      </c>
      <c r="M66" s="47">
        <f t="shared" si="3"/>
        <v>8.2863618349377823</v>
      </c>
      <c r="N66" s="48">
        <f t="shared" si="1"/>
        <v>8.5199999999999998E-2</v>
      </c>
      <c r="O66" s="49">
        <f t="shared" si="4"/>
        <v>7.5803638066010839</v>
      </c>
      <c r="P66" s="50">
        <f>_xlfn.XLOOKUP(C66&amp;$H$2,[1]POLITICA!A:A,[1]POLITICA!F:F)/100</f>
        <v>0.70615738173979492</v>
      </c>
    </row>
    <row r="67" spans="2:16" ht="12" customHeight="1" x14ac:dyDescent="0.2">
      <c r="B67" s="39" t="s">
        <v>20</v>
      </c>
      <c r="C67" s="40">
        <v>32580</v>
      </c>
      <c r="D67" s="41">
        <v>7894916325806</v>
      </c>
      <c r="E67" s="42" t="s">
        <v>22</v>
      </c>
      <c r="F67" s="43" t="s">
        <v>157</v>
      </c>
      <c r="G67" s="44" t="s">
        <v>158</v>
      </c>
      <c r="H67" s="45" t="s">
        <v>25</v>
      </c>
      <c r="I67" s="43" t="s">
        <v>159</v>
      </c>
      <c r="J67" s="43" t="s">
        <v>27</v>
      </c>
      <c r="K67" s="45" t="s">
        <v>28</v>
      </c>
      <c r="L67" s="46">
        <f>IF(ISERROR(VLOOKUP($C67,[1]TABELA_PREÇOS!B:W,$U$8,FALSE))=TRUE,"",VLOOKUP($C67,[1]TABELA_PREÇOS!B:W,$U$8,FALSE))</f>
        <v>54.8</v>
      </c>
      <c r="M67" s="47">
        <f t="shared" si="3"/>
        <v>7.9734092429242125</v>
      </c>
      <c r="N67" s="48">
        <f t="shared" si="1"/>
        <v>8.5199999999999998E-2</v>
      </c>
      <c r="O67" s="49">
        <f t="shared" si="4"/>
        <v>7.2940747754270703</v>
      </c>
      <c r="P67" s="50">
        <f>_xlfn.XLOOKUP(C67&amp;$H$2,[1]POLITICA!A:A,[1]POLITICA!F:F)/100</f>
        <v>0.85449983133349972</v>
      </c>
    </row>
    <row r="68" spans="2:16" ht="12" customHeight="1" x14ac:dyDescent="0.2">
      <c r="B68" s="39" t="s">
        <v>20</v>
      </c>
      <c r="C68" s="40">
        <v>32577</v>
      </c>
      <c r="D68" s="53" t="s">
        <v>160</v>
      </c>
      <c r="E68" s="42" t="s">
        <v>22</v>
      </c>
      <c r="F68" s="43" t="s">
        <v>157</v>
      </c>
      <c r="G68" s="44" t="s">
        <v>161</v>
      </c>
      <c r="H68" s="45" t="s">
        <v>25</v>
      </c>
      <c r="I68" s="43" t="s">
        <v>162</v>
      </c>
      <c r="J68" s="43" t="s">
        <v>27</v>
      </c>
      <c r="K68" s="45" t="s">
        <v>28</v>
      </c>
      <c r="L68" s="46">
        <f>IF(ISERROR(VLOOKUP($C68,[1]TABELA_PREÇOS!B:W,$U$8,FALSE))=TRUE,"",VLOOKUP($C68,[1]TABELA_PREÇOS!B:W,$U$8,FALSE))</f>
        <v>117.9</v>
      </c>
      <c r="M68" s="47">
        <f t="shared" si="3"/>
        <v>22.931568622906298</v>
      </c>
      <c r="N68" s="48">
        <f t="shared" si="1"/>
        <v>8.5199999999999998E-2</v>
      </c>
      <c r="O68" s="49">
        <f t="shared" si="4"/>
        <v>20.977798976234681</v>
      </c>
      <c r="P68" s="50">
        <f>_xlfn.XLOOKUP(C68&amp;$H$2,[1]POLITICA!A:A,[1]POLITICA!F:F)/100</f>
        <v>0.80549984204489999</v>
      </c>
    </row>
    <row r="69" spans="2:16" ht="12" customHeight="1" x14ac:dyDescent="0.2">
      <c r="B69" s="39" t="s">
        <v>20</v>
      </c>
      <c r="C69" s="40">
        <v>31953</v>
      </c>
      <c r="D69" s="41" t="s">
        <v>163</v>
      </c>
      <c r="E69" s="42" t="s">
        <v>22</v>
      </c>
      <c r="F69" s="43" t="s">
        <v>164</v>
      </c>
      <c r="G69" s="44" t="s">
        <v>165</v>
      </c>
      <c r="H69" s="45" t="s">
        <v>25</v>
      </c>
      <c r="I69" s="43" t="s">
        <v>166</v>
      </c>
      <c r="J69" s="43" t="s">
        <v>27</v>
      </c>
      <c r="K69" s="45" t="s">
        <v>28</v>
      </c>
      <c r="L69" s="46">
        <f>IF(ISERROR(VLOOKUP($C69,[1]TABELA_PREÇOS!B:W,$U$8,FALSE))=TRUE,"",VLOOKUP($C69,[1]TABELA_PREÇOS!B:W,$U$8,FALSE))</f>
        <v>98.74</v>
      </c>
      <c r="M69" s="47">
        <f t="shared" si="3"/>
        <v>9.0743047146256828</v>
      </c>
      <c r="N69" s="48">
        <f t="shared" si="1"/>
        <v>8.5199999999999998E-2</v>
      </c>
      <c r="O69" s="49">
        <f t="shared" si="4"/>
        <v>8.3011739529395747</v>
      </c>
      <c r="P69" s="50">
        <f>_xlfn.XLOOKUP(C69&amp;$H$2,[1]POLITICA!A:A,[1]POLITICA!F:F)/100</f>
        <v>0.90809900025698109</v>
      </c>
    </row>
    <row r="70" spans="2:16" ht="12" customHeight="1" x14ac:dyDescent="0.2">
      <c r="B70" s="39" t="s">
        <v>20</v>
      </c>
      <c r="C70" s="40">
        <v>31952</v>
      </c>
      <c r="D70" s="41" t="s">
        <v>167</v>
      </c>
      <c r="E70" s="42" t="s">
        <v>22</v>
      </c>
      <c r="F70" s="43" t="s">
        <v>164</v>
      </c>
      <c r="G70" s="44" t="s">
        <v>168</v>
      </c>
      <c r="H70" s="45" t="s">
        <v>25</v>
      </c>
      <c r="I70" s="43" t="s">
        <v>169</v>
      </c>
      <c r="J70" s="43" t="s">
        <v>27</v>
      </c>
      <c r="K70" s="45" t="s">
        <v>28</v>
      </c>
      <c r="L70" s="46">
        <f>IF(ISERROR(VLOOKUP($C70,[1]TABELA_PREÇOS!B:W,$U$8,FALSE))=TRUE,"",VLOOKUP($C70,[1]TABELA_PREÇOS!B:W,$U$8,FALSE))</f>
        <v>59.77</v>
      </c>
      <c r="M70" s="47">
        <f t="shared" si="3"/>
        <v>6.0846552267627345</v>
      </c>
      <c r="N70" s="48">
        <f t="shared" si="1"/>
        <v>8.5199999999999998E-2</v>
      </c>
      <c r="O70" s="49">
        <f t="shared" si="4"/>
        <v>5.5662426014425499</v>
      </c>
      <c r="P70" s="50">
        <f>_xlfn.XLOOKUP(C70&amp;$H$2,[1]POLITICA!A:A,[1]POLITICA!F:F)/100</f>
        <v>0.8981988417807808</v>
      </c>
    </row>
    <row r="71" spans="2:16" ht="12" customHeight="1" x14ac:dyDescent="0.2">
      <c r="B71" s="39" t="s">
        <v>20</v>
      </c>
      <c r="C71" s="40">
        <v>31148</v>
      </c>
      <c r="D71" s="41" t="s">
        <v>170</v>
      </c>
      <c r="E71" s="42" t="s">
        <v>171</v>
      </c>
      <c r="F71" s="43" t="s">
        <v>172</v>
      </c>
      <c r="G71" s="44" t="s">
        <v>173</v>
      </c>
      <c r="H71" s="45" t="s">
        <v>25</v>
      </c>
      <c r="I71" s="43" t="s">
        <v>174</v>
      </c>
      <c r="J71" s="43" t="s">
        <v>27</v>
      </c>
      <c r="K71" s="45" t="s">
        <v>28</v>
      </c>
      <c r="L71" s="46">
        <f>IF(ISERROR(VLOOKUP($C71,[1]TABELA_PREÇOS!B:W,$U$8,FALSE))=TRUE,"",VLOOKUP($C71,[1]TABELA_PREÇOS!B:W,$U$8,FALSE))</f>
        <v>25.05</v>
      </c>
      <c r="M71" s="47">
        <f t="shared" si="3"/>
        <v>14.619627087539417</v>
      </c>
      <c r="N71" s="48">
        <f t="shared" si="1"/>
        <v>8.5199999999999998E-2</v>
      </c>
      <c r="O71" s="49">
        <f t="shared" si="4"/>
        <v>13.374034859681059</v>
      </c>
      <c r="P71" s="50">
        <f>_xlfn.XLOOKUP(C71&amp;$H$2,[1]POLITICA!A:A,[1]POLITICA!F:F)/100</f>
        <v>0.41638215219403529</v>
      </c>
    </row>
    <row r="72" spans="2:16" ht="12" customHeight="1" x14ac:dyDescent="0.2">
      <c r="B72" s="39" t="s">
        <v>34</v>
      </c>
      <c r="C72" s="40">
        <v>31118</v>
      </c>
      <c r="D72" s="41" t="s">
        <v>175</v>
      </c>
      <c r="E72" s="42" t="s">
        <v>60</v>
      </c>
      <c r="F72" s="43" t="s">
        <v>176</v>
      </c>
      <c r="G72" s="44" t="s">
        <v>177</v>
      </c>
      <c r="H72" s="45" t="s">
        <v>25</v>
      </c>
      <c r="I72" s="43" t="s">
        <v>178</v>
      </c>
      <c r="J72" s="43" t="s">
        <v>27</v>
      </c>
      <c r="K72" s="45" t="s">
        <v>28</v>
      </c>
      <c r="L72" s="46">
        <f>IF(ISERROR(VLOOKUP($C72,[1]TABELA_PREÇOS!B:W,$U$8,FALSE))=TRUE,"",VLOOKUP($C72,[1]TABELA_PREÇOS!B:W,$U$8,FALSE))</f>
        <v>19.39</v>
      </c>
      <c r="M72" s="47">
        <f t="shared" si="3"/>
        <v>4.0835329098220505</v>
      </c>
      <c r="N72" s="48">
        <f t="shared" si="1"/>
        <v>8.5199999999999998E-2</v>
      </c>
      <c r="O72" s="49">
        <f t="shared" si="4"/>
        <v>3.7356159059052119</v>
      </c>
      <c r="P72" s="50">
        <f>_xlfn.XLOOKUP(C72&amp;$H$2,[1]POLITICA!A:A,[1]POLITICA!F:F)/100</f>
        <v>0.789400056223721</v>
      </c>
    </row>
    <row r="73" spans="2:16" ht="12" customHeight="1" x14ac:dyDescent="0.2">
      <c r="B73" s="39" t="s">
        <v>20</v>
      </c>
      <c r="C73" s="40">
        <v>32068</v>
      </c>
      <c r="D73" s="41" t="s">
        <v>179</v>
      </c>
      <c r="E73" s="42" t="s">
        <v>171</v>
      </c>
      <c r="F73" s="43" t="s">
        <v>180</v>
      </c>
      <c r="G73" s="44" t="s">
        <v>181</v>
      </c>
      <c r="H73" s="45" t="s">
        <v>25</v>
      </c>
      <c r="I73" s="43" t="s">
        <v>182</v>
      </c>
      <c r="J73" s="43" t="s">
        <v>27</v>
      </c>
      <c r="K73" s="45" t="s">
        <v>28</v>
      </c>
      <c r="L73" s="46">
        <f>IF(ISERROR(VLOOKUP($C73,[1]TABELA_PREÇOS!B:W,$U$8,FALSE))=TRUE,"",VLOOKUP($C73,[1]TABELA_PREÇOS!B:W,$U$8,FALSE))</f>
        <v>26.11</v>
      </c>
      <c r="M73" s="47">
        <f t="shared" ref="M73:M104" si="5">$L73-($L73*P73)</f>
        <v>11.253410000000001</v>
      </c>
      <c r="N73" s="48">
        <f t="shared" ref="N73:N136" si="6">$H$4</f>
        <v>8.5199999999999998E-2</v>
      </c>
      <c r="O73" s="49">
        <f t="shared" ref="O73:O104" si="7">M73*(1-$N73)</f>
        <v>10.294619468</v>
      </c>
      <c r="P73" s="50">
        <f>_xlfn.XLOOKUP(C73&amp;$H$2,[1]POLITICA!A:A,[1]POLITICA!F:F)/100</f>
        <v>0.56899999999999995</v>
      </c>
    </row>
    <row r="74" spans="2:16" x14ac:dyDescent="0.2">
      <c r="B74" s="39" t="s">
        <v>20</v>
      </c>
      <c r="C74" s="40">
        <v>36019</v>
      </c>
      <c r="D74" s="41" t="s">
        <v>183</v>
      </c>
      <c r="E74" s="42" t="s">
        <v>171</v>
      </c>
      <c r="F74" s="43" t="s">
        <v>180</v>
      </c>
      <c r="G74" s="44" t="s">
        <v>184</v>
      </c>
      <c r="H74" s="45" t="s">
        <v>25</v>
      </c>
      <c r="I74" s="43" t="s">
        <v>185</v>
      </c>
      <c r="J74" s="43" t="s">
        <v>27</v>
      </c>
      <c r="K74" s="45" t="s">
        <v>28</v>
      </c>
      <c r="L74" s="46">
        <f>IF(ISERROR(VLOOKUP($C74,[1]TABELA_PREÇOS!B:W,$U$8,FALSE))=TRUE,"",VLOOKUP($C74,[1]TABELA_PREÇOS!B:W,$U$8,FALSE))</f>
        <v>33.67</v>
      </c>
      <c r="M74" s="47">
        <f t="shared" si="5"/>
        <v>10.775334392930446</v>
      </c>
      <c r="N74" s="48">
        <f t="shared" si="6"/>
        <v>8.5199999999999998E-2</v>
      </c>
      <c r="O74" s="49">
        <f t="shared" si="7"/>
        <v>9.8572759026527734</v>
      </c>
      <c r="P74" s="50">
        <f>_xlfn.XLOOKUP(C74&amp;$H$2,[1]POLITICA!A:A,[1]POLITICA!F:F)/100</f>
        <v>0.67997224850221427</v>
      </c>
    </row>
    <row r="75" spans="2:16" x14ac:dyDescent="0.2">
      <c r="B75" s="39" t="s">
        <v>20</v>
      </c>
      <c r="C75" s="57">
        <v>2312</v>
      </c>
      <c r="D75" s="41" t="s">
        <v>186</v>
      </c>
      <c r="E75" s="42" t="s">
        <v>20</v>
      </c>
      <c r="F75" s="43" t="s">
        <v>187</v>
      </c>
      <c r="G75" s="44" t="s">
        <v>188</v>
      </c>
      <c r="H75" s="45" t="str">
        <f>_xlfn.XLOOKUP($C75,[1]TABELA_PREÇOS!$B:$B,[1]TABELA_PREÇOS!J:J)</f>
        <v>NEUTRA</v>
      </c>
      <c r="I75" s="43"/>
      <c r="J75" s="43" t="s">
        <v>20</v>
      </c>
      <c r="K75" s="45" t="s">
        <v>28</v>
      </c>
      <c r="L75" s="46">
        <f>IF(ISERROR(VLOOKUP($C75,[1]TABELA_PREÇOS!B:W,$U$8,FALSE))=TRUE,"",VLOOKUP($C75,[1]TABELA_PREÇOS!B:W,$U$8,FALSE))</f>
        <v>16.75</v>
      </c>
      <c r="M75" s="47">
        <f t="shared" si="5"/>
        <v>12.5625</v>
      </c>
      <c r="N75" s="48">
        <f t="shared" si="6"/>
        <v>8.5199999999999998E-2</v>
      </c>
      <c r="O75" s="49">
        <f t="shared" si="7"/>
        <v>11.492175000000001</v>
      </c>
      <c r="P75" s="50">
        <f>_xlfn.XLOOKUP(C75&amp;$H$2,[1]POLITICA!A:A,[1]POLITICA!F:F)/100</f>
        <v>0.25</v>
      </c>
    </row>
    <row r="76" spans="2:16" x14ac:dyDescent="0.2">
      <c r="B76" s="39" t="s">
        <v>20</v>
      </c>
      <c r="C76" s="57">
        <v>2315</v>
      </c>
      <c r="D76" s="41" t="s">
        <v>189</v>
      </c>
      <c r="E76" s="42" t="s">
        <v>20</v>
      </c>
      <c r="F76" s="43" t="s">
        <v>187</v>
      </c>
      <c r="G76" s="44" t="s">
        <v>190</v>
      </c>
      <c r="H76" s="45" t="str">
        <f>_xlfn.XLOOKUP($C76,[1]TABELA_PREÇOS!$B:$B,[1]TABELA_PREÇOS!J:J)</f>
        <v>NEUTRA</v>
      </c>
      <c r="I76" s="43"/>
      <c r="J76" s="43" t="s">
        <v>20</v>
      </c>
      <c r="K76" s="45" t="s">
        <v>28</v>
      </c>
      <c r="L76" s="46">
        <f>IF(ISERROR(VLOOKUP($C76,[1]TABELA_PREÇOS!B:W,$U$8,FALSE))=TRUE,"",VLOOKUP($C76,[1]TABELA_PREÇOS!B:W,$U$8,FALSE))</f>
        <v>20.97</v>
      </c>
      <c r="M76" s="47">
        <f t="shared" si="5"/>
        <v>15.727499999999999</v>
      </c>
      <c r="N76" s="48">
        <f t="shared" si="6"/>
        <v>8.5199999999999998E-2</v>
      </c>
      <c r="O76" s="49">
        <f t="shared" si="7"/>
        <v>14.387517000000001</v>
      </c>
      <c r="P76" s="50">
        <f>_xlfn.XLOOKUP(C76&amp;$H$2,[1]POLITICA!A:A,[1]POLITICA!F:F)/100</f>
        <v>0.25</v>
      </c>
    </row>
    <row r="77" spans="2:16" x14ac:dyDescent="0.2">
      <c r="B77" s="39" t="s">
        <v>20</v>
      </c>
      <c r="C77" s="57">
        <v>2309</v>
      </c>
      <c r="D77" s="41" t="s">
        <v>191</v>
      </c>
      <c r="E77" s="42" t="s">
        <v>20</v>
      </c>
      <c r="F77" s="43" t="s">
        <v>187</v>
      </c>
      <c r="G77" s="44" t="s">
        <v>192</v>
      </c>
      <c r="H77" s="45" t="str">
        <f>_xlfn.XLOOKUP($C77,[1]TABELA_PREÇOS!$B:$B,[1]TABELA_PREÇOS!J:J)</f>
        <v>NEUTRA</v>
      </c>
      <c r="I77" s="43"/>
      <c r="J77" s="43" t="s">
        <v>20</v>
      </c>
      <c r="K77" s="45" t="s">
        <v>28</v>
      </c>
      <c r="L77" s="46">
        <f>IF(ISERROR(VLOOKUP($C77,[1]TABELA_PREÇOS!B:W,$U$8,FALSE))=TRUE,"",VLOOKUP($C77,[1]TABELA_PREÇOS!B:W,$U$8,FALSE))</f>
        <v>50.38</v>
      </c>
      <c r="M77" s="47">
        <f t="shared" si="5"/>
        <v>37.785000000000004</v>
      </c>
      <c r="N77" s="48">
        <f t="shared" si="6"/>
        <v>8.5199999999999998E-2</v>
      </c>
      <c r="O77" s="49">
        <f t="shared" si="7"/>
        <v>34.565718000000004</v>
      </c>
      <c r="P77" s="50">
        <f>_xlfn.XLOOKUP(C77&amp;$H$2,[1]POLITICA!A:A,[1]POLITICA!F:F)/100</f>
        <v>0.25</v>
      </c>
    </row>
    <row r="78" spans="2:16" x14ac:dyDescent="0.2">
      <c r="B78" s="39" t="s">
        <v>20</v>
      </c>
      <c r="C78" s="40">
        <v>31047</v>
      </c>
      <c r="D78" s="41" t="s">
        <v>193</v>
      </c>
      <c r="E78" s="42" t="s">
        <v>60</v>
      </c>
      <c r="F78" s="43" t="s">
        <v>194</v>
      </c>
      <c r="G78" s="44" t="s">
        <v>195</v>
      </c>
      <c r="H78" s="45" t="s">
        <v>80</v>
      </c>
      <c r="I78" s="43" t="s">
        <v>63</v>
      </c>
      <c r="J78" s="43" t="s">
        <v>27</v>
      </c>
      <c r="K78" s="45" t="s">
        <v>28</v>
      </c>
      <c r="L78" s="46">
        <f>IF(ISERROR(VLOOKUP($C78,[1]TABELA_PREÇOS!B:W,$U$8,FALSE))=TRUE,"",VLOOKUP($C78,[1]TABELA_PREÇOS!B:W,$U$8,FALSE))</f>
        <v>20.68</v>
      </c>
      <c r="M78" s="47">
        <f t="shared" si="5"/>
        <v>12.53337869242497</v>
      </c>
      <c r="N78" s="48">
        <f t="shared" si="6"/>
        <v>8.5199999999999998E-2</v>
      </c>
      <c r="O78" s="49">
        <f t="shared" si="7"/>
        <v>11.465534827830362</v>
      </c>
      <c r="P78" s="50">
        <f>_xlfn.XLOOKUP(C78&amp;$H$2,[1]POLITICA!A:A,[1]POLITICA!F:F)/100</f>
        <v>0.39393720055972103</v>
      </c>
    </row>
    <row r="79" spans="2:16" x14ac:dyDescent="0.2">
      <c r="B79" s="39" t="s">
        <v>20</v>
      </c>
      <c r="C79" s="40">
        <v>31012</v>
      </c>
      <c r="D79" s="41" t="s">
        <v>196</v>
      </c>
      <c r="E79" s="42" t="s">
        <v>22</v>
      </c>
      <c r="F79" s="43" t="s">
        <v>197</v>
      </c>
      <c r="G79" s="44" t="s">
        <v>198</v>
      </c>
      <c r="H79" s="45" t="s">
        <v>25</v>
      </c>
      <c r="I79" s="43" t="s">
        <v>96</v>
      </c>
      <c r="J79" s="43" t="s">
        <v>40</v>
      </c>
      <c r="K79" s="45" t="s">
        <v>28</v>
      </c>
      <c r="L79" s="46">
        <f>IF(ISERROR(VLOOKUP($C79,[1]TABELA_PREÇOS!B:W,$U$8,FALSE))=TRUE,"",VLOOKUP($C79,[1]TABELA_PREÇOS!B:W,$U$8,FALSE))</f>
        <v>40.869999999999997</v>
      </c>
      <c r="M79" s="47">
        <f t="shared" si="5"/>
        <v>19.193075167519464</v>
      </c>
      <c r="N79" s="48">
        <f t="shared" si="6"/>
        <v>8.5199999999999998E-2</v>
      </c>
      <c r="O79" s="49">
        <f t="shared" si="7"/>
        <v>17.557825163246807</v>
      </c>
      <c r="P79" s="50">
        <f>_xlfn.XLOOKUP(C79&amp;$H$2,[1]POLITICA!A:A,[1]POLITICA!F:F)/100</f>
        <v>0.5303871992287873</v>
      </c>
    </row>
    <row r="80" spans="2:16" x14ac:dyDescent="0.2">
      <c r="B80" s="39" t="s">
        <v>34</v>
      </c>
      <c r="C80" s="40">
        <v>31262</v>
      </c>
      <c r="D80" s="41" t="s">
        <v>199</v>
      </c>
      <c r="E80" s="42" t="s">
        <v>22</v>
      </c>
      <c r="F80" s="43" t="s">
        <v>200</v>
      </c>
      <c r="G80" s="44" t="s">
        <v>201</v>
      </c>
      <c r="H80" s="45" t="s">
        <v>25</v>
      </c>
      <c r="I80" s="43" t="s">
        <v>202</v>
      </c>
      <c r="J80" s="43" t="s">
        <v>40</v>
      </c>
      <c r="K80" s="45" t="s">
        <v>28</v>
      </c>
      <c r="L80" s="46">
        <f>IF(ISERROR(VLOOKUP($C80,[1]TABELA_PREÇOS!B:W,$U$8,FALSE))=TRUE,"",VLOOKUP($C80,[1]TABELA_PREÇOS!B:W,$U$8,FALSE))</f>
        <v>25.8</v>
      </c>
      <c r="M80" s="47">
        <f t="shared" si="5"/>
        <v>13.81034197546008</v>
      </c>
      <c r="N80" s="48">
        <f t="shared" si="6"/>
        <v>8.5199999999999998E-2</v>
      </c>
      <c r="O80" s="49">
        <f t="shared" si="7"/>
        <v>12.633700839150881</v>
      </c>
      <c r="P80" s="50">
        <f>_xlfn.XLOOKUP(C80&amp;$H$2,[1]POLITICA!A:A,[1]POLITICA!F:F)/100</f>
        <v>0.46471542730774884</v>
      </c>
    </row>
    <row r="81" spans="2:17" s="25" customFormat="1" ht="11.45" customHeight="1" x14ac:dyDescent="0.2">
      <c r="B81" s="39" t="s">
        <v>20</v>
      </c>
      <c r="C81" s="57">
        <v>2023</v>
      </c>
      <c r="D81" s="41" t="s">
        <v>203</v>
      </c>
      <c r="E81" s="42" t="s">
        <v>20</v>
      </c>
      <c r="F81" s="43" t="s">
        <v>204</v>
      </c>
      <c r="G81" s="58" t="s">
        <v>205</v>
      </c>
      <c r="H81" s="45" t="str">
        <f>_xlfn.XLOOKUP($C81,[1]TABELA_PREÇOS!$B:$B,[1]TABELA_PREÇOS!J:J)</f>
        <v>NEGATIVA</v>
      </c>
      <c r="I81" s="43"/>
      <c r="J81" s="43" t="s">
        <v>20</v>
      </c>
      <c r="K81" s="45" t="s">
        <v>28</v>
      </c>
      <c r="L81" s="46">
        <f>IF(ISERROR(VLOOKUP($C81,[1]TABELA_PREÇOS!B:W,$U$8,FALSE))=TRUE,"",VLOOKUP($C81,[1]TABELA_PREÇOS!B:W,$U$8,FALSE))</f>
        <v>15.81</v>
      </c>
      <c r="M81" s="47">
        <f t="shared" si="5"/>
        <v>9.1698000000000004</v>
      </c>
      <c r="N81" s="48">
        <f t="shared" si="6"/>
        <v>8.5199999999999998E-2</v>
      </c>
      <c r="O81" s="49">
        <f t="shared" si="7"/>
        <v>8.3885330400000004</v>
      </c>
      <c r="P81" s="50">
        <f>_xlfn.XLOOKUP(C81&amp;$H$2,[1]POLITICA!A:A,[1]POLITICA!F:F)/100</f>
        <v>0.42</v>
      </c>
      <c r="Q81" s="51"/>
    </row>
    <row r="82" spans="2:17" s="25" customFormat="1" ht="11.45" customHeight="1" x14ac:dyDescent="0.2">
      <c r="B82" s="39" t="s">
        <v>20</v>
      </c>
      <c r="C82" s="57">
        <v>60020</v>
      </c>
      <c r="D82" s="41" t="s">
        <v>206</v>
      </c>
      <c r="E82" s="42" t="s">
        <v>20</v>
      </c>
      <c r="F82" s="43" t="s">
        <v>204</v>
      </c>
      <c r="G82" s="58" t="s">
        <v>207</v>
      </c>
      <c r="H82" s="45" t="str">
        <f>_xlfn.XLOOKUP($C82,[1]TABELA_PREÇOS!$B:$B,[1]TABELA_PREÇOS!J:J)</f>
        <v>NEGATIVA</v>
      </c>
      <c r="I82" s="43"/>
      <c r="J82" s="43" t="s">
        <v>20</v>
      </c>
      <c r="K82" s="45" t="s">
        <v>28</v>
      </c>
      <c r="L82" s="46">
        <f>IF(ISERROR(VLOOKUP($C82,[1]TABELA_PREÇOS!B:W,$U$8,FALSE))=TRUE,"",VLOOKUP($C82,[1]TABELA_PREÇOS!B:W,$U$8,FALSE))</f>
        <v>15.81</v>
      </c>
      <c r="M82" s="47">
        <f t="shared" si="5"/>
        <v>9.1698000000000004</v>
      </c>
      <c r="N82" s="48">
        <f t="shared" si="6"/>
        <v>8.5199999999999998E-2</v>
      </c>
      <c r="O82" s="49">
        <f t="shared" si="7"/>
        <v>8.3885330400000004</v>
      </c>
      <c r="P82" s="50">
        <f>_xlfn.XLOOKUP(C82&amp;$H$2,[1]POLITICA!A:A,[1]POLITICA!F:F)/100</f>
        <v>0.42</v>
      </c>
      <c r="Q82" s="51"/>
    </row>
    <row r="83" spans="2:17" x14ac:dyDescent="0.2">
      <c r="B83" s="39" t="s">
        <v>20</v>
      </c>
      <c r="C83" s="57">
        <v>60634</v>
      </c>
      <c r="D83" s="41" t="s">
        <v>208</v>
      </c>
      <c r="E83" s="42" t="s">
        <v>20</v>
      </c>
      <c r="F83" s="43" t="s">
        <v>204</v>
      </c>
      <c r="G83" s="44" t="s">
        <v>209</v>
      </c>
      <c r="H83" s="45" t="str">
        <f>_xlfn.XLOOKUP($C83,[1]TABELA_PREÇOS!$B:$B,[1]TABELA_PREÇOS!J:J)</f>
        <v>NEGATIVA</v>
      </c>
      <c r="I83" s="43"/>
      <c r="J83" s="43" t="s">
        <v>20</v>
      </c>
      <c r="K83" s="45" t="s">
        <v>28</v>
      </c>
      <c r="L83" s="46">
        <f>IF(ISERROR(VLOOKUP($C83,[1]TABELA_PREÇOS!B:W,$U$8,FALSE))=TRUE,"",VLOOKUP($C83,[1]TABELA_PREÇOS!B:W,$U$8,FALSE))</f>
        <v>28.92</v>
      </c>
      <c r="M83" s="47">
        <f t="shared" si="5"/>
        <v>14.46</v>
      </c>
      <c r="N83" s="48">
        <f t="shared" si="6"/>
        <v>8.5199999999999998E-2</v>
      </c>
      <c r="O83" s="49">
        <f t="shared" si="7"/>
        <v>13.228008000000001</v>
      </c>
      <c r="P83" s="50">
        <f>_xlfn.XLOOKUP(C83&amp;$H$2,[1]POLITICA!A:A,[1]POLITICA!F:F)/100</f>
        <v>0.5</v>
      </c>
    </row>
    <row r="84" spans="2:17" x14ac:dyDescent="0.2">
      <c r="B84" s="39" t="s">
        <v>20</v>
      </c>
      <c r="C84" s="57">
        <v>8003</v>
      </c>
      <c r="D84" s="41" t="s">
        <v>210</v>
      </c>
      <c r="E84" s="42" t="s">
        <v>20</v>
      </c>
      <c r="F84" s="43" t="s">
        <v>204</v>
      </c>
      <c r="G84" s="44" t="s">
        <v>211</v>
      </c>
      <c r="H84" s="45" t="str">
        <f>_xlfn.XLOOKUP($C84,[1]TABELA_PREÇOS!$B:$B,[1]TABELA_PREÇOS!J:J)</f>
        <v>NEGATIVA</v>
      </c>
      <c r="I84" s="43"/>
      <c r="J84" s="43" t="s">
        <v>20</v>
      </c>
      <c r="K84" s="45" t="s">
        <v>28</v>
      </c>
      <c r="L84" s="46">
        <f>IF(ISERROR(VLOOKUP($C84,[1]TABELA_PREÇOS!B:W,$U$8,FALSE))=TRUE,"",VLOOKUP($C84,[1]TABELA_PREÇOS!B:W,$U$8,FALSE))</f>
        <v>158.32</v>
      </c>
      <c r="M84" s="47">
        <f t="shared" si="5"/>
        <v>90.242400000000004</v>
      </c>
      <c r="N84" s="48">
        <f t="shared" si="6"/>
        <v>8.5199999999999998E-2</v>
      </c>
      <c r="O84" s="49">
        <f t="shared" si="7"/>
        <v>82.553747520000002</v>
      </c>
      <c r="P84" s="50">
        <f>_xlfn.XLOOKUP(C84&amp;$H$2,[1]POLITICA!A:A,[1]POLITICA!F:F)/100</f>
        <v>0.43</v>
      </c>
    </row>
    <row r="85" spans="2:17" x14ac:dyDescent="0.2">
      <c r="B85" s="39" t="s">
        <v>20</v>
      </c>
      <c r="C85" s="57">
        <v>1018</v>
      </c>
      <c r="D85" s="41" t="s">
        <v>212</v>
      </c>
      <c r="E85" s="42" t="s">
        <v>20</v>
      </c>
      <c r="F85" s="43" t="s">
        <v>204</v>
      </c>
      <c r="G85" s="44" t="s">
        <v>213</v>
      </c>
      <c r="H85" s="62" t="str">
        <f>_xlfn.XLOOKUP($C85,[1]TABELA_PREÇOS!$B:$B,[1]TABELA_PREÇOS!J:J)</f>
        <v>NEGATIVA</v>
      </c>
      <c r="I85" s="43"/>
      <c r="J85" s="43" t="s">
        <v>20</v>
      </c>
      <c r="K85" s="45" t="s">
        <v>28</v>
      </c>
      <c r="L85" s="46">
        <f>IF(ISERROR(VLOOKUP($C85,[1]TABELA_PREÇOS!B:W,$U$8,FALSE))=TRUE,"",VLOOKUP($C85,[1]TABELA_PREÇOS!B:W,$U$8,FALSE))</f>
        <v>22.31</v>
      </c>
      <c r="M85" s="47">
        <f t="shared" si="5"/>
        <v>9.9279499999999992</v>
      </c>
      <c r="N85" s="48">
        <f t="shared" si="6"/>
        <v>8.5199999999999998E-2</v>
      </c>
      <c r="O85" s="49">
        <f t="shared" si="7"/>
        <v>9.0820886600000001</v>
      </c>
      <c r="P85" s="50">
        <f>_xlfn.XLOOKUP(C85&amp;$H$2,[1]POLITICA!A:A,[1]POLITICA!F:F)/100</f>
        <v>0.55500000000000005</v>
      </c>
    </row>
    <row r="86" spans="2:17" x14ac:dyDescent="0.2">
      <c r="B86" s="39" t="s">
        <v>20</v>
      </c>
      <c r="C86" s="40">
        <v>32484</v>
      </c>
      <c r="D86" s="41" t="s">
        <v>214</v>
      </c>
      <c r="E86" s="42" t="s">
        <v>22</v>
      </c>
      <c r="F86" s="43" t="s">
        <v>215</v>
      </c>
      <c r="G86" s="44" t="s">
        <v>216</v>
      </c>
      <c r="H86" s="45" t="s">
        <v>25</v>
      </c>
      <c r="I86" s="43" t="s">
        <v>217</v>
      </c>
      <c r="J86" s="43" t="s">
        <v>40</v>
      </c>
      <c r="K86" s="45" t="s">
        <v>28</v>
      </c>
      <c r="L86" s="46">
        <f>IF(ISERROR(VLOOKUP($C86,[1]TABELA_PREÇOS!B:W,$U$8,FALSE))=TRUE,"",VLOOKUP($C86,[1]TABELA_PREÇOS!B:W,$U$8,FALSE))</f>
        <v>24.56</v>
      </c>
      <c r="M86" s="47">
        <f t="shared" si="5"/>
        <v>10.265248313827115</v>
      </c>
      <c r="N86" s="48">
        <f t="shared" si="6"/>
        <v>8.5199999999999998E-2</v>
      </c>
      <c r="O86" s="49">
        <f t="shared" si="7"/>
        <v>9.3906491574890456</v>
      </c>
      <c r="P86" s="50">
        <f>_xlfn.XLOOKUP(C86&amp;$H$2,[1]POLITICA!A:A,[1]POLITICA!F:F)/100</f>
        <v>0.58203386344352137</v>
      </c>
    </row>
    <row r="87" spans="2:17" x14ac:dyDescent="0.2">
      <c r="B87" s="39" t="s">
        <v>20</v>
      </c>
      <c r="C87" s="40">
        <v>31516</v>
      </c>
      <c r="D87" s="41" t="s">
        <v>218</v>
      </c>
      <c r="E87" s="42" t="s">
        <v>171</v>
      </c>
      <c r="F87" s="43" t="s">
        <v>219</v>
      </c>
      <c r="G87" s="44" t="s">
        <v>220</v>
      </c>
      <c r="H87" s="45" t="s">
        <v>25</v>
      </c>
      <c r="I87" s="43" t="s">
        <v>221</v>
      </c>
      <c r="J87" s="43" t="s">
        <v>40</v>
      </c>
      <c r="K87" s="45" t="s">
        <v>28</v>
      </c>
      <c r="L87" s="46">
        <f>IF(ISERROR(VLOOKUP($C87,[1]TABELA_PREÇOS!B:W,$U$8,FALSE))=TRUE,"",VLOOKUP($C87,[1]TABELA_PREÇOS!B:W,$U$8,FALSE))</f>
        <v>114.67</v>
      </c>
      <c r="M87" s="47">
        <f t="shared" si="5"/>
        <v>28.35332326586358</v>
      </c>
      <c r="N87" s="48">
        <f t="shared" si="6"/>
        <v>8.5199999999999998E-2</v>
      </c>
      <c r="O87" s="49">
        <f t="shared" si="7"/>
        <v>25.937620123612003</v>
      </c>
      <c r="P87" s="50">
        <f>_xlfn.XLOOKUP(C87&amp;$H$2,[1]POLITICA!A:A,[1]POLITICA!F:F)/100</f>
        <v>0.75273983373276721</v>
      </c>
    </row>
    <row r="88" spans="2:17" x14ac:dyDescent="0.2">
      <c r="B88" s="39" t="s">
        <v>20</v>
      </c>
      <c r="C88" s="40">
        <v>31292</v>
      </c>
      <c r="D88" s="41" t="s">
        <v>222</v>
      </c>
      <c r="E88" s="42" t="s">
        <v>171</v>
      </c>
      <c r="F88" s="43" t="s">
        <v>219</v>
      </c>
      <c r="G88" s="58" t="s">
        <v>223</v>
      </c>
      <c r="H88" s="45" t="s">
        <v>25</v>
      </c>
      <c r="I88" s="43" t="s">
        <v>224</v>
      </c>
      <c r="J88" s="43" t="s">
        <v>40</v>
      </c>
      <c r="K88" s="45" t="s">
        <v>28</v>
      </c>
      <c r="L88" s="46">
        <f>IF(ISERROR(VLOOKUP($C88,[1]TABELA_PREÇOS!B:W,$U$8,FALSE))=TRUE,"",VLOOKUP($C88,[1]TABELA_PREÇOS!B:W,$U$8,FALSE))</f>
        <v>22.96</v>
      </c>
      <c r="M88" s="47">
        <f t="shared" si="5"/>
        <v>5.7191750281378368</v>
      </c>
      <c r="N88" s="48">
        <f t="shared" si="6"/>
        <v>8.5199999999999998E-2</v>
      </c>
      <c r="O88" s="49">
        <f t="shared" si="7"/>
        <v>5.2319013157404939</v>
      </c>
      <c r="P88" s="50">
        <f>_xlfn.XLOOKUP(C88&amp;$H$2,[1]POLITICA!A:A,[1]POLITICA!F:F)/100</f>
        <v>0.75090701096960644</v>
      </c>
    </row>
    <row r="89" spans="2:17" x14ac:dyDescent="0.2">
      <c r="B89" s="39" t="s">
        <v>20</v>
      </c>
      <c r="C89" s="40">
        <v>31225</v>
      </c>
      <c r="D89" s="41" t="s">
        <v>225</v>
      </c>
      <c r="E89" s="42" t="s">
        <v>171</v>
      </c>
      <c r="F89" s="43" t="s">
        <v>226</v>
      </c>
      <c r="G89" s="44" t="s">
        <v>227</v>
      </c>
      <c r="H89" s="45" t="s">
        <v>25</v>
      </c>
      <c r="I89" s="43" t="s">
        <v>228</v>
      </c>
      <c r="J89" s="43" t="s">
        <v>40</v>
      </c>
      <c r="K89" s="45" t="s">
        <v>28</v>
      </c>
      <c r="L89" s="46">
        <f>IF(ISERROR(VLOOKUP($C89,[1]TABELA_PREÇOS!B:W,$U$8,FALSE))=TRUE,"",VLOOKUP($C89,[1]TABELA_PREÇOS!B:W,$U$8,FALSE))</f>
        <v>31.69</v>
      </c>
      <c r="M89" s="47">
        <f t="shared" si="5"/>
        <v>2.3387220000000006</v>
      </c>
      <c r="N89" s="48">
        <f t="shared" si="6"/>
        <v>8.5199999999999998E-2</v>
      </c>
      <c r="O89" s="49">
        <f t="shared" si="7"/>
        <v>2.1394628856000009</v>
      </c>
      <c r="P89" s="50">
        <f>_xlfn.XLOOKUP(C89&amp;$H$2,[1]POLITICA!A:A,[1]POLITICA!F:F)/100</f>
        <v>0.92620000000000002</v>
      </c>
    </row>
    <row r="90" spans="2:17" x14ac:dyDescent="0.2">
      <c r="B90" s="39" t="s">
        <v>34</v>
      </c>
      <c r="C90" s="40">
        <v>31713</v>
      </c>
      <c r="D90" s="41" t="s">
        <v>229</v>
      </c>
      <c r="E90" s="42" t="s">
        <v>22</v>
      </c>
      <c r="F90" s="43" t="s">
        <v>230</v>
      </c>
      <c r="G90" s="44" t="s">
        <v>231</v>
      </c>
      <c r="H90" s="45" t="s">
        <v>80</v>
      </c>
      <c r="I90" s="43" t="s">
        <v>232</v>
      </c>
      <c r="J90" s="43" t="s">
        <v>27</v>
      </c>
      <c r="K90" s="45" t="s">
        <v>28</v>
      </c>
      <c r="L90" s="46">
        <f>IF(ISERROR(VLOOKUP($C90,[1]TABELA_PREÇOS!B:W,$U$8,FALSE))=TRUE,"",VLOOKUP($C90,[1]TABELA_PREÇOS!B:W,$U$8,FALSE))</f>
        <v>23.75</v>
      </c>
      <c r="M90" s="47">
        <f t="shared" si="5"/>
        <v>16.591750000000001</v>
      </c>
      <c r="N90" s="48">
        <f t="shared" si="6"/>
        <v>8.5199999999999998E-2</v>
      </c>
      <c r="O90" s="49">
        <f t="shared" si="7"/>
        <v>15.178132900000001</v>
      </c>
      <c r="P90" s="50">
        <f>_xlfn.XLOOKUP(C90&amp;$H$2,[1]POLITICA!A:A,[1]POLITICA!F:F)/100</f>
        <v>0.3014</v>
      </c>
    </row>
    <row r="91" spans="2:17" x14ac:dyDescent="0.2">
      <c r="B91" s="39" t="s">
        <v>34</v>
      </c>
      <c r="C91" s="40">
        <v>31714</v>
      </c>
      <c r="D91" s="41" t="s">
        <v>233</v>
      </c>
      <c r="E91" s="42" t="s">
        <v>22</v>
      </c>
      <c r="F91" s="43" t="s">
        <v>230</v>
      </c>
      <c r="G91" s="44" t="s">
        <v>234</v>
      </c>
      <c r="H91" s="45" t="s">
        <v>80</v>
      </c>
      <c r="I91" s="43" t="s">
        <v>235</v>
      </c>
      <c r="J91" s="43" t="s">
        <v>27</v>
      </c>
      <c r="K91" s="45" t="s">
        <v>28</v>
      </c>
      <c r="L91" s="46">
        <f>IF(ISERROR(VLOOKUP($C91,[1]TABELA_PREÇOS!B:W,$U$8,FALSE))=TRUE,"",VLOOKUP($C91,[1]TABELA_PREÇOS!B:W,$U$8,FALSE))</f>
        <v>42.12</v>
      </c>
      <c r="M91" s="47">
        <f t="shared" si="5"/>
        <v>32.217587999999999</v>
      </c>
      <c r="N91" s="48">
        <f t="shared" si="6"/>
        <v>8.5199999999999998E-2</v>
      </c>
      <c r="O91" s="49">
        <f t="shared" si="7"/>
        <v>29.472649502399999</v>
      </c>
      <c r="P91" s="50">
        <f>_xlfn.XLOOKUP(C91&amp;$H$2,[1]POLITICA!A:A,[1]POLITICA!F:F)/100</f>
        <v>0.2351</v>
      </c>
    </row>
    <row r="92" spans="2:17" x14ac:dyDescent="0.2">
      <c r="B92" s="39" t="s">
        <v>20</v>
      </c>
      <c r="C92" s="40">
        <v>31497</v>
      </c>
      <c r="D92" s="41" t="s">
        <v>236</v>
      </c>
      <c r="E92" s="42" t="s">
        <v>36</v>
      </c>
      <c r="F92" s="43" t="s">
        <v>237</v>
      </c>
      <c r="G92" s="44" t="s">
        <v>238</v>
      </c>
      <c r="H92" s="45" t="s">
        <v>25</v>
      </c>
      <c r="I92" s="43" t="s">
        <v>239</v>
      </c>
      <c r="J92" s="43" t="s">
        <v>40</v>
      </c>
      <c r="K92" s="45" t="s">
        <v>28</v>
      </c>
      <c r="L92" s="46">
        <f>IF(ISERROR(VLOOKUP($C92,[1]TABELA_PREÇOS!B:W,$U$8,FALSE))=TRUE,"",VLOOKUP($C92,[1]TABELA_PREÇOS!B:W,$U$8,FALSE))</f>
        <v>89.44</v>
      </c>
      <c r="M92" s="47">
        <f t="shared" si="5"/>
        <v>67.799131122265024</v>
      </c>
      <c r="N92" s="48">
        <f t="shared" si="6"/>
        <v>8.5199999999999998E-2</v>
      </c>
      <c r="O92" s="49">
        <f t="shared" si="7"/>
        <v>62.022645150648046</v>
      </c>
      <c r="P92" s="50">
        <f>_xlfn.XLOOKUP(C92&amp;$H$2,[1]POLITICA!A:A,[1]POLITICA!F:F)/100</f>
        <v>0.24195962519828906</v>
      </c>
    </row>
    <row r="93" spans="2:17" x14ac:dyDescent="0.2">
      <c r="B93" s="39" t="s">
        <v>20</v>
      </c>
      <c r="C93" s="57">
        <v>1915</v>
      </c>
      <c r="D93" s="41" t="s">
        <v>240</v>
      </c>
      <c r="E93" s="42" t="s">
        <v>20</v>
      </c>
      <c r="F93" s="43" t="s">
        <v>241</v>
      </c>
      <c r="G93" s="44" t="s">
        <v>242</v>
      </c>
      <c r="H93" s="45" t="str">
        <f>_xlfn.XLOOKUP($C93,[1]TABELA_PREÇOS!$B:$B,[1]TABELA_PREÇOS!J:J)</f>
        <v>NEUTRA</v>
      </c>
      <c r="I93" s="43"/>
      <c r="J93" s="43" t="s">
        <v>20</v>
      </c>
      <c r="K93" s="45" t="s">
        <v>28</v>
      </c>
      <c r="L93" s="46">
        <f>IF(ISERROR(VLOOKUP($C93,[1]TABELA_PREÇOS!B:W,$U$8,FALSE))=TRUE,"",VLOOKUP($C93,[1]TABELA_PREÇOS!B:W,$U$8,FALSE))</f>
        <v>112.94</v>
      </c>
      <c r="M93" s="47">
        <f t="shared" si="5"/>
        <v>82.446200000000005</v>
      </c>
      <c r="N93" s="48">
        <f t="shared" si="6"/>
        <v>8.5199999999999998E-2</v>
      </c>
      <c r="O93" s="49">
        <f t="shared" si="7"/>
        <v>75.421783760000011</v>
      </c>
      <c r="P93" s="50">
        <f>_xlfn.XLOOKUP(C93&amp;$H$2,[1]POLITICA!A:A,[1]POLITICA!F:F)/100</f>
        <v>0.27</v>
      </c>
    </row>
    <row r="94" spans="2:17" x14ac:dyDescent="0.2">
      <c r="B94" s="39" t="s">
        <v>20</v>
      </c>
      <c r="C94" s="57">
        <v>1962</v>
      </c>
      <c r="D94" s="41" t="s">
        <v>243</v>
      </c>
      <c r="E94" s="42" t="s">
        <v>20</v>
      </c>
      <c r="F94" s="43" t="s">
        <v>241</v>
      </c>
      <c r="G94" s="44" t="s">
        <v>244</v>
      </c>
      <c r="H94" s="45" t="str">
        <f>_xlfn.XLOOKUP($C94,[1]TABELA_PREÇOS!$B:$B,[1]TABELA_PREÇOS!J:J)</f>
        <v>NEUTRA</v>
      </c>
      <c r="I94" s="43"/>
      <c r="J94" s="43" t="s">
        <v>20</v>
      </c>
      <c r="K94" s="45" t="s">
        <v>28</v>
      </c>
      <c r="L94" s="46">
        <f>IF(ISERROR(VLOOKUP($C94,[1]TABELA_PREÇOS!B:W,$U$8,FALSE))=TRUE,"",VLOOKUP($C94,[1]TABELA_PREÇOS!B:W,$U$8,FALSE))</f>
        <v>20.78</v>
      </c>
      <c r="M94" s="47">
        <f t="shared" si="5"/>
        <v>15.1694</v>
      </c>
      <c r="N94" s="48">
        <f t="shared" si="6"/>
        <v>8.5199999999999998E-2</v>
      </c>
      <c r="O94" s="49">
        <f t="shared" si="7"/>
        <v>13.87696712</v>
      </c>
      <c r="P94" s="50">
        <f>_xlfn.XLOOKUP(C94&amp;$H$2,[1]POLITICA!A:A,[1]POLITICA!F:F)/100</f>
        <v>0.27</v>
      </c>
    </row>
    <row r="95" spans="2:17" x14ac:dyDescent="0.2">
      <c r="B95" s="39" t="s">
        <v>20</v>
      </c>
      <c r="C95" s="57">
        <v>1820</v>
      </c>
      <c r="D95" s="41" t="s">
        <v>245</v>
      </c>
      <c r="E95" s="42" t="s">
        <v>20</v>
      </c>
      <c r="F95" s="43" t="s">
        <v>241</v>
      </c>
      <c r="G95" s="44" t="s">
        <v>246</v>
      </c>
      <c r="H95" s="45" t="str">
        <f>_xlfn.XLOOKUP($C95,[1]TABELA_PREÇOS!$B:$B,[1]TABELA_PREÇOS!J:J)</f>
        <v>NEUTRA</v>
      </c>
      <c r="I95" s="43"/>
      <c r="J95" s="43" t="s">
        <v>20</v>
      </c>
      <c r="K95" s="45" t="s">
        <v>28</v>
      </c>
      <c r="L95" s="46">
        <f>IF(ISERROR(VLOOKUP($C95,[1]TABELA_PREÇOS!B:W,$U$8,FALSE))=TRUE,"",VLOOKUP($C95,[1]TABELA_PREÇOS!B:W,$U$8,FALSE))</f>
        <v>60.77</v>
      </c>
      <c r="M95" s="47">
        <f t="shared" si="5"/>
        <v>44.362099999999998</v>
      </c>
      <c r="N95" s="48">
        <f t="shared" si="6"/>
        <v>8.5199999999999998E-2</v>
      </c>
      <c r="O95" s="49">
        <f t="shared" si="7"/>
        <v>40.582449080000004</v>
      </c>
      <c r="P95" s="50">
        <f>_xlfn.XLOOKUP(C95&amp;$H$2,[1]POLITICA!A:A,[1]POLITICA!F:F)/100</f>
        <v>0.27</v>
      </c>
    </row>
    <row r="96" spans="2:17" x14ac:dyDescent="0.2">
      <c r="B96" s="39" t="s">
        <v>20</v>
      </c>
      <c r="C96" s="40">
        <v>17285</v>
      </c>
      <c r="D96" s="41" t="s">
        <v>247</v>
      </c>
      <c r="E96" s="42" t="s">
        <v>60</v>
      </c>
      <c r="F96" s="43" t="s">
        <v>248</v>
      </c>
      <c r="G96" s="44" t="s">
        <v>249</v>
      </c>
      <c r="H96" s="45" t="s">
        <v>101</v>
      </c>
      <c r="I96" s="43" t="s">
        <v>250</v>
      </c>
      <c r="J96" s="43" t="s">
        <v>27</v>
      </c>
      <c r="K96" s="45" t="s">
        <v>28</v>
      </c>
      <c r="L96" s="46">
        <f>IF(ISERROR(VLOOKUP($C96,[1]TABELA_PREÇOS!B:W,$U$8,FALSE))=TRUE,"",VLOOKUP($C96,[1]TABELA_PREÇOS!B:W,$U$8,FALSE))</f>
        <v>109.5</v>
      </c>
      <c r="M96" s="47">
        <f t="shared" si="5"/>
        <v>23.597250000000003</v>
      </c>
      <c r="N96" s="48">
        <f t="shared" si="6"/>
        <v>8.5199999999999998E-2</v>
      </c>
      <c r="O96" s="49">
        <f t="shared" si="7"/>
        <v>21.586764300000002</v>
      </c>
      <c r="P96" s="50">
        <f>_xlfn.XLOOKUP(C96&amp;$H$2,[1]POLITICA!A:A,[1]POLITICA!F:F)/100</f>
        <v>0.78449999999999998</v>
      </c>
    </row>
    <row r="97" spans="2:16" x14ac:dyDescent="0.2">
      <c r="B97" s="39" t="s">
        <v>20</v>
      </c>
      <c r="C97" s="40">
        <v>32460</v>
      </c>
      <c r="D97" s="41" t="s">
        <v>251</v>
      </c>
      <c r="E97" s="42" t="s">
        <v>60</v>
      </c>
      <c r="F97" s="43" t="s">
        <v>252</v>
      </c>
      <c r="G97" s="44" t="s">
        <v>253</v>
      </c>
      <c r="H97" s="45" t="s">
        <v>101</v>
      </c>
      <c r="I97" s="43" t="s">
        <v>96</v>
      </c>
      <c r="J97" s="43" t="s">
        <v>27</v>
      </c>
      <c r="K97" s="45" t="s">
        <v>28</v>
      </c>
      <c r="L97" s="46">
        <f>IF(ISERROR(VLOOKUP($C97,[1]TABELA_PREÇOS!B:W,$U$8,FALSE))=TRUE,"",VLOOKUP($C97,[1]TABELA_PREÇOS!B:W,$U$8,FALSE))</f>
        <v>46.62</v>
      </c>
      <c r="M97" s="47">
        <f t="shared" si="5"/>
        <v>10.748729870064828</v>
      </c>
      <c r="N97" s="48">
        <f t="shared" si="6"/>
        <v>8.5199999999999998E-2</v>
      </c>
      <c r="O97" s="49">
        <f t="shared" si="7"/>
        <v>9.8329380851353054</v>
      </c>
      <c r="P97" s="50">
        <f>_xlfn.XLOOKUP(C97&amp;$H$2,[1]POLITICA!A:A,[1]POLITICA!F:F)/100</f>
        <v>0.76943951372662311</v>
      </c>
    </row>
    <row r="98" spans="2:16" x14ac:dyDescent="0.2">
      <c r="B98" s="39" t="s">
        <v>20</v>
      </c>
      <c r="C98" s="40">
        <v>31933</v>
      </c>
      <c r="D98" s="41" t="s">
        <v>254</v>
      </c>
      <c r="E98" s="42" t="s">
        <v>60</v>
      </c>
      <c r="F98" s="43" t="s">
        <v>252</v>
      </c>
      <c r="G98" s="44" t="s">
        <v>255</v>
      </c>
      <c r="H98" s="45" t="s">
        <v>101</v>
      </c>
      <c r="I98" s="43" t="s">
        <v>96</v>
      </c>
      <c r="J98" s="43" t="s">
        <v>27</v>
      </c>
      <c r="K98" s="45" t="s">
        <v>28</v>
      </c>
      <c r="L98" s="46">
        <f>IF(ISERROR(VLOOKUP($C98,[1]TABELA_PREÇOS!B:W,$U$8,FALSE))=TRUE,"",VLOOKUP($C98,[1]TABELA_PREÇOS!B:W,$U$8,FALSE))</f>
        <v>47.49</v>
      </c>
      <c r="M98" s="47">
        <f t="shared" si="5"/>
        <v>11.330334759454907</v>
      </c>
      <c r="N98" s="48">
        <f t="shared" si="6"/>
        <v>8.5199999999999998E-2</v>
      </c>
      <c r="O98" s="49">
        <f t="shared" si="7"/>
        <v>10.36499023794935</v>
      </c>
      <c r="P98" s="50">
        <f>_xlfn.XLOOKUP(C98&amp;$H$2,[1]POLITICA!A:A,[1]POLITICA!F:F)/100</f>
        <v>0.76141640851853221</v>
      </c>
    </row>
    <row r="99" spans="2:16" x14ac:dyDescent="0.2">
      <c r="B99" s="39" t="s">
        <v>20</v>
      </c>
      <c r="C99" s="40">
        <v>31936</v>
      </c>
      <c r="D99" s="41" t="s">
        <v>256</v>
      </c>
      <c r="E99" s="42" t="s">
        <v>60</v>
      </c>
      <c r="F99" s="43" t="s">
        <v>252</v>
      </c>
      <c r="G99" s="44" t="s">
        <v>257</v>
      </c>
      <c r="H99" s="45" t="s">
        <v>101</v>
      </c>
      <c r="I99" s="43" t="s">
        <v>96</v>
      </c>
      <c r="J99" s="43" t="s">
        <v>27</v>
      </c>
      <c r="K99" s="45" t="s">
        <v>28</v>
      </c>
      <c r="L99" s="46">
        <f>IF(ISERROR(VLOOKUP($C99,[1]TABELA_PREÇOS!B:W,$U$8,FALSE))=TRUE,"",VLOOKUP($C99,[1]TABELA_PREÇOS!B:W,$U$8,FALSE))</f>
        <v>47.49</v>
      </c>
      <c r="M99" s="47">
        <f t="shared" si="5"/>
        <v>11.160546510629892</v>
      </c>
      <c r="N99" s="48">
        <f t="shared" si="6"/>
        <v>8.5199999999999998E-2</v>
      </c>
      <c r="O99" s="49">
        <f t="shared" si="7"/>
        <v>10.209667947924226</v>
      </c>
      <c r="P99" s="50">
        <f>_xlfn.XLOOKUP(C99&amp;$H$2,[1]POLITICA!A:A,[1]POLITICA!F:F)/100</f>
        <v>0.76499165065003383</v>
      </c>
    </row>
    <row r="100" spans="2:16" x14ac:dyDescent="0.2">
      <c r="B100" s="39" t="s">
        <v>34</v>
      </c>
      <c r="C100" s="40">
        <v>19161</v>
      </c>
      <c r="D100" s="41" t="s">
        <v>258</v>
      </c>
      <c r="E100" s="42" t="s">
        <v>60</v>
      </c>
      <c r="F100" s="43" t="s">
        <v>259</v>
      </c>
      <c r="G100" s="44" t="s">
        <v>260</v>
      </c>
      <c r="H100" s="63" t="s">
        <v>80</v>
      </c>
      <c r="I100" s="43" t="s">
        <v>261</v>
      </c>
      <c r="J100" s="43" t="s">
        <v>27</v>
      </c>
      <c r="K100" s="45" t="s">
        <v>28</v>
      </c>
      <c r="L100" s="46">
        <f>IF(ISERROR(VLOOKUP($C100,[1]TABELA_PREÇOS!B:W,$U$8,FALSE))=TRUE,"",VLOOKUP($C100,[1]TABELA_PREÇOS!B:W,$U$8,FALSE))</f>
        <v>64.66</v>
      </c>
      <c r="M100" s="47">
        <f t="shared" si="5"/>
        <v>7.7591999999999999</v>
      </c>
      <c r="N100" s="48">
        <f t="shared" si="6"/>
        <v>8.5199999999999998E-2</v>
      </c>
      <c r="O100" s="49">
        <f t="shared" si="7"/>
        <v>7.09811616</v>
      </c>
      <c r="P100" s="50">
        <f>_xlfn.XLOOKUP(C100&amp;$H$2,[1]POLITICA!A:A,[1]POLITICA!F:F)/100</f>
        <v>0.88</v>
      </c>
    </row>
    <row r="101" spans="2:16" x14ac:dyDescent="0.2">
      <c r="B101" s="39" t="s">
        <v>20</v>
      </c>
      <c r="C101" s="40">
        <v>32465</v>
      </c>
      <c r="D101" s="41" t="s">
        <v>262</v>
      </c>
      <c r="E101" s="42" t="s">
        <v>27</v>
      </c>
      <c r="F101" s="43" t="s">
        <v>263</v>
      </c>
      <c r="G101" s="44" t="s">
        <v>264</v>
      </c>
      <c r="H101" s="45" t="s">
        <v>25</v>
      </c>
      <c r="I101" s="43" t="s">
        <v>265</v>
      </c>
      <c r="J101" s="43" t="s">
        <v>27</v>
      </c>
      <c r="K101" s="45" t="s">
        <v>28</v>
      </c>
      <c r="L101" s="46">
        <f>IF(ISERROR(VLOOKUP($C101,[1]TABELA_PREÇOS!B:W,$U$8,FALSE))=TRUE,"",VLOOKUP($C101,[1]TABELA_PREÇOS!B:W,$U$8,FALSE))</f>
        <v>38.700000000000003</v>
      </c>
      <c r="M101" s="47">
        <f t="shared" si="5"/>
        <v>10.214549492323634</v>
      </c>
      <c r="N101" s="48">
        <f t="shared" si="6"/>
        <v>8.5199999999999998E-2</v>
      </c>
      <c r="O101" s="49">
        <f t="shared" si="7"/>
        <v>9.3442698755776608</v>
      </c>
      <c r="P101" s="50">
        <f>_xlfn.XLOOKUP(C101&amp;$H$2,[1]POLITICA!A:A,[1]POLITICA!F:F)/100</f>
        <v>0.73605815265313612</v>
      </c>
    </row>
    <row r="102" spans="2:16" x14ac:dyDescent="0.2">
      <c r="B102" s="39" t="s">
        <v>34</v>
      </c>
      <c r="C102" s="40">
        <v>31222</v>
      </c>
      <c r="D102" s="41" t="s">
        <v>266</v>
      </c>
      <c r="E102" s="42" t="s">
        <v>171</v>
      </c>
      <c r="F102" s="43" t="s">
        <v>267</v>
      </c>
      <c r="G102" s="44" t="s">
        <v>268</v>
      </c>
      <c r="H102" s="45" t="s">
        <v>25</v>
      </c>
      <c r="I102" s="43" t="s">
        <v>269</v>
      </c>
      <c r="J102" s="43" t="s">
        <v>27</v>
      </c>
      <c r="K102" s="45" t="s">
        <v>28</v>
      </c>
      <c r="L102" s="46">
        <f>IF(ISERROR(VLOOKUP($C102,[1]TABELA_PREÇOS!B:W,$U$8,FALSE))=TRUE,"",VLOOKUP($C102,[1]TABELA_PREÇOS!B:W,$U$8,FALSE))</f>
        <v>18.41</v>
      </c>
      <c r="M102" s="47">
        <f t="shared" si="5"/>
        <v>4.8288262555326007</v>
      </c>
      <c r="N102" s="48">
        <f t="shared" si="6"/>
        <v>8.5199999999999998E-2</v>
      </c>
      <c r="O102" s="49">
        <f t="shared" si="7"/>
        <v>4.4174102585612234</v>
      </c>
      <c r="P102" s="50">
        <f>_xlfn.XLOOKUP(C102&amp;$H$2,[1]POLITICA!A:A,[1]POLITICA!F:F)/100</f>
        <v>0.73770634136161861</v>
      </c>
    </row>
    <row r="103" spans="2:16" x14ac:dyDescent="0.2">
      <c r="B103" s="64" t="s">
        <v>20</v>
      </c>
      <c r="C103" s="65">
        <v>32600</v>
      </c>
      <c r="D103" s="66" t="s">
        <v>270</v>
      </c>
      <c r="E103" s="67" t="s">
        <v>22</v>
      </c>
      <c r="F103" s="68" t="s">
        <v>197</v>
      </c>
      <c r="G103" s="69" t="s">
        <v>271</v>
      </c>
      <c r="H103" s="70" t="s">
        <v>25</v>
      </c>
      <c r="I103" s="69" t="s">
        <v>272</v>
      </c>
      <c r="J103" s="68" t="s">
        <v>40</v>
      </c>
      <c r="K103" s="70" t="s">
        <v>28</v>
      </c>
      <c r="L103" s="71">
        <f>IF(ISERROR(VLOOKUP($C103,[1]TABELA_PREÇOS!B:W,$U$8,FALSE))=TRUE,"",VLOOKUP($C103,[1]TABELA_PREÇOS!B:W,$U$8,FALSE))</f>
        <v>37.299999999999997</v>
      </c>
      <c r="M103" s="47">
        <f t="shared" si="5"/>
        <v>12.335505243735287</v>
      </c>
      <c r="N103" s="48">
        <f t="shared" si="6"/>
        <v>8.5199999999999998E-2</v>
      </c>
      <c r="O103" s="49">
        <f t="shared" si="7"/>
        <v>11.284520196969043</v>
      </c>
      <c r="P103" s="50">
        <f>_xlfn.XLOOKUP(C103&amp;$H$2,[1]POLITICA!A:A,[1]POLITICA!F:F)/100</f>
        <v>0.66928940365320944</v>
      </c>
    </row>
    <row r="104" spans="2:16" x14ac:dyDescent="0.2">
      <c r="B104" s="39" t="s">
        <v>20</v>
      </c>
      <c r="C104" s="40">
        <v>32586</v>
      </c>
      <c r="D104" s="41">
        <v>7894916325868</v>
      </c>
      <c r="E104" s="42" t="s">
        <v>22</v>
      </c>
      <c r="F104" s="43" t="s">
        <v>197</v>
      </c>
      <c r="G104" s="72" t="s">
        <v>273</v>
      </c>
      <c r="H104" s="45" t="s">
        <v>25</v>
      </c>
      <c r="I104" s="73" t="s">
        <v>274</v>
      </c>
      <c r="J104" s="43" t="s">
        <v>40</v>
      </c>
      <c r="K104" s="45" t="s">
        <v>28</v>
      </c>
      <c r="L104" s="46">
        <f>IF(ISERROR(VLOOKUP($C104,[1]TABELA_PREÇOS!B:W,$U$8,FALSE))=TRUE,"",VLOOKUP($C104,[1]TABELA_PREÇOS!B:W,$U$8,FALSE))</f>
        <v>37.19</v>
      </c>
      <c r="M104" s="47">
        <f t="shared" si="5"/>
        <v>15.769944544633688</v>
      </c>
      <c r="N104" s="48">
        <f t="shared" si="6"/>
        <v>8.5199999999999998E-2</v>
      </c>
      <c r="O104" s="49">
        <f t="shared" si="7"/>
        <v>14.426345269430898</v>
      </c>
      <c r="P104" s="50">
        <f>_xlfn.XLOOKUP(C104&amp;$H$2,[1]POLITICA!A:A,[1]POLITICA!F:F)/100</f>
        <v>0.57596277105045202</v>
      </c>
    </row>
    <row r="105" spans="2:16" x14ac:dyDescent="0.2">
      <c r="B105" s="39" t="s">
        <v>20</v>
      </c>
      <c r="C105" s="57">
        <v>6112006</v>
      </c>
      <c r="D105" s="41" t="s">
        <v>275</v>
      </c>
      <c r="E105" s="42" t="s">
        <v>20</v>
      </c>
      <c r="F105" s="43" t="s">
        <v>276</v>
      </c>
      <c r="G105" s="44" t="s">
        <v>277</v>
      </c>
      <c r="H105" s="45" t="str">
        <f>_xlfn.XLOOKUP($C105,[1]TABELA_PREÇOS!$B:$B,[1]TABELA_PREÇOS!J:J)</f>
        <v>NEGATIVA</v>
      </c>
      <c r="I105" s="43"/>
      <c r="J105" s="43" t="s">
        <v>20</v>
      </c>
      <c r="K105" s="45" t="s">
        <v>28</v>
      </c>
      <c r="L105" s="46">
        <f>IF(ISERROR(VLOOKUP($C105,[1]TABELA_PREÇOS!B:W,$U$8,FALSE))=TRUE,"",VLOOKUP($C105,[1]TABELA_PREÇOS!B:W,$U$8,FALSE))</f>
        <v>24.74</v>
      </c>
      <c r="M105" s="47">
        <f t="shared" ref="M105:M136" si="8">$L105-($L105*P105)</f>
        <v>16.575800000000001</v>
      </c>
      <c r="N105" s="48">
        <f t="shared" si="6"/>
        <v>8.5199999999999998E-2</v>
      </c>
      <c r="O105" s="49">
        <f t="shared" ref="O105:O136" si="9">M105*(1-$N105)</f>
        <v>15.163541840000002</v>
      </c>
      <c r="P105" s="50">
        <f>_xlfn.XLOOKUP(C105&amp;$H$2,[1]POLITICA!A:A,[1]POLITICA!F:F)/100</f>
        <v>0.33</v>
      </c>
    </row>
    <row r="106" spans="2:16" x14ac:dyDescent="0.2">
      <c r="B106" s="39" t="s">
        <v>20</v>
      </c>
      <c r="C106" s="57">
        <v>6112008</v>
      </c>
      <c r="D106" s="41" t="s">
        <v>278</v>
      </c>
      <c r="E106" s="42" t="s">
        <v>20</v>
      </c>
      <c r="F106" s="43" t="s">
        <v>276</v>
      </c>
      <c r="G106" s="44" t="s">
        <v>279</v>
      </c>
      <c r="H106" s="45" t="str">
        <f>_xlfn.XLOOKUP($C106,[1]TABELA_PREÇOS!$B:$B,[1]TABELA_PREÇOS!J:J)</f>
        <v>NEGATIVA</v>
      </c>
      <c r="I106" s="43"/>
      <c r="J106" s="43" t="s">
        <v>20</v>
      </c>
      <c r="K106" s="45" t="s">
        <v>28</v>
      </c>
      <c r="L106" s="46">
        <f>IF(ISERROR(VLOOKUP($C106,[1]TABELA_PREÇOS!B:W,$U$8,FALSE))=TRUE,"",VLOOKUP($C106,[1]TABELA_PREÇOS!B:W,$U$8,FALSE))</f>
        <v>320.20999999999998</v>
      </c>
      <c r="M106" s="47">
        <f t="shared" si="8"/>
        <v>214.54069999999999</v>
      </c>
      <c r="N106" s="48">
        <f t="shared" si="6"/>
        <v>8.5199999999999998E-2</v>
      </c>
      <c r="O106" s="49">
        <f t="shared" si="9"/>
        <v>196.26183236</v>
      </c>
      <c r="P106" s="50">
        <f>_xlfn.XLOOKUP(C106&amp;$H$2,[1]POLITICA!A:A,[1]POLITICA!F:F)/100</f>
        <v>0.33</v>
      </c>
    </row>
    <row r="107" spans="2:16" x14ac:dyDescent="0.2">
      <c r="B107" s="39" t="s">
        <v>20</v>
      </c>
      <c r="C107" s="57">
        <v>19163</v>
      </c>
      <c r="D107" s="41" t="s">
        <v>280</v>
      </c>
      <c r="E107" s="42" t="s">
        <v>20</v>
      </c>
      <c r="F107" s="43" t="s">
        <v>276</v>
      </c>
      <c r="G107" s="44" t="s">
        <v>281</v>
      </c>
      <c r="H107" s="45" t="str">
        <f>_xlfn.XLOOKUP($C107,[1]TABELA_PREÇOS!$B:$B,[1]TABELA_PREÇOS!J:J)</f>
        <v>NEGATIVA</v>
      </c>
      <c r="I107" s="43"/>
      <c r="J107" s="43" t="s">
        <v>20</v>
      </c>
      <c r="K107" s="45" t="s">
        <v>28</v>
      </c>
      <c r="L107" s="46">
        <f>IF(ISERROR(VLOOKUP($C107,[1]TABELA_PREÇOS!B:W,$U$8,FALSE))=TRUE,"",VLOOKUP($C107,[1]TABELA_PREÇOS!B:W,$U$8,FALSE))</f>
        <v>160.11000000000001</v>
      </c>
      <c r="M107" s="47">
        <f t="shared" si="8"/>
        <v>107.27370000000001</v>
      </c>
      <c r="N107" s="48">
        <f t="shared" si="6"/>
        <v>8.5199999999999998E-2</v>
      </c>
      <c r="O107" s="49">
        <f t="shared" si="9"/>
        <v>98.133980760000014</v>
      </c>
      <c r="P107" s="50">
        <f>_xlfn.XLOOKUP(C107&amp;$H$2,[1]POLITICA!A:A,[1]POLITICA!F:F)/100</f>
        <v>0.33</v>
      </c>
    </row>
    <row r="108" spans="2:16" x14ac:dyDescent="0.2">
      <c r="B108" s="39" t="s">
        <v>20</v>
      </c>
      <c r="C108" s="57">
        <v>2763</v>
      </c>
      <c r="D108" s="41" t="str">
        <f>_xlfn.XLOOKUP(C108,[1]TABELA_PREÇOS!B:B,[1]TABELA_PREÇOS!C:C)</f>
        <v>7898322242115</v>
      </c>
      <c r="E108" s="42" t="s">
        <v>20</v>
      </c>
      <c r="F108" s="43" t="str">
        <f>_xlfn.XLOOKUP($C108,[1]TABELA_PREÇOS!$B:$B,[1]TABELA_PREÇOS!E:E)</f>
        <v>MULTIMIX</v>
      </c>
      <c r="G108" s="44" t="str">
        <f>_xlfn.XLOOKUP($C108,[1]TABELA_PREÇOS!$B:$B,[1]TABELA_PREÇOS!G:G)</f>
        <v>MULTIMIX PASTILHAS ADULT LIM-MEN DISPL-E</v>
      </c>
      <c r="H108" s="45" t="str">
        <f>_xlfn.XLOOKUP($C108,[1]TABELA_PREÇOS!$B:$B,[1]TABELA_PREÇOS!J:J)</f>
        <v>NEUTRA</v>
      </c>
      <c r="I108" s="43"/>
      <c r="J108" s="43" t="s">
        <v>20</v>
      </c>
      <c r="K108" s="45" t="s">
        <v>28</v>
      </c>
      <c r="L108" s="46">
        <f>IF(ISERROR(VLOOKUP($C108,[1]TABELA_PREÇOS!B:W,$U$8,FALSE))=TRUE,"",VLOOKUP($C108,[1]TABELA_PREÇOS!B:W,$U$8,FALSE))</f>
        <v>103.29</v>
      </c>
      <c r="M108" s="47">
        <f t="shared" si="8"/>
        <v>70.237200000000001</v>
      </c>
      <c r="N108" s="48">
        <f t="shared" si="6"/>
        <v>8.5199999999999998E-2</v>
      </c>
      <c r="O108" s="49">
        <f t="shared" si="9"/>
        <v>64.252990560000001</v>
      </c>
      <c r="P108" s="50">
        <f>_xlfn.XLOOKUP(C108&amp;$H$2,[1]POLITICA!A:A,[1]POLITICA!F:F)/100</f>
        <v>0.32</v>
      </c>
    </row>
    <row r="109" spans="2:16" x14ac:dyDescent="0.2">
      <c r="B109" s="39" t="s">
        <v>20</v>
      </c>
      <c r="C109" s="57">
        <v>2764</v>
      </c>
      <c r="D109" s="41" t="str">
        <f>_xlfn.XLOOKUP(C109,[1]TABELA_PREÇOS!B:B,[1]TABELA_PREÇOS!C:C)</f>
        <v>7898322242139</v>
      </c>
      <c r="E109" s="42" t="s">
        <v>20</v>
      </c>
      <c r="F109" s="43" t="str">
        <f>_xlfn.XLOOKUP($C109,[1]TABELA_PREÇOS!$B:$B,[1]TABELA_PREÇOS!E:E)</f>
        <v>MULTIMIX</v>
      </c>
      <c r="G109" s="44" t="str">
        <f>_xlfn.XLOOKUP($C109,[1]TABELA_PREÇOS!$B:$B,[1]TABELA_PREÇOS!G:G)</f>
        <v>MULTIMIX PASTILHAS INFAN LIM-MEN DISPL-E</v>
      </c>
      <c r="H109" s="45" t="str">
        <f>_xlfn.XLOOKUP($C109,[1]TABELA_PREÇOS!$B:$B,[1]TABELA_PREÇOS!J:J)</f>
        <v>NEUTRA</v>
      </c>
      <c r="I109" s="43"/>
      <c r="J109" s="43" t="s">
        <v>20</v>
      </c>
      <c r="K109" s="45" t="s">
        <v>28</v>
      </c>
      <c r="L109" s="46">
        <f>IF(ISERROR(VLOOKUP($C109,[1]TABELA_PREÇOS!B:W,$U$8,FALSE))=TRUE,"",VLOOKUP($C109,[1]TABELA_PREÇOS!B:W,$U$8,FALSE))</f>
        <v>103.29</v>
      </c>
      <c r="M109" s="47">
        <f t="shared" si="8"/>
        <v>70.237200000000001</v>
      </c>
      <c r="N109" s="48">
        <f t="shared" si="6"/>
        <v>8.5199999999999998E-2</v>
      </c>
      <c r="O109" s="49">
        <f t="shared" si="9"/>
        <v>64.252990560000001</v>
      </c>
      <c r="P109" s="50">
        <f>_xlfn.XLOOKUP(C109&amp;$H$2,[1]POLITICA!A:A,[1]POLITICA!F:F)/100</f>
        <v>0.32</v>
      </c>
    </row>
    <row r="110" spans="2:16" x14ac:dyDescent="0.2">
      <c r="B110" s="39" t="s">
        <v>34</v>
      </c>
      <c r="C110" s="40">
        <v>32052</v>
      </c>
      <c r="D110" s="41">
        <v>7896004718132</v>
      </c>
      <c r="E110" s="42" t="s">
        <v>36</v>
      </c>
      <c r="F110" s="43" t="s">
        <v>282</v>
      </c>
      <c r="G110" s="44" t="s">
        <v>283</v>
      </c>
      <c r="H110" s="45" t="s">
        <v>25</v>
      </c>
      <c r="I110" s="43" t="s">
        <v>284</v>
      </c>
      <c r="J110" s="43" t="s">
        <v>27</v>
      </c>
      <c r="K110" s="45" t="s">
        <v>28</v>
      </c>
      <c r="L110" s="46">
        <f>IF(ISERROR(VLOOKUP($C110,[1]TABELA_PREÇOS!B:W,$U$8,FALSE))=TRUE,"",VLOOKUP($C110,[1]TABELA_PREÇOS!B:W,$U$8,FALSE))</f>
        <v>78.38</v>
      </c>
      <c r="M110" s="47">
        <f t="shared" si="8"/>
        <v>24.403641061758776</v>
      </c>
      <c r="N110" s="48">
        <f t="shared" si="6"/>
        <v>8.5199999999999998E-2</v>
      </c>
      <c r="O110" s="49">
        <f t="shared" si="9"/>
        <v>22.32445084329693</v>
      </c>
      <c r="P110" s="50">
        <f>_xlfn.XLOOKUP(C110&amp;$H$2,[1]POLITICA!A:A,[1]POLITICA!F:F)/100</f>
        <v>0.68864964197807121</v>
      </c>
    </row>
    <row r="111" spans="2:16" x14ac:dyDescent="0.2">
      <c r="B111" s="39" t="s">
        <v>34</v>
      </c>
      <c r="C111" s="40">
        <v>32028</v>
      </c>
      <c r="D111" s="41">
        <v>7896004815077</v>
      </c>
      <c r="E111" s="42" t="s">
        <v>36</v>
      </c>
      <c r="F111" s="43" t="s">
        <v>282</v>
      </c>
      <c r="G111" s="44" t="s">
        <v>285</v>
      </c>
      <c r="H111" s="45" t="s">
        <v>25</v>
      </c>
      <c r="I111" s="43" t="s">
        <v>286</v>
      </c>
      <c r="J111" s="43" t="s">
        <v>27</v>
      </c>
      <c r="K111" s="45" t="s">
        <v>28</v>
      </c>
      <c r="L111" s="46">
        <f>IF(ISERROR(VLOOKUP($C111,[1]TABELA_PREÇOS!B:W,$U$8,FALSE))=TRUE,"",VLOOKUP($C111,[1]TABELA_PREÇOS!B:W,$U$8,FALSE))</f>
        <v>87.13</v>
      </c>
      <c r="M111" s="47">
        <f t="shared" si="8"/>
        <v>31.057754658548404</v>
      </c>
      <c r="N111" s="48">
        <f t="shared" si="6"/>
        <v>8.5199999999999998E-2</v>
      </c>
      <c r="O111" s="49">
        <f t="shared" si="9"/>
        <v>28.411633961640081</v>
      </c>
      <c r="P111" s="50">
        <f>_xlfn.XLOOKUP(C111&amp;$H$2,[1]POLITICA!A:A,[1]POLITICA!F:F)/100</f>
        <v>0.64354694527087797</v>
      </c>
    </row>
    <row r="112" spans="2:16" x14ac:dyDescent="0.2">
      <c r="B112" s="39" t="s">
        <v>20</v>
      </c>
      <c r="C112" s="40">
        <v>33007</v>
      </c>
      <c r="D112" s="41" t="s">
        <v>287</v>
      </c>
      <c r="E112" s="42" t="s">
        <v>36</v>
      </c>
      <c r="F112" s="43" t="s">
        <v>288</v>
      </c>
      <c r="G112" s="44" t="s">
        <v>289</v>
      </c>
      <c r="H112" s="45" t="s">
        <v>25</v>
      </c>
      <c r="I112" s="43" t="s">
        <v>239</v>
      </c>
      <c r="J112" s="43" t="s">
        <v>27</v>
      </c>
      <c r="K112" s="45" t="s">
        <v>28</v>
      </c>
      <c r="L112" s="46">
        <f>IF(ISERROR(VLOOKUP($C112,[1]TABELA_PREÇOS!B:W,$U$8,FALSE))=TRUE,"",VLOOKUP($C112,[1]TABELA_PREÇOS!B:W,$U$8,FALSE))</f>
        <v>19.75</v>
      </c>
      <c r="M112" s="47">
        <f t="shared" si="8"/>
        <v>6.3511334738818572</v>
      </c>
      <c r="N112" s="48">
        <f t="shared" si="6"/>
        <v>8.5199999999999998E-2</v>
      </c>
      <c r="O112" s="49">
        <f t="shared" si="9"/>
        <v>5.8100169019071233</v>
      </c>
      <c r="P112" s="50">
        <f>_xlfn.XLOOKUP(C112&amp;$H$2,[1]POLITICA!A:A,[1]POLITICA!F:F)/100</f>
        <v>0.67842362157560221</v>
      </c>
    </row>
    <row r="113" spans="2:16" x14ac:dyDescent="0.2">
      <c r="B113" s="39" t="s">
        <v>20</v>
      </c>
      <c r="C113" s="40">
        <v>31450</v>
      </c>
      <c r="D113" s="41" t="s">
        <v>290</v>
      </c>
      <c r="E113" s="42" t="s">
        <v>36</v>
      </c>
      <c r="F113" s="43" t="s">
        <v>288</v>
      </c>
      <c r="G113" s="44" t="s">
        <v>291</v>
      </c>
      <c r="H113" s="45" t="s">
        <v>25</v>
      </c>
      <c r="I113" s="43" t="s">
        <v>292</v>
      </c>
      <c r="J113" s="43" t="s">
        <v>27</v>
      </c>
      <c r="K113" s="45" t="s">
        <v>28</v>
      </c>
      <c r="L113" s="46">
        <f>IF(ISERROR(VLOOKUP($C113,[1]TABELA_PREÇOS!B:W,$U$8,FALSE))=TRUE,"",VLOOKUP($C113,[1]TABELA_PREÇOS!B:W,$U$8,FALSE))</f>
        <v>40.19</v>
      </c>
      <c r="M113" s="47">
        <f t="shared" si="8"/>
        <v>13.366640968424495</v>
      </c>
      <c r="N113" s="48">
        <f t="shared" si="6"/>
        <v>8.5199999999999998E-2</v>
      </c>
      <c r="O113" s="49">
        <f t="shared" si="9"/>
        <v>12.227803157914728</v>
      </c>
      <c r="P113" s="50">
        <f>_xlfn.XLOOKUP(C113&amp;$H$2,[1]POLITICA!A:A,[1]POLITICA!F:F)/100</f>
        <v>0.66741376042735767</v>
      </c>
    </row>
    <row r="114" spans="2:16" x14ac:dyDescent="0.2">
      <c r="B114" s="39" t="s">
        <v>20</v>
      </c>
      <c r="C114" s="40">
        <v>32411</v>
      </c>
      <c r="D114" s="41" t="s">
        <v>293</v>
      </c>
      <c r="E114" s="42" t="s">
        <v>171</v>
      </c>
      <c r="F114" s="43" t="s">
        <v>294</v>
      </c>
      <c r="G114" s="44" t="s">
        <v>295</v>
      </c>
      <c r="H114" s="45" t="s">
        <v>25</v>
      </c>
      <c r="I114" s="43" t="s">
        <v>296</v>
      </c>
      <c r="J114" s="43" t="s">
        <v>40</v>
      </c>
      <c r="K114" s="45" t="s">
        <v>28</v>
      </c>
      <c r="L114" s="46">
        <f>IF(ISERROR(VLOOKUP($C114,[1]TABELA_PREÇOS!B:W,$U$8,FALSE))=TRUE,"",VLOOKUP($C114,[1]TABELA_PREÇOS!B:W,$U$8,FALSE))</f>
        <v>26.95</v>
      </c>
      <c r="M114" s="47">
        <f t="shared" si="8"/>
        <v>9.8243145831705334</v>
      </c>
      <c r="N114" s="48">
        <f t="shared" si="6"/>
        <v>8.5199999999999998E-2</v>
      </c>
      <c r="O114" s="49">
        <f t="shared" si="9"/>
        <v>8.9872829806844052</v>
      </c>
      <c r="P114" s="50">
        <f>_xlfn.XLOOKUP(C114&amp;$H$2,[1]POLITICA!A:A,[1]POLITICA!F:F)/100</f>
        <v>0.63546142548532347</v>
      </c>
    </row>
    <row r="115" spans="2:16" x14ac:dyDescent="0.2">
      <c r="B115" s="39" t="s">
        <v>34</v>
      </c>
      <c r="C115" s="40">
        <v>33019</v>
      </c>
      <c r="D115" s="41" t="s">
        <v>297</v>
      </c>
      <c r="E115" s="42" t="s">
        <v>36</v>
      </c>
      <c r="F115" s="43" t="s">
        <v>298</v>
      </c>
      <c r="G115" s="44" t="s">
        <v>299</v>
      </c>
      <c r="H115" s="45" t="s">
        <v>25</v>
      </c>
      <c r="I115" s="43" t="s">
        <v>300</v>
      </c>
      <c r="J115" s="43" t="s">
        <v>27</v>
      </c>
      <c r="K115" s="45" t="s">
        <v>28</v>
      </c>
      <c r="L115" s="46">
        <f>IF(ISERROR(VLOOKUP($C115,[1]TABELA_PREÇOS!B:W,$U$8,FALSE))=TRUE,"",VLOOKUP($C115,[1]TABELA_PREÇOS!B:W,$U$8,FALSE))</f>
        <v>31.91</v>
      </c>
      <c r="M115" s="47">
        <f t="shared" si="8"/>
        <v>11.329479402023509</v>
      </c>
      <c r="N115" s="48">
        <f t="shared" si="6"/>
        <v>8.5199999999999998E-2</v>
      </c>
      <c r="O115" s="49">
        <f t="shared" si="9"/>
        <v>10.364207756971107</v>
      </c>
      <c r="P115" s="50">
        <f>_xlfn.XLOOKUP(C115&amp;$H$2,[1]POLITICA!A:A,[1]POLITICA!F:F)/100</f>
        <v>0.64495520520139427</v>
      </c>
    </row>
    <row r="116" spans="2:16" x14ac:dyDescent="0.2">
      <c r="B116" s="39" t="s">
        <v>34</v>
      </c>
      <c r="C116" s="40">
        <v>33018</v>
      </c>
      <c r="D116" s="41" t="s">
        <v>301</v>
      </c>
      <c r="E116" s="42" t="s">
        <v>36</v>
      </c>
      <c r="F116" s="43" t="s">
        <v>298</v>
      </c>
      <c r="G116" s="44" t="s">
        <v>302</v>
      </c>
      <c r="H116" s="45" t="s">
        <v>25</v>
      </c>
      <c r="I116" s="43" t="s">
        <v>300</v>
      </c>
      <c r="J116" s="43" t="s">
        <v>27</v>
      </c>
      <c r="K116" s="45" t="s">
        <v>28</v>
      </c>
      <c r="L116" s="46">
        <f>IF(ISERROR(VLOOKUP($C116,[1]TABELA_PREÇOS!B:W,$U$8,FALSE))=TRUE,"",VLOOKUP($C116,[1]TABELA_PREÇOS!B:W,$U$8,FALSE))</f>
        <v>31.34</v>
      </c>
      <c r="M116" s="47">
        <f t="shared" si="8"/>
        <v>11.421113261232236</v>
      </c>
      <c r="N116" s="48">
        <f t="shared" si="6"/>
        <v>8.5199999999999998E-2</v>
      </c>
      <c r="O116" s="49">
        <f t="shared" si="9"/>
        <v>10.44803441137525</v>
      </c>
      <c r="P116" s="50">
        <f>_xlfn.XLOOKUP(C116&amp;$H$2,[1]POLITICA!A:A,[1]POLITICA!F:F)/100</f>
        <v>0.63557392274306845</v>
      </c>
    </row>
    <row r="117" spans="2:16" x14ac:dyDescent="0.2">
      <c r="B117" s="39" t="s">
        <v>34</v>
      </c>
      <c r="C117" s="40">
        <v>31084</v>
      </c>
      <c r="D117" s="41" t="s">
        <v>303</v>
      </c>
      <c r="E117" s="42" t="s">
        <v>60</v>
      </c>
      <c r="F117" s="43" t="s">
        <v>304</v>
      </c>
      <c r="G117" s="44" t="s">
        <v>305</v>
      </c>
      <c r="H117" s="45" t="s">
        <v>80</v>
      </c>
      <c r="I117" s="43" t="s">
        <v>306</v>
      </c>
      <c r="J117" s="43" t="s">
        <v>27</v>
      </c>
      <c r="K117" s="45" t="s">
        <v>28</v>
      </c>
      <c r="L117" s="46">
        <f>IF(ISERROR(VLOOKUP($C117,[1]TABELA_PREÇOS!B:W,$U$8,FALSE))=TRUE,"",VLOOKUP($C117,[1]TABELA_PREÇOS!B:W,$U$8,FALSE))</f>
        <v>12.89</v>
      </c>
      <c r="M117" s="47">
        <f t="shared" si="8"/>
        <v>4.0405782094916223</v>
      </c>
      <c r="N117" s="48">
        <f t="shared" si="6"/>
        <v>8.5199999999999998E-2</v>
      </c>
      <c r="O117" s="49">
        <f t="shared" si="9"/>
        <v>3.6963209460429365</v>
      </c>
      <c r="P117" s="50">
        <f>_xlfn.XLOOKUP(C117&amp;$H$2,[1]POLITICA!A:A,[1]POLITICA!F:F)/100</f>
        <v>0.68653388599754672</v>
      </c>
    </row>
    <row r="118" spans="2:16" x14ac:dyDescent="0.2">
      <c r="B118" s="39" t="s">
        <v>20</v>
      </c>
      <c r="C118" s="57">
        <v>2578</v>
      </c>
      <c r="D118" s="41" t="s">
        <v>307</v>
      </c>
      <c r="E118" s="42" t="s">
        <v>20</v>
      </c>
      <c r="F118" s="43" t="s">
        <v>308</v>
      </c>
      <c r="G118" s="44" t="s">
        <v>309</v>
      </c>
      <c r="H118" s="45" t="str">
        <f>_xlfn.XLOOKUP($C118,[1]TABELA_PREÇOS!$B:$B,[1]TABELA_PREÇOS!J:J)</f>
        <v>NEGATIVA</v>
      </c>
      <c r="I118" s="43"/>
      <c r="J118" s="43" t="s">
        <v>20</v>
      </c>
      <c r="K118" s="45" t="s">
        <v>28</v>
      </c>
      <c r="L118" s="46">
        <f>IF(ISERROR(VLOOKUP($C118,[1]TABELA_PREÇOS!B:W,$U$8,FALSE))=TRUE,"",VLOOKUP($C118,[1]TABELA_PREÇOS!B:W,$U$8,FALSE))</f>
        <v>55.05</v>
      </c>
      <c r="M118" s="47">
        <f t="shared" si="8"/>
        <v>41.287499999999994</v>
      </c>
      <c r="N118" s="48">
        <f t="shared" si="6"/>
        <v>8.5199999999999998E-2</v>
      </c>
      <c r="O118" s="49">
        <f t="shared" si="9"/>
        <v>37.769804999999998</v>
      </c>
      <c r="P118" s="50">
        <f>_xlfn.XLOOKUP(C118&amp;$H$2,[1]POLITICA!A:A,[1]POLITICA!F:F)/100</f>
        <v>0.25</v>
      </c>
    </row>
    <row r="119" spans="2:16" x14ac:dyDescent="0.2">
      <c r="B119" s="39" t="s">
        <v>20</v>
      </c>
      <c r="C119" s="40">
        <v>31019</v>
      </c>
      <c r="D119" s="41" t="s">
        <v>310</v>
      </c>
      <c r="E119" s="42" t="s">
        <v>60</v>
      </c>
      <c r="F119" s="43" t="s">
        <v>311</v>
      </c>
      <c r="G119" s="44" t="s">
        <v>312</v>
      </c>
      <c r="H119" s="45" t="s">
        <v>25</v>
      </c>
      <c r="I119" s="43" t="s">
        <v>313</v>
      </c>
      <c r="J119" s="43" t="s">
        <v>27</v>
      </c>
      <c r="K119" s="45" t="s">
        <v>28</v>
      </c>
      <c r="L119" s="46">
        <f>IF(ISERROR(VLOOKUP($C119,[1]TABELA_PREÇOS!B:W,$U$8,FALSE))=TRUE,"",VLOOKUP($C119,[1]TABELA_PREÇOS!B:W,$U$8,FALSE))</f>
        <v>41.66</v>
      </c>
      <c r="M119" s="47">
        <f t="shared" si="8"/>
        <v>10.486883359887766</v>
      </c>
      <c r="N119" s="48">
        <f t="shared" si="6"/>
        <v>8.5199999999999998E-2</v>
      </c>
      <c r="O119" s="49">
        <f t="shared" si="9"/>
        <v>9.5934008976253295</v>
      </c>
      <c r="P119" s="50">
        <f>_xlfn.XLOOKUP(C119&amp;$H$2,[1]POLITICA!A:A,[1]POLITICA!F:F)/100</f>
        <v>0.74827452328641941</v>
      </c>
    </row>
    <row r="120" spans="2:16" x14ac:dyDescent="0.2">
      <c r="B120" s="39" t="s">
        <v>34</v>
      </c>
      <c r="C120" s="40">
        <v>31686</v>
      </c>
      <c r="D120" s="41" t="s">
        <v>314</v>
      </c>
      <c r="E120" s="42" t="s">
        <v>60</v>
      </c>
      <c r="F120" s="43" t="s">
        <v>315</v>
      </c>
      <c r="G120" s="44" t="s">
        <v>316</v>
      </c>
      <c r="H120" s="45" t="s">
        <v>80</v>
      </c>
      <c r="I120" s="43" t="s">
        <v>317</v>
      </c>
      <c r="J120" s="43" t="s">
        <v>27</v>
      </c>
      <c r="K120" s="45" t="s">
        <v>28</v>
      </c>
      <c r="L120" s="46">
        <f>IF(ISERROR(VLOOKUP($C120,[1]TABELA_PREÇOS!B:W,$U$8,FALSE))=TRUE,"",VLOOKUP($C120,[1]TABELA_PREÇOS!B:W,$U$8,FALSE))</f>
        <v>31.79</v>
      </c>
      <c r="M120" s="47">
        <f t="shared" si="8"/>
        <v>6.1284303463509708</v>
      </c>
      <c r="N120" s="48">
        <f t="shared" si="6"/>
        <v>8.5199999999999998E-2</v>
      </c>
      <c r="O120" s="49">
        <f t="shared" si="9"/>
        <v>5.6062880808418685</v>
      </c>
      <c r="P120" s="50">
        <f>_xlfn.XLOOKUP(C120&amp;$H$2,[1]POLITICA!A:A,[1]POLITICA!F:F)/100</f>
        <v>0.80722144239223115</v>
      </c>
    </row>
    <row r="121" spans="2:16" x14ac:dyDescent="0.2">
      <c r="B121" s="39" t="s">
        <v>34</v>
      </c>
      <c r="C121" s="40">
        <v>31687</v>
      </c>
      <c r="D121" s="41" t="s">
        <v>318</v>
      </c>
      <c r="E121" s="42" t="s">
        <v>60</v>
      </c>
      <c r="F121" s="43" t="s">
        <v>315</v>
      </c>
      <c r="G121" s="44" t="s">
        <v>319</v>
      </c>
      <c r="H121" s="45" t="s">
        <v>80</v>
      </c>
      <c r="I121" s="43" t="s">
        <v>320</v>
      </c>
      <c r="J121" s="43" t="s">
        <v>27</v>
      </c>
      <c r="K121" s="45" t="s">
        <v>28</v>
      </c>
      <c r="L121" s="46">
        <f>IF(ISERROR(VLOOKUP($C121,[1]TABELA_PREÇOS!B:W,$U$8,FALSE))=TRUE,"",VLOOKUP($C121,[1]TABELA_PREÇOS!B:W,$U$8,FALSE))</f>
        <v>53.03</v>
      </c>
      <c r="M121" s="47">
        <f t="shared" si="8"/>
        <v>9.071940182727019</v>
      </c>
      <c r="N121" s="48">
        <f t="shared" si="6"/>
        <v>8.5199999999999998E-2</v>
      </c>
      <c r="O121" s="49">
        <f t="shared" si="9"/>
        <v>8.2990108791586774</v>
      </c>
      <c r="P121" s="50">
        <f>_xlfn.XLOOKUP(C121&amp;$H$2,[1]POLITICA!A:A,[1]POLITICA!F:F)/100</f>
        <v>0.82892815042943579</v>
      </c>
    </row>
    <row r="122" spans="2:16" x14ac:dyDescent="0.2">
      <c r="B122" s="39" t="s">
        <v>34</v>
      </c>
      <c r="C122" s="40">
        <v>31180</v>
      </c>
      <c r="D122" s="41" t="s">
        <v>321</v>
      </c>
      <c r="E122" s="42" t="s">
        <v>22</v>
      </c>
      <c r="F122" s="43" t="s">
        <v>322</v>
      </c>
      <c r="G122" s="44" t="s">
        <v>323</v>
      </c>
      <c r="H122" s="45" t="s">
        <v>25</v>
      </c>
      <c r="I122" s="43" t="s">
        <v>96</v>
      </c>
      <c r="J122" s="43" t="s">
        <v>27</v>
      </c>
      <c r="K122" s="45" t="s">
        <v>28</v>
      </c>
      <c r="L122" s="46">
        <f>IF(ISERROR(VLOOKUP($C122,[1]TABELA_PREÇOS!B:W,$U$8,FALSE))=TRUE,"",VLOOKUP($C122,[1]TABELA_PREÇOS!B:W,$U$8,FALSE))</f>
        <v>38.65</v>
      </c>
      <c r="M122" s="47">
        <f t="shared" si="8"/>
        <v>8.8833284393929368</v>
      </c>
      <c r="N122" s="48">
        <f t="shared" si="6"/>
        <v>8.5199999999999998E-2</v>
      </c>
      <c r="O122" s="49">
        <f t="shared" si="9"/>
        <v>8.1264688563566594</v>
      </c>
      <c r="P122" s="50">
        <f>_xlfn.XLOOKUP(C122&amp;$H$2,[1]POLITICA!A:A,[1]POLITICA!F:F)/100</f>
        <v>0.7701596781528347</v>
      </c>
    </row>
    <row r="123" spans="2:16" x14ac:dyDescent="0.2">
      <c r="B123" s="39" t="s">
        <v>20</v>
      </c>
      <c r="C123" s="40">
        <v>31963</v>
      </c>
      <c r="D123" s="41" t="s">
        <v>324</v>
      </c>
      <c r="E123" s="42" t="s">
        <v>60</v>
      </c>
      <c r="F123" s="43" t="s">
        <v>325</v>
      </c>
      <c r="G123" s="44" t="s">
        <v>326</v>
      </c>
      <c r="H123" s="45" t="s">
        <v>25</v>
      </c>
      <c r="I123" s="43" t="s">
        <v>327</v>
      </c>
      <c r="J123" s="43" t="s">
        <v>40</v>
      </c>
      <c r="K123" s="45" t="s">
        <v>28</v>
      </c>
      <c r="L123" s="46">
        <f>IF(ISERROR(VLOOKUP($C123,[1]TABELA_PREÇOS!B:W,$U$8,FALSE))=TRUE,"",VLOOKUP($C123,[1]TABELA_PREÇOS!B:W,$U$8,FALSE))</f>
        <v>57.86</v>
      </c>
      <c r="M123" s="47">
        <f t="shared" si="8"/>
        <v>22.916616224907791</v>
      </c>
      <c r="N123" s="48">
        <f t="shared" si="6"/>
        <v>8.5199999999999998E-2</v>
      </c>
      <c r="O123" s="49">
        <f t="shared" si="9"/>
        <v>20.964120522545649</v>
      </c>
      <c r="P123" s="50">
        <f>_xlfn.XLOOKUP(C123&amp;$H$2,[1]POLITICA!A:A,[1]POLITICA!F:F)/100</f>
        <v>0.60392989587093349</v>
      </c>
    </row>
    <row r="124" spans="2:16" x14ac:dyDescent="0.2">
      <c r="B124" s="39" t="s">
        <v>20</v>
      </c>
      <c r="C124" s="40">
        <v>32589</v>
      </c>
      <c r="D124" s="41" t="s">
        <v>328</v>
      </c>
      <c r="E124" s="42" t="s">
        <v>60</v>
      </c>
      <c r="F124" s="43" t="s">
        <v>325</v>
      </c>
      <c r="G124" s="59" t="s">
        <v>329</v>
      </c>
      <c r="H124" s="45" t="s">
        <v>25</v>
      </c>
      <c r="I124" s="43" t="s">
        <v>330</v>
      </c>
      <c r="J124" s="43" t="s">
        <v>40</v>
      </c>
      <c r="K124" s="45" t="s">
        <v>28</v>
      </c>
      <c r="L124" s="46">
        <f>IF(ISERROR(VLOOKUP($C124,[1]TABELA_PREÇOS!B:W,$U$8,FALSE))=TRUE,"",VLOOKUP($C124,[1]TABELA_PREÇOS!B:W,$U$8,FALSE))</f>
        <v>38.520000000000003</v>
      </c>
      <c r="M124" s="47">
        <f t="shared" si="8"/>
        <v>17.396135097369875</v>
      </c>
      <c r="N124" s="48">
        <f t="shared" si="6"/>
        <v>8.5199999999999998E-2</v>
      </c>
      <c r="O124" s="49">
        <f t="shared" si="9"/>
        <v>15.913984387073963</v>
      </c>
      <c r="P124" s="50">
        <f>_xlfn.XLOOKUP(C124&amp;$H$2,[1]POLITICA!A:A,[1]POLITICA!F:F)/100</f>
        <v>0.548386939320616</v>
      </c>
    </row>
    <row r="125" spans="2:16" x14ac:dyDescent="0.2">
      <c r="B125" s="39" t="s">
        <v>20</v>
      </c>
      <c r="C125" s="40">
        <v>32487</v>
      </c>
      <c r="D125" s="41" t="s">
        <v>331</v>
      </c>
      <c r="E125" s="42" t="s">
        <v>60</v>
      </c>
      <c r="F125" s="43" t="s">
        <v>325</v>
      </c>
      <c r="G125" s="59" t="s">
        <v>332</v>
      </c>
      <c r="H125" s="45" t="s">
        <v>25</v>
      </c>
      <c r="I125" s="43" t="s">
        <v>333</v>
      </c>
      <c r="J125" s="43" t="s">
        <v>40</v>
      </c>
      <c r="K125" s="45" t="s">
        <v>28</v>
      </c>
      <c r="L125" s="46">
        <f>IF(ISERROR(VLOOKUP($C125,[1]TABELA_PREÇOS!B:W,$U$8,FALSE))=TRUE,"",VLOOKUP($C125,[1]TABELA_PREÇOS!B:W,$U$8,FALSE))</f>
        <v>54.17</v>
      </c>
      <c r="M125" s="47">
        <f t="shared" si="8"/>
        <v>22.908218116661526</v>
      </c>
      <c r="N125" s="48">
        <f t="shared" si="6"/>
        <v>8.5199999999999998E-2</v>
      </c>
      <c r="O125" s="49">
        <f t="shared" si="9"/>
        <v>20.956437933121965</v>
      </c>
      <c r="P125" s="50">
        <f>_xlfn.XLOOKUP(C125&amp;$H$2,[1]POLITICA!A:A,[1]POLITICA!F:F)/100</f>
        <v>0.57710507445705139</v>
      </c>
    </row>
    <row r="126" spans="2:16" x14ac:dyDescent="0.2">
      <c r="B126" s="39" t="s">
        <v>20</v>
      </c>
      <c r="C126" s="40">
        <v>32588</v>
      </c>
      <c r="D126" s="41" t="s">
        <v>334</v>
      </c>
      <c r="E126" s="42" t="s">
        <v>60</v>
      </c>
      <c r="F126" s="43" t="s">
        <v>325</v>
      </c>
      <c r="G126" s="59" t="s">
        <v>335</v>
      </c>
      <c r="H126" s="45" t="s">
        <v>25</v>
      </c>
      <c r="I126" s="43" t="s">
        <v>336</v>
      </c>
      <c r="J126" s="43" t="s">
        <v>40</v>
      </c>
      <c r="K126" s="45" t="s">
        <v>28</v>
      </c>
      <c r="L126" s="46">
        <f>IF(ISERROR(VLOOKUP($C126,[1]TABELA_PREÇOS!B:W,$U$8,FALSE))=TRUE,"",VLOOKUP($C126,[1]TABELA_PREÇOS!B:W,$U$8,FALSE))</f>
        <v>36.090000000000003</v>
      </c>
      <c r="M126" s="47">
        <f t="shared" si="8"/>
        <v>17.407267691384046</v>
      </c>
      <c r="N126" s="48">
        <f t="shared" si="6"/>
        <v>8.5199999999999998E-2</v>
      </c>
      <c r="O126" s="49">
        <f t="shared" si="9"/>
        <v>15.924168484078127</v>
      </c>
      <c r="P126" s="50">
        <f>_xlfn.XLOOKUP(C126&amp;$H$2,[1]POLITICA!A:A,[1]POLITICA!F:F)/100</f>
        <v>0.51767060982587854</v>
      </c>
    </row>
    <row r="127" spans="2:16" x14ac:dyDescent="0.2">
      <c r="B127" s="39" t="s">
        <v>20</v>
      </c>
      <c r="C127" s="40">
        <v>32069</v>
      </c>
      <c r="D127" s="41" t="s">
        <v>337</v>
      </c>
      <c r="E127" s="42" t="s">
        <v>60</v>
      </c>
      <c r="F127" s="43" t="s">
        <v>325</v>
      </c>
      <c r="G127" s="44" t="s">
        <v>338</v>
      </c>
      <c r="H127" s="45" t="s">
        <v>25</v>
      </c>
      <c r="I127" s="43" t="s">
        <v>339</v>
      </c>
      <c r="J127" s="43" t="s">
        <v>40</v>
      </c>
      <c r="K127" s="45" t="s">
        <v>28</v>
      </c>
      <c r="L127" s="46">
        <f>IF(ISERROR(VLOOKUP($C127,[1]TABELA_PREÇOS!B:W,$U$8,FALSE))=TRUE,"",VLOOKUP($C127,[1]TABELA_PREÇOS!B:W,$U$8,FALSE))</f>
        <v>50.06</v>
      </c>
      <c r="M127" s="47">
        <f t="shared" si="8"/>
        <v>18.46050025941555</v>
      </c>
      <c r="N127" s="48">
        <f t="shared" si="6"/>
        <v>8.5199999999999998E-2</v>
      </c>
      <c r="O127" s="49">
        <f t="shared" si="9"/>
        <v>16.887665637313347</v>
      </c>
      <c r="P127" s="50">
        <f>_xlfn.XLOOKUP(C127&amp;$H$2,[1]POLITICA!A:A,[1]POLITICA!F:F)/100</f>
        <v>0.63123251579273776</v>
      </c>
    </row>
    <row r="128" spans="2:16" x14ac:dyDescent="0.2">
      <c r="B128" s="39" t="s">
        <v>20</v>
      </c>
      <c r="C128" s="40">
        <v>31064</v>
      </c>
      <c r="D128" s="41" t="s">
        <v>340</v>
      </c>
      <c r="E128" s="42" t="s">
        <v>60</v>
      </c>
      <c r="F128" s="43" t="s">
        <v>325</v>
      </c>
      <c r="G128" s="44" t="s">
        <v>341</v>
      </c>
      <c r="H128" s="45" t="s">
        <v>25</v>
      </c>
      <c r="I128" s="43" t="s">
        <v>342</v>
      </c>
      <c r="J128" s="43" t="s">
        <v>40</v>
      </c>
      <c r="K128" s="45" t="s">
        <v>28</v>
      </c>
      <c r="L128" s="46">
        <f>IF(ISERROR(VLOOKUP($C128,[1]TABELA_PREÇOS!B:W,$U$8,FALSE))=TRUE,"",VLOOKUP($C128,[1]TABELA_PREÇOS!B:W,$U$8,FALSE))</f>
        <v>42.27</v>
      </c>
      <c r="M128" s="47">
        <f t="shared" si="8"/>
        <v>16.305355234617277</v>
      </c>
      <c r="N128" s="48">
        <f t="shared" si="6"/>
        <v>8.5199999999999998E-2</v>
      </c>
      <c r="O128" s="49">
        <f t="shared" si="9"/>
        <v>14.916138968627886</v>
      </c>
      <c r="P128" s="50">
        <f>_xlfn.XLOOKUP(C128&amp;$H$2,[1]POLITICA!A:A,[1]POLITICA!F:F)/100</f>
        <v>0.61425703253803465</v>
      </c>
    </row>
    <row r="129" spans="2:21" x14ac:dyDescent="0.2">
      <c r="B129" s="39" t="s">
        <v>20</v>
      </c>
      <c r="C129" s="40">
        <v>39018</v>
      </c>
      <c r="D129" s="41" t="s">
        <v>343</v>
      </c>
      <c r="E129" s="42" t="s">
        <v>60</v>
      </c>
      <c r="F129" s="43" t="s">
        <v>325</v>
      </c>
      <c r="G129" s="44" t="s">
        <v>344</v>
      </c>
      <c r="H129" s="45" t="s">
        <v>25</v>
      </c>
      <c r="I129" s="43" t="s">
        <v>345</v>
      </c>
      <c r="J129" s="43" t="s">
        <v>40</v>
      </c>
      <c r="K129" s="45" t="s">
        <v>28</v>
      </c>
      <c r="L129" s="46">
        <f>IF(ISERROR(VLOOKUP($C129,[1]TABELA_PREÇOS!B:W,$U$8,FALSE))=TRUE,"",VLOOKUP($C129,[1]TABELA_PREÇOS!B:W,$U$8,FALSE))</f>
        <v>36.36</v>
      </c>
      <c r="M129" s="47">
        <f t="shared" si="8"/>
        <v>13.881877219666954</v>
      </c>
      <c r="N129" s="48">
        <f t="shared" si="6"/>
        <v>8.5199999999999998E-2</v>
      </c>
      <c r="O129" s="49">
        <f t="shared" si="9"/>
        <v>12.699141280551331</v>
      </c>
      <c r="P129" s="50">
        <f>_xlfn.XLOOKUP(C129&amp;$H$2,[1]POLITICA!A:A,[1]POLITICA!F:F)/100</f>
        <v>0.6182101974789066</v>
      </c>
    </row>
    <row r="130" spans="2:21" x14ac:dyDescent="0.2">
      <c r="B130" s="39" t="s">
        <v>34</v>
      </c>
      <c r="C130" s="40">
        <v>32567</v>
      </c>
      <c r="D130" s="41" t="s">
        <v>346</v>
      </c>
      <c r="E130" s="42" t="s">
        <v>36</v>
      </c>
      <c r="F130" s="43" t="s">
        <v>347</v>
      </c>
      <c r="G130" s="44" t="s">
        <v>348</v>
      </c>
      <c r="H130" s="45" t="s">
        <v>25</v>
      </c>
      <c r="I130" s="43" t="s">
        <v>349</v>
      </c>
      <c r="J130" s="43" t="s">
        <v>40</v>
      </c>
      <c r="K130" s="45" t="s">
        <v>28</v>
      </c>
      <c r="L130" s="46">
        <f>IF(ISERROR(VLOOKUP($C130,[1]TABELA_PREÇOS!B:W,$U$8,FALSE))=TRUE,"",VLOOKUP($C130,[1]TABELA_PREÇOS!B:W,$U$8,FALSE))</f>
        <v>77.989999999999995</v>
      </c>
      <c r="M130" s="47">
        <f t="shared" si="8"/>
        <v>43.593470642435747</v>
      </c>
      <c r="N130" s="48">
        <f t="shared" si="6"/>
        <v>8.5199999999999998E-2</v>
      </c>
      <c r="O130" s="49">
        <f t="shared" si="9"/>
        <v>39.879306943700222</v>
      </c>
      <c r="P130" s="50">
        <f>_xlfn.XLOOKUP(C130&amp;$H$2,[1]POLITICA!A:A,[1]POLITICA!F:F)/100</f>
        <v>0.44103768890324724</v>
      </c>
    </row>
    <row r="131" spans="2:21" x14ac:dyDescent="0.2">
      <c r="B131" s="39" t="s">
        <v>34</v>
      </c>
      <c r="C131" s="40">
        <v>31166</v>
      </c>
      <c r="D131" s="41" t="s">
        <v>350</v>
      </c>
      <c r="E131" s="42" t="s">
        <v>36</v>
      </c>
      <c r="F131" s="43" t="s">
        <v>351</v>
      </c>
      <c r="G131" s="44" t="s">
        <v>352</v>
      </c>
      <c r="H131" s="45" t="s">
        <v>25</v>
      </c>
      <c r="I131" s="43" t="s">
        <v>239</v>
      </c>
      <c r="J131" s="43" t="s">
        <v>40</v>
      </c>
      <c r="K131" s="45" t="s">
        <v>28</v>
      </c>
      <c r="L131" s="46">
        <f>IF(ISERROR(VLOOKUP($C131,[1]TABELA_PREÇOS!B:W,$U$8,FALSE))=TRUE,"",VLOOKUP($C131,[1]TABELA_PREÇOS!B:W,$U$8,FALSE))</f>
        <v>97.38</v>
      </c>
      <c r="M131" s="47">
        <f t="shared" si="8"/>
        <v>54.50163839999999</v>
      </c>
      <c r="N131" s="48">
        <f t="shared" si="6"/>
        <v>8.5199999999999998E-2</v>
      </c>
      <c r="O131" s="49">
        <f t="shared" si="9"/>
        <v>49.858098808319994</v>
      </c>
      <c r="P131" s="50">
        <f>_xlfn.XLOOKUP(C131&amp;$H$2,[1]POLITICA!A:A,[1]POLITICA!F:F)/100</f>
        <v>0.44032000000000004</v>
      </c>
    </row>
    <row r="132" spans="2:21" x14ac:dyDescent="0.2">
      <c r="B132" s="39" t="s">
        <v>34</v>
      </c>
      <c r="C132" s="40">
        <v>31205</v>
      </c>
      <c r="D132" s="41" t="s">
        <v>353</v>
      </c>
      <c r="E132" s="42" t="s">
        <v>36</v>
      </c>
      <c r="F132" s="43" t="s">
        <v>351</v>
      </c>
      <c r="G132" s="44" t="s">
        <v>354</v>
      </c>
      <c r="H132" s="45" t="s">
        <v>25</v>
      </c>
      <c r="I132" s="43" t="s">
        <v>355</v>
      </c>
      <c r="J132" s="43" t="s">
        <v>40</v>
      </c>
      <c r="K132" s="45" t="s">
        <v>28</v>
      </c>
      <c r="L132" s="46">
        <f>IF(ISERROR(VLOOKUP($C132,[1]TABELA_PREÇOS!B:W,$U$8,FALSE))=TRUE,"",VLOOKUP($C132,[1]TABELA_PREÇOS!B:W,$U$8,FALSE))</f>
        <v>177.17</v>
      </c>
      <c r="M132" s="47">
        <f t="shared" si="8"/>
        <v>81.796582423184987</v>
      </c>
      <c r="N132" s="48">
        <f t="shared" si="6"/>
        <v>8.5199999999999998E-2</v>
      </c>
      <c r="O132" s="49">
        <f t="shared" si="9"/>
        <v>74.827513600729631</v>
      </c>
      <c r="P132" s="50">
        <f>_xlfn.XLOOKUP(C132&amp;$H$2,[1]POLITICA!A:A,[1]POLITICA!F:F)/100</f>
        <v>0.5383158411515212</v>
      </c>
    </row>
    <row r="133" spans="2:21" x14ac:dyDescent="0.2">
      <c r="B133" s="39" t="s">
        <v>20</v>
      </c>
      <c r="C133" s="40">
        <v>32598</v>
      </c>
      <c r="D133" s="41" t="s">
        <v>356</v>
      </c>
      <c r="E133" s="42" t="s">
        <v>171</v>
      </c>
      <c r="F133" s="43" t="s">
        <v>294</v>
      </c>
      <c r="G133" s="44" t="s">
        <v>357</v>
      </c>
      <c r="H133" s="45" t="s">
        <v>25</v>
      </c>
      <c r="I133" s="43" t="s">
        <v>358</v>
      </c>
      <c r="J133" s="43" t="s">
        <v>40</v>
      </c>
      <c r="K133" s="45" t="s">
        <v>28</v>
      </c>
      <c r="L133" s="46">
        <f>IF(ISERROR(VLOOKUP($C133,[1]TABELA_PREÇOS!B:W,$U$8,FALSE))=TRUE,"",VLOOKUP($C133,[1]TABELA_PREÇOS!B:W,$U$8,FALSE))</f>
        <v>30.85</v>
      </c>
      <c r="M133" s="47">
        <f t="shared" si="8"/>
        <v>14.341845295156062</v>
      </c>
      <c r="N133" s="48">
        <f t="shared" si="6"/>
        <v>8.5199999999999998E-2</v>
      </c>
      <c r="O133" s="49">
        <f t="shared" si="9"/>
        <v>13.119920076008766</v>
      </c>
      <c r="P133" s="50">
        <f>_xlfn.XLOOKUP(C133&amp;$H$2,[1]POLITICA!A:A,[1]POLITICA!F:F)/100</f>
        <v>0.53511036320401739</v>
      </c>
    </row>
    <row r="134" spans="2:21" x14ac:dyDescent="0.2">
      <c r="B134" s="39" t="s">
        <v>20</v>
      </c>
      <c r="C134" s="40">
        <v>2798</v>
      </c>
      <c r="D134" s="41" t="s">
        <v>359</v>
      </c>
      <c r="E134" s="42" t="s">
        <v>20</v>
      </c>
      <c r="F134" s="43" t="s">
        <v>241</v>
      </c>
      <c r="G134" s="44" t="s">
        <v>360</v>
      </c>
      <c r="H134" s="45" t="s">
        <v>101</v>
      </c>
      <c r="I134" s="43"/>
      <c r="J134" s="43" t="s">
        <v>20</v>
      </c>
      <c r="K134" s="45" t="s">
        <v>28</v>
      </c>
      <c r="L134" s="46">
        <f>IF(ISERROR(VLOOKUP($C134,[1]TABELA_PREÇOS!B:W,$U$8,FALSE))=TRUE,"",VLOOKUP($C134,[1]TABELA_PREÇOS!B:W,$U$8,FALSE))</f>
        <v>60.25</v>
      </c>
      <c r="M134" s="47">
        <f t="shared" si="8"/>
        <v>43.982500000000002</v>
      </c>
      <c r="N134" s="48">
        <f t="shared" si="6"/>
        <v>8.5199999999999998E-2</v>
      </c>
      <c r="O134" s="49">
        <f t="shared" si="9"/>
        <v>40.235191000000007</v>
      </c>
      <c r="P134" s="50">
        <f>_xlfn.XLOOKUP(C134&amp;$H$2,[1]POLITICA!A:A,[1]POLITICA!F:F)/100</f>
        <v>0.27</v>
      </c>
    </row>
    <row r="135" spans="2:21" x14ac:dyDescent="0.2">
      <c r="B135" s="39" t="s">
        <v>20</v>
      </c>
      <c r="C135" s="40">
        <v>2779</v>
      </c>
      <c r="D135" s="41" t="s">
        <v>361</v>
      </c>
      <c r="E135" s="42" t="s">
        <v>20</v>
      </c>
      <c r="F135" s="43" t="s">
        <v>241</v>
      </c>
      <c r="G135" s="44" t="s">
        <v>362</v>
      </c>
      <c r="H135" s="45" t="s">
        <v>101</v>
      </c>
      <c r="I135" s="43"/>
      <c r="J135" s="43" t="s">
        <v>20</v>
      </c>
      <c r="K135" s="45" t="s">
        <v>28</v>
      </c>
      <c r="L135" s="46">
        <f>IF(ISERROR(VLOOKUP($C135,[1]TABELA_PREÇOS!B:W,$U$8,FALSE))=TRUE,"",VLOOKUP($C135,[1]TABELA_PREÇOS!B:W,$U$8,FALSE))</f>
        <v>130.33000000000001</v>
      </c>
      <c r="M135" s="47">
        <f t="shared" si="8"/>
        <v>95.140900000000016</v>
      </c>
      <c r="N135" s="48">
        <f t="shared" si="6"/>
        <v>8.5199999999999998E-2</v>
      </c>
      <c r="O135" s="49">
        <f t="shared" si="9"/>
        <v>87.034895320000018</v>
      </c>
      <c r="P135" s="50">
        <f>_xlfn.XLOOKUP(C135&amp;$H$2,[1]POLITICA!A:A,[1]POLITICA!F:F)/100</f>
        <v>0.27</v>
      </c>
    </row>
    <row r="136" spans="2:21" x14ac:dyDescent="0.2">
      <c r="B136" s="39" t="s">
        <v>20</v>
      </c>
      <c r="C136" s="40">
        <v>2778</v>
      </c>
      <c r="D136" s="41" t="s">
        <v>363</v>
      </c>
      <c r="E136" s="42" t="s">
        <v>20</v>
      </c>
      <c r="F136" s="43" t="s">
        <v>241</v>
      </c>
      <c r="G136" s="44" t="s">
        <v>364</v>
      </c>
      <c r="H136" s="45" t="s">
        <v>101</v>
      </c>
      <c r="I136" s="43"/>
      <c r="J136" s="43" t="s">
        <v>20</v>
      </c>
      <c r="K136" s="45" t="s">
        <v>28</v>
      </c>
      <c r="L136" s="46">
        <f>IF(ISERROR(VLOOKUP($C136,[1]TABELA_PREÇOS!B:W,$U$8,FALSE))=TRUE,"",VLOOKUP($C136,[1]TABELA_PREÇOS!B:W,$U$8,FALSE))</f>
        <v>69.47</v>
      </c>
      <c r="M136" s="47">
        <f t="shared" si="8"/>
        <v>50.713099999999997</v>
      </c>
      <c r="N136" s="48">
        <f t="shared" si="6"/>
        <v>8.5199999999999998E-2</v>
      </c>
      <c r="O136" s="49">
        <f t="shared" si="9"/>
        <v>46.392343879999999</v>
      </c>
      <c r="P136" s="50">
        <f>_xlfn.XLOOKUP(C136&amp;$H$2,[1]POLITICA!A:A,[1]POLITICA!F:F)/100</f>
        <v>0.27</v>
      </c>
    </row>
    <row r="137" spans="2:21" x14ac:dyDescent="0.2">
      <c r="B137" s="39" t="s">
        <v>20</v>
      </c>
      <c r="C137" s="40">
        <v>2736</v>
      </c>
      <c r="D137" s="41" t="s">
        <v>365</v>
      </c>
      <c r="E137" s="42" t="s">
        <v>366</v>
      </c>
      <c r="F137" s="43" t="s">
        <v>124</v>
      </c>
      <c r="G137" s="44" t="s">
        <v>367</v>
      </c>
      <c r="H137" s="45" t="s">
        <v>101</v>
      </c>
      <c r="I137" s="43"/>
      <c r="J137" s="43" t="s">
        <v>20</v>
      </c>
      <c r="K137" s="45" t="s">
        <v>28</v>
      </c>
      <c r="L137" s="46">
        <f>IF(ISERROR(VLOOKUP($C137,[1]TABELA_PREÇOS!B:W,$U$8,FALSE))=TRUE,"",VLOOKUP($C137,[1]TABELA_PREÇOS!B:W,$U$8,FALSE))</f>
        <v>32.775260699999997</v>
      </c>
      <c r="M137" s="47">
        <f t="shared" ref="M137:M142" si="10">$L137-($L137*P137)</f>
        <v>22.942682489999996</v>
      </c>
      <c r="N137" s="48">
        <f t="shared" ref="N137:N138" si="11">$H$4</f>
        <v>8.5199999999999998E-2</v>
      </c>
      <c r="O137" s="49">
        <f t="shared" ref="O137:O142" si="12">M137*(1-$N137)</f>
        <v>20.987965941851996</v>
      </c>
      <c r="P137" s="50">
        <f>_xlfn.XLOOKUP(C137&amp;$H$2,[1]POLITICA!A:A,[1]POLITICA!F:F)/100</f>
        <v>0.3</v>
      </c>
    </row>
    <row r="138" spans="2:21" x14ac:dyDescent="0.2">
      <c r="B138" s="39" t="s">
        <v>20</v>
      </c>
      <c r="C138" s="40">
        <v>32603</v>
      </c>
      <c r="D138" s="41" t="s">
        <v>368</v>
      </c>
      <c r="E138" s="42" t="s">
        <v>22</v>
      </c>
      <c r="F138" s="43" t="s">
        <v>369</v>
      </c>
      <c r="G138" s="44" t="s">
        <v>370</v>
      </c>
      <c r="H138" s="45" t="s">
        <v>25</v>
      </c>
      <c r="I138" s="43"/>
      <c r="J138" s="43" t="s">
        <v>40</v>
      </c>
      <c r="K138" s="45" t="s">
        <v>28</v>
      </c>
      <c r="L138" s="46">
        <f>IF(ISERROR(VLOOKUP($C138,[1]TABELA_PREÇOS!B:W,$U$8,FALSE))=TRUE,"",VLOOKUP($C138,[1]TABELA_PREÇOS!B:W,$U$8,FALSE))</f>
        <v>31.89</v>
      </c>
      <c r="M138" s="47">
        <f t="shared" si="10"/>
        <v>8.7289257189409675</v>
      </c>
      <c r="N138" s="48">
        <f t="shared" si="11"/>
        <v>8.5199999999999998E-2</v>
      </c>
      <c r="O138" s="49">
        <f t="shared" si="12"/>
        <v>7.985221247687198</v>
      </c>
      <c r="P138" s="50">
        <f>_xlfn.XLOOKUP(C138&amp;$H$2,[1]POLITICA!A:A,[1]POLITICA!F:F)/100</f>
        <v>0.72628015933079437</v>
      </c>
    </row>
    <row r="139" spans="2:21" x14ac:dyDescent="0.2">
      <c r="B139" s="74" t="s">
        <v>20</v>
      </c>
      <c r="C139" s="75">
        <v>32585</v>
      </c>
      <c r="D139" s="76" t="s">
        <v>371</v>
      </c>
      <c r="E139" s="77" t="s">
        <v>36</v>
      </c>
      <c r="F139" s="77" t="s">
        <v>37</v>
      </c>
      <c r="G139" s="74" t="s">
        <v>372</v>
      </c>
      <c r="H139" s="45" t="s">
        <v>25</v>
      </c>
      <c r="I139" s="43" t="s">
        <v>373</v>
      </c>
      <c r="J139" s="43" t="s">
        <v>40</v>
      </c>
      <c r="K139" s="45" t="s">
        <v>28</v>
      </c>
      <c r="L139" s="46">
        <f>IF(ISERROR(VLOOKUP($C139,[1]TABELA_PREÇOS!B:W,$U$8,FALSE))=TRUE,"",VLOOKUP($C139,[1]TABELA_PREÇOS!B:W,$U$8,FALSE))</f>
        <v>42.66</v>
      </c>
      <c r="M139" s="47">
        <f t="shared" si="10"/>
        <v>19.922219999999996</v>
      </c>
      <c r="N139" s="60">
        <v>0</v>
      </c>
      <c r="O139" s="49">
        <f t="shared" si="12"/>
        <v>19.922219999999996</v>
      </c>
      <c r="P139" s="50">
        <f>_xlfn.XLOOKUP(C139&amp;$H$2,[1]POLITICA!A:A,[1]POLITICA!F:F)/100</f>
        <v>0.53300000000000003</v>
      </c>
    </row>
    <row r="140" spans="2:21" x14ac:dyDescent="0.2">
      <c r="B140" s="74" t="s">
        <v>20</v>
      </c>
      <c r="C140" s="75">
        <v>32587</v>
      </c>
      <c r="D140" s="76" t="s">
        <v>374</v>
      </c>
      <c r="E140" s="77" t="s">
        <v>36</v>
      </c>
      <c r="F140" s="77" t="s">
        <v>37</v>
      </c>
      <c r="G140" s="74" t="s">
        <v>375</v>
      </c>
      <c r="H140" s="45" t="s">
        <v>25</v>
      </c>
      <c r="I140" s="43" t="s">
        <v>373</v>
      </c>
      <c r="J140" s="43" t="s">
        <v>40</v>
      </c>
      <c r="K140" s="45" t="s">
        <v>28</v>
      </c>
      <c r="L140" s="46">
        <f>IF(ISERROR(VLOOKUP($C140,[1]TABELA_PREÇOS!B:W,$U$8,FALSE))=TRUE,"",VLOOKUP($C140,[1]TABELA_PREÇOS!B:W,$U$8,FALSE))</f>
        <v>85.33</v>
      </c>
      <c r="M140" s="47">
        <f t="shared" si="10"/>
        <v>27.902909999999984</v>
      </c>
      <c r="N140" s="60">
        <v>0</v>
      </c>
      <c r="O140" s="49">
        <f t="shared" si="12"/>
        <v>27.902909999999984</v>
      </c>
      <c r="P140" s="50">
        <f>_xlfn.XLOOKUP(C140&amp;$H$2,[1]POLITICA!A:A,[1]POLITICA!F:F)/100</f>
        <v>0.67300000000000015</v>
      </c>
    </row>
    <row r="141" spans="2:21" s="78" customFormat="1" x14ac:dyDescent="0.2">
      <c r="B141" s="74" t="s">
        <v>20</v>
      </c>
      <c r="C141" s="75">
        <v>32566</v>
      </c>
      <c r="D141" s="76">
        <v>7894916325660</v>
      </c>
      <c r="E141" s="77" t="s">
        <v>171</v>
      </c>
      <c r="F141" s="77" t="s">
        <v>226</v>
      </c>
      <c r="G141" s="74" t="s">
        <v>376</v>
      </c>
      <c r="H141" s="45" t="s">
        <v>25</v>
      </c>
      <c r="I141" s="43" t="s">
        <v>228</v>
      </c>
      <c r="J141" s="43" t="s">
        <v>40</v>
      </c>
      <c r="K141" s="45" t="s">
        <v>28</v>
      </c>
      <c r="L141" s="46">
        <f>IF(ISERROR(VLOOKUP($C141,[1]TABELA_PREÇOS!B:W,$U$8,FALSE))=TRUE,"",VLOOKUP($C141,[1]TABELA_PREÇOS!B:W,$U$8,FALSE))</f>
        <v>19.559999999999999</v>
      </c>
      <c r="M141" s="47">
        <f t="shared" si="10"/>
        <v>2.3387220000000006</v>
      </c>
      <c r="N141" s="48">
        <f t="shared" ref="N141:N142" si="13">$H$4</f>
        <v>8.5199999999999998E-2</v>
      </c>
      <c r="O141" s="49">
        <f t="shared" si="12"/>
        <v>2.1394628856000009</v>
      </c>
      <c r="P141" s="50">
        <f>_xlfn.XLOOKUP(C141&amp;$H$2,[1]POLITICA!A:A,[1]POLITICA!F:F)/100</f>
        <v>0.88043343558282205</v>
      </c>
      <c r="T141" s="51"/>
      <c r="U141" s="51"/>
    </row>
    <row r="142" spans="2:21" x14ac:dyDescent="0.2">
      <c r="B142" s="74" t="s">
        <v>20</v>
      </c>
      <c r="C142" s="79">
        <v>2739</v>
      </c>
      <c r="E142" s="42" t="s">
        <v>20</v>
      </c>
      <c r="F142" s="43" t="s">
        <v>124</v>
      </c>
      <c r="G142" s="80" t="s">
        <v>377</v>
      </c>
      <c r="J142" s="43" t="s">
        <v>20</v>
      </c>
      <c r="K142" s="45" t="s">
        <v>28</v>
      </c>
      <c r="L142" s="46">
        <f>IF(ISERROR(VLOOKUP($C142,[1]TABELA_PREÇOS!B:W,$U$8,FALSE))=TRUE,"",VLOOKUP($C142,[1]TABELA_PREÇOS!B:W,$U$8,FALSE))</f>
        <v>32.78</v>
      </c>
      <c r="M142" s="47">
        <f t="shared" si="10"/>
        <v>32.78</v>
      </c>
      <c r="N142" s="48">
        <f t="shared" si="13"/>
        <v>8.5199999999999998E-2</v>
      </c>
      <c r="O142" s="49">
        <f t="shared" si="12"/>
        <v>29.987144000000004</v>
      </c>
      <c r="P142" s="50">
        <f>_xlfn.XLOOKUP(C142&amp;$H$2,[1]POLITICA!A:A,[1]POLITICA!F:F)/100</f>
        <v>0</v>
      </c>
    </row>
  </sheetData>
  <mergeCells count="3">
    <mergeCell ref="M2:M7"/>
    <mergeCell ref="O2:O7"/>
    <mergeCell ref="P2:P7"/>
  </mergeCells>
  <conditionalFormatting sqref="C9:C138">
    <cfRule type="duplicateValues" dxfId="23" priority="24"/>
  </conditionalFormatting>
  <conditionalFormatting sqref="C141">
    <cfRule type="duplicateValues" dxfId="22" priority="3"/>
  </conditionalFormatting>
  <conditionalFormatting sqref="D9:D76">
    <cfRule type="duplicateValues" dxfId="21" priority="20"/>
    <cfRule type="duplicateValues" dxfId="20" priority="21"/>
  </conditionalFormatting>
  <conditionalFormatting sqref="D77:D80">
    <cfRule type="duplicateValues" dxfId="19" priority="22"/>
    <cfRule type="duplicateValues" dxfId="18" priority="23"/>
  </conditionalFormatting>
  <conditionalFormatting sqref="D81:D82">
    <cfRule type="duplicateValues" dxfId="17" priority="8"/>
    <cfRule type="duplicateValues" dxfId="16" priority="9"/>
  </conditionalFormatting>
  <conditionalFormatting sqref="D83">
    <cfRule type="duplicateValues" dxfId="15" priority="6"/>
    <cfRule type="duplicateValues" dxfId="14" priority="7"/>
  </conditionalFormatting>
  <conditionalFormatting sqref="D84">
    <cfRule type="duplicateValues" dxfId="13" priority="16"/>
    <cfRule type="duplicateValues" dxfId="12" priority="17"/>
  </conditionalFormatting>
  <conditionalFormatting sqref="D85:D86">
    <cfRule type="duplicateValues" dxfId="11" priority="4"/>
    <cfRule type="duplicateValues" dxfId="10" priority="5"/>
  </conditionalFormatting>
  <conditionalFormatting sqref="D114:D116 D87:D110">
    <cfRule type="duplicateValues" dxfId="9" priority="18"/>
    <cfRule type="duplicateValues" dxfId="8" priority="19"/>
  </conditionalFormatting>
  <conditionalFormatting sqref="D141">
    <cfRule type="duplicateValues" dxfId="7" priority="1"/>
    <cfRule type="duplicateValues" dxfId="6" priority="2"/>
  </conditionalFormatting>
  <conditionalFormatting sqref="N2:N4">
    <cfRule type="expression" dxfId="5" priority="13">
      <formula>$H$2="RJ"</formula>
    </cfRule>
    <cfRule type="expression" dxfId="4" priority="14">
      <formula>$H$2="SP"</formula>
    </cfRule>
    <cfRule type="expression" dxfId="3" priority="15">
      <formula>$H$2="MG"</formula>
    </cfRule>
  </conditionalFormatting>
  <conditionalFormatting sqref="N7">
    <cfRule type="expression" dxfId="2" priority="10">
      <formula>$H$2="RJ"</formula>
    </cfRule>
    <cfRule type="expression" dxfId="1" priority="11">
      <formula>$H$2="SP"</formula>
    </cfRule>
    <cfRule type="expression" dxfId="0" priority="12">
      <formula>$H$2="MG"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Guiherme Anastacio Kubis Dos Santos</dc:creator>
  <cp:lastModifiedBy>Guiherme Anastacio Kubis Dos Santos</cp:lastModifiedBy>
  <dcterms:created xsi:type="dcterms:W3CDTF">2026-06-12T20:13:19Z</dcterms:created>
  <dcterms:modified xsi:type="dcterms:W3CDTF">2026-06-23T16:22:51Z</dcterms:modified>
</cp:coreProperties>
</file>