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ronos\Downloads\"/>
    </mc:Choice>
  </mc:AlternateContent>
  <bookViews>
    <workbookView xWindow="0" yWindow="0" windowWidth="20490" windowHeight="7200"/>
  </bookViews>
  <sheets>
    <sheet name="P 12" sheetId="3" r:id="rId1"/>
    <sheet name="P 12 PEDIDO" sheetId="18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92" i="18" l="1"/>
  <c r="K91" i="18"/>
  <c r="K90" i="18"/>
  <c r="K89" i="18"/>
  <c r="K88" i="18"/>
  <c r="K87" i="18"/>
  <c r="K86" i="18"/>
  <c r="K85" i="18"/>
  <c r="K84" i="18"/>
  <c r="K83" i="18"/>
  <c r="K82" i="18"/>
  <c r="K81" i="18"/>
  <c r="K80" i="18"/>
  <c r="K79" i="18"/>
  <c r="K78" i="18"/>
  <c r="K77" i="18"/>
  <c r="K76" i="18"/>
  <c r="K75" i="18"/>
  <c r="K74" i="18"/>
  <c r="K73" i="18"/>
  <c r="K72" i="18"/>
  <c r="K71" i="18"/>
  <c r="K70" i="18"/>
  <c r="K69" i="18"/>
  <c r="K68" i="18"/>
  <c r="K67" i="18"/>
  <c r="K66" i="18"/>
  <c r="K65" i="18"/>
  <c r="K64" i="18"/>
  <c r="K63" i="18"/>
  <c r="K62" i="18"/>
  <c r="K61" i="18"/>
  <c r="K60" i="18"/>
  <c r="K59" i="18"/>
  <c r="K58" i="18"/>
  <c r="K57" i="18"/>
  <c r="K56" i="18"/>
  <c r="K55" i="18"/>
  <c r="K54" i="18"/>
  <c r="K53" i="18"/>
  <c r="K52" i="18"/>
  <c r="K51" i="18"/>
  <c r="K50" i="18"/>
  <c r="K49" i="18"/>
  <c r="K48" i="18"/>
  <c r="K47" i="18"/>
  <c r="K46" i="18"/>
  <c r="K45" i="18"/>
  <c r="K44" i="18"/>
  <c r="K43" i="18"/>
  <c r="K42" i="18"/>
  <c r="K41" i="18"/>
  <c r="K40" i="18"/>
  <c r="K39" i="18"/>
  <c r="K38" i="18"/>
  <c r="K37" i="18"/>
  <c r="K36" i="18"/>
  <c r="K35" i="18"/>
  <c r="K34" i="18"/>
  <c r="K33" i="18"/>
  <c r="K32" i="18"/>
  <c r="K31" i="18"/>
  <c r="K30" i="18"/>
  <c r="K29" i="18"/>
  <c r="K28" i="18"/>
  <c r="K27" i="18"/>
  <c r="K26" i="18"/>
  <c r="K25" i="18"/>
  <c r="K24" i="18"/>
  <c r="K23" i="18"/>
  <c r="K22" i="18"/>
  <c r="K21" i="18"/>
  <c r="K20" i="18"/>
  <c r="K19" i="18"/>
  <c r="K18" i="18"/>
  <c r="K17" i="18"/>
  <c r="K16" i="18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1" i="18" l="1"/>
</calcChain>
</file>

<file path=xl/sharedStrings.xml><?xml version="1.0" encoding="utf-8"?>
<sst xmlns="http://schemas.openxmlformats.org/spreadsheetml/2006/main" count="650" uniqueCount="132">
  <si>
    <t>TABELA DE PREÇOS UBERPHARMA 2026-B (VIGENTE: 06/04/2026)</t>
  </si>
  <si>
    <t>SKU</t>
  </si>
  <si>
    <t>LINHA</t>
  </si>
  <si>
    <t>FAMÍLIA UBERPHARMA:
CIENCIA NATURAL + DERMOCOSMETICOS + SAUDE FEMININA + VITALIDADE</t>
  </si>
  <si>
    <t>CEST</t>
  </si>
  <si>
    <t>NCM</t>
  </si>
  <si>
    <t>CÓD. DE BARRAS GS1</t>
  </si>
  <si>
    <t>CAIXA MÁSTER</t>
  </si>
  <si>
    <t>LINHA2</t>
  </si>
  <si>
    <t>QUANT.</t>
  </si>
  <si>
    <t>3 DISTRIBUIDOR P12</t>
  </si>
  <si>
    <t>14 REDES P12 (42%)</t>
  </si>
  <si>
    <t>4 VAREJO P12 (60%)</t>
  </si>
  <si>
    <t>5 CONSUMIDOR</t>
  </si>
  <si>
    <t>5 CONSUMIDOR minimo</t>
  </si>
  <si>
    <t>IPI (TIPI)</t>
  </si>
  <si>
    <t>UBER</t>
  </si>
  <si>
    <t>ANDIRALUX DBT CREME HIDRAT PARA A PELE DO DIABETICO FR 300 ML C VALV</t>
  </si>
  <si>
    <t>DERM</t>
  </si>
  <si>
    <t>CIEN</t>
  </si>
  <si>
    <t>ARNIFLAM GEL ARNICA MENTOLADA BISN 120 G C CX</t>
  </si>
  <si>
    <t>VITAL</t>
  </si>
  <si>
    <t>BALSAMO SUCURI GEL BALSAMICO MUSC E ARTIC 120 G BISN C CX</t>
  </si>
  <si>
    <t>BELLERGAN CREME DERMATOLOGICO PARA COCEIRAS BISN 27 G C CX</t>
  </si>
  <si>
    <t>CLARISSIMA CREME CLAREADOR DESPIGMENTANT BISN 30 G C CX</t>
  </si>
  <si>
    <t>FARMAPES CREME HIDRATANTE E ESFOLIANTE POTE 100 G C CX</t>
  </si>
  <si>
    <t>FARMAPES ESFOLIANTE FISICO CREME ARGILA E SEMENTES CREME BISN 80 G</t>
  </si>
  <si>
    <t>FARMAPES LOCAO GOTAS ESFOLIANTE HIDRATANTE DESODORANTE FR 55 G C CX</t>
  </si>
  <si>
    <t>FARMAPES OURO POMADA PRIMER HIDRATANTE EMOLIENTE POTE 45 G C CX</t>
  </si>
  <si>
    <t>FARMAPES PEELING PROGRESSIVO CREME ESFOLIANTE BISN 60 G C CX</t>
  </si>
  <si>
    <t>HIGIEPROCTO FRESH ESPUMA SYNDET PARA HIGIENE ANAL FR 150 ML</t>
  </si>
  <si>
    <t>HIGIEPROCTO FRESH SABONETE LIQUIDO PARA HIGIENE ANAL FR 150 ML</t>
  </si>
  <si>
    <t>HIGIEPROCTO NEUTRO ESPUMA SYNDET PARA HIGIENE ANAL FR 150 ML</t>
  </si>
  <si>
    <t>HIGIEPROCTO NEUTRO SABONETE LIQUIDO PARA HIGIENE ANAL FR 150 ML</t>
  </si>
  <si>
    <t>DESC</t>
  </si>
  <si>
    <t>HIGIEPROCTO SABONETE LIQUIDO DE HIGIENE DA REGIAO ANAL FR 150 ML</t>
  </si>
  <si>
    <t>HIGIEPROCTO SYNDET ESPUMA DE HIGIENE DA REGIAO ANAL FR 150 ML</t>
  </si>
  <si>
    <t>POMADA DE BASILICAO BASILIFLAM BISN 27 G C CX</t>
  </si>
  <si>
    <t>PROMAMMA LANOLINA PURIFICADA PARA BICO DOS SEIOS BISN 30 G C CX</t>
  </si>
  <si>
    <t>FEMIN</t>
  </si>
  <si>
    <t>TRISELEN AZUL SHAMPOO UD ANTICASPA FR 150 ML C CX</t>
  </si>
  <si>
    <t>TRISELEN OURO SHAMPOO UT ANTICASPA FR 150 ML C CX</t>
  </si>
  <si>
    <t>UREALUX 10 CREME HIDRATANTE UREIA ROSA BISN 180 G C CX</t>
  </si>
  <si>
    <t>UREALUX 10 LOCAO HIDRATANTE UREIA FR 200 ML C VALV C CX</t>
  </si>
  <si>
    <t>UREALUX 3 CREME HIDRATANTE COM UREIA 3 BISN150 G C CX</t>
  </si>
  <si>
    <t>URUDERM QALIV POMADA DERMATOLOGICA BISN 30 G C CX</t>
  </si>
  <si>
    <t>URUDERM QALIV SUN LOCAO DERMATOLOGICA SPRAY FR 100 ML C CX</t>
  </si>
  <si>
    <t>VAGICARE BALANCE PREBIOTICO ESPUMA SUAVE HIGIENE INTIMA FR 150 ML</t>
  </si>
  <si>
    <t>VAGICARE BALANCE PREBIOTICO SABONETE LIQ HIGIENE INTIMA FR 150 ML</t>
  </si>
  <si>
    <t>VAGICARE BREEZE PREBIOTICO ESPUMA SUAVE HIGIENE INTIMA FR 150 ML</t>
  </si>
  <si>
    <t>VAGICARE BREEZE PREBIOTICO SABONETE LIQ HIGIENE INTIMA FR 150 ML</t>
  </si>
  <si>
    <t>VENOXFLAN EMULGEL PARA PERNAS CANSADAS BISN 180 G C CX</t>
  </si>
  <si>
    <t>VENOXFLAN EMULGEL PARA PERNAS CANSADAS FR 300 ML VALV C CX</t>
  </si>
  <si>
    <t>ZELIDERM GEL ANTIACNE FOLICULITE BISN 30 G C CX</t>
  </si>
  <si>
    <t>FAMÍLIA UBERPHARMA SUPLEMENTOS E ALIMENTOS FUNCIONAIS</t>
  </si>
  <si>
    <t>ELIXIR DE INHAME SUPLEMENTO VITAMINA A PURYAM FR 250 ML C CX</t>
  </si>
  <si>
    <t>TONICO AMARGO MELAO SAO CAETANO SUPL COMPL B SUMO REAL FR 500 ML C CX</t>
  </si>
  <si>
    <t>XAROPE DE ASSAPEIXE SUPLEMENTO VITAMINA C BROMELIMEL FR 150 ML C CX</t>
  </si>
  <si>
    <t>FAMÍLIA
DERMOSQEE 
SKINCARE</t>
  </si>
  <si>
    <t>QEE</t>
  </si>
  <si>
    <t>DERMOSQEE CREME NUTRITIVO FACIL ANTI IDADE ROSE LIFT POTE 100 G C CX</t>
  </si>
  <si>
    <t>SKIN</t>
  </si>
  <si>
    <t>DERMOSQEE CREME PREVENTIVO DE ESTRIAS FR 200 G C VALV C CX</t>
  </si>
  <si>
    <t>DERMOSQEE ESPUMA DE LIMPEZA FACIAL COM AGUA MICELAR FR 150 ML</t>
  </si>
  <si>
    <t>DERMOSQEE HIDRAT CORP ROSA MOSQ UREIA 10 LOCAO FR 200 G C VALV C CX</t>
  </si>
  <si>
    <t>DERMOSQEE LUVAS DE SILICONE NATURAL CREME BISN 60 G C CX</t>
  </si>
  <si>
    <t>DERMOSQEE OLEO DE ROSA MOSQUETA NATURAL MAIS VITAMINAS A E FR 30 ML C CX</t>
  </si>
  <si>
    <t>DERMOSQEE SABONETE ESFOLIANTE FACIAL E CORPORAL BISN 180 G</t>
  </si>
  <si>
    <t>DERMOSQEE SERUM CORPORAL E REGIAO INTIMA V FR 100 ML VALV C CX</t>
  </si>
  <si>
    <t>DERMOSQEE SERUM FACIAL LIFTING INTENSIVO NASOLABIAL FR 30 ML GOT C CX</t>
  </si>
  <si>
    <t>FAMÍLIA OLEUM AROMATERAPIA:
LINHA BEM-ESTAR
SENSORIAL</t>
  </si>
  <si>
    <t>OLEU</t>
  </si>
  <si>
    <t>ALECRIM OLEO ESSENCIAL OLEUM FR 10 ML C CX</t>
  </si>
  <si>
    <t>BEM</t>
  </si>
  <si>
    <t>BERGAMOTA OLEO ESSENCIAL OLEUM FR 10 ML C CX</t>
  </si>
  <si>
    <t>CAFE VERDE GREEN COFFEA OLEO NATURAL OLEUM FR 10 ML C CX</t>
  </si>
  <si>
    <t>CITRONELA OLEO ESSENCIAL OLEUM FR 10 ML C CX</t>
  </si>
  <si>
    <t>COPAIBA BALSAMO OLEO RESINA NATURAL OLEUM FR 10 ML C CX</t>
  </si>
  <si>
    <t>CRAVO OLEO ESSENCIAL OLEUM FR 10 ML C CX</t>
  </si>
  <si>
    <t>CREME UNIVERSAL SINERGIA PARA OLEOS ESSENCIAIS OLEUM POTE 500 G</t>
  </si>
  <si>
    <t>ESSENCIAL FLOW EMULGEL NATURAL PARA MASSAGEM OLEUM BISN 120 G C CX</t>
  </si>
  <si>
    <t>EUCALIPTO GLOBULUS OLEO ESSENCIAL OLEUM FR 10 ML C CX</t>
  </si>
  <si>
    <t>GERANIO OLEO ESSENCIAL OLEUM FR 10 ML C CX</t>
  </si>
  <si>
    <t>LARANJA DOCE OLEO ESSENCIAL OLEUM FR 10 ML C CX</t>
  </si>
  <si>
    <t>LAVANDA OLEO ESSENCIAL OLEUM FR 10 ML C CX</t>
  </si>
  <si>
    <t>LEMON GRASS CAPIM LIMAO OLEO ESSENCIAL OLEUM FR 10 ML C CX</t>
  </si>
  <si>
    <t>LIMAO SICILIANO OLEO ESSENCIAL OLEUM FR 10 ML C CX</t>
  </si>
  <si>
    <t>MELALEUCA TEA TREE OLEO ESSENCIAL OLEUM FR 10 ML C CX</t>
  </si>
  <si>
    <t>MENTA PIPERITA OLEO ESSENCIAL OLEUM FR 10 ML C CX</t>
  </si>
  <si>
    <t>OLIBANO OLEO ESSENCIAL OLEUM FR 10 ML C CX</t>
  </si>
  <si>
    <t>ROSA MOSQUETA OLEO NATURAL OLEUM FR 10 ML C CX</t>
  </si>
  <si>
    <t>ROSA MOSQUETA OLEO NATURAL OLEUM FR 30 ML C CX</t>
  </si>
  <si>
    <t>YLANG YLANG OLEO ESSENCIAL OLEUM FR 10 ML C CX</t>
  </si>
  <si>
    <t>FAMÍLIA VAREJINHO OTC GENÉRICOS
ORIONPHARMA</t>
  </si>
  <si>
    <t>ORIO</t>
  </si>
  <si>
    <t>ALCOOL GEL 70 GLICERINADO GOODSEPT ORIONPHARMA FR 430 G C VALV</t>
  </si>
  <si>
    <t>ORION</t>
  </si>
  <si>
    <t>ALCOOL GEL 70 GLICERINADO GOODSEPT ORIONPHARMA FR 50 G</t>
  </si>
  <si>
    <t>ALCOOL SPRAY 70 ANTISSEPTICO COM GLICERINA E QUATERNARIO GOODSEPT FR 100 ML</t>
  </si>
  <si>
    <t>ARNICA COMPOSTA GEL MASSAGEADOR ORIONPHARMA BISN 200 G</t>
  </si>
  <si>
    <t>CASTANHA DA INDIA COMPOSTA EMULGEL P PERNAS ORIONPHARMA BISN 200 G</t>
  </si>
  <si>
    <t>DERMOLATE CLOREXIDINA ANTISSEPTICO SPRAY GOODSEPT FR 30 ML C CX</t>
  </si>
  <si>
    <t>ENXAGUANTE BUCAL CLOREXIDINA PERIODONTO GOODSEPT FR 300 ML C CX</t>
  </si>
  <si>
    <t>GARGANTOL ANTISSEPT BUCAL CETILPIRIDINIO ROMA MELALEUCA SPRAY FR 30 ML C CX</t>
  </si>
  <si>
    <t>GLICERINA BIDESTILADA VEGETAL ORIONPHARMA FR 100 ML</t>
  </si>
  <si>
    <t>GOODSEPT ANTISSEPTICO BUCAL ROMA E MELALEUCA SPRAY FR 30 ML C CX</t>
  </si>
  <si>
    <t>HIGIENE HYGIEA ALCOOL 70% GEL GLICERINADO UBERPHARMA 430 G FR C VALV</t>
  </si>
  <si>
    <t>HIGIENE HYGIEA ALCOOL 70% GEL GLICERINADO UBERPHARMA FR 50 G</t>
  </si>
  <si>
    <t>LOCAO ESFOLIANTE PEDICURE GOTAS SUPER PODEROSAS FR 30 ML</t>
  </si>
  <si>
    <t>OLEO MINERAL GRAU FARMACEUTICO ORIONPHARMA FR 100 ML</t>
  </si>
  <si>
    <t>PASTA DAGUA MENTOLADA OIONPHARMA FR 120 G</t>
  </si>
  <si>
    <t>PASTA DAGUA TRADICONAL ORIONPHARMA FR 120 G</t>
  </si>
  <si>
    <t>SABONETE ANTISSEPTICO PRO3 GOODSEPT ORIONPHARMA FR 300 ML C VAL</t>
  </si>
  <si>
    <t>UNGUENTO MENTOLADO MULTYRUB ORIONPHARMA POTE 12 G</t>
  </si>
  <si>
    <t>UNGUENTO MENTOLADO MULTYRUB ORIONPHARMA POTE 40 G</t>
  </si>
  <si>
    <t>VASELINA LIQUIDA HIDRATANTE ORIONPHARMA FR 100 ML</t>
  </si>
  <si>
    <t>VASELINA SOLIDA ORIONPHARMA POTE 45 G</t>
  </si>
  <si>
    <t>FAMÍLIA SUCURI</t>
  </si>
  <si>
    <t>SUC</t>
  </si>
  <si>
    <t>MANTEIGA DE SUCURI GEL MASSAGEADOR SUCURI POTE 130 G C CX</t>
  </si>
  <si>
    <t>AZUL = LANÇAMENTOS</t>
  </si>
  <si>
    <t>VERMELHO = DESCONTINUADO/ENQUANTO HOUVER ESTOQUE</t>
  </si>
  <si>
    <t>PRETO = EM LINHA/COM ESTOQUE</t>
  </si>
  <si>
    <t>ANTIMICON SOLUCAO ANTISSEPTICA UNHAS FORTES SPRAY FR 30 ML C CX</t>
  </si>
  <si>
    <t>CALENTOL CREME DE CALENDULA ASSADURAS CRIANC ADUL BISN 80 G C CX</t>
  </si>
  <si>
    <t>SUAVEGLOS CREME DERMATOLOGICO ASSADURAS CRIANC ADULT BISN 80 G C CX</t>
  </si>
  <si>
    <t>VAGICARE CALM PREBIOTICO SABONETE LIQ HIG INTIMA CLOTRIM FR 100 ML C CX</t>
  </si>
  <si>
    <t>PEDIDO A FATURAR</t>
  </si>
  <si>
    <t>TOTAL:</t>
  </si>
  <si>
    <t>DERMOSQEE OLEO DE ROSA MOSQUETA NATURAL VITAMINAS A E FR 30 ML C CX</t>
  </si>
  <si>
    <t>ALCOOL SPRAY 70 ANTISSEPTICO COM GLICERINA QUATERN GOODSEPT FR 100 ML</t>
  </si>
  <si>
    <t>HIGIENE HYGIEA ALCOOL 70% GEL GLICER UBERPHARMA 430 G FR C VALV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</si>
</sst>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_ ;\-0\ "/>
  </numFmts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2"/>
      <name val="Aptos Narrow"/>
      <family val="2"/>
      <scheme val="minor"/>
    </font>
    <font>
      <b/>
      <sz val="9"/>
      <name val="Aptos Narrow"/>
      <family val="2"/>
      <scheme val="minor"/>
    </font>
    <font>
      <b/>
      <sz val="9"/>
      <color rgb="FF00B0F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rgb="FFFFFF00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b/>
      <i/>
      <u val="singleAccounting"/>
      <sz val="9"/>
      <color theme="9" tint="-0.249977111117893"/>
      <name val="Aptos Narrow"/>
      <family val="2"/>
      <scheme val="minor"/>
    </font>
    <font>
      <b/>
      <sz val="9"/>
      <color rgb="FF7030A0"/>
      <name val="Aptos Narrow"/>
      <family val="2"/>
      <scheme val="minor"/>
    </font>
    <font>
      <b/>
      <strike/>
      <sz val="9"/>
      <color rgb="FF7030A0"/>
      <name val="Aptos Narrow"/>
      <family val="2"/>
      <scheme val="minor"/>
    </font>
    <font>
      <b/>
      <sz val="9"/>
      <color theme="9" tint="-0.249977111117893"/>
      <name val="Aptos Narrow"/>
      <family val="2"/>
      <scheme val="minor"/>
    </font>
    <font>
      <b/>
      <strike/>
      <sz val="9"/>
      <color theme="9" tint="-0.249977111117893"/>
      <name val="Aptos Narrow"/>
      <family val="2"/>
      <scheme val="minor"/>
    </font>
    <font>
      <b/>
      <sz val="9"/>
      <color rgb="FF0070C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i/>
      <u val="singleAccounting"/>
      <sz val="9"/>
      <name val="Aptos Narrow"/>
      <family val="2"/>
      <scheme val="minor"/>
    </font>
    <font>
      <b/>
      <strike/>
      <sz val="9"/>
      <name val="Aptos Narrow"/>
      <family val="2"/>
      <scheme val="minor"/>
    </font>
    <font>
      <b/>
      <sz val="9"/>
      <color theme="6" tint="-0.499984740745262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</cellStyleXfs>
  <cellXfs count="142">
    <xf numFmtId="0" fontId="0" fillId="0" borderId="0" xfId="0"/>
    <xf numFmtId="1" fontId="2" fillId="0" borderId="0" xfId="0" applyNumberFormat="1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left" vertical="center" wrapText="1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center" vertical="center" wrapText="1"/>
      <protection locked="0"/>
    </xf>
    <xf numFmtId="14" fontId="3" fillId="0" borderId="0" xfId="0" applyNumberFormat="1" applyFont="1" applyProtection="1">
      <protection locked="0"/>
    </xf>
    <xf numFmtId="10" fontId="6" fillId="0" borderId="0" xfId="0" applyNumberFormat="1" applyFont="1" applyAlignment="1" applyProtection="1">
      <alignment horizontal="left"/>
      <protection locked="0"/>
    </xf>
    <xf numFmtId="1" fontId="5" fillId="2" borderId="1" xfId="1" applyNumberFormat="1" applyFont="1" applyFill="1" applyBorder="1" applyAlignment="1" applyProtection="1">
      <alignment horizontal="center" vertical="center" textRotation="90" wrapText="1"/>
      <protection locked="0"/>
    </xf>
    <xf numFmtId="43" fontId="5" fillId="2" borderId="1" xfId="1" applyFont="1" applyFill="1" applyBorder="1" applyAlignment="1" applyProtection="1">
      <alignment horizontal="center" vertical="center" textRotation="90" wrapText="1"/>
      <protection locked="0"/>
    </xf>
    <xf numFmtId="0" fontId="5" fillId="2" borderId="1" xfId="0" applyFont="1" applyFill="1" applyBorder="1" applyAlignment="1" applyProtection="1">
      <alignment horizontal="center" vertical="center" textRotation="90" wrapText="1"/>
      <protection locked="0"/>
    </xf>
    <xf numFmtId="43" fontId="7" fillId="3" borderId="1" xfId="1" applyFont="1" applyFill="1" applyBorder="1" applyAlignment="1" applyProtection="1">
      <alignment horizontal="center" vertical="center" textRotation="90" wrapText="1"/>
      <protection locked="0"/>
    </xf>
    <xf numFmtId="43" fontId="5" fillId="4" borderId="1" xfId="1" applyFont="1" applyFill="1" applyBorder="1" applyAlignment="1" applyProtection="1">
      <alignment horizontal="center" vertical="center" textRotation="90" wrapText="1"/>
      <protection locked="0"/>
    </xf>
    <xf numFmtId="43" fontId="5" fillId="5" borderId="1" xfId="1" applyFont="1" applyFill="1" applyBorder="1" applyAlignment="1" applyProtection="1">
      <alignment horizontal="center" vertical="center" textRotation="90" wrapText="1"/>
      <protection locked="0"/>
    </xf>
    <xf numFmtId="10" fontId="5" fillId="2" borderId="1" xfId="2" applyNumberFormat="1" applyFont="1" applyFill="1" applyBorder="1" applyAlignment="1" applyProtection="1">
      <alignment horizontal="center" vertical="center" textRotation="90" wrapText="1"/>
      <protection locked="0"/>
    </xf>
    <xf numFmtId="43" fontId="5" fillId="0" borderId="2" xfId="1" applyFont="1" applyBorder="1" applyAlignment="1" applyProtection="1">
      <alignment horizontal="center" vertical="center" textRotation="90" wrapText="1"/>
      <protection locked="0"/>
    </xf>
    <xf numFmtId="1" fontId="3" fillId="0" borderId="3" xfId="1" applyNumberFormat="1" applyFont="1" applyBorder="1" applyAlignment="1">
      <alignment horizontal="left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center" wrapText="1"/>
    </xf>
    <xf numFmtId="1" fontId="3" fillId="0" borderId="3" xfId="0" applyNumberFormat="1" applyFont="1" applyBorder="1" applyAlignment="1">
      <alignment horizontal="right" vertical="center" wrapText="1"/>
    </xf>
    <xf numFmtId="0" fontId="3" fillId="0" borderId="3" xfId="0" applyFont="1" applyBorder="1" applyAlignment="1">
      <alignment horizontal="center" vertical="center"/>
    </xf>
    <xf numFmtId="44" fontId="3" fillId="0" borderId="3" xfId="2" applyFont="1" applyBorder="1" applyAlignment="1" applyProtection="1">
      <alignment horizontal="left" vertical="center" wrapText="1"/>
    </xf>
    <xf numFmtId="44" fontId="3" fillId="6" borderId="3" xfId="2" applyFont="1" applyFill="1" applyBorder="1" applyAlignment="1" applyProtection="1">
      <alignment horizontal="left" vertical="center" wrapText="1"/>
    </xf>
    <xf numFmtId="44" fontId="3" fillId="7" borderId="3" xfId="2" applyFont="1" applyFill="1" applyBorder="1" applyAlignment="1" applyProtection="1">
      <alignment horizontal="left" vertical="center" wrapText="1"/>
    </xf>
    <xf numFmtId="10" fontId="8" fillId="0" borderId="3" xfId="3" applyNumberFormat="1" applyFont="1" applyBorder="1" applyAlignment="1">
      <alignment horizontal="center" vertical="center" wrapText="1"/>
    </xf>
    <xf numFmtId="0" fontId="9" fillId="0" borderId="0" xfId="0" applyFont="1" applyAlignment="1" applyProtection="1">
      <alignment horizontal="left" vertical="center" wrapText="1"/>
      <protection locked="0"/>
    </xf>
    <xf numFmtId="1" fontId="3" fillId="0" borderId="3" xfId="0" applyNumberFormat="1" applyFont="1" applyBorder="1" applyAlignment="1">
      <alignment horizontal="left" vertical="center" wrapText="1"/>
    </xf>
    <xf numFmtId="0" fontId="3" fillId="0" borderId="3" xfId="1" applyNumberFormat="1" applyFont="1" applyBorder="1" applyAlignment="1" applyProtection="1">
      <alignment horizontal="center" vertical="center"/>
    </xf>
    <xf numFmtId="43" fontId="3" fillId="0" borderId="3" xfId="1" applyFont="1" applyBorder="1" applyAlignment="1" applyProtection="1">
      <alignment horizontal="center" vertical="center"/>
    </xf>
    <xf numFmtId="0" fontId="10" fillId="0" borderId="0" xfId="0" applyFont="1" applyAlignment="1" applyProtection="1">
      <alignment horizontal="left" vertical="center" wrapText="1"/>
      <protection locked="0"/>
    </xf>
    <xf numFmtId="0" fontId="11" fillId="0" borderId="0" xfId="0" applyFont="1" applyAlignment="1" applyProtection="1">
      <alignment horizontal="left" vertical="center" wrapText="1"/>
      <protection locked="0"/>
    </xf>
    <xf numFmtId="0" fontId="9" fillId="0" borderId="0" xfId="0" applyFont="1" applyAlignment="1" applyProtection="1">
      <alignment horizontal="left" vertical="center"/>
      <protection locked="0"/>
    </xf>
    <xf numFmtId="164" fontId="3" fillId="0" borderId="3" xfId="1" applyNumberFormat="1" applyFont="1" applyBorder="1" applyAlignment="1" applyProtection="1">
      <alignment horizontal="right" vertical="center" wrapText="1"/>
    </xf>
    <xf numFmtId="0" fontId="3" fillId="0" borderId="3" xfId="1" applyNumberFormat="1" applyFont="1" applyBorder="1" applyAlignment="1" applyProtection="1">
      <alignment horizontal="center" vertical="center" wrapText="1"/>
    </xf>
    <xf numFmtId="0" fontId="3" fillId="0" borderId="0" xfId="0" applyFont="1" applyProtection="1">
      <protection locked="0"/>
    </xf>
    <xf numFmtId="43" fontId="3" fillId="0" borderId="3" xfId="1" applyFont="1" applyBorder="1" applyAlignment="1" applyProtection="1">
      <alignment horizontal="center" vertical="center" wrapText="1"/>
    </xf>
    <xf numFmtId="0" fontId="12" fillId="0" borderId="0" xfId="0" applyFont="1" applyProtection="1">
      <protection locked="0"/>
    </xf>
    <xf numFmtId="1" fontId="13" fillId="0" borderId="3" xfId="0" applyNumberFormat="1" applyFont="1" applyBorder="1" applyAlignment="1">
      <alignment horizontal="left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left" vertical="center" wrapText="1"/>
    </xf>
    <xf numFmtId="164" fontId="13" fillId="0" borderId="3" xfId="1" applyNumberFormat="1" applyFont="1" applyBorder="1" applyAlignment="1" applyProtection="1">
      <alignment horizontal="right" vertical="center" wrapText="1"/>
    </xf>
    <xf numFmtId="0" fontId="13" fillId="0" borderId="3" xfId="1" applyNumberFormat="1" applyFont="1" applyBorder="1" applyAlignment="1" applyProtection="1">
      <alignment horizontal="center" vertical="center" wrapText="1"/>
    </xf>
    <xf numFmtId="43" fontId="13" fillId="0" borderId="3" xfId="1" applyFont="1" applyBorder="1" applyAlignment="1" applyProtection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1" fontId="14" fillId="0" borderId="3" xfId="0" applyNumberFormat="1" applyFont="1" applyBorder="1" applyAlignment="1">
      <alignment horizontal="right" vertical="center"/>
    </xf>
    <xf numFmtId="0" fontId="9" fillId="0" borderId="0" xfId="0" applyFont="1" applyProtection="1">
      <protection locked="0"/>
    </xf>
    <xf numFmtId="1" fontId="13" fillId="0" borderId="3" xfId="0" applyNumberFormat="1" applyFont="1" applyBorder="1" applyAlignment="1">
      <alignment horizontal="right" vertical="center" wrapText="1"/>
    </xf>
    <xf numFmtId="0" fontId="13" fillId="0" borderId="3" xfId="1" applyNumberFormat="1" applyFont="1" applyFill="1" applyBorder="1" applyAlignment="1" applyProtection="1">
      <alignment horizontal="center" vertical="center"/>
    </xf>
    <xf numFmtId="0" fontId="3" fillId="0" borderId="3" xfId="1" applyNumberFormat="1" applyFont="1" applyFill="1" applyBorder="1" applyAlignment="1" applyProtection="1">
      <alignment horizontal="center" vertical="center"/>
    </xf>
    <xf numFmtId="1" fontId="3" fillId="0" borderId="3" xfId="0" applyNumberFormat="1" applyFont="1" applyBorder="1" applyAlignment="1">
      <alignment horizontal="right" vertical="center"/>
    </xf>
    <xf numFmtId="0" fontId="3" fillId="0" borderId="3" xfId="1" applyNumberFormat="1" applyFont="1" applyFill="1" applyBorder="1" applyAlignment="1" applyProtection="1">
      <alignment horizontal="center" vertical="center" wrapText="1"/>
    </xf>
    <xf numFmtId="0" fontId="13" fillId="0" borderId="3" xfId="0" applyFont="1" applyBorder="1" applyAlignment="1" applyProtection="1">
      <alignment horizontal="left" vertical="center" wrapText="1"/>
      <protection locked="0"/>
    </xf>
    <xf numFmtId="1" fontId="13" fillId="0" borderId="3" xfId="0" applyNumberFormat="1" applyFont="1" applyBorder="1" applyAlignment="1">
      <alignment horizontal="right" vertical="center"/>
    </xf>
    <xf numFmtId="164" fontId="13" fillId="0" borderId="3" xfId="1" applyNumberFormat="1" applyFont="1" applyFill="1" applyBorder="1" applyAlignment="1">
      <alignment horizontal="right" vertical="center" wrapText="1"/>
    </xf>
    <xf numFmtId="1" fontId="7" fillId="0" borderId="3" xfId="0" applyNumberFormat="1" applyFont="1" applyBorder="1" applyAlignment="1">
      <alignment horizontal="left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left" vertical="center" wrapText="1"/>
    </xf>
    <xf numFmtId="1" fontId="7" fillId="0" borderId="3" xfId="0" applyNumberFormat="1" applyFont="1" applyBorder="1" applyAlignment="1">
      <alignment horizontal="right" vertical="center" wrapText="1"/>
    </xf>
    <xf numFmtId="0" fontId="7" fillId="0" borderId="3" xfId="0" applyFont="1" applyBorder="1" applyAlignment="1">
      <alignment horizontal="center" vertical="center"/>
    </xf>
    <xf numFmtId="43" fontId="3" fillId="0" borderId="3" xfId="1" applyFont="1" applyFill="1" applyBorder="1" applyAlignment="1" applyProtection="1">
      <alignment horizontal="center" vertical="center"/>
    </xf>
    <xf numFmtId="10" fontId="8" fillId="0" borderId="3" xfId="3" applyNumberFormat="1" applyFont="1" applyBorder="1" applyAlignment="1" applyProtection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13" fillId="0" borderId="3" xfId="1" applyNumberFormat="1" applyFont="1" applyBorder="1" applyAlignment="1" applyProtection="1">
      <alignment horizontal="center" vertical="center"/>
    </xf>
    <xf numFmtId="0" fontId="13" fillId="0" borderId="3" xfId="0" applyFont="1" applyBorder="1" applyAlignment="1">
      <alignment vertical="center" wrapText="1"/>
    </xf>
    <xf numFmtId="1" fontId="3" fillId="0" borderId="0" xfId="0" applyNumberFormat="1" applyFont="1" applyProtection="1">
      <protection locked="0"/>
    </xf>
    <xf numFmtId="0" fontId="3" fillId="0" borderId="0" xfId="0" applyFont="1" applyAlignment="1" applyProtection="1">
      <alignment horizontal="center"/>
      <protection locked="0"/>
    </xf>
    <xf numFmtId="44" fontId="3" fillId="0" borderId="0" xfId="2" applyFont="1" applyAlignment="1" applyProtection="1">
      <alignment wrapText="1"/>
      <protection locked="0"/>
    </xf>
    <xf numFmtId="10" fontId="3" fillId="0" borderId="0" xfId="2" applyNumberFormat="1" applyFont="1" applyAlignment="1" applyProtection="1">
      <alignment wrapText="1"/>
      <protection locked="0"/>
    </xf>
    <xf numFmtId="43" fontId="5" fillId="5" borderId="4" xfId="1" applyFont="1" applyFill="1" applyBorder="1" applyAlignment="1">
      <alignment horizontal="center" vertical="center" textRotation="90" wrapText="1"/>
    </xf>
    <xf numFmtId="44" fontId="14" fillId="6" borderId="3" xfId="2" applyFont="1" applyFill="1" applyBorder="1" applyAlignment="1">
      <alignment horizontal="left" vertical="center" wrapText="1"/>
    </xf>
    <xf numFmtId="44" fontId="14" fillId="7" borderId="3" xfId="2" applyFont="1" applyFill="1" applyBorder="1" applyAlignment="1">
      <alignment horizontal="left" vertical="center" wrapText="1"/>
    </xf>
    <xf numFmtId="9" fontId="8" fillId="0" borderId="3" xfId="3" applyFont="1" applyBorder="1" applyAlignment="1">
      <alignment horizontal="center" vertical="center" wrapText="1"/>
    </xf>
    <xf numFmtId="0" fontId="12" fillId="0" borderId="0" xfId="0" applyFont="1" applyAlignment="1" applyProtection="1">
      <alignment vertical="center"/>
      <protection locked="0"/>
    </xf>
    <xf numFmtId="1" fontId="14" fillId="0" borderId="3" xfId="0" applyNumberFormat="1" applyFont="1" applyBorder="1" applyAlignment="1">
      <alignment horizontal="left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left" vertical="top" wrapText="1"/>
    </xf>
    <xf numFmtId="1" fontId="14" fillId="0" borderId="3" xfId="0" applyNumberFormat="1" applyFont="1" applyBorder="1" applyAlignment="1">
      <alignment horizontal="right" vertical="center" wrapText="1"/>
    </xf>
    <xf numFmtId="0" fontId="14" fillId="0" borderId="3" xfId="1" applyNumberFormat="1" applyFont="1" applyFill="1" applyBorder="1" applyAlignment="1">
      <alignment horizontal="center" vertical="center" wrapText="1"/>
    </xf>
    <xf numFmtId="43" fontId="14" fillId="0" borderId="3" xfId="1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/>
    </xf>
    <xf numFmtId="0" fontId="3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wrapText="1"/>
      <protection locked="0"/>
    </xf>
    <xf numFmtId="10" fontId="15" fillId="0" borderId="3" xfId="3" applyNumberFormat="1" applyFont="1" applyBorder="1" applyAlignment="1" applyProtection="1">
      <alignment horizontal="center" vertical="center" wrapText="1"/>
    </xf>
    <xf numFmtId="0" fontId="10" fillId="0" borderId="0" xfId="0" applyFont="1" applyAlignment="1" applyProtection="1">
      <alignment vertical="center"/>
      <protection locked="0"/>
    </xf>
    <xf numFmtId="0" fontId="16" fillId="0" borderId="0" xfId="0" applyFont="1" applyAlignment="1" applyProtection="1">
      <alignment vertical="center"/>
      <protection locked="0"/>
    </xf>
    <xf numFmtId="43" fontId="13" fillId="0" borderId="3" xfId="1" applyFont="1" applyFill="1" applyBorder="1" applyAlignment="1" applyProtection="1">
      <alignment horizontal="center" vertical="center"/>
    </xf>
    <xf numFmtId="0" fontId="9" fillId="0" borderId="0" xfId="0" applyFont="1" applyAlignment="1" applyProtection="1">
      <alignment vertical="center"/>
      <protection locked="0"/>
    </xf>
    <xf numFmtId="43" fontId="7" fillId="0" borderId="3" xfId="1" applyFont="1" applyBorder="1" applyAlignment="1" applyProtection="1">
      <alignment horizontal="center" vertical="center" wrapText="1"/>
    </xf>
    <xf numFmtId="0" fontId="7" fillId="0" borderId="3" xfId="1" applyNumberFormat="1" applyFont="1" applyBorder="1" applyAlignment="1" applyProtection="1">
      <alignment horizontal="center" vertical="center"/>
    </xf>
    <xf numFmtId="43" fontId="13" fillId="0" borderId="3" xfId="1" applyFont="1" applyBorder="1" applyAlignment="1" applyProtection="1">
      <alignment horizontal="center" vertical="top" wrapText="1"/>
    </xf>
    <xf numFmtId="1" fontId="13" fillId="0" borderId="3" xfId="0" applyNumberFormat="1" applyFont="1" applyBorder="1" applyAlignment="1" applyProtection="1">
      <alignment horizontal="right" vertical="center"/>
      <protection locked="0"/>
    </xf>
    <xf numFmtId="0" fontId="4" fillId="0" borderId="3" xfId="0" applyFont="1" applyBorder="1" applyAlignment="1">
      <alignment horizontal="center" vertical="center" wrapText="1"/>
    </xf>
    <xf numFmtId="0" fontId="3" fillId="0" borderId="3" xfId="0" applyFont="1" applyBorder="1" applyAlignment="1" applyProtection="1">
      <alignment horizontal="left" vertical="center" wrapText="1"/>
      <protection locked="0"/>
    </xf>
    <xf numFmtId="0" fontId="3" fillId="0" borderId="3" xfId="0" applyFont="1" applyBorder="1" applyAlignment="1" applyProtection="1">
      <alignment horizontal="left" vertical="top" wrapText="1"/>
      <protection locked="0"/>
    </xf>
    <xf numFmtId="1" fontId="3" fillId="0" borderId="3" xfId="0" applyNumberFormat="1" applyFont="1" applyBorder="1" applyAlignment="1" applyProtection="1">
      <alignment horizontal="right" vertical="center"/>
      <protection locked="0"/>
    </xf>
    <xf numFmtId="164" fontId="3" fillId="0" borderId="3" xfId="1" applyNumberFormat="1" applyFont="1" applyBorder="1" applyAlignment="1">
      <alignment horizontal="right" vertical="center" wrapText="1"/>
    </xf>
    <xf numFmtId="0" fontId="13" fillId="0" borderId="0" xfId="0" applyFont="1" applyAlignment="1" applyProtection="1">
      <alignment vertical="center"/>
      <protection locked="0"/>
    </xf>
    <xf numFmtId="0" fontId="13" fillId="0" borderId="3" xfId="4" applyFont="1" applyBorder="1" applyAlignment="1">
      <alignment horizontal="center" vertical="center"/>
    </xf>
    <xf numFmtId="1" fontId="7" fillId="8" borderId="3" xfId="0" applyNumberFormat="1" applyFont="1" applyFill="1" applyBorder="1" applyAlignment="1">
      <alignment horizontal="left" vertical="center" wrapText="1"/>
    </xf>
    <xf numFmtId="0" fontId="7" fillId="8" borderId="3" xfId="0" applyFont="1" applyFill="1" applyBorder="1" applyAlignment="1">
      <alignment horizontal="center" vertical="center" wrapText="1"/>
    </xf>
    <xf numFmtId="0" fontId="7" fillId="8" borderId="3" xfId="0" applyFont="1" applyFill="1" applyBorder="1" applyAlignment="1">
      <alignment horizontal="left" vertical="center" wrapText="1"/>
    </xf>
    <xf numFmtId="164" fontId="3" fillId="0" borderId="3" xfId="1" applyNumberFormat="1" applyFont="1" applyFill="1" applyBorder="1" applyAlignment="1">
      <alignment horizontal="right" vertical="center" wrapText="1"/>
    </xf>
    <xf numFmtId="1" fontId="7" fillId="0" borderId="0" xfId="0" applyNumberFormat="1" applyFont="1" applyAlignment="1">
      <alignment horizontal="left" vertical="top"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164" fontId="7" fillId="0" borderId="0" xfId="1" applyNumberFormat="1" applyFont="1" applyFill="1" applyBorder="1" applyAlignment="1" applyProtection="1">
      <alignment horizontal="right" vertical="top" wrapText="1"/>
    </xf>
    <xf numFmtId="0" fontId="7" fillId="0" borderId="0" xfId="1" applyNumberFormat="1" applyFont="1" applyFill="1" applyBorder="1" applyAlignment="1" applyProtection="1">
      <alignment horizontal="center" vertical="top" wrapText="1"/>
    </xf>
    <xf numFmtId="43" fontId="7" fillId="0" borderId="0" xfId="1" applyFont="1" applyFill="1" applyBorder="1" applyAlignment="1" applyProtection="1">
      <alignment horizontal="center" vertical="top" wrapText="1"/>
    </xf>
    <xf numFmtId="0" fontId="3" fillId="0" borderId="0" xfId="0" applyFont="1" applyAlignment="1">
      <alignment horizontal="center" vertical="top"/>
    </xf>
    <xf numFmtId="44" fontId="3" fillId="0" borderId="0" xfId="2" applyFont="1" applyFill="1" applyBorder="1" applyAlignment="1" applyProtection="1">
      <alignment horizontal="left" vertical="top" wrapText="1"/>
    </xf>
    <xf numFmtId="9" fontId="8" fillId="0" borderId="0" xfId="3" applyFont="1" applyFill="1" applyBorder="1" applyAlignment="1">
      <alignment horizontal="center" vertical="top" wrapText="1"/>
    </xf>
    <xf numFmtId="1" fontId="3" fillId="0" borderId="0" xfId="0" applyNumberFormat="1" applyFont="1" applyAlignment="1">
      <alignment horizontal="left" vertical="top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center" vertical="top" wrapText="1"/>
    </xf>
    <xf numFmtId="1" fontId="3" fillId="0" borderId="0" xfId="0" applyNumberFormat="1" applyFont="1" applyAlignment="1">
      <alignment horizontal="right" vertical="top" wrapText="1"/>
    </xf>
    <xf numFmtId="0" fontId="3" fillId="0" borderId="0" xfId="1" applyNumberFormat="1" applyFont="1" applyFill="1" applyBorder="1" applyAlignment="1" applyProtection="1">
      <alignment horizontal="center" vertical="top"/>
    </xf>
    <xf numFmtId="43" fontId="3" fillId="0" borderId="0" xfId="1" applyFont="1" applyFill="1" applyBorder="1" applyAlignment="1" applyProtection="1">
      <alignment horizontal="center" vertical="top" wrapText="1"/>
    </xf>
    <xf numFmtId="10" fontId="8" fillId="0" borderId="0" xfId="3" applyNumberFormat="1" applyFont="1" applyFill="1" applyBorder="1" applyAlignment="1">
      <alignment horizontal="center" vertical="top" wrapText="1"/>
    </xf>
    <xf numFmtId="0" fontId="13" fillId="0" borderId="0" xfId="0" applyFont="1" applyAlignment="1" applyProtection="1">
      <alignment vertical="center" wrapText="1"/>
      <protection locked="0"/>
    </xf>
    <xf numFmtId="0" fontId="7" fillId="0" borderId="0" xfId="0" applyFont="1" applyAlignment="1" applyProtection="1">
      <alignment vertical="center" wrapText="1"/>
      <protection locked="0"/>
    </xf>
    <xf numFmtId="0" fontId="3" fillId="0" borderId="0" xfId="0" applyFont="1" applyAlignment="1" applyProtection="1">
      <alignment vertical="center" wrapText="1"/>
      <protection locked="0"/>
    </xf>
    <xf numFmtId="0" fontId="17" fillId="0" borderId="3" xfId="0" applyFont="1" applyBorder="1" applyAlignment="1">
      <alignment horizontal="center" vertical="center" wrapText="1"/>
    </xf>
    <xf numFmtId="0" fontId="17" fillId="8" borderId="3" xfId="0" applyFont="1" applyFill="1" applyBorder="1" applyAlignment="1">
      <alignment horizontal="center" vertical="center" wrapText="1"/>
    </xf>
    <xf numFmtId="1" fontId="3" fillId="0" borderId="5" xfId="0" applyNumberFormat="1" applyFont="1" applyBorder="1" applyAlignment="1">
      <alignment horizontal="left" vertical="center" wrapText="1"/>
    </xf>
    <xf numFmtId="0" fontId="17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 wrapText="1"/>
    </xf>
    <xf numFmtId="1" fontId="3" fillId="0" borderId="5" xfId="0" applyNumberFormat="1" applyFont="1" applyBorder="1" applyAlignment="1">
      <alignment horizontal="right" vertical="center" wrapText="1"/>
    </xf>
    <xf numFmtId="0" fontId="3" fillId="0" borderId="5" xfId="1" applyNumberFormat="1" applyFont="1" applyFill="1" applyBorder="1" applyAlignment="1" applyProtection="1">
      <alignment horizontal="center" vertical="center"/>
    </xf>
    <xf numFmtId="164" fontId="3" fillId="0" borderId="3" xfId="1" applyNumberFormat="1" applyFont="1" applyFill="1" applyBorder="1" applyAlignment="1" applyProtection="1">
      <alignment horizontal="right" vertical="center" wrapText="1"/>
    </xf>
    <xf numFmtId="164" fontId="3" fillId="0" borderId="5" xfId="1" applyNumberFormat="1" applyFont="1" applyFill="1" applyBorder="1" applyAlignment="1" applyProtection="1">
      <alignment horizontal="right" vertical="center" wrapText="1"/>
    </xf>
    <xf numFmtId="43" fontId="17" fillId="0" borderId="3" xfId="1" applyFont="1" applyBorder="1" applyAlignment="1" applyProtection="1">
      <alignment horizontal="center" vertical="center" wrapText="1"/>
    </xf>
    <xf numFmtId="0" fontId="3" fillId="0" borderId="3" xfId="4" applyFont="1" applyBorder="1" applyAlignment="1">
      <alignment horizontal="center" vertical="center" wrapText="1"/>
    </xf>
    <xf numFmtId="43" fontId="3" fillId="0" borderId="5" xfId="1" applyFont="1" applyFill="1" applyBorder="1" applyAlignment="1" applyProtection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13" fillId="3" borderId="3" xfId="0" applyFont="1" applyFill="1" applyBorder="1" applyAlignment="1">
      <alignment horizontal="center" vertical="center"/>
    </xf>
    <xf numFmtId="0" fontId="13" fillId="3" borderId="3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/>
    </xf>
    <xf numFmtId="44" fontId="3" fillId="3" borderId="0" xfId="0" applyNumberFormat="1" applyFont="1" applyFill="1" applyProtection="1">
      <protection locked="0"/>
    </xf>
  </cellXfs>
  <cellStyles count="5">
    <cellStyle name="Moeda" xfId="2" builtinId="4"/>
    <cellStyle name="Normal" xfId="0" builtinId="0"/>
    <cellStyle name="Normal 3" xfId="4"/>
    <cellStyle name="Porcentagem" xfId="3" builtinId="5"/>
    <cellStyle name="Vírgula" xfId="1" builtinId="3"/>
  </cellStyles>
  <dxfs count="60"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ller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B0F0"/>
        <name val="Aptos Narrow"/>
        <scheme val="minor"/>
      </font>
      <numFmt numFmtId="165" formatCode="_(&quot;R$ &quot;* #,##0.00_);_(&quot;R$ &quot;* \(#,##0.00\);_(&quot;R$ &quot;* &quot;-&quot;??_);_(@_)"/>
      <fill>
        <patternFill patternType="solid">
          <fgColor indexed="64"/>
          <bgColor theme="9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ller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B0F0"/>
        <name val="Aptos Narrow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ller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ller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ller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ller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minor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ller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ller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ller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ller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6" tint="-0.499984740745262"/>
        <name val="Aptos Narrow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ller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strike val="0"/>
        <outline val="0"/>
        <shadow val="0"/>
        <u val="none"/>
        <vertAlign val="baseline"/>
        <sz val="8"/>
        <name val="Aller"/>
        <scheme val="none"/>
      </font>
    </dxf>
    <dxf>
      <font>
        <b/>
        <strike val="0"/>
        <outline val="0"/>
        <shadow val="0"/>
        <u val="none"/>
        <vertAlign val="baseline"/>
        <sz val="9"/>
        <color auto="1"/>
        <name val="Aptos Narrow"/>
        <scheme val="minor"/>
      </font>
      <fill>
        <patternFill patternType="none">
          <fgColor indexed="64"/>
          <bgColor indexed="65"/>
        </patternFill>
      </fill>
      <alignment vertical="center" textRotation="0" indent="0" justifyLastLine="0" shrinkToFit="0" readingOrder="0"/>
      <protection locked="1" hidden="0"/>
    </dxf>
    <dxf>
      <border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ptos Narrow"/>
        <scheme val="minor"/>
      </font>
      <fill>
        <patternFill patternType="solid">
          <fgColor indexed="64"/>
          <bgColor theme="4"/>
        </patternFill>
      </fill>
      <alignment horizontal="center" vertical="center" textRotation="9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/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ller"/>
        <scheme val="none"/>
      </font>
      <numFmt numFmtId="34" formatCode="_-&quot;R$&quot;\ * #,##0.00_-;\-&quot;R$&quot;\ * #,##0.00_-;_-&quot;R$&quot;\ * &quot;-&quot;??_-;_-@_-"/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/>
        <strike val="0"/>
        <condense val="0"/>
        <extend val="0"/>
        <outline val="0"/>
        <shadow val="0"/>
        <u val="singleAccounting"/>
        <vertAlign val="baseline"/>
        <sz val="9"/>
        <color theme="9" tint="-0.249977111117893"/>
        <name val="Aptos Narrow"/>
        <scheme val="minor"/>
      </font>
      <numFmt numFmtId="14" formatCode="0.00%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i val="0"/>
        <strike/>
        <condense val="0"/>
        <extend val="0"/>
        <outline val="0"/>
        <shadow val="0"/>
        <u val="none"/>
        <vertAlign val="baseline"/>
        <sz val="8"/>
        <color auto="1"/>
        <name val="Aller"/>
        <scheme val="none"/>
      </font>
      <numFmt numFmtId="34" formatCode="_-&quot;R$&quot;\ * #,##0.00_-;\-&quot;R$&quot;\ * #,##0.00_-;_-&quot;R$&quot;\ * &quot;-&quot;??_-;_-@_-"/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minor"/>
      </font>
      <numFmt numFmtId="165" formatCode="_(&quot;R$ &quot;* #,##0.00_);_(&quot;R$ &quot;* \(#,##0.00\);_(&quot;R$ &quot;* &quot;-&quot;??_);_(@_)"/>
      <fill>
        <patternFill patternType="solid">
          <fgColor indexed="64"/>
          <bgColor theme="6" tint="0.3999755851924192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b/>
        <i val="0"/>
        <strike/>
        <condense val="0"/>
        <extend val="0"/>
        <outline val="0"/>
        <shadow val="0"/>
        <u val="none"/>
        <vertAlign val="baseline"/>
        <sz val="8"/>
        <color auto="1"/>
        <name val="Aller"/>
        <scheme val="none"/>
      </font>
      <numFmt numFmtId="34" formatCode="_-&quot;R$&quot;\ * #,##0.00_-;\-&quot;R$&quot;\ * #,##0.00_-;_-&quot;R$&quot;\ * &quot;-&quot;??_-;_-@_-"/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minor"/>
      </font>
      <numFmt numFmtId="165" formatCode="_(&quot;R$ &quot;* #,##0.00_);_(&quot;R$ &quot;* \(#,##0.00\);_(&quot;R$ &quot;* &quot;-&quot;??_);_(@_)"/>
      <fill>
        <patternFill patternType="solid">
          <fgColor indexed="64"/>
          <bgColor theme="6" tint="0.3999755851924192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i val="0"/>
        <strike/>
        <condense val="0"/>
        <extend val="0"/>
        <outline val="0"/>
        <shadow val="0"/>
        <u val="none"/>
        <vertAlign val="baseline"/>
        <sz val="8"/>
        <color auto="1"/>
        <name val="Aller"/>
        <scheme val="none"/>
      </font>
      <numFmt numFmtId="34" formatCode="_-&quot;R$&quot;\ * #,##0.00_-;\-&quot;R$&quot;\ * #,##0.00_-;_-&quot;R$&quot;\ * &quot;-&quot;??_-;_-@_-"/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minor"/>
      </font>
      <numFmt numFmtId="165" formatCode="_(&quot;R$ &quot;* #,##0.00_);_(&quot;R$ &quot;* \(#,##0.00\);_(&quot;R$ &quot;* &quot;-&quot;??_);_(@_)"/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i val="0"/>
        <strike/>
        <condense val="0"/>
        <extend val="0"/>
        <outline val="0"/>
        <shadow val="0"/>
        <u val="none"/>
        <vertAlign val="baseline"/>
        <sz val="8"/>
        <color auto="1"/>
        <name val="Aller"/>
        <scheme val="none"/>
      </font>
      <numFmt numFmtId="34" formatCode="_-&quot;R$&quot;\ * #,##0.00_-;\-&quot;R$&quot;\ * #,##0.00_-;_-&quot;R$&quot;\ * &quot;-&quot;??_-;_-@_-"/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minor"/>
      </font>
      <numFmt numFmtId="165" formatCode="_(&quot;R$ &quot;* #,##0.00_);_(&quot;R$ &quot;* \(#,##0.00\);_(&quot;R$ &quot;* &quot;-&quot;??_);_(@_)"/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i val="0"/>
        <strike/>
        <condense val="0"/>
        <extend val="0"/>
        <outline val="0"/>
        <shadow val="0"/>
        <u val="none"/>
        <vertAlign val="baseline"/>
        <sz val="8"/>
        <color auto="1"/>
        <name val="Aller"/>
        <scheme val="none"/>
      </font>
      <numFmt numFmtId="34" formatCode="_-&quot;R$&quot;\ * #,##0.00_-;\-&quot;R$&quot;\ * #,##0.00_-;_-&quot;R$&quot;\ * &quot;-&quot;??_-;_-@_-"/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/>
        <condense val="0"/>
        <extend val="0"/>
        <outline val="0"/>
        <shadow val="0"/>
        <u val="none"/>
        <vertAlign val="baseline"/>
        <sz val="9"/>
        <color auto="1"/>
        <name val="Aptos Narrow"/>
        <scheme val="minor"/>
      </font>
      <fill>
        <patternFill patternType="solid">
          <fgColor indexed="64"/>
          <bgColor theme="5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ller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ller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Aptos Narrow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ller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ller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minor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ller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ller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ller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ller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6" tint="-0.499984740745262"/>
        <name val="Aptos Narrow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ller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strike val="0"/>
        <outline val="0"/>
        <shadow val="0"/>
        <u val="none"/>
        <vertAlign val="baseline"/>
        <sz val="8"/>
        <name val="Aller"/>
        <scheme val="none"/>
      </font>
    </dxf>
    <dxf>
      <font>
        <b/>
        <strike val="0"/>
        <outline val="0"/>
        <shadow val="0"/>
        <u val="none"/>
        <vertAlign val="baseline"/>
        <sz val="9"/>
        <color auto="1"/>
        <name val="Aptos Narrow"/>
        <scheme val="minor"/>
      </font>
      <fill>
        <patternFill patternType="none">
          <fgColor indexed="64"/>
          <bgColor indexed="65"/>
        </patternFill>
      </fill>
      <alignment vertical="center" textRotation="0" indent="0" justifyLastLine="0" shrinkToFit="0" readingOrder="0"/>
      <protection locked="1" hidden="0"/>
    </dxf>
    <dxf>
      <border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ptos Narrow"/>
        <scheme val="minor"/>
      </font>
      <fill>
        <patternFill patternType="solid">
          <fgColor indexed="64"/>
          <bgColor theme="4"/>
        </patternFill>
      </fill>
      <alignment horizontal="center" vertical="center" textRotation="9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/>
        <bottom/>
      </border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3" name="Tabela182874" displayName="Tabela182874" ref="A2:O38" totalsRowShown="0" headerRowDxfId="59" dataDxfId="57" totalsRowDxfId="56" headerRowBorderDxfId="58" headerRowCellStyle="Moeda">
  <autoFilter ref="A2:O38"/>
  <sortState ref="A3:O38">
    <sortCondition ref="C14:C38"/>
  </sortState>
  <tableColumns count="15">
    <tableColumn id="1" name="SKU" dataDxfId="55" totalsRowDxfId="54"/>
    <tableColumn id="6" name="LINHA" dataDxfId="53" totalsRowDxfId="52"/>
    <tableColumn id="2" name="FAMÍLIA UBERPHARMA:_x000a_CIENCIA NATURAL + DERMOCOSMETICOS + SAUDE FEMININA + VITALIDADE" dataDxfId="51" totalsRowDxfId="50"/>
    <tableColumn id="50" name="CEST" dataDxfId="49" totalsRowDxfId="48"/>
    <tableColumn id="3" name="NCM" dataDxfId="47" totalsRowDxfId="46"/>
    <tableColumn id="4" name="CÓD. DE BARRAS GS1" dataDxfId="45" totalsRowDxfId="44"/>
    <tableColumn id="5" name="CAIXA MÁSTER" dataDxfId="43" totalsRowDxfId="42"/>
    <tableColumn id="44" name="LINHA2" dataDxfId="41" totalsRowDxfId="40"/>
    <tableColumn id="7" name="QUANT." dataDxfId="39" totalsRowDxfId="38"/>
    <tableColumn id="68" name="3 DISTRIBUIDOR P12" dataDxfId="37" totalsRowDxfId="36" dataCellStyle="Moeda"/>
    <tableColumn id="16" name="14 REDES P12 (42%)" dataDxfId="35" totalsRowDxfId="34" dataCellStyle="Moeda"/>
    <tableColumn id="11" name="4 VAREJO P12 (60%)" dataDxfId="33" totalsRowDxfId="32" dataCellStyle="Moeda"/>
    <tableColumn id="13" name="5 CONSUMIDOR" dataDxfId="31" totalsRowDxfId="30" dataCellStyle="Moeda"/>
    <tableColumn id="36" name="5 CONSUMIDOR minimo" dataDxfId="29" totalsRowDxfId="28" dataCellStyle="Moeda"/>
    <tableColumn id="21" name="IPI (TIPI)" dataDxfId="27" totalsRowDxfId="26" dataCellStyle="Porcentage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8" name="Tabela18287389" displayName="Tabela18287389" ref="A2:K92" totalsRowShown="0" headerRowDxfId="25" dataDxfId="23" totalsRowDxfId="22" headerRowBorderDxfId="24" headerRowCellStyle="Moeda">
  <autoFilter ref="A2:K92"/>
  <sortState ref="A3:K38">
    <sortCondition ref="C14:C38"/>
  </sortState>
  <tableColumns count="11">
    <tableColumn id="1" name="SKU" dataDxfId="21" totalsRowDxfId="20"/>
    <tableColumn id="6" name="LINHA" dataDxfId="19" totalsRowDxfId="18"/>
    <tableColumn id="2" name="FAMÍLIA UBERPHARMA:_x000a_CIENCIA NATURAL + DERMOCOSMETICOS + SAUDE FEMININA + VITALIDADE" dataDxfId="17" totalsRowDxfId="16"/>
    <tableColumn id="50" name="CEST" dataDxfId="15" totalsRowDxfId="14"/>
    <tableColumn id="3" name="NCM" dataDxfId="13" totalsRowDxfId="12"/>
    <tableColumn id="4" name="CÓD. DE BARRAS GS1" dataDxfId="11" totalsRowDxfId="10"/>
    <tableColumn id="5" name="CAIXA MÁSTER" dataDxfId="9" totalsRowDxfId="8"/>
    <tableColumn id="44" name="LINHA2" dataDxfId="7" totalsRowDxfId="6"/>
    <tableColumn id="7" name="QUANT." dataDxfId="5" totalsRowDxfId="4"/>
    <tableColumn id="28" name="3 DISTRIBUIDOR P12" dataDxfId="3" totalsRowDxfId="2" dataCellStyle="Moeda"/>
    <tableColumn id="27" name="PEDIDO A FATURAR" dataDxfId="1" totalsRowDxfId="0" dataCellStyle="Moeda">
      <calculatedColumnFormula>Tabela18287389[[#This Row],[CAIXA MÁSTER]]*Tabela18287389[[#This Row],[QUANT.]]*Tabela18287389[[#This Row],[3 DISTRIBUIDOR P12]]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1"/>
  <sheetViews>
    <sheetView tabSelected="1" topLeftCell="A2" workbookViewId="0">
      <selection activeCell="F2" sqref="F2"/>
    </sheetView>
  </sheetViews>
  <sheetFormatPr defaultColWidth="8.875" defaultRowHeight="12"/>
  <cols>
    <col min="1" max="1" width="6.25" style="64" customWidth="1"/>
    <col min="2" max="2" width="6.25" style="2" customWidth="1"/>
    <col min="3" max="3" width="34.375" style="81" customWidth="1"/>
    <col min="4" max="4" width="8.25" style="34" customWidth="1"/>
    <col min="5" max="5" width="9.875" style="65" customWidth="1"/>
    <col min="6" max="6" width="14.625" style="2" customWidth="1"/>
    <col min="7" max="7" width="6.125" style="65" customWidth="1"/>
    <col min="8" max="8" width="7.125" style="65" customWidth="1"/>
    <col min="9" max="9" width="4.25" style="65" customWidth="1"/>
    <col min="10" max="12" width="8.75" style="66" customWidth="1"/>
    <col min="13" max="14" width="9.25" style="66" customWidth="1"/>
    <col min="15" max="15" width="9.25" style="67" customWidth="1"/>
    <col min="16" max="19" width="9.25" style="34" customWidth="1"/>
    <col min="20" max="16384" width="8.875" style="34"/>
  </cols>
  <sheetData>
    <row r="1" spans="1:15" s="3" customFormat="1" ht="24.6" customHeight="1" thickBot="1">
      <c r="A1" s="1" t="s">
        <v>0</v>
      </c>
      <c r="B1" s="2"/>
      <c r="D1" s="4"/>
      <c r="E1" s="5"/>
      <c r="F1" s="5"/>
      <c r="G1" s="5"/>
      <c r="H1" s="5"/>
      <c r="I1" s="4"/>
      <c r="J1" s="6"/>
      <c r="K1" s="6"/>
      <c r="L1" s="6"/>
      <c r="M1" s="6"/>
      <c r="N1" s="6"/>
      <c r="O1" s="7"/>
    </row>
    <row r="2" spans="1:15" s="15" customFormat="1" ht="70.150000000000006" customHeight="1" thickTop="1" thickBot="1">
      <c r="A2" s="8" t="s">
        <v>1</v>
      </c>
      <c r="B2" s="9" t="s">
        <v>2</v>
      </c>
      <c r="C2" s="9" t="s">
        <v>3</v>
      </c>
      <c r="D2" s="10" t="s">
        <v>4</v>
      </c>
      <c r="E2" s="10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12" t="s">
        <v>10</v>
      </c>
      <c r="K2" s="11" t="s">
        <v>11</v>
      </c>
      <c r="L2" s="11" t="s">
        <v>12</v>
      </c>
      <c r="M2" s="13" t="s">
        <v>13</v>
      </c>
      <c r="N2" s="13" t="s">
        <v>14</v>
      </c>
      <c r="O2" s="14" t="s">
        <v>15</v>
      </c>
    </row>
    <row r="3" spans="1:15" s="25" customFormat="1" ht="24.6" customHeight="1" thickTop="1">
      <c r="A3" s="16">
        <v>40061</v>
      </c>
      <c r="B3" s="17" t="s">
        <v>16</v>
      </c>
      <c r="C3" s="18" t="s">
        <v>17</v>
      </c>
      <c r="D3" s="17">
        <v>2001500</v>
      </c>
      <c r="E3" s="17">
        <v>33049990</v>
      </c>
      <c r="F3" s="19">
        <v>7899811102354</v>
      </c>
      <c r="G3" s="20">
        <v>35</v>
      </c>
      <c r="H3" s="17" t="s">
        <v>18</v>
      </c>
      <c r="I3" s="20">
        <v>1</v>
      </c>
      <c r="J3" s="22">
        <v>21.97</v>
      </c>
      <c r="K3" s="21">
        <v>31.197399999999998</v>
      </c>
      <c r="L3" s="21">
        <v>35.152000000000001</v>
      </c>
      <c r="M3" s="23">
        <v>69.836800000000011</v>
      </c>
      <c r="N3" s="23">
        <v>55.869440000000012</v>
      </c>
      <c r="O3" s="24">
        <v>0.14299999999999999</v>
      </c>
    </row>
    <row r="4" spans="1:15" s="29" customFormat="1" ht="24.6" customHeight="1">
      <c r="A4" s="26">
        <v>40017</v>
      </c>
      <c r="B4" s="17" t="s">
        <v>16</v>
      </c>
      <c r="C4" s="18" t="s">
        <v>123</v>
      </c>
      <c r="D4" s="17">
        <v>2001500</v>
      </c>
      <c r="E4" s="17">
        <v>33049990</v>
      </c>
      <c r="F4" s="19">
        <v>7899811100190</v>
      </c>
      <c r="G4" s="27">
        <v>48</v>
      </c>
      <c r="H4" s="28" t="s">
        <v>19</v>
      </c>
      <c r="I4" s="20">
        <v>1</v>
      </c>
      <c r="J4" s="22">
        <v>12.704590000000001</v>
      </c>
      <c r="K4" s="21">
        <v>18.0405178</v>
      </c>
      <c r="L4" s="21">
        <v>20.327344000000004</v>
      </c>
      <c r="M4" s="23">
        <v>36.956190720000009</v>
      </c>
      <c r="N4" s="23">
        <v>29.56495257600001</v>
      </c>
      <c r="O4" s="24">
        <v>0.14299999999999999</v>
      </c>
    </row>
    <row r="5" spans="1:15" s="30" customFormat="1" ht="24.6" customHeight="1">
      <c r="A5" s="26">
        <v>40062</v>
      </c>
      <c r="B5" s="17" t="s">
        <v>16</v>
      </c>
      <c r="C5" s="18" t="s">
        <v>20</v>
      </c>
      <c r="D5" s="17">
        <v>2001500</v>
      </c>
      <c r="E5" s="17">
        <v>33049990</v>
      </c>
      <c r="F5" s="19">
        <v>7899811100572</v>
      </c>
      <c r="G5" s="27">
        <v>60</v>
      </c>
      <c r="H5" s="17" t="s">
        <v>21</v>
      </c>
      <c r="I5" s="20">
        <v>1</v>
      </c>
      <c r="J5" s="22">
        <v>8.65</v>
      </c>
      <c r="K5" s="21">
        <v>12.282999999999999</v>
      </c>
      <c r="L5" s="21">
        <v>13.840000000000002</v>
      </c>
      <c r="M5" s="23">
        <v>26.5472</v>
      </c>
      <c r="N5" s="23">
        <v>21.237760000000002</v>
      </c>
      <c r="O5" s="24">
        <v>0.14299999999999999</v>
      </c>
    </row>
    <row r="6" spans="1:15" s="31" customFormat="1" ht="24.6" customHeight="1">
      <c r="A6" s="26">
        <v>40096</v>
      </c>
      <c r="B6" s="17" t="s">
        <v>16</v>
      </c>
      <c r="C6" s="18" t="s">
        <v>22</v>
      </c>
      <c r="D6" s="17">
        <v>2001500</v>
      </c>
      <c r="E6" s="17">
        <v>33049990</v>
      </c>
      <c r="F6" s="19">
        <v>7899811102200</v>
      </c>
      <c r="G6" s="20">
        <v>60</v>
      </c>
      <c r="H6" s="28" t="s">
        <v>21</v>
      </c>
      <c r="I6" s="20">
        <v>1</v>
      </c>
      <c r="J6" s="22">
        <v>14.289853000000003</v>
      </c>
      <c r="K6" s="21">
        <v>20.291591260000004</v>
      </c>
      <c r="L6" s="21">
        <v>22.863764800000006</v>
      </c>
      <c r="M6" s="23">
        <v>40.381258240000008</v>
      </c>
      <c r="N6" s="23">
        <v>32.305006592000005</v>
      </c>
      <c r="O6" s="24">
        <v>0.14299999999999999</v>
      </c>
    </row>
    <row r="7" spans="1:15" ht="24.6" customHeight="1">
      <c r="A7" s="26">
        <v>40087</v>
      </c>
      <c r="B7" s="17" t="s">
        <v>16</v>
      </c>
      <c r="C7" s="18" t="s">
        <v>23</v>
      </c>
      <c r="D7" s="17">
        <v>2001500</v>
      </c>
      <c r="E7" s="17">
        <v>33049990</v>
      </c>
      <c r="F7" s="32">
        <v>7899811100152</v>
      </c>
      <c r="G7" s="33">
        <v>96</v>
      </c>
      <c r="H7" s="17" t="s">
        <v>19</v>
      </c>
      <c r="I7" s="20">
        <v>1</v>
      </c>
      <c r="J7" s="22">
        <v>9.6689799999999995</v>
      </c>
      <c r="K7" s="21">
        <v>13.729951599999998</v>
      </c>
      <c r="L7" s="21">
        <v>15.470368000000001</v>
      </c>
      <c r="M7" s="23">
        <v>28.724515840000006</v>
      </c>
      <c r="N7" s="23">
        <v>22.979612672000005</v>
      </c>
      <c r="O7" s="24">
        <v>0.14299999999999999</v>
      </c>
    </row>
    <row r="8" spans="1:15" s="36" customFormat="1" ht="24.6" customHeight="1">
      <c r="A8" s="26">
        <v>40013</v>
      </c>
      <c r="B8" s="17" t="s">
        <v>16</v>
      </c>
      <c r="C8" s="18" t="s">
        <v>124</v>
      </c>
      <c r="D8" s="17">
        <v>2001500</v>
      </c>
      <c r="E8" s="17">
        <v>33049990</v>
      </c>
      <c r="F8" s="32">
        <v>7899811102217</v>
      </c>
      <c r="G8" s="33">
        <v>48</v>
      </c>
      <c r="H8" s="35" t="s">
        <v>18</v>
      </c>
      <c r="I8" s="20">
        <v>1</v>
      </c>
      <c r="J8" s="22">
        <v>11.1</v>
      </c>
      <c r="K8" s="21">
        <v>15.761999999999999</v>
      </c>
      <c r="L8" s="21">
        <v>17.760000000000002</v>
      </c>
      <c r="M8" s="23">
        <v>37.401600000000002</v>
      </c>
      <c r="N8" s="23">
        <v>29.921280000000003</v>
      </c>
      <c r="O8" s="24">
        <v>0.14299999999999999</v>
      </c>
    </row>
    <row r="9" spans="1:15" s="36" customFormat="1" ht="24.6" customHeight="1">
      <c r="A9" s="37">
        <v>40032</v>
      </c>
      <c r="B9" s="38" t="s">
        <v>16</v>
      </c>
      <c r="C9" s="39" t="s">
        <v>24</v>
      </c>
      <c r="D9" s="38">
        <v>2001500</v>
      </c>
      <c r="E9" s="38">
        <v>33049990</v>
      </c>
      <c r="F9" s="40">
        <v>7899811102248</v>
      </c>
      <c r="G9" s="41">
        <v>48</v>
      </c>
      <c r="H9" s="42" t="s">
        <v>19</v>
      </c>
      <c r="I9" s="43">
        <v>1</v>
      </c>
      <c r="J9" s="22">
        <v>0</v>
      </c>
      <c r="K9" s="21">
        <v>0</v>
      </c>
      <c r="L9" s="21">
        <v>0</v>
      </c>
      <c r="M9" s="23">
        <v>0</v>
      </c>
      <c r="N9" s="23">
        <v>0</v>
      </c>
      <c r="O9" s="24"/>
    </row>
    <row r="10" spans="1:15" s="45" customFormat="1" ht="24.6" customHeight="1">
      <c r="A10" s="26">
        <v>40068</v>
      </c>
      <c r="B10" s="17" t="s">
        <v>16</v>
      </c>
      <c r="C10" s="18" t="s">
        <v>25</v>
      </c>
      <c r="D10" s="17">
        <v>2002900</v>
      </c>
      <c r="E10" s="17">
        <v>33072090</v>
      </c>
      <c r="F10" s="44">
        <v>7899811100749</v>
      </c>
      <c r="G10" s="33">
        <v>48</v>
      </c>
      <c r="H10" s="35" t="s">
        <v>18</v>
      </c>
      <c r="I10" s="20">
        <v>1</v>
      </c>
      <c r="J10" s="22">
        <v>10.871981</v>
      </c>
      <c r="K10" s="21">
        <v>15.438213019999999</v>
      </c>
      <c r="L10" s="21">
        <v>17.395169599999999</v>
      </c>
      <c r="M10" s="23">
        <v>34.682406400000012</v>
      </c>
      <c r="N10" s="23">
        <v>27.74592512000001</v>
      </c>
      <c r="O10" s="24">
        <v>4.5499999999999999E-2</v>
      </c>
    </row>
    <row r="11" spans="1:15" s="45" customFormat="1" ht="24.6" customHeight="1">
      <c r="A11" s="37">
        <v>40026</v>
      </c>
      <c r="B11" s="38" t="s">
        <v>16</v>
      </c>
      <c r="C11" s="39" t="s">
        <v>26</v>
      </c>
      <c r="D11" s="38">
        <v>2002900</v>
      </c>
      <c r="E11" s="38">
        <v>33072090</v>
      </c>
      <c r="F11" s="46">
        <v>7899811100718</v>
      </c>
      <c r="G11" s="47">
        <v>48</v>
      </c>
      <c r="H11" s="42" t="s">
        <v>18</v>
      </c>
      <c r="I11" s="43">
        <v>1</v>
      </c>
      <c r="J11" s="22">
        <v>0</v>
      </c>
      <c r="K11" s="21">
        <v>0</v>
      </c>
      <c r="L11" s="21">
        <v>0</v>
      </c>
      <c r="M11" s="23">
        <v>0</v>
      </c>
      <c r="N11" s="23">
        <v>0</v>
      </c>
      <c r="O11" s="24"/>
    </row>
    <row r="12" spans="1:15" s="45" customFormat="1" ht="24.6" customHeight="1">
      <c r="A12" s="26">
        <v>40030</v>
      </c>
      <c r="B12" s="17" t="s">
        <v>16</v>
      </c>
      <c r="C12" s="18" t="s">
        <v>27</v>
      </c>
      <c r="D12" s="17">
        <v>2002900</v>
      </c>
      <c r="E12" s="17">
        <v>33072090</v>
      </c>
      <c r="F12" s="19">
        <v>7899811100435</v>
      </c>
      <c r="G12" s="48">
        <v>72</v>
      </c>
      <c r="H12" s="35" t="s">
        <v>18</v>
      </c>
      <c r="I12" s="20">
        <v>1</v>
      </c>
      <c r="J12" s="22">
        <v>9.0506150000000023</v>
      </c>
      <c r="K12" s="21">
        <v>12.851873300000003</v>
      </c>
      <c r="L12" s="21">
        <v>14.480984000000005</v>
      </c>
      <c r="M12" s="23">
        <v>28.264002560000009</v>
      </c>
      <c r="N12" s="23">
        <v>22.61120204800001</v>
      </c>
      <c r="O12" s="24">
        <v>4.5499999999999999E-2</v>
      </c>
    </row>
    <row r="13" spans="1:15" s="45" customFormat="1" ht="24.6" customHeight="1">
      <c r="A13" s="26">
        <v>40113</v>
      </c>
      <c r="B13" s="17" t="s">
        <v>16</v>
      </c>
      <c r="C13" s="18" t="s">
        <v>28</v>
      </c>
      <c r="D13" s="17">
        <v>2002900</v>
      </c>
      <c r="E13" s="17">
        <v>33072090</v>
      </c>
      <c r="F13" s="49">
        <v>7899811100169</v>
      </c>
      <c r="G13" s="50">
        <v>48</v>
      </c>
      <c r="H13" s="35" t="s">
        <v>18</v>
      </c>
      <c r="I13" s="20">
        <v>1</v>
      </c>
      <c r="J13" s="22">
        <v>9.4890919999999994</v>
      </c>
      <c r="K13" s="21">
        <v>13.474510639999998</v>
      </c>
      <c r="L13" s="21">
        <v>15.1825472</v>
      </c>
      <c r="M13" s="23">
        <v>31.573941760000004</v>
      </c>
      <c r="N13" s="23">
        <v>25.259153408000003</v>
      </c>
      <c r="O13" s="24"/>
    </row>
    <row r="14" spans="1:15" s="45" customFormat="1" ht="24.6" customHeight="1">
      <c r="A14" s="37">
        <v>40006</v>
      </c>
      <c r="B14" s="38" t="s">
        <v>16</v>
      </c>
      <c r="C14" s="39" t="s">
        <v>29</v>
      </c>
      <c r="D14" s="38">
        <v>2002900</v>
      </c>
      <c r="E14" s="38">
        <v>33072090</v>
      </c>
      <c r="F14" s="46">
        <v>7899811102637</v>
      </c>
      <c r="G14" s="47">
        <v>48</v>
      </c>
      <c r="H14" s="42" t="s">
        <v>18</v>
      </c>
      <c r="I14" s="43">
        <v>1</v>
      </c>
      <c r="J14" s="22">
        <v>0</v>
      </c>
      <c r="K14" s="21">
        <v>0</v>
      </c>
      <c r="L14" s="21">
        <v>0</v>
      </c>
      <c r="M14" s="23">
        <v>0</v>
      </c>
      <c r="N14" s="23">
        <v>0</v>
      </c>
      <c r="O14" s="24"/>
    </row>
    <row r="15" spans="1:15" s="45" customFormat="1" ht="24.6" customHeight="1">
      <c r="A15" s="39">
        <v>40011</v>
      </c>
      <c r="B15" s="38" t="s">
        <v>16</v>
      </c>
      <c r="C15" s="39" t="s">
        <v>30</v>
      </c>
      <c r="D15" s="38">
        <v>2803500</v>
      </c>
      <c r="E15" s="38">
        <v>34012010</v>
      </c>
      <c r="F15" s="46">
        <v>7899811100497</v>
      </c>
      <c r="G15" s="43">
        <v>48</v>
      </c>
      <c r="H15" s="38" t="s">
        <v>19</v>
      </c>
      <c r="I15" s="38">
        <v>1</v>
      </c>
      <c r="J15" s="22">
        <v>16.740827000000003</v>
      </c>
      <c r="K15" s="21">
        <v>23.771974340000003</v>
      </c>
      <c r="L15" s="21">
        <v>26.785323200000008</v>
      </c>
      <c r="M15" s="23">
        <v>44.842480640000012</v>
      </c>
      <c r="N15" s="23">
        <v>35.873984512000014</v>
      </c>
      <c r="O15" s="24"/>
    </row>
    <row r="16" spans="1:15" s="45" customFormat="1" ht="24.6" customHeight="1">
      <c r="A16" s="51">
        <v>40053</v>
      </c>
      <c r="B16" s="38" t="s">
        <v>16</v>
      </c>
      <c r="C16" s="51" t="s">
        <v>31</v>
      </c>
      <c r="D16" s="38">
        <v>2803500</v>
      </c>
      <c r="E16" s="38">
        <v>34012010</v>
      </c>
      <c r="F16" s="52">
        <v>7899811100541</v>
      </c>
      <c r="G16" s="43">
        <v>48</v>
      </c>
      <c r="H16" s="38" t="s">
        <v>19</v>
      </c>
      <c r="I16" s="38">
        <v>1</v>
      </c>
      <c r="J16" s="22">
        <v>15.076863000000001</v>
      </c>
      <c r="K16" s="21">
        <v>21.409145460000001</v>
      </c>
      <c r="L16" s="21">
        <v>24.122980800000004</v>
      </c>
      <c r="M16" s="23">
        <v>41.993054720000003</v>
      </c>
      <c r="N16" s="23">
        <v>33.594443776000006</v>
      </c>
      <c r="O16" s="24"/>
    </row>
    <row r="17" spans="1:15" s="45" customFormat="1" ht="24.6" customHeight="1">
      <c r="A17" s="39">
        <v>40045</v>
      </c>
      <c r="B17" s="38" t="s">
        <v>16</v>
      </c>
      <c r="C17" s="39" t="s">
        <v>32</v>
      </c>
      <c r="D17" s="38">
        <v>2803500</v>
      </c>
      <c r="E17" s="38">
        <v>34012010</v>
      </c>
      <c r="F17" s="46">
        <v>7899811100534</v>
      </c>
      <c r="G17" s="43">
        <v>48</v>
      </c>
      <c r="H17" s="38" t="s">
        <v>19</v>
      </c>
      <c r="I17" s="38">
        <v>1</v>
      </c>
      <c r="J17" s="22">
        <v>16.740827000000003</v>
      </c>
      <c r="K17" s="21">
        <v>23.771974340000003</v>
      </c>
      <c r="L17" s="21">
        <v>26.785323200000008</v>
      </c>
      <c r="M17" s="23">
        <v>44.842480640000012</v>
      </c>
      <c r="N17" s="23">
        <v>35.873984512000014</v>
      </c>
      <c r="O17" s="24"/>
    </row>
    <row r="18" spans="1:15" s="45" customFormat="1" ht="24.6" customHeight="1">
      <c r="A18" s="39">
        <v>40055</v>
      </c>
      <c r="B18" s="38" t="s">
        <v>16</v>
      </c>
      <c r="C18" s="39" t="s">
        <v>33</v>
      </c>
      <c r="D18" s="38">
        <v>2803500</v>
      </c>
      <c r="E18" s="38">
        <v>34012010</v>
      </c>
      <c r="F18" s="53">
        <v>7899811100565</v>
      </c>
      <c r="G18" s="43">
        <v>48</v>
      </c>
      <c r="H18" s="38" t="s">
        <v>19</v>
      </c>
      <c r="I18" s="38">
        <v>1</v>
      </c>
      <c r="J18" s="22">
        <v>15.076863000000001</v>
      </c>
      <c r="K18" s="21">
        <v>21.409145460000001</v>
      </c>
      <c r="L18" s="21">
        <v>24.122980800000004</v>
      </c>
      <c r="M18" s="23">
        <v>41.993054720000003</v>
      </c>
      <c r="N18" s="23">
        <v>33.594443776000006</v>
      </c>
      <c r="O18" s="24"/>
    </row>
    <row r="19" spans="1:15" s="45" customFormat="1" ht="24.6" customHeight="1">
      <c r="A19" s="54">
        <v>40114</v>
      </c>
      <c r="B19" s="55" t="s">
        <v>34</v>
      </c>
      <c r="C19" s="56" t="s">
        <v>35</v>
      </c>
      <c r="D19" s="55">
        <v>2803500</v>
      </c>
      <c r="E19" s="55">
        <v>34012010</v>
      </c>
      <c r="F19" s="57">
        <v>7899811100831</v>
      </c>
      <c r="G19" s="58">
        <v>48</v>
      </c>
      <c r="H19" s="55" t="s">
        <v>19</v>
      </c>
      <c r="I19" s="17">
        <v>1</v>
      </c>
      <c r="J19" s="22">
        <v>15.076863000000001</v>
      </c>
      <c r="K19" s="21">
        <v>21.409145460000001</v>
      </c>
      <c r="L19" s="21">
        <v>24.122980800000004</v>
      </c>
      <c r="M19" s="23">
        <v>41.993054720000003</v>
      </c>
      <c r="N19" s="23">
        <v>33.594443776000006</v>
      </c>
      <c r="O19" s="24">
        <v>3.2500000000000001E-2</v>
      </c>
    </row>
    <row r="20" spans="1:15" s="45" customFormat="1" ht="24.6" customHeight="1">
      <c r="A20" s="54">
        <v>40115</v>
      </c>
      <c r="B20" s="55" t="s">
        <v>34</v>
      </c>
      <c r="C20" s="56" t="s">
        <v>36</v>
      </c>
      <c r="D20" s="55">
        <v>2803500</v>
      </c>
      <c r="E20" s="55">
        <v>34012010</v>
      </c>
      <c r="F20" s="57">
        <v>7899811100824</v>
      </c>
      <c r="G20" s="58">
        <v>48</v>
      </c>
      <c r="H20" s="55" t="s">
        <v>19</v>
      </c>
      <c r="I20" s="17">
        <v>1</v>
      </c>
      <c r="J20" s="22">
        <v>16.740827000000003</v>
      </c>
      <c r="K20" s="21">
        <v>23.771974340000003</v>
      </c>
      <c r="L20" s="21">
        <v>26.785323200000008</v>
      </c>
      <c r="M20" s="23">
        <v>44.842480640000012</v>
      </c>
      <c r="N20" s="23">
        <v>35.873984512000014</v>
      </c>
      <c r="O20" s="24">
        <v>3.2500000000000001E-2</v>
      </c>
    </row>
    <row r="21" spans="1:15" ht="24.6" customHeight="1">
      <c r="A21" s="26">
        <v>40036</v>
      </c>
      <c r="B21" s="17" t="s">
        <v>16</v>
      </c>
      <c r="C21" s="18" t="s">
        <v>37</v>
      </c>
      <c r="D21" s="17">
        <v>2001500</v>
      </c>
      <c r="E21" s="17">
        <v>33049990</v>
      </c>
      <c r="F21" s="19">
        <v>7899811100596</v>
      </c>
      <c r="G21" s="48">
        <v>96</v>
      </c>
      <c r="H21" s="35" t="s">
        <v>19</v>
      </c>
      <c r="I21" s="20">
        <v>1</v>
      </c>
      <c r="J21" s="22">
        <v>9.8601109999999998</v>
      </c>
      <c r="K21" s="21">
        <v>14.001357619999999</v>
      </c>
      <c r="L21" s="21">
        <v>15.7761776</v>
      </c>
      <c r="M21" s="23">
        <v>28.062528000000004</v>
      </c>
      <c r="N21" s="23">
        <v>22.450022400000005</v>
      </c>
      <c r="O21" s="24">
        <v>0.14299999999999999</v>
      </c>
    </row>
    <row r="22" spans="1:15" ht="24.6" customHeight="1">
      <c r="A22" s="26">
        <v>40012</v>
      </c>
      <c r="B22" s="17" t="s">
        <v>16</v>
      </c>
      <c r="C22" s="18" t="s">
        <v>38</v>
      </c>
      <c r="D22" s="17">
        <v>2001500</v>
      </c>
      <c r="E22" s="17">
        <v>33049990</v>
      </c>
      <c r="F22" s="19">
        <v>7899811100299</v>
      </c>
      <c r="G22" s="20">
        <v>96</v>
      </c>
      <c r="H22" s="17" t="s">
        <v>39</v>
      </c>
      <c r="I22" s="20">
        <v>1</v>
      </c>
      <c r="J22" s="22">
        <v>16.943201000000002</v>
      </c>
      <c r="K22" s="21">
        <v>24.059345420000003</v>
      </c>
      <c r="L22" s="21">
        <v>27.109121600000005</v>
      </c>
      <c r="M22" s="23">
        <v>47.57677824000001</v>
      </c>
      <c r="N22" s="23">
        <v>38.061422592000007</v>
      </c>
      <c r="O22" s="24">
        <v>0.14299999999999999</v>
      </c>
    </row>
    <row r="23" spans="1:15" ht="24.6" customHeight="1">
      <c r="A23" s="26">
        <v>40079</v>
      </c>
      <c r="B23" s="17" t="s">
        <v>16</v>
      </c>
      <c r="C23" s="18" t="s">
        <v>125</v>
      </c>
      <c r="D23" s="17">
        <v>2001500</v>
      </c>
      <c r="E23" s="17">
        <v>33049990</v>
      </c>
      <c r="F23" s="19">
        <v>7899811102125</v>
      </c>
      <c r="G23" s="50">
        <v>48</v>
      </c>
      <c r="H23" s="35" t="s">
        <v>18</v>
      </c>
      <c r="I23" s="20">
        <v>1</v>
      </c>
      <c r="J23" s="22">
        <v>10.6</v>
      </c>
      <c r="K23" s="21">
        <v>15.052</v>
      </c>
      <c r="L23" s="21">
        <v>16.96</v>
      </c>
      <c r="M23" s="23">
        <v>36.3264</v>
      </c>
      <c r="N23" s="23">
        <v>29.061120000000003</v>
      </c>
      <c r="O23" s="24">
        <v>0.14299999999999999</v>
      </c>
    </row>
    <row r="24" spans="1:15" ht="24.6" customHeight="1">
      <c r="A24" s="26">
        <v>40133</v>
      </c>
      <c r="B24" s="17" t="s">
        <v>16</v>
      </c>
      <c r="C24" s="18" t="s">
        <v>40</v>
      </c>
      <c r="D24" s="17">
        <v>2001700</v>
      </c>
      <c r="E24" s="17">
        <v>33051000</v>
      </c>
      <c r="F24" s="19">
        <v>7899811102033</v>
      </c>
      <c r="G24" s="33">
        <v>48</v>
      </c>
      <c r="H24" s="35" t="s">
        <v>19</v>
      </c>
      <c r="I24" s="20">
        <v>1</v>
      </c>
      <c r="J24" s="22">
        <v>19.776437000000001</v>
      </c>
      <c r="K24" s="21">
        <v>28.08254054</v>
      </c>
      <c r="L24" s="21">
        <v>31.642299200000004</v>
      </c>
      <c r="M24" s="23">
        <v>62.313203200000004</v>
      </c>
      <c r="N24" s="23">
        <v>49.850562560000007</v>
      </c>
      <c r="O24" s="24">
        <v>4.5499999999999999E-2</v>
      </c>
    </row>
    <row r="25" spans="1:15" ht="24.6" customHeight="1">
      <c r="A25" s="26">
        <v>40132</v>
      </c>
      <c r="B25" s="17" t="s">
        <v>16</v>
      </c>
      <c r="C25" s="18" t="s">
        <v>41</v>
      </c>
      <c r="D25" s="17">
        <v>2001700</v>
      </c>
      <c r="E25" s="17">
        <v>33051000</v>
      </c>
      <c r="F25" s="19">
        <v>7899811102040</v>
      </c>
      <c r="G25" s="33">
        <v>48</v>
      </c>
      <c r="H25" s="35" t="s">
        <v>19</v>
      </c>
      <c r="I25" s="20">
        <v>1</v>
      </c>
      <c r="J25" s="22">
        <v>26.454779000000002</v>
      </c>
      <c r="K25" s="21">
        <v>37.565786180000003</v>
      </c>
      <c r="L25" s="21">
        <v>42.327646400000006</v>
      </c>
      <c r="M25" s="23">
        <v>80.244439040000017</v>
      </c>
      <c r="N25" s="23">
        <v>64.195551232000014</v>
      </c>
      <c r="O25" s="24">
        <v>4.5499999999999999E-2</v>
      </c>
    </row>
    <row r="26" spans="1:15" ht="24.6" customHeight="1">
      <c r="A26" s="37">
        <v>40112</v>
      </c>
      <c r="B26" s="17" t="s">
        <v>16</v>
      </c>
      <c r="C26" s="39" t="s">
        <v>42</v>
      </c>
      <c r="D26" s="38">
        <v>2001500</v>
      </c>
      <c r="E26" s="38">
        <v>33049990</v>
      </c>
      <c r="F26" s="46">
        <v>7899811100978</v>
      </c>
      <c r="G26" s="41">
        <v>48</v>
      </c>
      <c r="H26" s="42" t="s">
        <v>18</v>
      </c>
      <c r="I26" s="20">
        <v>1</v>
      </c>
      <c r="J26" s="22">
        <v>0</v>
      </c>
      <c r="K26" s="21">
        <v>0</v>
      </c>
      <c r="L26" s="21">
        <v>0</v>
      </c>
      <c r="M26" s="23">
        <v>0</v>
      </c>
      <c r="N26" s="23">
        <v>0</v>
      </c>
      <c r="O26" s="24"/>
    </row>
    <row r="27" spans="1:15" ht="24.6" customHeight="1">
      <c r="A27" s="26">
        <v>40009</v>
      </c>
      <c r="B27" s="17" t="s">
        <v>16</v>
      </c>
      <c r="C27" s="18" t="s">
        <v>43</v>
      </c>
      <c r="D27" s="17">
        <v>2001500</v>
      </c>
      <c r="E27" s="17">
        <v>33049990</v>
      </c>
      <c r="F27" s="19">
        <v>7899811100275</v>
      </c>
      <c r="G27" s="27">
        <v>48</v>
      </c>
      <c r="H27" s="35" t="s">
        <v>18</v>
      </c>
      <c r="I27" s="20">
        <v>1</v>
      </c>
      <c r="J27" s="22">
        <v>17.516594000000001</v>
      </c>
      <c r="K27" s="21">
        <v>24.873563480000001</v>
      </c>
      <c r="L27" s="21">
        <v>28.026550400000005</v>
      </c>
      <c r="M27" s="23">
        <v>49.159792640000006</v>
      </c>
      <c r="N27" s="23">
        <v>39.327834112000005</v>
      </c>
      <c r="O27" s="24">
        <v>0.14299999999999999</v>
      </c>
    </row>
    <row r="28" spans="1:15" ht="24.6" customHeight="1">
      <c r="A28" s="26">
        <v>40048</v>
      </c>
      <c r="B28" s="17" t="s">
        <v>16</v>
      </c>
      <c r="C28" s="18" t="s">
        <v>44</v>
      </c>
      <c r="D28" s="18">
        <v>2001500</v>
      </c>
      <c r="E28" s="17">
        <v>33049990</v>
      </c>
      <c r="F28" s="19">
        <v>7899811100503</v>
      </c>
      <c r="G28" s="48">
        <v>42</v>
      </c>
      <c r="H28" s="59" t="s">
        <v>18</v>
      </c>
      <c r="I28" s="20">
        <v>1</v>
      </c>
      <c r="J28" s="22">
        <v>13.356684000000001</v>
      </c>
      <c r="K28" s="21">
        <v>18.96649128</v>
      </c>
      <c r="L28" s="21">
        <v>21.370694400000005</v>
      </c>
      <c r="M28" s="23">
        <v>39.920744960000007</v>
      </c>
      <c r="N28" s="23">
        <v>31.936595968000006</v>
      </c>
      <c r="O28" s="60">
        <v>0.14299999999999999</v>
      </c>
    </row>
    <row r="29" spans="1:15" ht="24.6" customHeight="1">
      <c r="A29" s="26">
        <v>40059</v>
      </c>
      <c r="B29" s="17" t="s">
        <v>16</v>
      </c>
      <c r="C29" s="18" t="s">
        <v>45</v>
      </c>
      <c r="D29" s="17">
        <v>2001500</v>
      </c>
      <c r="E29" s="17">
        <v>33049990</v>
      </c>
      <c r="F29" s="32">
        <v>7899811100237</v>
      </c>
      <c r="G29" s="17">
        <v>96</v>
      </c>
      <c r="H29" s="17" t="s">
        <v>19</v>
      </c>
      <c r="I29" s="17">
        <v>1</v>
      </c>
      <c r="J29" s="22">
        <v>9.2305030000000023</v>
      </c>
      <c r="K29" s="21">
        <v>13.107314260000003</v>
      </c>
      <c r="L29" s="21">
        <v>14.768804800000005</v>
      </c>
      <c r="M29" s="23">
        <v>27.573232640000004</v>
      </c>
      <c r="N29" s="23">
        <v>22.058586112000004</v>
      </c>
      <c r="O29" s="24">
        <v>0.14299999999999999</v>
      </c>
    </row>
    <row r="30" spans="1:15" ht="24.6" customHeight="1">
      <c r="A30" s="26">
        <v>40047</v>
      </c>
      <c r="B30" s="17" t="s">
        <v>16</v>
      </c>
      <c r="C30" s="18" t="s">
        <v>46</v>
      </c>
      <c r="D30" s="17">
        <v>2001500</v>
      </c>
      <c r="E30" s="17">
        <v>33049990</v>
      </c>
      <c r="F30" s="19">
        <v>7899811100381</v>
      </c>
      <c r="G30" s="20">
        <v>96</v>
      </c>
      <c r="H30" s="17" t="s">
        <v>19</v>
      </c>
      <c r="I30" s="20">
        <v>1</v>
      </c>
      <c r="J30" s="22">
        <v>12.457244000000001</v>
      </c>
      <c r="K30" s="21">
        <v>17.68928648</v>
      </c>
      <c r="L30" s="21">
        <v>19.931590400000005</v>
      </c>
      <c r="M30" s="23">
        <v>36.150292480000012</v>
      </c>
      <c r="N30" s="23">
        <v>28.92023398400001</v>
      </c>
      <c r="O30" s="24">
        <v>0.14299999999999999</v>
      </c>
    </row>
    <row r="31" spans="1:15" ht="24.6" customHeight="1">
      <c r="A31" s="18">
        <v>40127</v>
      </c>
      <c r="B31" s="17" t="s">
        <v>16</v>
      </c>
      <c r="C31" s="61" t="s">
        <v>47</v>
      </c>
      <c r="D31" s="17">
        <v>2003600</v>
      </c>
      <c r="E31" s="17">
        <v>34012010</v>
      </c>
      <c r="F31" s="49">
        <v>7899811100930</v>
      </c>
      <c r="G31" s="17">
        <v>48</v>
      </c>
      <c r="H31" s="17" t="s">
        <v>39</v>
      </c>
      <c r="I31" s="17">
        <v>1</v>
      </c>
      <c r="J31" s="22">
        <v>11.490346000000002</v>
      </c>
      <c r="K31" s="21">
        <v>16.316291320000001</v>
      </c>
      <c r="L31" s="21">
        <v>18.384553600000004</v>
      </c>
      <c r="M31" s="23">
        <v>30.825607680000008</v>
      </c>
      <c r="N31" s="23">
        <v>24.660486144000007</v>
      </c>
      <c r="O31" s="24">
        <v>0.14299999999999999</v>
      </c>
    </row>
    <row r="32" spans="1:15" ht="24.6" customHeight="1">
      <c r="A32" s="18">
        <v>40019</v>
      </c>
      <c r="B32" s="17" t="s">
        <v>16</v>
      </c>
      <c r="C32" s="18" t="s">
        <v>48</v>
      </c>
      <c r="D32" s="17">
        <v>2003600</v>
      </c>
      <c r="E32" s="17">
        <v>34012010</v>
      </c>
      <c r="F32" s="19">
        <v>7899811100138</v>
      </c>
      <c r="G32" s="17">
        <v>48</v>
      </c>
      <c r="H32" s="17" t="s">
        <v>39</v>
      </c>
      <c r="I32" s="17">
        <v>1</v>
      </c>
      <c r="J32" s="22">
        <v>8.735811</v>
      </c>
      <c r="K32" s="21">
        <v>12.404851619999999</v>
      </c>
      <c r="L32" s="21">
        <v>13.9772976</v>
      </c>
      <c r="M32" s="23">
        <v>23.946690560000004</v>
      </c>
      <c r="N32" s="23">
        <v>19.157352448000005</v>
      </c>
      <c r="O32" s="24">
        <v>0.14299999999999999</v>
      </c>
    </row>
    <row r="33" spans="1:15" ht="24.6" customHeight="1">
      <c r="A33" s="18">
        <v>40141</v>
      </c>
      <c r="B33" s="17" t="s">
        <v>16</v>
      </c>
      <c r="C33" s="61" t="s">
        <v>49</v>
      </c>
      <c r="D33" s="17">
        <v>2003600</v>
      </c>
      <c r="E33" s="17">
        <v>34012010</v>
      </c>
      <c r="F33" s="49">
        <v>7899811100961</v>
      </c>
      <c r="G33" s="17">
        <v>48</v>
      </c>
      <c r="H33" s="17" t="s">
        <v>39</v>
      </c>
      <c r="I33" s="17">
        <v>1</v>
      </c>
      <c r="J33" s="22">
        <v>11.681477000000001</v>
      </c>
      <c r="K33" s="21">
        <v>16.587697340000002</v>
      </c>
      <c r="L33" s="21">
        <v>18.690363200000004</v>
      </c>
      <c r="M33" s="23">
        <v>31.372467200000006</v>
      </c>
      <c r="N33" s="23">
        <v>25.097973760000006</v>
      </c>
      <c r="O33" s="24">
        <v>0.14299999999999999</v>
      </c>
    </row>
    <row r="34" spans="1:15" ht="24.6" customHeight="1">
      <c r="A34" s="18">
        <v>40020</v>
      </c>
      <c r="B34" s="17" t="s">
        <v>16</v>
      </c>
      <c r="C34" s="18" t="s">
        <v>50</v>
      </c>
      <c r="D34" s="17">
        <v>2003600</v>
      </c>
      <c r="E34" s="17">
        <v>34012010</v>
      </c>
      <c r="F34" s="19">
        <v>7899811100145</v>
      </c>
      <c r="G34" s="17">
        <v>48</v>
      </c>
      <c r="H34" s="17" t="s">
        <v>39</v>
      </c>
      <c r="I34" s="17">
        <v>1</v>
      </c>
      <c r="J34" s="22">
        <v>8.9269420000000004</v>
      </c>
      <c r="K34" s="21">
        <v>12.676257639999999</v>
      </c>
      <c r="L34" s="21">
        <v>14.283107200000002</v>
      </c>
      <c r="M34" s="23">
        <v>24.493550080000002</v>
      </c>
      <c r="N34" s="23">
        <v>19.594840064000003</v>
      </c>
      <c r="O34" s="24">
        <v>0.14299999999999999</v>
      </c>
    </row>
    <row r="35" spans="1:15" ht="24.6" customHeight="1">
      <c r="A35" s="39">
        <v>40027</v>
      </c>
      <c r="B35" s="38" t="s">
        <v>16</v>
      </c>
      <c r="C35" s="39" t="s">
        <v>126</v>
      </c>
      <c r="D35" s="38">
        <v>2003600</v>
      </c>
      <c r="E35" s="38">
        <v>34012010</v>
      </c>
      <c r="F35" s="46">
        <v>7899811100398</v>
      </c>
      <c r="G35" s="38">
        <v>48</v>
      </c>
      <c r="H35" s="38" t="s">
        <v>39</v>
      </c>
      <c r="I35" s="17">
        <v>1</v>
      </c>
      <c r="J35" s="22">
        <v>0</v>
      </c>
      <c r="K35" s="21">
        <v>0</v>
      </c>
      <c r="L35" s="21">
        <v>0</v>
      </c>
      <c r="M35" s="23">
        <v>0</v>
      </c>
      <c r="N35" s="23">
        <v>0</v>
      </c>
      <c r="O35" s="24"/>
    </row>
    <row r="36" spans="1:15" ht="24.6" customHeight="1">
      <c r="A36" s="37">
        <v>40136</v>
      </c>
      <c r="B36" s="38" t="s">
        <v>16</v>
      </c>
      <c r="C36" s="39" t="s">
        <v>51</v>
      </c>
      <c r="D36" s="38">
        <v>2001500</v>
      </c>
      <c r="E36" s="38">
        <v>33049990</v>
      </c>
      <c r="F36" s="46">
        <v>7899811102187</v>
      </c>
      <c r="G36" s="62">
        <v>48</v>
      </c>
      <c r="H36" s="42" t="s">
        <v>19</v>
      </c>
      <c r="I36" s="20">
        <v>1</v>
      </c>
      <c r="J36" s="22">
        <v>17.329999999999998</v>
      </c>
      <c r="K36" s="21">
        <v>24.608599999999996</v>
      </c>
      <c r="L36" s="21">
        <v>27.727999999999998</v>
      </c>
      <c r="M36" s="23">
        <v>53.990400000000001</v>
      </c>
      <c r="N36" s="23">
        <v>43.192320000000002</v>
      </c>
      <c r="O36" s="24">
        <v>0.14299999999999999</v>
      </c>
    </row>
    <row r="37" spans="1:15" ht="24.6" customHeight="1">
      <c r="A37" s="26">
        <v>40035</v>
      </c>
      <c r="B37" s="17" t="s">
        <v>16</v>
      </c>
      <c r="C37" s="18" t="s">
        <v>52</v>
      </c>
      <c r="D37" s="17">
        <v>2001500</v>
      </c>
      <c r="E37" s="17">
        <v>33049990</v>
      </c>
      <c r="F37" s="19">
        <v>7899811100268</v>
      </c>
      <c r="G37" s="27">
        <v>35</v>
      </c>
      <c r="H37" s="35" t="s">
        <v>19</v>
      </c>
      <c r="I37" s="20">
        <v>1</v>
      </c>
      <c r="J37" s="22">
        <v>22.429784999999999</v>
      </c>
      <c r="K37" s="21">
        <v>31.850294699999996</v>
      </c>
      <c r="L37" s="21">
        <v>35.887656</v>
      </c>
      <c r="M37" s="23">
        <v>66.831989760000013</v>
      </c>
      <c r="N37" s="23">
        <v>53.465591808000013</v>
      </c>
      <c r="O37" s="24">
        <v>0.14299999999999999</v>
      </c>
    </row>
    <row r="38" spans="1:15" ht="24.6" customHeight="1">
      <c r="A38" s="39">
        <v>40065</v>
      </c>
      <c r="B38" s="38" t="s">
        <v>16</v>
      </c>
      <c r="C38" s="63" t="s">
        <v>53</v>
      </c>
      <c r="D38" s="38">
        <v>2001500</v>
      </c>
      <c r="E38" s="38">
        <v>33049990</v>
      </c>
      <c r="F38" s="52">
        <v>7899811100886</v>
      </c>
      <c r="G38" s="38">
        <v>60</v>
      </c>
      <c r="H38" s="38" t="s">
        <v>19</v>
      </c>
      <c r="I38" s="17">
        <v>1</v>
      </c>
      <c r="J38" s="22">
        <v>0</v>
      </c>
      <c r="K38" s="21">
        <v>0</v>
      </c>
      <c r="L38" s="21">
        <v>0</v>
      </c>
      <c r="M38" s="23">
        <v>0</v>
      </c>
      <c r="N38" s="23">
        <v>0</v>
      </c>
      <c r="O38" s="24"/>
    </row>
    <row r="39" spans="1:15" ht="24.6" customHeight="1">
      <c r="C39" s="34"/>
    </row>
    <row r="40" spans="1:15" ht="6" customHeight="1" thickBot="1">
      <c r="C40" s="34"/>
    </row>
    <row r="41" spans="1:15" s="15" customFormat="1" ht="67.900000000000006" customHeight="1" thickTop="1" thickBot="1">
      <c r="A41" s="8" t="s">
        <v>1</v>
      </c>
      <c r="B41" s="9" t="s">
        <v>2</v>
      </c>
      <c r="C41" s="9" t="s">
        <v>54</v>
      </c>
      <c r="D41" s="10" t="s">
        <v>4</v>
      </c>
      <c r="E41" s="10" t="s">
        <v>5</v>
      </c>
      <c r="F41" s="9" t="s">
        <v>6</v>
      </c>
      <c r="G41" s="9" t="s">
        <v>7</v>
      </c>
      <c r="H41" s="9" t="s">
        <v>2</v>
      </c>
      <c r="I41" s="9" t="s">
        <v>9</v>
      </c>
      <c r="J41" s="12" t="s">
        <v>10</v>
      </c>
      <c r="K41" s="11" t="s">
        <v>11</v>
      </c>
      <c r="L41" s="11" t="s">
        <v>12</v>
      </c>
      <c r="M41" s="13" t="s">
        <v>13</v>
      </c>
      <c r="N41" s="68" t="s">
        <v>14</v>
      </c>
      <c r="O41" s="14" t="s">
        <v>15</v>
      </c>
    </row>
    <row r="42" spans="1:15" s="72" customFormat="1" ht="24.6" customHeight="1" thickTop="1">
      <c r="A42" s="26">
        <v>40052</v>
      </c>
      <c r="B42" s="17" t="s">
        <v>16</v>
      </c>
      <c r="C42" s="18" t="s">
        <v>55</v>
      </c>
      <c r="D42" s="17"/>
      <c r="E42" s="17">
        <v>21069030</v>
      </c>
      <c r="F42" s="19">
        <v>7899811100039</v>
      </c>
      <c r="G42" s="33">
        <v>56</v>
      </c>
      <c r="H42" s="35" t="s">
        <v>21</v>
      </c>
      <c r="I42" s="20">
        <v>1</v>
      </c>
      <c r="J42" s="22">
        <v>10.759551000000002</v>
      </c>
      <c r="K42" s="21">
        <v>15.278562420000002</v>
      </c>
      <c r="L42" s="21">
        <v>17.215281600000004</v>
      </c>
      <c r="M42" s="23">
        <v>33.04182784000001</v>
      </c>
      <c r="N42" s="70">
        <v>26.433462272000011</v>
      </c>
      <c r="O42" s="71">
        <v>0</v>
      </c>
    </row>
    <row r="43" spans="1:15" s="80" customFormat="1" ht="24.6" customHeight="1">
      <c r="A43" s="73">
        <v>40034</v>
      </c>
      <c r="B43" s="74" t="s">
        <v>16</v>
      </c>
      <c r="C43" s="75" t="s">
        <v>56</v>
      </c>
      <c r="D43" s="74"/>
      <c r="E43" s="74">
        <v>21069030</v>
      </c>
      <c r="F43" s="76">
        <v>7899811100312</v>
      </c>
      <c r="G43" s="77">
        <v>30</v>
      </c>
      <c r="H43" s="78" t="s">
        <v>21</v>
      </c>
      <c r="I43" s="79">
        <v>1</v>
      </c>
      <c r="J43" s="69">
        <v>19.326717000000002</v>
      </c>
      <c r="K43" s="21">
        <v>27.44393814</v>
      </c>
      <c r="L43" s="21">
        <v>30.922747200000003</v>
      </c>
      <c r="M43" s="23">
        <v>57.477813760000004</v>
      </c>
      <c r="N43" s="70">
        <v>45.982251008000006</v>
      </c>
      <c r="O43" s="71">
        <v>0</v>
      </c>
    </row>
    <row r="44" spans="1:15" s="80" customFormat="1" ht="24.6" customHeight="1">
      <c r="A44" s="26">
        <v>42005</v>
      </c>
      <c r="B44" s="17" t="s">
        <v>16</v>
      </c>
      <c r="C44" s="18" t="s">
        <v>57</v>
      </c>
      <c r="D44" s="17"/>
      <c r="E44" s="17">
        <v>21069030</v>
      </c>
      <c r="F44" s="32">
        <v>7899811100053</v>
      </c>
      <c r="G44" s="33">
        <v>56</v>
      </c>
      <c r="H44" s="35" t="s">
        <v>21</v>
      </c>
      <c r="I44" s="20">
        <v>1</v>
      </c>
      <c r="J44" s="22">
        <v>10.129943000000001</v>
      </c>
      <c r="K44" s="21">
        <v>14.384519060000001</v>
      </c>
      <c r="L44" s="21">
        <v>16.207908800000002</v>
      </c>
      <c r="M44" s="23">
        <v>28.638169600000005</v>
      </c>
      <c r="N44" s="70">
        <v>22.910535680000006</v>
      </c>
      <c r="O44" s="24">
        <v>0</v>
      </c>
    </row>
    <row r="45" spans="1:15" ht="24.6" customHeight="1">
      <c r="C45" s="34"/>
    </row>
    <row r="46" spans="1:15" ht="9.6" customHeight="1" thickBot="1"/>
    <row r="47" spans="1:15" s="15" customFormat="1" ht="70.150000000000006" customHeight="1" thickTop="1" thickBot="1">
      <c r="A47" s="8" t="s">
        <v>1</v>
      </c>
      <c r="B47" s="9" t="s">
        <v>2</v>
      </c>
      <c r="C47" s="9" t="s">
        <v>58</v>
      </c>
      <c r="D47" s="10" t="s">
        <v>4</v>
      </c>
      <c r="E47" s="10" t="s">
        <v>5</v>
      </c>
      <c r="F47" s="9" t="s">
        <v>6</v>
      </c>
      <c r="G47" s="9" t="s">
        <v>7</v>
      </c>
      <c r="H47" s="9" t="s">
        <v>2</v>
      </c>
      <c r="I47" s="9" t="s">
        <v>9</v>
      </c>
      <c r="J47" s="12" t="s">
        <v>10</v>
      </c>
      <c r="K47" s="11" t="s">
        <v>11</v>
      </c>
      <c r="L47" s="11" t="s">
        <v>12</v>
      </c>
      <c r="M47" s="13" t="s">
        <v>13</v>
      </c>
      <c r="N47" s="68" t="s">
        <v>14</v>
      </c>
      <c r="O47" s="14" t="s">
        <v>15</v>
      </c>
    </row>
    <row r="48" spans="1:15" s="83" customFormat="1" ht="24.6" customHeight="1" thickTop="1">
      <c r="A48" s="26">
        <v>40103</v>
      </c>
      <c r="B48" s="17" t="s">
        <v>59</v>
      </c>
      <c r="C48" s="18" t="s">
        <v>60</v>
      </c>
      <c r="D48" s="18">
        <v>2001500</v>
      </c>
      <c r="E48" s="17">
        <v>33049990</v>
      </c>
      <c r="F48" s="19">
        <v>7899811102057</v>
      </c>
      <c r="G48" s="48">
        <v>48</v>
      </c>
      <c r="H48" s="59" t="s">
        <v>61</v>
      </c>
      <c r="I48" s="20">
        <v>1</v>
      </c>
      <c r="J48" s="22">
        <v>18.843268000000002</v>
      </c>
      <c r="K48" s="21">
        <v>26.757440560000003</v>
      </c>
      <c r="L48" s="21">
        <v>30.149228800000003</v>
      </c>
      <c r="M48" s="23">
        <v>56.03870976000001</v>
      </c>
      <c r="N48" s="70">
        <v>44.830967808000011</v>
      </c>
      <c r="O48" s="82"/>
    </row>
    <row r="49" spans="1:15" s="84" customFormat="1" ht="24.6" customHeight="1">
      <c r="A49" s="26">
        <v>40105</v>
      </c>
      <c r="B49" s="17" t="s">
        <v>59</v>
      </c>
      <c r="C49" s="18" t="s">
        <v>62</v>
      </c>
      <c r="D49" s="18">
        <v>2001500</v>
      </c>
      <c r="E49" s="17">
        <v>33049990</v>
      </c>
      <c r="F49" s="19">
        <v>7899811102019</v>
      </c>
      <c r="G49" s="48">
        <v>48</v>
      </c>
      <c r="H49" s="59" t="s">
        <v>61</v>
      </c>
      <c r="I49" s="20">
        <v>1</v>
      </c>
      <c r="J49" s="22">
        <v>26.893256000000004</v>
      </c>
      <c r="K49" s="21">
        <v>38.188423520000008</v>
      </c>
      <c r="L49" s="21">
        <v>43.029209600000009</v>
      </c>
      <c r="M49" s="23">
        <v>78.028218880000011</v>
      </c>
      <c r="N49" s="70">
        <v>62.422575104000011</v>
      </c>
      <c r="O49" s="82"/>
    </row>
    <row r="50" spans="1:15" s="86" customFormat="1" ht="24.6" customHeight="1">
      <c r="A50" s="37">
        <v>40050</v>
      </c>
      <c r="B50" s="38" t="s">
        <v>59</v>
      </c>
      <c r="C50" s="39" t="s">
        <v>63</v>
      </c>
      <c r="D50" s="39">
        <v>2001500</v>
      </c>
      <c r="E50" s="38">
        <v>33049990</v>
      </c>
      <c r="F50" s="46">
        <v>7899811100916</v>
      </c>
      <c r="G50" s="47">
        <v>48</v>
      </c>
      <c r="H50" s="85" t="s">
        <v>61</v>
      </c>
      <c r="I50" s="43">
        <v>1</v>
      </c>
      <c r="J50" s="22">
        <v>0</v>
      </c>
      <c r="K50" s="21">
        <v>0</v>
      </c>
      <c r="L50" s="21">
        <v>0</v>
      </c>
      <c r="M50" s="23">
        <v>0</v>
      </c>
      <c r="N50" s="70">
        <v>0</v>
      </c>
      <c r="O50" s="82"/>
    </row>
    <row r="51" spans="1:15" s="86" customFormat="1" ht="24.6" customHeight="1">
      <c r="A51" s="26">
        <v>40102</v>
      </c>
      <c r="B51" s="17" t="s">
        <v>59</v>
      </c>
      <c r="C51" s="18" t="s">
        <v>64</v>
      </c>
      <c r="D51" s="18">
        <v>2001500</v>
      </c>
      <c r="E51" s="17">
        <v>33049990</v>
      </c>
      <c r="F51" s="19">
        <v>7899811102064</v>
      </c>
      <c r="G51" s="48">
        <v>48</v>
      </c>
      <c r="H51" s="59" t="s">
        <v>61</v>
      </c>
      <c r="I51" s="20">
        <v>1</v>
      </c>
      <c r="J51" s="22">
        <v>17.302977000000002</v>
      </c>
      <c r="K51" s="21">
        <v>24.570227340000002</v>
      </c>
      <c r="L51" s="21">
        <v>27.684763200000006</v>
      </c>
      <c r="M51" s="23">
        <v>53.736143360000007</v>
      </c>
      <c r="N51" s="70">
        <v>42.988914688000008</v>
      </c>
      <c r="O51" s="82"/>
    </row>
    <row r="52" spans="1:15" s="86" customFormat="1" ht="24.6" customHeight="1">
      <c r="A52" s="26">
        <v>40104</v>
      </c>
      <c r="B52" s="17" t="s">
        <v>59</v>
      </c>
      <c r="C52" s="18" t="s">
        <v>65</v>
      </c>
      <c r="D52" s="18">
        <v>2001500</v>
      </c>
      <c r="E52" s="17">
        <v>33049990</v>
      </c>
      <c r="F52" s="19">
        <v>7899811102071</v>
      </c>
      <c r="G52" s="48">
        <v>48</v>
      </c>
      <c r="H52" s="59" t="s">
        <v>61</v>
      </c>
      <c r="I52" s="20">
        <v>1</v>
      </c>
      <c r="J52" s="22">
        <v>11.119327000000002</v>
      </c>
      <c r="K52" s="21">
        <v>15.789444340000003</v>
      </c>
      <c r="L52" s="21">
        <v>17.790923200000005</v>
      </c>
      <c r="M52" s="23">
        <v>35.603432960000006</v>
      </c>
      <c r="N52" s="70">
        <v>28.482746368000008</v>
      </c>
      <c r="O52" s="82"/>
    </row>
    <row r="53" spans="1:15" s="86" customFormat="1" ht="24.6" customHeight="1">
      <c r="A53" s="26">
        <v>40106</v>
      </c>
      <c r="B53" s="17" t="s">
        <v>59</v>
      </c>
      <c r="C53" s="18" t="s">
        <v>66</v>
      </c>
      <c r="D53" s="18">
        <v>2001500</v>
      </c>
      <c r="E53" s="17">
        <v>33049990</v>
      </c>
      <c r="F53" s="19">
        <v>7899811102095</v>
      </c>
      <c r="G53" s="48">
        <v>96</v>
      </c>
      <c r="H53" s="59" t="s">
        <v>61</v>
      </c>
      <c r="I53" s="20">
        <v>1</v>
      </c>
      <c r="J53" s="22">
        <v>12.951936</v>
      </c>
      <c r="K53" s="21">
        <v>18.39174912</v>
      </c>
      <c r="L53" s="21">
        <v>20.723097600000003</v>
      </c>
      <c r="M53" s="23">
        <v>39.776834560000005</v>
      </c>
      <c r="N53" s="70">
        <v>31.821467648000006</v>
      </c>
      <c r="O53" s="24">
        <v>0.14299999999999999</v>
      </c>
    </row>
    <row r="54" spans="1:15" s="80" customFormat="1" ht="24.6" customHeight="1">
      <c r="A54" s="37">
        <v>40040</v>
      </c>
      <c r="B54" s="38" t="s">
        <v>59</v>
      </c>
      <c r="C54" s="39" t="s">
        <v>67</v>
      </c>
      <c r="D54" s="39">
        <v>2001500</v>
      </c>
      <c r="E54" s="38">
        <v>33049990</v>
      </c>
      <c r="F54" s="46">
        <v>7899811100893</v>
      </c>
      <c r="G54" s="47">
        <v>48</v>
      </c>
      <c r="H54" s="85" t="s">
        <v>61</v>
      </c>
      <c r="I54" s="43">
        <v>1</v>
      </c>
      <c r="J54" s="22">
        <v>0</v>
      </c>
      <c r="K54" s="21">
        <v>0</v>
      </c>
      <c r="L54" s="21">
        <v>0</v>
      </c>
      <c r="M54" s="23">
        <v>0</v>
      </c>
      <c r="N54" s="70">
        <v>0</v>
      </c>
      <c r="O54" s="82"/>
    </row>
    <row r="55" spans="1:15" s="86" customFormat="1" ht="24.6" customHeight="1">
      <c r="A55" s="26">
        <v>40099</v>
      </c>
      <c r="B55" s="17" t="s">
        <v>59</v>
      </c>
      <c r="C55" s="18" t="s">
        <v>68</v>
      </c>
      <c r="D55" s="18">
        <v>2001500</v>
      </c>
      <c r="E55" s="17">
        <v>33049990</v>
      </c>
      <c r="F55" s="19">
        <v>7899811102101</v>
      </c>
      <c r="G55" s="48">
        <v>48</v>
      </c>
      <c r="H55" s="59" t="s">
        <v>61</v>
      </c>
      <c r="I55" s="20">
        <v>1</v>
      </c>
      <c r="J55" s="22">
        <v>16.358565000000002</v>
      </c>
      <c r="K55" s="21">
        <v>23.229162300000002</v>
      </c>
      <c r="L55" s="21">
        <v>26.173704000000004</v>
      </c>
      <c r="M55" s="23">
        <v>51.347230720000006</v>
      </c>
      <c r="N55" s="70">
        <v>41.077784576000006</v>
      </c>
      <c r="O55" s="82"/>
    </row>
    <row r="56" spans="1:15" s="80" customFormat="1" ht="24.6" customHeight="1">
      <c r="A56" s="26">
        <v>40098</v>
      </c>
      <c r="B56" s="17" t="s">
        <v>59</v>
      </c>
      <c r="C56" s="18" t="s">
        <v>69</v>
      </c>
      <c r="D56" s="18">
        <v>2001500</v>
      </c>
      <c r="E56" s="17">
        <v>33049990</v>
      </c>
      <c r="F56" s="19">
        <v>7899811102118</v>
      </c>
      <c r="G56" s="48">
        <v>48</v>
      </c>
      <c r="H56" s="59" t="s">
        <v>61</v>
      </c>
      <c r="I56" s="20">
        <v>1</v>
      </c>
      <c r="J56" s="22">
        <v>13.469114000000001</v>
      </c>
      <c r="K56" s="21">
        <v>19.126141880000002</v>
      </c>
      <c r="L56" s="21">
        <v>21.550582400000003</v>
      </c>
      <c r="M56" s="23">
        <v>40.870553600000008</v>
      </c>
      <c r="N56" s="70">
        <v>32.696442880000006</v>
      </c>
      <c r="O56" s="82"/>
    </row>
    <row r="57" spans="1:15" ht="24.6" customHeight="1">
      <c r="C57" s="34"/>
    </row>
    <row r="58" spans="1:15" ht="10.9" customHeight="1" thickBot="1"/>
    <row r="59" spans="1:15" s="15" customFormat="1" ht="74.45" customHeight="1" thickTop="1" thickBot="1">
      <c r="A59" s="8" t="s">
        <v>1</v>
      </c>
      <c r="B59" s="9" t="s">
        <v>2</v>
      </c>
      <c r="C59" s="9" t="s">
        <v>70</v>
      </c>
      <c r="D59" s="10" t="s">
        <v>4</v>
      </c>
      <c r="E59" s="10" t="s">
        <v>5</v>
      </c>
      <c r="F59" s="9" t="s">
        <v>6</v>
      </c>
      <c r="G59" s="9" t="s">
        <v>7</v>
      </c>
      <c r="H59" s="9" t="s">
        <v>2</v>
      </c>
      <c r="I59" s="9" t="s">
        <v>9</v>
      </c>
      <c r="J59" s="12" t="s">
        <v>10</v>
      </c>
      <c r="K59" s="11" t="s">
        <v>11</v>
      </c>
      <c r="L59" s="11" t="s">
        <v>12</v>
      </c>
      <c r="M59" s="13" t="s">
        <v>13</v>
      </c>
      <c r="N59" s="68" t="s">
        <v>14</v>
      </c>
      <c r="O59" s="14" t="s">
        <v>15</v>
      </c>
    </row>
    <row r="60" spans="1:15" s="86" customFormat="1" ht="24.6" customHeight="1" thickTop="1">
      <c r="A60" s="26">
        <v>40117</v>
      </c>
      <c r="B60" s="35" t="s">
        <v>71</v>
      </c>
      <c r="C60" s="61" t="s">
        <v>72</v>
      </c>
      <c r="D60" s="20">
        <v>2000600</v>
      </c>
      <c r="E60" s="17">
        <v>33012990</v>
      </c>
      <c r="F60" s="49">
        <v>7899811100251</v>
      </c>
      <c r="G60" s="27">
        <v>72</v>
      </c>
      <c r="H60" s="35" t="s">
        <v>73</v>
      </c>
      <c r="I60" s="20">
        <v>1</v>
      </c>
      <c r="J60" s="22">
        <v>16.212406000000001</v>
      </c>
      <c r="K60" s="21">
        <v>23.021616520000002</v>
      </c>
      <c r="L60" s="21">
        <v>25.939849600000002</v>
      </c>
      <c r="M60" s="23">
        <v>43.69119744000001</v>
      </c>
      <c r="N60" s="70">
        <v>34.952957952000013</v>
      </c>
      <c r="O60" s="24">
        <v>3.2500000000000001E-2</v>
      </c>
    </row>
    <row r="61" spans="1:15" s="86" customFormat="1" ht="24.6" customHeight="1">
      <c r="A61" s="37">
        <v>40173</v>
      </c>
      <c r="B61" s="42" t="s">
        <v>71</v>
      </c>
      <c r="C61" s="39" t="s">
        <v>74</v>
      </c>
      <c r="D61" s="43">
        <v>2000600</v>
      </c>
      <c r="E61" s="38">
        <v>33011990</v>
      </c>
      <c r="F61" s="46">
        <v>7899811102590</v>
      </c>
      <c r="G61" s="62">
        <v>72</v>
      </c>
      <c r="H61" s="42" t="s">
        <v>73</v>
      </c>
      <c r="I61" s="38">
        <v>1</v>
      </c>
      <c r="J61" s="22">
        <v>0</v>
      </c>
      <c r="K61" s="21"/>
      <c r="L61" s="21"/>
      <c r="M61" s="23"/>
      <c r="N61" s="70">
        <v>0</v>
      </c>
      <c r="O61" s="24"/>
    </row>
    <row r="62" spans="1:15" s="86" customFormat="1" ht="24.6" customHeight="1">
      <c r="A62" s="26">
        <v>40092</v>
      </c>
      <c r="B62" s="35" t="s">
        <v>71</v>
      </c>
      <c r="C62" s="18" t="s">
        <v>75</v>
      </c>
      <c r="D62" s="17">
        <v>1707500</v>
      </c>
      <c r="E62" s="17">
        <v>15159090</v>
      </c>
      <c r="F62" s="49">
        <v>7899811102262</v>
      </c>
      <c r="G62" s="27">
        <v>72</v>
      </c>
      <c r="H62" s="35" t="s">
        <v>73</v>
      </c>
      <c r="I62" s="17">
        <v>1</v>
      </c>
      <c r="J62" s="22">
        <v>16.459752000000002</v>
      </c>
      <c r="K62" s="21">
        <v>23.372847840000002</v>
      </c>
      <c r="L62" s="21">
        <v>26.335603200000005</v>
      </c>
      <c r="M62" s="23">
        <v>43.547287040000008</v>
      </c>
      <c r="N62" s="70">
        <v>34.837829632000009</v>
      </c>
      <c r="O62" s="71">
        <v>0</v>
      </c>
    </row>
    <row r="63" spans="1:15" s="86" customFormat="1" ht="24.6" customHeight="1">
      <c r="A63" s="26">
        <v>40118</v>
      </c>
      <c r="B63" s="35" t="s">
        <v>71</v>
      </c>
      <c r="C63" s="61" t="s">
        <v>76</v>
      </c>
      <c r="D63" s="20">
        <v>2000600</v>
      </c>
      <c r="E63" s="17">
        <v>33012911</v>
      </c>
      <c r="F63" s="49">
        <v>7899811100107</v>
      </c>
      <c r="G63" s="27">
        <v>72</v>
      </c>
      <c r="H63" s="35" t="s">
        <v>73</v>
      </c>
      <c r="I63" s="20">
        <v>1</v>
      </c>
      <c r="J63" s="22">
        <v>11.996281000000002</v>
      </c>
      <c r="K63" s="21">
        <v>17.034719020000001</v>
      </c>
      <c r="L63" s="21">
        <v>19.194049600000003</v>
      </c>
      <c r="M63" s="23">
        <v>31.573941760000004</v>
      </c>
      <c r="N63" s="70">
        <v>25.259153408000003</v>
      </c>
      <c r="O63" s="24">
        <v>3.2500000000000001E-2</v>
      </c>
    </row>
    <row r="64" spans="1:15" s="86" customFormat="1" ht="24.6" customHeight="1">
      <c r="A64" s="26">
        <v>40075</v>
      </c>
      <c r="B64" s="35" t="s">
        <v>71</v>
      </c>
      <c r="C64" s="61" t="s">
        <v>77</v>
      </c>
      <c r="D64" s="20">
        <v>2000600</v>
      </c>
      <c r="E64" s="17">
        <v>33019040</v>
      </c>
      <c r="F64" s="44">
        <v>7899811100794</v>
      </c>
      <c r="G64" s="27">
        <v>72</v>
      </c>
      <c r="H64" s="35" t="s">
        <v>73</v>
      </c>
      <c r="I64" s="20">
        <v>1</v>
      </c>
      <c r="J64" s="22">
        <v>9.9500550000000008</v>
      </c>
      <c r="K64" s="21">
        <v>14.129078100000001</v>
      </c>
      <c r="L64" s="21">
        <v>15.920088000000002</v>
      </c>
      <c r="M64" s="23">
        <v>27.774707200000009</v>
      </c>
      <c r="N64" s="70">
        <v>22.219765760000008</v>
      </c>
      <c r="O64" s="24">
        <v>3.2500000000000001E-2</v>
      </c>
    </row>
    <row r="65" spans="1:15" s="86" customFormat="1" ht="24.6" customHeight="1">
      <c r="A65" s="26">
        <v>40070</v>
      </c>
      <c r="B65" s="35" t="s">
        <v>71</v>
      </c>
      <c r="C65" s="61" t="s">
        <v>78</v>
      </c>
      <c r="D65" s="20">
        <v>2000600</v>
      </c>
      <c r="E65" s="17">
        <v>33012990</v>
      </c>
      <c r="F65" s="49">
        <v>7899811100114</v>
      </c>
      <c r="G65" s="33">
        <v>72</v>
      </c>
      <c r="H65" s="35" t="s">
        <v>73</v>
      </c>
      <c r="I65" s="17">
        <v>1</v>
      </c>
      <c r="J65" s="22">
        <v>13.435385</v>
      </c>
      <c r="K65" s="21">
        <v>19.078246699999998</v>
      </c>
      <c r="L65" s="21">
        <v>21.496616000000003</v>
      </c>
      <c r="M65" s="23">
        <v>36.150292480000012</v>
      </c>
      <c r="N65" s="70">
        <v>28.92023398400001</v>
      </c>
      <c r="O65" s="24">
        <v>3.2500000000000001E-2</v>
      </c>
    </row>
    <row r="66" spans="1:15" s="86" customFormat="1" ht="24.6" customHeight="1">
      <c r="A66" s="54">
        <v>40123</v>
      </c>
      <c r="B66" s="87" t="s">
        <v>71</v>
      </c>
      <c r="C66" s="56" t="s">
        <v>79</v>
      </c>
      <c r="D66" s="55">
        <v>2001500</v>
      </c>
      <c r="E66" s="55">
        <v>33049990</v>
      </c>
      <c r="F66" s="57">
        <v>7899811100619</v>
      </c>
      <c r="G66" s="88">
        <v>36</v>
      </c>
      <c r="H66" s="35" t="s">
        <v>73</v>
      </c>
      <c r="I66" s="58">
        <v>1</v>
      </c>
      <c r="J66" s="22">
        <v>19.664006999999998</v>
      </c>
      <c r="K66" s="21">
        <v>27.922889939999997</v>
      </c>
      <c r="L66" s="21">
        <v>31.462411199999998</v>
      </c>
      <c r="M66" s="23">
        <v>74.603151360000012</v>
      </c>
      <c r="N66" s="70">
        <v>59.682521088000016</v>
      </c>
      <c r="O66" s="24">
        <v>0.14299999999999999</v>
      </c>
    </row>
    <row r="67" spans="1:15" s="80" customFormat="1" ht="24.6" customHeight="1">
      <c r="A67" s="37">
        <v>40100</v>
      </c>
      <c r="B67" s="42" t="s">
        <v>71</v>
      </c>
      <c r="C67" s="39" t="s">
        <v>80</v>
      </c>
      <c r="D67" s="43">
        <v>2001500</v>
      </c>
      <c r="E67" s="38">
        <v>33049990</v>
      </c>
      <c r="F67" s="46">
        <v>7899811102644</v>
      </c>
      <c r="G67" s="62">
        <v>48</v>
      </c>
      <c r="H67" s="42" t="s">
        <v>73</v>
      </c>
      <c r="I67" s="43">
        <v>1</v>
      </c>
      <c r="J67" s="22">
        <v>0</v>
      </c>
      <c r="K67" s="21"/>
      <c r="L67" s="21"/>
      <c r="M67" s="23"/>
      <c r="N67" s="70">
        <v>0</v>
      </c>
      <c r="O67" s="24"/>
    </row>
    <row r="68" spans="1:15" s="80" customFormat="1" ht="24.6" customHeight="1">
      <c r="A68" s="26">
        <v>40033</v>
      </c>
      <c r="B68" s="35" t="s">
        <v>71</v>
      </c>
      <c r="C68" s="18" t="s">
        <v>81</v>
      </c>
      <c r="D68" s="20">
        <v>2000600</v>
      </c>
      <c r="E68" s="17">
        <v>33012919</v>
      </c>
      <c r="F68" s="19">
        <v>7899811100411</v>
      </c>
      <c r="G68" s="27">
        <v>72</v>
      </c>
      <c r="H68" s="35" t="s">
        <v>73</v>
      </c>
      <c r="I68" s="20">
        <v>1</v>
      </c>
      <c r="J68" s="22">
        <v>12.547188</v>
      </c>
      <c r="K68" s="21">
        <v>17.817006960000001</v>
      </c>
      <c r="L68" s="21">
        <v>20.0755008</v>
      </c>
      <c r="M68" s="23">
        <v>33.847726080000008</v>
      </c>
      <c r="N68" s="70">
        <v>27.078180864000007</v>
      </c>
      <c r="O68" s="24">
        <v>3.2500000000000001E-2</v>
      </c>
    </row>
    <row r="69" spans="1:15" s="80" customFormat="1" ht="24.6" customHeight="1">
      <c r="A69" s="37">
        <v>40170</v>
      </c>
      <c r="B69" s="42" t="s">
        <v>71</v>
      </c>
      <c r="C69" s="39" t="s">
        <v>82</v>
      </c>
      <c r="D69" s="43">
        <v>2000600</v>
      </c>
      <c r="E69" s="38">
        <v>33012100</v>
      </c>
      <c r="F69" s="46">
        <v>7899811102620</v>
      </c>
      <c r="G69" s="62">
        <v>72</v>
      </c>
      <c r="H69" s="42" t="s">
        <v>73</v>
      </c>
      <c r="I69" s="38">
        <v>1</v>
      </c>
      <c r="J69" s="22">
        <v>0</v>
      </c>
      <c r="K69" s="21"/>
      <c r="L69" s="21"/>
      <c r="M69" s="23"/>
      <c r="N69" s="70">
        <v>0</v>
      </c>
      <c r="O69" s="24"/>
    </row>
    <row r="70" spans="1:15" s="80" customFormat="1" ht="24.6" customHeight="1">
      <c r="A70" s="26">
        <v>40064</v>
      </c>
      <c r="B70" s="35" t="s">
        <v>71</v>
      </c>
      <c r="C70" s="18" t="s">
        <v>83</v>
      </c>
      <c r="D70" s="20">
        <v>2000600</v>
      </c>
      <c r="E70" s="17">
        <v>33011290</v>
      </c>
      <c r="F70" s="19">
        <v>7899811102361</v>
      </c>
      <c r="G70" s="17">
        <v>72</v>
      </c>
      <c r="H70" s="35" t="s">
        <v>73</v>
      </c>
      <c r="I70" s="20">
        <v>1</v>
      </c>
      <c r="J70" s="22">
        <v>10.411018</v>
      </c>
      <c r="K70" s="21">
        <v>14.78364556</v>
      </c>
      <c r="L70" s="21">
        <v>16.657628800000001</v>
      </c>
      <c r="M70" s="23">
        <v>28.724515840000006</v>
      </c>
      <c r="N70" s="70">
        <v>22.979612672000005</v>
      </c>
      <c r="O70" s="24">
        <v>3.2500000000000001E-2</v>
      </c>
    </row>
    <row r="71" spans="1:15" s="80" customFormat="1" ht="24.6" customHeight="1">
      <c r="A71" s="26">
        <v>40084</v>
      </c>
      <c r="B71" s="35" t="s">
        <v>71</v>
      </c>
      <c r="C71" s="18" t="s">
        <v>84</v>
      </c>
      <c r="D71" s="20">
        <v>2000600</v>
      </c>
      <c r="E71" s="17">
        <v>33012921</v>
      </c>
      <c r="F71" s="19">
        <v>7899811100701</v>
      </c>
      <c r="G71" s="27">
        <v>72</v>
      </c>
      <c r="H71" s="35" t="s">
        <v>73</v>
      </c>
      <c r="I71" s="20">
        <v>1</v>
      </c>
      <c r="J71" s="22">
        <v>17.876370000000001</v>
      </c>
      <c r="K71" s="21">
        <v>25.384445400000001</v>
      </c>
      <c r="L71" s="21">
        <v>28.602192000000002</v>
      </c>
      <c r="M71" s="23">
        <v>47.001136639999999</v>
      </c>
      <c r="N71" s="70">
        <v>37.600909311999999</v>
      </c>
      <c r="O71" s="24">
        <v>3.2500000000000001E-2</v>
      </c>
    </row>
    <row r="72" spans="1:15" s="80" customFormat="1" ht="24.6" customHeight="1">
      <c r="A72" s="26">
        <v>40091</v>
      </c>
      <c r="B72" s="35" t="s">
        <v>71</v>
      </c>
      <c r="C72" s="18" t="s">
        <v>85</v>
      </c>
      <c r="D72" s="20">
        <v>2000600</v>
      </c>
      <c r="E72" s="17">
        <v>33012914</v>
      </c>
      <c r="F72" s="49">
        <v>7899811102378</v>
      </c>
      <c r="G72" s="20">
        <v>72</v>
      </c>
      <c r="H72" s="35" t="s">
        <v>73</v>
      </c>
      <c r="I72" s="17">
        <v>1</v>
      </c>
      <c r="J72" s="22">
        <v>14.818274000000001</v>
      </c>
      <c r="K72" s="21">
        <v>21.041949079999998</v>
      </c>
      <c r="L72" s="21">
        <v>23.709238400000004</v>
      </c>
      <c r="M72" s="23">
        <v>38.970936320000007</v>
      </c>
      <c r="N72" s="70">
        <v>31.176749056000006</v>
      </c>
      <c r="O72" s="24">
        <v>3.2500000000000001E-2</v>
      </c>
    </row>
    <row r="73" spans="1:15" s="80" customFormat="1" ht="24.6" customHeight="1">
      <c r="A73" s="26">
        <v>40093</v>
      </c>
      <c r="B73" s="35" t="s">
        <v>71</v>
      </c>
      <c r="C73" s="18" t="s">
        <v>86</v>
      </c>
      <c r="D73" s="20">
        <v>2000600</v>
      </c>
      <c r="E73" s="17">
        <v>33011300</v>
      </c>
      <c r="F73" s="49">
        <v>7899811102385</v>
      </c>
      <c r="G73" s="27">
        <v>72</v>
      </c>
      <c r="H73" s="35" t="s">
        <v>73</v>
      </c>
      <c r="I73" s="17">
        <v>1</v>
      </c>
      <c r="J73" s="22">
        <v>11.434131000000001</v>
      </c>
      <c r="K73" s="21">
        <v>16.236466020000002</v>
      </c>
      <c r="L73" s="21">
        <v>18.294609600000001</v>
      </c>
      <c r="M73" s="23">
        <v>30.077273600000002</v>
      </c>
      <c r="N73" s="70">
        <v>24.061818880000004</v>
      </c>
      <c r="O73" s="24">
        <v>3.2500000000000001E-2</v>
      </c>
    </row>
    <row r="74" spans="1:15" s="80" customFormat="1" ht="24.6" customHeight="1">
      <c r="A74" s="26">
        <v>40073</v>
      </c>
      <c r="B74" s="35" t="s">
        <v>71</v>
      </c>
      <c r="C74" s="61" t="s">
        <v>87</v>
      </c>
      <c r="D74" s="20">
        <v>2000600</v>
      </c>
      <c r="E74" s="17">
        <v>33012990</v>
      </c>
      <c r="F74" s="44">
        <v>7899811100787</v>
      </c>
      <c r="G74" s="27">
        <v>72</v>
      </c>
      <c r="H74" s="35" t="s">
        <v>73</v>
      </c>
      <c r="I74" s="20">
        <v>1</v>
      </c>
      <c r="J74" s="22">
        <v>13.053123000000001</v>
      </c>
      <c r="K74" s="21">
        <v>18.53543466</v>
      </c>
      <c r="L74" s="21">
        <v>20.884996800000003</v>
      </c>
      <c r="M74" s="23">
        <v>34.308239360000009</v>
      </c>
      <c r="N74" s="70">
        <v>27.44659148800001</v>
      </c>
      <c r="O74" s="24">
        <v>3.2500000000000001E-2</v>
      </c>
    </row>
    <row r="75" spans="1:15" s="80" customFormat="1" ht="24.6" customHeight="1">
      <c r="A75" s="26">
        <v>40071</v>
      </c>
      <c r="B75" s="35" t="s">
        <v>71</v>
      </c>
      <c r="C75" s="61" t="s">
        <v>88</v>
      </c>
      <c r="D75" s="20">
        <v>2000600</v>
      </c>
      <c r="E75" s="17">
        <v>33012400</v>
      </c>
      <c r="F75" s="44">
        <v>7899811100763</v>
      </c>
      <c r="G75" s="27">
        <v>72</v>
      </c>
      <c r="H75" s="35" t="s">
        <v>73</v>
      </c>
      <c r="I75" s="20">
        <v>1</v>
      </c>
      <c r="J75" s="22">
        <v>17.606538</v>
      </c>
      <c r="K75" s="21">
        <v>25.001283959999999</v>
      </c>
      <c r="L75" s="21">
        <v>28.170460800000001</v>
      </c>
      <c r="M75" s="23">
        <v>46.195238400000015</v>
      </c>
      <c r="N75" s="70">
        <v>36.956190720000016</v>
      </c>
      <c r="O75" s="24">
        <v>3.2500000000000001E-2</v>
      </c>
    </row>
    <row r="76" spans="1:15" s="80" customFormat="1" ht="24.6" customHeight="1">
      <c r="A76" s="37">
        <v>40171</v>
      </c>
      <c r="B76" s="89" t="s">
        <v>71</v>
      </c>
      <c r="C76" s="39" t="s">
        <v>89</v>
      </c>
      <c r="D76" s="43">
        <v>2000600</v>
      </c>
      <c r="E76" s="38">
        <v>33012990</v>
      </c>
      <c r="F76" s="52">
        <v>7899811102606</v>
      </c>
      <c r="G76" s="62">
        <v>72</v>
      </c>
      <c r="H76" s="42" t="s">
        <v>73</v>
      </c>
      <c r="I76" s="38">
        <v>1</v>
      </c>
      <c r="J76" s="22">
        <v>0</v>
      </c>
      <c r="K76" s="21"/>
      <c r="L76" s="21"/>
      <c r="M76" s="23"/>
      <c r="N76" s="70">
        <v>0</v>
      </c>
      <c r="O76" s="24"/>
    </row>
    <row r="77" spans="1:15" s="80" customFormat="1" ht="24.6" customHeight="1">
      <c r="A77" s="26">
        <v>40072</v>
      </c>
      <c r="B77" s="35" t="s">
        <v>71</v>
      </c>
      <c r="C77" s="61" t="s">
        <v>90</v>
      </c>
      <c r="D77" s="17">
        <v>1707500</v>
      </c>
      <c r="E77" s="17">
        <v>15159090</v>
      </c>
      <c r="F77" s="44">
        <v>7899811100770</v>
      </c>
      <c r="G77" s="27">
        <v>72</v>
      </c>
      <c r="H77" s="35" t="s">
        <v>73</v>
      </c>
      <c r="I77" s="20">
        <v>1</v>
      </c>
      <c r="J77" s="22">
        <v>8.949428000000001</v>
      </c>
      <c r="K77" s="21">
        <v>12.708187760000001</v>
      </c>
      <c r="L77" s="21">
        <v>14.319084800000002</v>
      </c>
      <c r="M77" s="23">
        <v>26.421949440000006</v>
      </c>
      <c r="N77" s="70">
        <v>21.137559552000006</v>
      </c>
      <c r="O77" s="71">
        <v>0</v>
      </c>
    </row>
    <row r="78" spans="1:15" s="80" customFormat="1" ht="24.6" customHeight="1">
      <c r="A78" s="26">
        <v>40128</v>
      </c>
      <c r="B78" s="35" t="s">
        <v>71</v>
      </c>
      <c r="C78" s="61" t="s">
        <v>91</v>
      </c>
      <c r="D78" s="17">
        <v>1707500</v>
      </c>
      <c r="E78" s="17">
        <v>15159090</v>
      </c>
      <c r="F78" s="44">
        <v>7899811100688</v>
      </c>
      <c r="G78" s="27">
        <v>72</v>
      </c>
      <c r="H78" s="35" t="s">
        <v>73</v>
      </c>
      <c r="I78" s="20">
        <v>1</v>
      </c>
      <c r="J78" s="22">
        <v>11.153056000000001</v>
      </c>
      <c r="K78" s="21">
        <v>15.83733952</v>
      </c>
      <c r="L78" s="21">
        <v>17.844889600000002</v>
      </c>
      <c r="M78" s="23">
        <v>30.883171840000006</v>
      </c>
      <c r="N78" s="70">
        <v>24.706537472000008</v>
      </c>
      <c r="O78" s="71">
        <v>0</v>
      </c>
    </row>
    <row r="79" spans="1:15" s="80" customFormat="1" ht="24.6" customHeight="1">
      <c r="A79" s="37">
        <v>40172</v>
      </c>
      <c r="B79" s="42" t="s">
        <v>71</v>
      </c>
      <c r="C79" s="39" t="s">
        <v>92</v>
      </c>
      <c r="D79" s="43">
        <v>2000600</v>
      </c>
      <c r="E79" s="38">
        <v>33012990</v>
      </c>
      <c r="F79" s="52">
        <v>7899811102613</v>
      </c>
      <c r="G79" s="62">
        <v>72</v>
      </c>
      <c r="H79" s="42" t="s">
        <v>73</v>
      </c>
      <c r="I79" s="38">
        <v>1</v>
      </c>
      <c r="J79" s="22">
        <v>0</v>
      </c>
      <c r="K79" s="21"/>
      <c r="L79" s="21"/>
      <c r="M79" s="23"/>
      <c r="N79" s="70">
        <v>0</v>
      </c>
      <c r="O79" s="24"/>
    </row>
    <row r="80" spans="1:15" ht="24.6" customHeight="1">
      <c r="C80" s="34"/>
    </row>
    <row r="81" spans="1:15" ht="9" customHeight="1" thickBot="1">
      <c r="C81" s="34"/>
    </row>
    <row r="82" spans="1:15" s="15" customFormat="1" ht="70.900000000000006" customHeight="1" thickTop="1" thickBot="1">
      <c r="A82" s="8" t="s">
        <v>1</v>
      </c>
      <c r="B82" s="9" t="s">
        <v>2</v>
      </c>
      <c r="C82" s="9" t="s">
        <v>93</v>
      </c>
      <c r="D82" s="10" t="s">
        <v>4</v>
      </c>
      <c r="E82" s="10" t="s">
        <v>5</v>
      </c>
      <c r="F82" s="9" t="s">
        <v>6</v>
      </c>
      <c r="G82" s="9" t="s">
        <v>7</v>
      </c>
      <c r="H82" s="9" t="s">
        <v>2</v>
      </c>
      <c r="I82" s="9" t="s">
        <v>9</v>
      </c>
      <c r="J82" s="12" t="s">
        <v>10</v>
      </c>
      <c r="K82" s="11" t="s">
        <v>11</v>
      </c>
      <c r="L82" s="11" t="s">
        <v>12</v>
      </c>
      <c r="M82" s="13" t="s">
        <v>13</v>
      </c>
      <c r="N82" s="68" t="s">
        <v>14</v>
      </c>
      <c r="O82" s="14" t="s">
        <v>15</v>
      </c>
    </row>
    <row r="83" spans="1:15" s="31" customFormat="1" ht="24.6" customHeight="1" thickTop="1">
      <c r="A83" s="39">
        <v>40157</v>
      </c>
      <c r="B83" s="38" t="s">
        <v>94</v>
      </c>
      <c r="C83" s="39" t="s">
        <v>95</v>
      </c>
      <c r="D83" s="38">
        <v>2001500</v>
      </c>
      <c r="E83" s="38">
        <v>33049990</v>
      </c>
      <c r="F83" s="90">
        <v>7899811100220</v>
      </c>
      <c r="G83" s="47">
        <v>24</v>
      </c>
      <c r="H83" s="91" t="s">
        <v>96</v>
      </c>
      <c r="I83" s="43">
        <v>1</v>
      </c>
      <c r="J83" s="22">
        <v>8.6121380000000016</v>
      </c>
      <c r="K83" s="21">
        <v>12.229235960000002</v>
      </c>
      <c r="L83" s="21">
        <v>13.779420800000004</v>
      </c>
      <c r="M83" s="23">
        <v>24.637460480000005</v>
      </c>
      <c r="N83" s="70">
        <v>19.709968384000007</v>
      </c>
      <c r="O83" s="82"/>
    </row>
    <row r="84" spans="1:15" s="31" customFormat="1" ht="24.6" customHeight="1">
      <c r="A84" s="39">
        <v>40158</v>
      </c>
      <c r="B84" s="38" t="s">
        <v>94</v>
      </c>
      <c r="C84" s="39" t="s">
        <v>97</v>
      </c>
      <c r="D84" s="38">
        <v>2001500</v>
      </c>
      <c r="E84" s="38">
        <v>33049990</v>
      </c>
      <c r="F84" s="90">
        <v>7899811100367</v>
      </c>
      <c r="G84" s="47">
        <v>72</v>
      </c>
      <c r="H84" s="91" t="s">
        <v>96</v>
      </c>
      <c r="I84" s="43">
        <v>1</v>
      </c>
      <c r="J84" s="22">
        <v>2.4284880000000002</v>
      </c>
      <c r="K84" s="21">
        <v>3.44845296</v>
      </c>
      <c r="L84" s="21">
        <v>3.8855808000000005</v>
      </c>
      <c r="M84" s="23">
        <v>7.3394304000000012</v>
      </c>
      <c r="N84" s="70">
        <v>5.8715443200000017</v>
      </c>
      <c r="O84" s="82"/>
    </row>
    <row r="85" spans="1:15" s="31" customFormat="1" ht="24.6" customHeight="1">
      <c r="A85" s="92">
        <v>40066</v>
      </c>
      <c r="B85" s="17" t="s">
        <v>16</v>
      </c>
      <c r="C85" s="93" t="s">
        <v>98</v>
      </c>
      <c r="D85" s="17">
        <v>2001500</v>
      </c>
      <c r="E85" s="17">
        <v>33049990</v>
      </c>
      <c r="F85" s="94">
        <v>7899811100664</v>
      </c>
      <c r="G85" s="48">
        <v>72</v>
      </c>
      <c r="H85" s="91" t="s">
        <v>96</v>
      </c>
      <c r="I85" s="20">
        <v>1</v>
      </c>
      <c r="J85" s="22">
        <v>5.0593500000000002</v>
      </c>
      <c r="K85" s="21">
        <v>7.1842769999999998</v>
      </c>
      <c r="L85" s="21">
        <v>8.0949600000000004</v>
      </c>
      <c r="M85" s="23">
        <v>14.563732479999999</v>
      </c>
      <c r="N85" s="70">
        <v>11.650985984</v>
      </c>
      <c r="O85" s="24">
        <v>0.14299999999999999</v>
      </c>
    </row>
    <row r="86" spans="1:15" s="72" customFormat="1" ht="24.6" customHeight="1">
      <c r="A86" s="18">
        <v>40138</v>
      </c>
      <c r="B86" s="17" t="s">
        <v>94</v>
      </c>
      <c r="C86" s="18" t="s">
        <v>99</v>
      </c>
      <c r="D86" s="17">
        <v>2001500</v>
      </c>
      <c r="E86" s="17">
        <v>33049990</v>
      </c>
      <c r="F86" s="95">
        <v>7899811102156</v>
      </c>
      <c r="G86" s="20">
        <v>50</v>
      </c>
      <c r="H86" s="91" t="s">
        <v>96</v>
      </c>
      <c r="I86" s="20">
        <v>1</v>
      </c>
      <c r="J86" s="22">
        <v>5.7451730000000012</v>
      </c>
      <c r="K86" s="21">
        <v>8.1581456600000006</v>
      </c>
      <c r="L86" s="21">
        <v>9.1922768000000019</v>
      </c>
      <c r="M86" s="23">
        <v>17.096555520000006</v>
      </c>
      <c r="N86" s="70">
        <v>13.677244416000006</v>
      </c>
      <c r="O86" s="24">
        <v>0.14299999999999999</v>
      </c>
    </row>
    <row r="87" spans="1:15" s="72" customFormat="1" ht="24.6" customHeight="1">
      <c r="A87" s="18">
        <v>40139</v>
      </c>
      <c r="B87" s="17" t="s">
        <v>94</v>
      </c>
      <c r="C87" s="18" t="s">
        <v>100</v>
      </c>
      <c r="D87" s="17">
        <v>2001500</v>
      </c>
      <c r="E87" s="17">
        <v>33049990</v>
      </c>
      <c r="F87" s="95">
        <v>7899811102149</v>
      </c>
      <c r="G87" s="50">
        <v>50</v>
      </c>
      <c r="H87" s="91" t="s">
        <v>96</v>
      </c>
      <c r="I87" s="20">
        <v>1</v>
      </c>
      <c r="J87" s="22">
        <v>7.4091370000000003</v>
      </c>
      <c r="K87" s="21">
        <v>10.520974539999999</v>
      </c>
      <c r="L87" s="21">
        <v>11.854619200000002</v>
      </c>
      <c r="M87" s="23">
        <v>21.413867520000007</v>
      </c>
      <c r="N87" s="70">
        <v>17.131094016000006</v>
      </c>
      <c r="O87" s="24">
        <v>0</v>
      </c>
    </row>
    <row r="88" spans="1:15" s="96" customFormat="1" ht="24.6" customHeight="1">
      <c r="A88" s="18">
        <v>40155</v>
      </c>
      <c r="B88" s="17" t="s">
        <v>94</v>
      </c>
      <c r="C88" s="18" t="s">
        <v>101</v>
      </c>
      <c r="D88" s="17">
        <v>2001500</v>
      </c>
      <c r="E88" s="17">
        <v>33049990</v>
      </c>
      <c r="F88" s="94">
        <v>7899811100183</v>
      </c>
      <c r="G88" s="48">
        <v>72</v>
      </c>
      <c r="H88" s="91" t="s">
        <v>96</v>
      </c>
      <c r="I88" s="20">
        <v>1</v>
      </c>
      <c r="J88" s="22">
        <v>3.8563490000000002</v>
      </c>
      <c r="K88" s="21">
        <v>5.4760155800000003</v>
      </c>
      <c r="L88" s="21">
        <v>6.1701584000000009</v>
      </c>
      <c r="M88" s="23">
        <v>11.484049920000004</v>
      </c>
      <c r="N88" s="70">
        <v>9.1872399360000028</v>
      </c>
      <c r="O88" s="82"/>
    </row>
    <row r="89" spans="1:15" s="86" customFormat="1" ht="24.6" customHeight="1">
      <c r="A89" s="39">
        <v>40164</v>
      </c>
      <c r="B89" s="38" t="s">
        <v>94</v>
      </c>
      <c r="C89" s="39" t="s">
        <v>102</v>
      </c>
      <c r="D89" s="38">
        <v>2002500</v>
      </c>
      <c r="E89" s="97">
        <v>33069000</v>
      </c>
      <c r="F89" s="90">
        <v>7899811100305</v>
      </c>
      <c r="G89" s="47">
        <v>48</v>
      </c>
      <c r="H89" s="38" t="s">
        <v>96</v>
      </c>
      <c r="I89" s="43">
        <v>1</v>
      </c>
      <c r="J89" s="22">
        <v>0</v>
      </c>
      <c r="K89" s="21">
        <v>0</v>
      </c>
      <c r="L89" s="21">
        <v>0</v>
      </c>
      <c r="M89" s="23">
        <v>0</v>
      </c>
      <c r="N89" s="70">
        <v>0</v>
      </c>
      <c r="O89" s="82"/>
    </row>
    <row r="90" spans="1:15" s="86" customFormat="1" ht="24.6" customHeight="1">
      <c r="A90" s="39">
        <v>40058</v>
      </c>
      <c r="B90" s="38" t="s">
        <v>94</v>
      </c>
      <c r="C90" s="63" t="s">
        <v>103</v>
      </c>
      <c r="D90" s="38">
        <v>2002500</v>
      </c>
      <c r="E90" s="38">
        <v>33069000</v>
      </c>
      <c r="F90" s="90">
        <v>7899811100671</v>
      </c>
      <c r="G90" s="47">
        <v>96</v>
      </c>
      <c r="H90" s="38" t="s">
        <v>96</v>
      </c>
      <c r="I90" s="43">
        <v>1</v>
      </c>
      <c r="J90" s="22">
        <v>0</v>
      </c>
      <c r="K90" s="21"/>
      <c r="L90" s="21"/>
      <c r="M90" s="23"/>
      <c r="N90" s="70">
        <v>0</v>
      </c>
      <c r="O90" s="24"/>
    </row>
    <row r="91" spans="1:15" s="86" customFormat="1" ht="24.6" customHeight="1">
      <c r="A91" s="18">
        <v>40107</v>
      </c>
      <c r="B91" s="17" t="s">
        <v>94</v>
      </c>
      <c r="C91" s="61" t="s">
        <v>104</v>
      </c>
      <c r="D91" s="17"/>
      <c r="E91" s="20">
        <v>15200010</v>
      </c>
      <c r="F91" s="49">
        <v>7899811102415</v>
      </c>
      <c r="G91" s="48">
        <v>96</v>
      </c>
      <c r="H91" s="91" t="s">
        <v>96</v>
      </c>
      <c r="I91" s="20">
        <v>1</v>
      </c>
      <c r="J91" s="22">
        <v>4.3285550000000006</v>
      </c>
      <c r="K91" s="21">
        <v>6.1465481000000004</v>
      </c>
      <c r="L91" s="21">
        <v>6.925688000000001</v>
      </c>
      <c r="M91" s="23">
        <v>11.944563200000005</v>
      </c>
      <c r="N91" s="70">
        <v>9.5556505600000037</v>
      </c>
      <c r="O91" s="24">
        <v>4.5499999999999999E-2</v>
      </c>
    </row>
    <row r="92" spans="1:15" s="86" customFormat="1" ht="24.6" customHeight="1">
      <c r="A92" s="26">
        <v>40058</v>
      </c>
      <c r="B92" s="17" t="s">
        <v>16</v>
      </c>
      <c r="C92" s="18" t="s">
        <v>105</v>
      </c>
      <c r="D92" s="17">
        <v>2002500</v>
      </c>
      <c r="E92" s="17">
        <v>33069000</v>
      </c>
      <c r="F92" s="32">
        <v>7899811100671</v>
      </c>
      <c r="G92" s="33">
        <v>96</v>
      </c>
      <c r="H92" s="91" t="s">
        <v>96</v>
      </c>
      <c r="I92" s="20">
        <v>1</v>
      </c>
      <c r="J92" s="22">
        <v>5.4416120000000001</v>
      </c>
      <c r="K92" s="21">
        <v>7.7270890400000001</v>
      </c>
      <c r="L92" s="21">
        <v>8.7065792000000002</v>
      </c>
      <c r="M92" s="23">
        <v>16.837516800000003</v>
      </c>
      <c r="N92" s="70">
        <v>13.470013440000002</v>
      </c>
      <c r="O92" s="71">
        <v>0</v>
      </c>
    </row>
    <row r="93" spans="1:15" s="80" customFormat="1" ht="24.6" customHeight="1">
      <c r="A93" s="54">
        <v>40010</v>
      </c>
      <c r="B93" s="55" t="s">
        <v>16</v>
      </c>
      <c r="C93" s="56" t="s">
        <v>106</v>
      </c>
      <c r="D93" s="55">
        <v>2001500</v>
      </c>
      <c r="E93" s="55">
        <v>33049990</v>
      </c>
      <c r="F93" s="57">
        <v>7899811100442</v>
      </c>
      <c r="G93" s="58">
        <v>12</v>
      </c>
      <c r="H93" s="91" t="s">
        <v>96</v>
      </c>
      <c r="I93" s="79">
        <v>1</v>
      </c>
      <c r="J93" s="22">
        <v>8.6121380000000016</v>
      </c>
      <c r="K93" s="21">
        <v>12.229235960000002</v>
      </c>
      <c r="L93" s="21">
        <v>13.779420800000004</v>
      </c>
      <c r="M93" s="23">
        <v>24.637460480000005</v>
      </c>
      <c r="N93" s="70">
        <v>19.709968384000007</v>
      </c>
      <c r="O93" s="82"/>
    </row>
    <row r="94" spans="1:15" s="86" customFormat="1" ht="24.6" customHeight="1">
      <c r="A94" s="98">
        <v>40022</v>
      </c>
      <c r="B94" s="99" t="s">
        <v>16</v>
      </c>
      <c r="C94" s="100" t="s">
        <v>107</v>
      </c>
      <c r="D94" s="99">
        <v>2001500</v>
      </c>
      <c r="E94" s="55">
        <v>33049990</v>
      </c>
      <c r="F94" s="57">
        <v>7899811100084</v>
      </c>
      <c r="G94" s="58">
        <v>48</v>
      </c>
      <c r="H94" s="91" t="s">
        <v>96</v>
      </c>
      <c r="I94" s="79">
        <v>1</v>
      </c>
      <c r="J94" s="22">
        <v>2.4284880000000002</v>
      </c>
      <c r="K94" s="21">
        <v>3.44845296</v>
      </c>
      <c r="L94" s="21">
        <v>3.8855808000000005</v>
      </c>
      <c r="M94" s="23">
        <v>7.3394304000000012</v>
      </c>
      <c r="N94" s="70">
        <v>5.8715443200000017</v>
      </c>
      <c r="O94" s="82"/>
    </row>
    <row r="95" spans="1:15" s="86" customFormat="1" ht="24.6" customHeight="1">
      <c r="A95" s="18">
        <v>40056</v>
      </c>
      <c r="B95" s="17" t="s">
        <v>94</v>
      </c>
      <c r="C95" s="18" t="s">
        <v>108</v>
      </c>
      <c r="D95" s="17">
        <v>2002900</v>
      </c>
      <c r="E95" s="17">
        <v>33072090</v>
      </c>
      <c r="F95" s="101">
        <v>7899811100404</v>
      </c>
      <c r="G95" s="48">
        <v>120</v>
      </c>
      <c r="H95" s="91" t="s">
        <v>96</v>
      </c>
      <c r="I95" s="43">
        <v>1</v>
      </c>
      <c r="J95" s="22">
        <v>3.5865170000000002</v>
      </c>
      <c r="K95" s="21">
        <v>5.09285414</v>
      </c>
      <c r="L95" s="21">
        <v>5.7384272000000003</v>
      </c>
      <c r="M95" s="23">
        <v>9.8722534400000015</v>
      </c>
      <c r="N95" s="70">
        <v>7.8978027520000014</v>
      </c>
      <c r="O95" s="82"/>
    </row>
    <row r="96" spans="1:15" s="86" customFormat="1" ht="24.6" customHeight="1">
      <c r="A96" s="18">
        <v>40088</v>
      </c>
      <c r="B96" s="17" t="s">
        <v>94</v>
      </c>
      <c r="C96" s="18" t="s">
        <v>109</v>
      </c>
      <c r="D96" s="20">
        <v>2002000</v>
      </c>
      <c r="E96" s="20">
        <v>33074900</v>
      </c>
      <c r="F96" s="49">
        <v>7899811102453</v>
      </c>
      <c r="G96" s="48">
        <v>96</v>
      </c>
      <c r="H96" s="91" t="s">
        <v>96</v>
      </c>
      <c r="I96" s="20">
        <v>1</v>
      </c>
      <c r="J96" s="22">
        <v>5.3853970000000002</v>
      </c>
      <c r="K96" s="21">
        <v>7.6472637399999996</v>
      </c>
      <c r="L96" s="21">
        <v>8.616635200000001</v>
      </c>
      <c r="M96" s="23">
        <v>15.312066560000003</v>
      </c>
      <c r="N96" s="70">
        <v>12.249653248000003</v>
      </c>
      <c r="O96" s="24">
        <v>0.14299999999999999</v>
      </c>
    </row>
    <row r="97" spans="1:15" s="86" customFormat="1" ht="24.6" customHeight="1">
      <c r="A97" s="18">
        <v>40154</v>
      </c>
      <c r="B97" s="17" t="s">
        <v>94</v>
      </c>
      <c r="C97" s="18" t="s">
        <v>110</v>
      </c>
      <c r="D97" s="17">
        <v>2001500</v>
      </c>
      <c r="E97" s="17">
        <v>33049990</v>
      </c>
      <c r="F97" s="49">
        <v>7899811102484</v>
      </c>
      <c r="G97" s="20">
        <v>96</v>
      </c>
      <c r="H97" s="91" t="s">
        <v>96</v>
      </c>
      <c r="I97" s="17">
        <v>1</v>
      </c>
      <c r="J97" s="22">
        <v>6.689585000000001</v>
      </c>
      <c r="K97" s="21">
        <v>9.4992107000000008</v>
      </c>
      <c r="L97" s="21">
        <v>10.703336000000002</v>
      </c>
      <c r="M97" s="23">
        <v>17.960017920000006</v>
      </c>
      <c r="N97" s="70">
        <v>14.368014336000005</v>
      </c>
      <c r="O97" s="24">
        <v>3.2500000000000001E-2</v>
      </c>
    </row>
    <row r="98" spans="1:15" s="86" customFormat="1" ht="24.6" customHeight="1">
      <c r="A98" s="18">
        <v>40153</v>
      </c>
      <c r="B98" s="17" t="s">
        <v>94</v>
      </c>
      <c r="C98" s="18" t="s">
        <v>111</v>
      </c>
      <c r="D98" s="17">
        <v>2001500</v>
      </c>
      <c r="E98" s="17">
        <v>33049990</v>
      </c>
      <c r="F98" s="49">
        <v>7899811102491</v>
      </c>
      <c r="G98" s="20">
        <v>96</v>
      </c>
      <c r="H98" s="91" t="s">
        <v>96</v>
      </c>
      <c r="I98" s="17">
        <v>1</v>
      </c>
      <c r="J98" s="22">
        <v>6.689585000000001</v>
      </c>
      <c r="K98" s="21">
        <v>9.4992107000000008</v>
      </c>
      <c r="L98" s="21">
        <v>10.703336000000002</v>
      </c>
      <c r="M98" s="23">
        <v>17.960017920000006</v>
      </c>
      <c r="N98" s="70">
        <v>14.368014336000005</v>
      </c>
      <c r="O98" s="24">
        <v>3.2500000000000001E-2</v>
      </c>
    </row>
    <row r="99" spans="1:15" s="86" customFormat="1" ht="24.6" customHeight="1">
      <c r="A99" s="18">
        <v>40159</v>
      </c>
      <c r="B99" s="17" t="s">
        <v>94</v>
      </c>
      <c r="C99" s="18" t="s">
        <v>112</v>
      </c>
      <c r="D99" s="17">
        <v>2803500</v>
      </c>
      <c r="E99" s="17">
        <v>34013000</v>
      </c>
      <c r="F99" s="94">
        <v>7899811100480</v>
      </c>
      <c r="G99" s="48">
        <v>24</v>
      </c>
      <c r="H99" s="91" t="s">
        <v>96</v>
      </c>
      <c r="I99" s="20">
        <v>1</v>
      </c>
      <c r="J99" s="22">
        <v>11.119327000000002</v>
      </c>
      <c r="K99" s="21">
        <v>15.789444340000003</v>
      </c>
      <c r="L99" s="21">
        <v>17.790923200000005</v>
      </c>
      <c r="M99" s="23">
        <v>32.092019200000003</v>
      </c>
      <c r="N99" s="70">
        <v>25.673615360000003</v>
      </c>
      <c r="O99" s="24">
        <v>0.14299999999999999</v>
      </c>
    </row>
    <row r="100" spans="1:15" s="86" customFormat="1" ht="24.6" customHeight="1">
      <c r="A100" s="26">
        <v>40120</v>
      </c>
      <c r="B100" s="17" t="s">
        <v>94</v>
      </c>
      <c r="C100" s="18" t="s">
        <v>113</v>
      </c>
      <c r="D100" s="17"/>
      <c r="E100" s="17">
        <v>27129000</v>
      </c>
      <c r="F100" s="19">
        <v>7899811100817</v>
      </c>
      <c r="G100" s="48">
        <v>216</v>
      </c>
      <c r="H100" s="91" t="s">
        <v>96</v>
      </c>
      <c r="I100" s="20">
        <v>1</v>
      </c>
      <c r="J100" s="22">
        <v>2.7882640000000003</v>
      </c>
      <c r="K100" s="21">
        <v>3.9593348800000001</v>
      </c>
      <c r="L100" s="21">
        <v>4.4612224000000005</v>
      </c>
      <c r="M100" s="23">
        <v>7.3682124800000013</v>
      </c>
      <c r="N100" s="70">
        <v>5.8945699840000012</v>
      </c>
      <c r="O100" s="71">
        <v>0</v>
      </c>
    </row>
    <row r="101" spans="1:15" s="86" customFormat="1" ht="24.6" customHeight="1">
      <c r="A101" s="26">
        <v>40121</v>
      </c>
      <c r="B101" s="17" t="s">
        <v>94</v>
      </c>
      <c r="C101" s="18" t="s">
        <v>114</v>
      </c>
      <c r="D101" s="17"/>
      <c r="E101" s="17">
        <v>27129000</v>
      </c>
      <c r="F101" s="19">
        <v>7899811100848</v>
      </c>
      <c r="G101" s="48">
        <v>96</v>
      </c>
      <c r="H101" s="91" t="s">
        <v>96</v>
      </c>
      <c r="I101" s="20">
        <v>1</v>
      </c>
      <c r="J101" s="22">
        <v>4.7782750000000007</v>
      </c>
      <c r="K101" s="21">
        <v>6.7851505000000003</v>
      </c>
      <c r="L101" s="21">
        <v>7.6452400000000011</v>
      </c>
      <c r="M101" s="23">
        <v>12.635333120000002</v>
      </c>
      <c r="N101" s="70">
        <v>10.108266496000002</v>
      </c>
      <c r="O101" s="71">
        <v>0</v>
      </c>
    </row>
    <row r="102" spans="1:15" s="96" customFormat="1" ht="24.6" customHeight="1">
      <c r="A102" s="26">
        <v>40054</v>
      </c>
      <c r="B102" s="17" t="s">
        <v>94</v>
      </c>
      <c r="C102" s="18" t="s">
        <v>115</v>
      </c>
      <c r="D102" s="20">
        <v>2002000</v>
      </c>
      <c r="E102" s="20">
        <v>33074900</v>
      </c>
      <c r="F102" s="19">
        <v>7899811102521</v>
      </c>
      <c r="G102" s="48">
        <v>96</v>
      </c>
      <c r="H102" s="91" t="s">
        <v>96</v>
      </c>
      <c r="I102" s="20">
        <v>1</v>
      </c>
      <c r="J102" s="22">
        <v>4.9356770000000001</v>
      </c>
      <c r="K102" s="21">
        <v>7.0086613399999997</v>
      </c>
      <c r="L102" s="21">
        <v>7.8970832000000009</v>
      </c>
      <c r="M102" s="23">
        <v>14.160783360000003</v>
      </c>
      <c r="N102" s="70">
        <v>11.328626688000003</v>
      </c>
      <c r="O102" s="24">
        <v>0.14299999999999999</v>
      </c>
    </row>
    <row r="103" spans="1:15" s="86" customFormat="1" ht="24.6" customHeight="1">
      <c r="A103" s="18">
        <v>40168</v>
      </c>
      <c r="B103" s="17" t="s">
        <v>94</v>
      </c>
      <c r="C103" s="18" t="s">
        <v>116</v>
      </c>
      <c r="D103" s="20">
        <v>2000200</v>
      </c>
      <c r="E103" s="20">
        <v>27129000</v>
      </c>
      <c r="F103" s="49">
        <v>7899811102460</v>
      </c>
      <c r="G103" s="20">
        <v>96</v>
      </c>
      <c r="H103" s="91" t="s">
        <v>96</v>
      </c>
      <c r="I103" s="20">
        <v>1</v>
      </c>
      <c r="J103" s="22">
        <v>4.5309290000000004</v>
      </c>
      <c r="K103" s="21">
        <v>6.4339191800000002</v>
      </c>
      <c r="L103" s="21">
        <v>7.2494864000000012</v>
      </c>
      <c r="M103" s="23">
        <v>11.886999040000001</v>
      </c>
      <c r="N103" s="70">
        <v>9.5095992320000011</v>
      </c>
      <c r="O103" s="24">
        <v>0.14299999999999999</v>
      </c>
    </row>
    <row r="104" spans="1:15" s="45" customFormat="1" ht="13.15" customHeight="1">
      <c r="A104" s="102"/>
      <c r="B104" s="103"/>
      <c r="C104" s="104"/>
      <c r="D104" s="105"/>
      <c r="E104" s="105"/>
      <c r="F104" s="106"/>
      <c r="G104" s="107"/>
      <c r="H104" s="108"/>
      <c r="I104" s="109"/>
      <c r="J104" s="110"/>
      <c r="K104" s="110"/>
      <c r="L104" s="110"/>
      <c r="M104" s="110"/>
      <c r="N104" s="110"/>
      <c r="O104" s="111"/>
    </row>
    <row r="105" spans="1:15" s="45" customFormat="1" ht="8.4499999999999993" customHeight="1" thickBot="1">
      <c r="A105" s="112"/>
      <c r="B105" s="113"/>
      <c r="C105" s="114"/>
      <c r="D105" s="115"/>
      <c r="E105" s="115"/>
      <c r="F105" s="116"/>
      <c r="G105" s="117"/>
      <c r="H105" s="118"/>
      <c r="I105" s="109"/>
      <c r="J105" s="110"/>
      <c r="K105" s="110"/>
      <c r="L105" s="110"/>
      <c r="M105" s="110"/>
      <c r="N105" s="110"/>
      <c r="O105" s="119"/>
    </row>
    <row r="106" spans="1:15" s="15" customFormat="1" ht="70.150000000000006" customHeight="1" thickTop="1" thickBot="1">
      <c r="A106" s="8" t="s">
        <v>1</v>
      </c>
      <c r="B106" s="9" t="s">
        <v>2</v>
      </c>
      <c r="C106" s="9" t="s">
        <v>117</v>
      </c>
      <c r="D106" s="10" t="s">
        <v>4</v>
      </c>
      <c r="E106" s="10" t="s">
        <v>5</v>
      </c>
      <c r="F106" s="9" t="s">
        <v>6</v>
      </c>
      <c r="G106" s="9" t="s">
        <v>7</v>
      </c>
      <c r="H106" s="9" t="s">
        <v>2</v>
      </c>
      <c r="I106" s="9" t="s">
        <v>9</v>
      </c>
      <c r="J106" s="12" t="s">
        <v>10</v>
      </c>
      <c r="K106" s="11" t="s">
        <v>11</v>
      </c>
      <c r="L106" s="11" t="s">
        <v>12</v>
      </c>
      <c r="M106" s="13" t="s">
        <v>13</v>
      </c>
      <c r="N106" s="68" t="s">
        <v>14</v>
      </c>
      <c r="O106" s="14" t="s">
        <v>15</v>
      </c>
    </row>
    <row r="107" spans="1:15" s="84" customFormat="1" ht="24.6" customHeight="1" thickTop="1">
      <c r="A107" s="26">
        <v>40111</v>
      </c>
      <c r="B107" s="17" t="s">
        <v>118</v>
      </c>
      <c r="C107" s="18" t="s">
        <v>119</v>
      </c>
      <c r="D107" s="17">
        <v>2001500</v>
      </c>
      <c r="E107" s="17">
        <v>33049990</v>
      </c>
      <c r="F107" s="19">
        <v>7899811100022</v>
      </c>
      <c r="G107" s="48">
        <v>72</v>
      </c>
      <c r="H107" s="35" t="s">
        <v>118</v>
      </c>
      <c r="I107" s="20">
        <v>1</v>
      </c>
      <c r="J107" s="22">
        <v>8.3085769999999997</v>
      </c>
      <c r="K107" s="21">
        <v>11.798179339999999</v>
      </c>
      <c r="L107" s="21">
        <v>13.293723200000001</v>
      </c>
      <c r="M107" s="23">
        <v>25.587269120000009</v>
      </c>
      <c r="N107" s="70">
        <v>20.469815296000007</v>
      </c>
      <c r="O107" s="24">
        <v>0.14299999999999999</v>
      </c>
    </row>
    <row r="108" spans="1:15" ht="24.6" customHeight="1">
      <c r="C108" s="34"/>
    </row>
    <row r="109" spans="1:15" ht="24.6" customHeight="1">
      <c r="C109" s="120" t="s">
        <v>120</v>
      </c>
    </row>
    <row r="110" spans="1:15" ht="24.6" customHeight="1">
      <c r="C110" s="121" t="s">
        <v>121</v>
      </c>
    </row>
    <row r="111" spans="1:15" ht="24.6" customHeight="1">
      <c r="C111" s="122" t="s">
        <v>122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6"/>
  <sheetViews>
    <sheetView workbookViewId="0">
      <selection activeCell="L4" sqref="L4"/>
    </sheetView>
  </sheetViews>
  <sheetFormatPr defaultColWidth="8.875" defaultRowHeight="12"/>
  <cols>
    <col min="1" max="1" width="6.25" style="64" customWidth="1"/>
    <col min="2" max="2" width="6.25" style="2" customWidth="1"/>
    <col min="3" max="3" width="35.375" style="81" customWidth="1"/>
    <col min="4" max="4" width="8.25" style="34" customWidth="1"/>
    <col min="5" max="5" width="9.875" style="65" customWidth="1"/>
    <col min="6" max="6" width="14.625" style="2" customWidth="1"/>
    <col min="7" max="7" width="6.125" style="65" customWidth="1"/>
    <col min="8" max="8" width="7.125" style="65" customWidth="1"/>
    <col min="9" max="9" width="4.25" style="65" customWidth="1"/>
    <col min="10" max="10" width="9.25" style="66" customWidth="1"/>
    <col min="11" max="11" width="12.875" style="66" bestFit="1" customWidth="1"/>
    <col min="12" max="13" width="8.875" style="34"/>
    <col min="14" max="14" width="9.125" style="34" bestFit="1" customWidth="1"/>
    <col min="15" max="16384" width="8.875" style="34"/>
  </cols>
  <sheetData>
    <row r="1" spans="1:11" s="3" customFormat="1" ht="24.6" customHeight="1" thickBot="1">
      <c r="A1" s="1" t="s">
        <v>0</v>
      </c>
      <c r="B1" s="2"/>
      <c r="D1" s="4"/>
      <c r="E1" s="5"/>
      <c r="F1" s="5"/>
      <c r="G1" s="5"/>
      <c r="H1" s="5"/>
      <c r="I1" s="4"/>
      <c r="J1" s="6" t="s">
        <v>128</v>
      </c>
      <c r="K1" s="141">
        <f>SUM(K3:K92)</f>
        <v>0</v>
      </c>
    </row>
    <row r="2" spans="1:11" s="15" customFormat="1" ht="70.150000000000006" customHeight="1" thickTop="1" thickBot="1">
      <c r="A2" s="8" t="s">
        <v>1</v>
      </c>
      <c r="B2" s="9" t="s">
        <v>2</v>
      </c>
      <c r="C2" s="9" t="s">
        <v>3</v>
      </c>
      <c r="D2" s="10" t="s">
        <v>4</v>
      </c>
      <c r="E2" s="10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12" t="s">
        <v>10</v>
      </c>
      <c r="K2" s="9" t="s">
        <v>127</v>
      </c>
    </row>
    <row r="3" spans="1:11" s="25" customFormat="1" ht="24.6" customHeight="1" thickTop="1">
      <c r="A3" s="16">
        <v>40061</v>
      </c>
      <c r="B3" s="17" t="s">
        <v>16</v>
      </c>
      <c r="C3" s="18" t="s">
        <v>17</v>
      </c>
      <c r="D3" s="17">
        <v>2001500</v>
      </c>
      <c r="E3" s="17">
        <v>33049990</v>
      </c>
      <c r="F3" s="19">
        <v>7899811102354</v>
      </c>
      <c r="G3" s="20">
        <v>35</v>
      </c>
      <c r="H3" s="17" t="s">
        <v>18</v>
      </c>
      <c r="I3" s="136"/>
      <c r="J3" s="22">
        <v>21.97</v>
      </c>
      <c r="K3" s="21">
        <f>Tabela18287389[[#This Row],[CAIXA MÁSTER]]*Tabela18287389[[#This Row],[QUANT.]]*Tabela18287389[[#This Row],[3 DISTRIBUIDOR P12]]</f>
        <v>0</v>
      </c>
    </row>
    <row r="4" spans="1:11" s="29" customFormat="1" ht="24.6" customHeight="1">
      <c r="A4" s="26">
        <v>40017</v>
      </c>
      <c r="B4" s="17" t="s">
        <v>16</v>
      </c>
      <c r="C4" s="18" t="s">
        <v>123</v>
      </c>
      <c r="D4" s="17">
        <v>2001500</v>
      </c>
      <c r="E4" s="17">
        <v>33049990</v>
      </c>
      <c r="F4" s="19">
        <v>7899811100190</v>
      </c>
      <c r="G4" s="27">
        <v>48</v>
      </c>
      <c r="H4" s="28" t="s">
        <v>19</v>
      </c>
      <c r="I4" s="136"/>
      <c r="J4" s="22">
        <v>12.704590000000001</v>
      </c>
      <c r="K4" s="21">
        <f>Tabela18287389[[#This Row],[CAIXA MÁSTER]]*Tabela18287389[[#This Row],[QUANT.]]*Tabela18287389[[#This Row],[3 DISTRIBUIDOR P12]]</f>
        <v>0</v>
      </c>
    </row>
    <row r="5" spans="1:11" s="30" customFormat="1" ht="24.6" customHeight="1">
      <c r="A5" s="26">
        <v>40062</v>
      </c>
      <c r="B5" s="17" t="s">
        <v>16</v>
      </c>
      <c r="C5" s="18" t="s">
        <v>20</v>
      </c>
      <c r="D5" s="17">
        <v>2001500</v>
      </c>
      <c r="E5" s="17">
        <v>33049990</v>
      </c>
      <c r="F5" s="19">
        <v>7899811100572</v>
      </c>
      <c r="G5" s="27">
        <v>60</v>
      </c>
      <c r="H5" s="17" t="s">
        <v>21</v>
      </c>
      <c r="I5" s="136"/>
      <c r="J5" s="22">
        <v>8.65</v>
      </c>
      <c r="K5" s="21">
        <f>Tabela18287389[[#This Row],[CAIXA MÁSTER]]*Tabela18287389[[#This Row],[QUANT.]]*Tabela18287389[[#This Row],[3 DISTRIBUIDOR P12]]</f>
        <v>0</v>
      </c>
    </row>
    <row r="6" spans="1:11" s="31" customFormat="1" ht="24.6" customHeight="1">
      <c r="A6" s="26">
        <v>40096</v>
      </c>
      <c r="B6" s="17" t="s">
        <v>16</v>
      </c>
      <c r="C6" s="18" t="s">
        <v>22</v>
      </c>
      <c r="D6" s="17">
        <v>2001500</v>
      </c>
      <c r="E6" s="17">
        <v>33049990</v>
      </c>
      <c r="F6" s="19">
        <v>7899811102200</v>
      </c>
      <c r="G6" s="20">
        <v>60</v>
      </c>
      <c r="H6" s="28" t="s">
        <v>21</v>
      </c>
      <c r="I6" s="136"/>
      <c r="J6" s="22">
        <v>14.289853000000003</v>
      </c>
      <c r="K6" s="21">
        <f>Tabela18287389[[#This Row],[CAIXA MÁSTER]]*Tabela18287389[[#This Row],[QUANT.]]*Tabela18287389[[#This Row],[3 DISTRIBUIDOR P12]]</f>
        <v>0</v>
      </c>
    </row>
    <row r="7" spans="1:11" ht="24.6" customHeight="1">
      <c r="A7" s="26">
        <v>40087</v>
      </c>
      <c r="B7" s="17" t="s">
        <v>16</v>
      </c>
      <c r="C7" s="18" t="s">
        <v>23</v>
      </c>
      <c r="D7" s="17">
        <v>2001500</v>
      </c>
      <c r="E7" s="17">
        <v>33049990</v>
      </c>
      <c r="F7" s="32">
        <v>7899811100152</v>
      </c>
      <c r="G7" s="33">
        <v>96</v>
      </c>
      <c r="H7" s="17" t="s">
        <v>19</v>
      </c>
      <c r="I7" s="136"/>
      <c r="J7" s="22">
        <v>9.6689799999999995</v>
      </c>
      <c r="K7" s="21">
        <f>Tabela18287389[[#This Row],[CAIXA MÁSTER]]*Tabela18287389[[#This Row],[QUANT.]]*Tabela18287389[[#This Row],[3 DISTRIBUIDOR P12]]</f>
        <v>0</v>
      </c>
    </row>
    <row r="8" spans="1:11" s="36" customFormat="1" ht="24.6" customHeight="1">
      <c r="A8" s="26">
        <v>40013</v>
      </c>
      <c r="B8" s="17" t="s">
        <v>16</v>
      </c>
      <c r="C8" s="18" t="s">
        <v>124</v>
      </c>
      <c r="D8" s="17">
        <v>2001500</v>
      </c>
      <c r="E8" s="17">
        <v>33049990</v>
      </c>
      <c r="F8" s="32">
        <v>7899811102217</v>
      </c>
      <c r="G8" s="33">
        <v>48</v>
      </c>
      <c r="H8" s="35" t="s">
        <v>18</v>
      </c>
      <c r="I8" s="136"/>
      <c r="J8" s="22">
        <v>11.1</v>
      </c>
      <c r="K8" s="21">
        <f>Tabela18287389[[#This Row],[CAIXA MÁSTER]]*Tabela18287389[[#This Row],[QUANT.]]*Tabela18287389[[#This Row],[3 DISTRIBUIDOR P12]]</f>
        <v>0</v>
      </c>
    </row>
    <row r="9" spans="1:11" s="36" customFormat="1" ht="24.6" customHeight="1">
      <c r="A9" s="37">
        <v>40032</v>
      </c>
      <c r="B9" s="38" t="s">
        <v>16</v>
      </c>
      <c r="C9" s="39" t="s">
        <v>24</v>
      </c>
      <c r="D9" s="38">
        <v>2001500</v>
      </c>
      <c r="E9" s="38">
        <v>33049990</v>
      </c>
      <c r="F9" s="40">
        <v>7899811102248</v>
      </c>
      <c r="G9" s="41">
        <v>48</v>
      </c>
      <c r="H9" s="35" t="s">
        <v>19</v>
      </c>
      <c r="I9" s="137"/>
      <c r="J9" s="22">
        <v>0</v>
      </c>
      <c r="K9" s="21">
        <f>Tabela18287389[[#This Row],[CAIXA MÁSTER]]*Tabela18287389[[#This Row],[QUANT.]]*Tabela18287389[[#This Row],[3 DISTRIBUIDOR P12]]</f>
        <v>0</v>
      </c>
    </row>
    <row r="10" spans="1:11" s="45" customFormat="1" ht="24.6" customHeight="1">
      <c r="A10" s="26">
        <v>40068</v>
      </c>
      <c r="B10" s="17" t="s">
        <v>16</v>
      </c>
      <c r="C10" s="18" t="s">
        <v>25</v>
      </c>
      <c r="D10" s="17">
        <v>2002900</v>
      </c>
      <c r="E10" s="17">
        <v>33072090</v>
      </c>
      <c r="F10" s="44">
        <v>7899811100749</v>
      </c>
      <c r="G10" s="33">
        <v>48</v>
      </c>
      <c r="H10" s="35" t="s">
        <v>18</v>
      </c>
      <c r="I10" s="136"/>
      <c r="J10" s="22">
        <v>10.871981</v>
      </c>
      <c r="K10" s="21">
        <f>Tabela18287389[[#This Row],[CAIXA MÁSTER]]*Tabela18287389[[#This Row],[QUANT.]]*Tabela18287389[[#This Row],[3 DISTRIBUIDOR P12]]</f>
        <v>0</v>
      </c>
    </row>
    <row r="11" spans="1:11" s="45" customFormat="1" ht="24.6" customHeight="1">
      <c r="A11" s="37">
        <v>40026</v>
      </c>
      <c r="B11" s="38" t="s">
        <v>16</v>
      </c>
      <c r="C11" s="39" t="s">
        <v>26</v>
      </c>
      <c r="D11" s="38">
        <v>2002900</v>
      </c>
      <c r="E11" s="38">
        <v>33072090</v>
      </c>
      <c r="F11" s="46">
        <v>7899811100718</v>
      </c>
      <c r="G11" s="47">
        <v>48</v>
      </c>
      <c r="H11" s="35" t="s">
        <v>18</v>
      </c>
      <c r="I11" s="137"/>
      <c r="J11" s="22">
        <v>0</v>
      </c>
      <c r="K11" s="21">
        <f>Tabela18287389[[#This Row],[CAIXA MÁSTER]]*Tabela18287389[[#This Row],[QUANT.]]*Tabela18287389[[#This Row],[3 DISTRIBUIDOR P12]]</f>
        <v>0</v>
      </c>
    </row>
    <row r="12" spans="1:11" s="45" customFormat="1" ht="24.6" customHeight="1">
      <c r="A12" s="26">
        <v>40030</v>
      </c>
      <c r="B12" s="17" t="s">
        <v>16</v>
      </c>
      <c r="C12" s="18" t="s">
        <v>27</v>
      </c>
      <c r="D12" s="17">
        <v>2002900</v>
      </c>
      <c r="E12" s="17">
        <v>33072090</v>
      </c>
      <c r="F12" s="19">
        <v>7899811100435</v>
      </c>
      <c r="G12" s="48">
        <v>72</v>
      </c>
      <c r="H12" s="35" t="s">
        <v>18</v>
      </c>
      <c r="I12" s="136"/>
      <c r="J12" s="22">
        <v>9.0506150000000023</v>
      </c>
      <c r="K12" s="21">
        <f>Tabela18287389[[#This Row],[CAIXA MÁSTER]]*Tabela18287389[[#This Row],[QUANT.]]*Tabela18287389[[#This Row],[3 DISTRIBUIDOR P12]]</f>
        <v>0</v>
      </c>
    </row>
    <row r="13" spans="1:11" s="45" customFormat="1" ht="24.6" customHeight="1">
      <c r="A13" s="26">
        <v>40113</v>
      </c>
      <c r="B13" s="17" t="s">
        <v>16</v>
      </c>
      <c r="C13" s="18" t="s">
        <v>28</v>
      </c>
      <c r="D13" s="17">
        <v>2002900</v>
      </c>
      <c r="E13" s="17">
        <v>33072090</v>
      </c>
      <c r="F13" s="49">
        <v>7899811100169</v>
      </c>
      <c r="G13" s="50">
        <v>48</v>
      </c>
      <c r="H13" s="35" t="s">
        <v>18</v>
      </c>
      <c r="I13" s="136"/>
      <c r="J13" s="22">
        <v>9.4890919999999994</v>
      </c>
      <c r="K13" s="21">
        <f>Tabela18287389[[#This Row],[CAIXA MÁSTER]]*Tabela18287389[[#This Row],[QUANT.]]*Tabela18287389[[#This Row],[3 DISTRIBUIDOR P12]]</f>
        <v>0</v>
      </c>
    </row>
    <row r="14" spans="1:11" s="45" customFormat="1" ht="24.6" customHeight="1">
      <c r="A14" s="37">
        <v>40006</v>
      </c>
      <c r="B14" s="38" t="s">
        <v>16</v>
      </c>
      <c r="C14" s="39" t="s">
        <v>29</v>
      </c>
      <c r="D14" s="38">
        <v>2002900</v>
      </c>
      <c r="E14" s="38">
        <v>33072090</v>
      </c>
      <c r="F14" s="46">
        <v>7899811102637</v>
      </c>
      <c r="G14" s="47">
        <v>48</v>
      </c>
      <c r="H14" s="35" t="s">
        <v>18</v>
      </c>
      <c r="I14" s="137"/>
      <c r="J14" s="22">
        <v>0</v>
      </c>
      <c r="K14" s="21">
        <f>Tabela18287389[[#This Row],[CAIXA MÁSTER]]*Tabela18287389[[#This Row],[QUANT.]]*Tabela18287389[[#This Row],[3 DISTRIBUIDOR P12]]</f>
        <v>0</v>
      </c>
    </row>
    <row r="15" spans="1:11" s="45" customFormat="1" ht="24.6" customHeight="1">
      <c r="A15" s="39">
        <v>40011</v>
      </c>
      <c r="B15" s="38" t="s">
        <v>16</v>
      </c>
      <c r="C15" s="39" t="s">
        <v>30</v>
      </c>
      <c r="D15" s="38">
        <v>2803500</v>
      </c>
      <c r="E15" s="38">
        <v>34012010</v>
      </c>
      <c r="F15" s="46">
        <v>7899811100497</v>
      </c>
      <c r="G15" s="43">
        <v>48</v>
      </c>
      <c r="H15" s="17" t="s">
        <v>19</v>
      </c>
      <c r="I15" s="138"/>
      <c r="J15" s="22">
        <v>16.740827000000003</v>
      </c>
      <c r="K15" s="21">
        <f>Tabela18287389[[#This Row],[CAIXA MÁSTER]]*Tabela18287389[[#This Row],[QUANT.]]*Tabela18287389[[#This Row],[3 DISTRIBUIDOR P12]]</f>
        <v>0</v>
      </c>
    </row>
    <row r="16" spans="1:11" s="45" customFormat="1" ht="24.6" customHeight="1">
      <c r="A16" s="51">
        <v>40053</v>
      </c>
      <c r="B16" s="38" t="s">
        <v>16</v>
      </c>
      <c r="C16" s="51" t="s">
        <v>31</v>
      </c>
      <c r="D16" s="38">
        <v>2803500</v>
      </c>
      <c r="E16" s="38">
        <v>34012010</v>
      </c>
      <c r="F16" s="52">
        <v>7899811100541</v>
      </c>
      <c r="G16" s="43">
        <v>48</v>
      </c>
      <c r="H16" s="17" t="s">
        <v>19</v>
      </c>
      <c r="I16" s="138"/>
      <c r="J16" s="22">
        <v>15.076863000000001</v>
      </c>
      <c r="K16" s="21">
        <f>Tabela18287389[[#This Row],[CAIXA MÁSTER]]*Tabela18287389[[#This Row],[QUANT.]]*Tabela18287389[[#This Row],[3 DISTRIBUIDOR P12]]</f>
        <v>0</v>
      </c>
    </row>
    <row r="17" spans="1:11" s="45" customFormat="1" ht="24.6" customHeight="1">
      <c r="A17" s="39">
        <v>40045</v>
      </c>
      <c r="B17" s="38" t="s">
        <v>16</v>
      </c>
      <c r="C17" s="39" t="s">
        <v>32</v>
      </c>
      <c r="D17" s="38">
        <v>2803500</v>
      </c>
      <c r="E17" s="38">
        <v>34012010</v>
      </c>
      <c r="F17" s="46">
        <v>7899811100534</v>
      </c>
      <c r="G17" s="43">
        <v>48</v>
      </c>
      <c r="H17" s="17" t="s">
        <v>19</v>
      </c>
      <c r="I17" s="138"/>
      <c r="J17" s="22">
        <v>16.740827000000003</v>
      </c>
      <c r="K17" s="21">
        <f>Tabela18287389[[#This Row],[CAIXA MÁSTER]]*Tabela18287389[[#This Row],[QUANT.]]*Tabela18287389[[#This Row],[3 DISTRIBUIDOR P12]]</f>
        <v>0</v>
      </c>
    </row>
    <row r="18" spans="1:11" s="45" customFormat="1" ht="24.6" customHeight="1">
      <c r="A18" s="39">
        <v>40055</v>
      </c>
      <c r="B18" s="38" t="s">
        <v>16</v>
      </c>
      <c r="C18" s="39" t="s">
        <v>33</v>
      </c>
      <c r="D18" s="38">
        <v>2803500</v>
      </c>
      <c r="E18" s="38">
        <v>34012010</v>
      </c>
      <c r="F18" s="53">
        <v>7899811100565</v>
      </c>
      <c r="G18" s="43">
        <v>48</v>
      </c>
      <c r="H18" s="17" t="s">
        <v>19</v>
      </c>
      <c r="I18" s="138"/>
      <c r="J18" s="22">
        <v>15.076863000000001</v>
      </c>
      <c r="K18" s="21">
        <f>Tabela18287389[[#This Row],[CAIXA MÁSTER]]*Tabela18287389[[#This Row],[QUANT.]]*Tabela18287389[[#This Row],[3 DISTRIBUIDOR P12]]</f>
        <v>0</v>
      </c>
    </row>
    <row r="19" spans="1:11" s="45" customFormat="1" ht="24.6" customHeight="1">
      <c r="A19" s="54">
        <v>40114</v>
      </c>
      <c r="B19" s="55" t="s">
        <v>34</v>
      </c>
      <c r="C19" s="56" t="s">
        <v>35</v>
      </c>
      <c r="D19" s="55">
        <v>2803500</v>
      </c>
      <c r="E19" s="55">
        <v>34012010</v>
      </c>
      <c r="F19" s="57">
        <v>7899811100831</v>
      </c>
      <c r="G19" s="58">
        <v>48</v>
      </c>
      <c r="H19" s="17" t="s">
        <v>19</v>
      </c>
      <c r="I19" s="139"/>
      <c r="J19" s="22">
        <v>15.076863000000001</v>
      </c>
      <c r="K19" s="21">
        <f>Tabela18287389[[#This Row],[CAIXA MÁSTER]]*Tabela18287389[[#This Row],[QUANT.]]*Tabela18287389[[#This Row],[3 DISTRIBUIDOR P12]]</f>
        <v>0</v>
      </c>
    </row>
    <row r="20" spans="1:11" s="45" customFormat="1" ht="24.6" customHeight="1">
      <c r="A20" s="54">
        <v>40115</v>
      </c>
      <c r="B20" s="55" t="s">
        <v>34</v>
      </c>
      <c r="C20" s="56" t="s">
        <v>36</v>
      </c>
      <c r="D20" s="55">
        <v>2803500</v>
      </c>
      <c r="E20" s="55">
        <v>34012010</v>
      </c>
      <c r="F20" s="57">
        <v>7899811100824</v>
      </c>
      <c r="G20" s="58">
        <v>48</v>
      </c>
      <c r="H20" s="17" t="s">
        <v>19</v>
      </c>
      <c r="I20" s="139"/>
      <c r="J20" s="22">
        <v>16.740827000000003</v>
      </c>
      <c r="K20" s="21">
        <f>Tabela18287389[[#This Row],[CAIXA MÁSTER]]*Tabela18287389[[#This Row],[QUANT.]]*Tabela18287389[[#This Row],[3 DISTRIBUIDOR P12]]</f>
        <v>0</v>
      </c>
    </row>
    <row r="21" spans="1:11" ht="24.6" customHeight="1">
      <c r="A21" s="26">
        <v>40036</v>
      </c>
      <c r="B21" s="17" t="s">
        <v>16</v>
      </c>
      <c r="C21" s="18" t="s">
        <v>37</v>
      </c>
      <c r="D21" s="17">
        <v>2001500</v>
      </c>
      <c r="E21" s="17">
        <v>33049990</v>
      </c>
      <c r="F21" s="19">
        <v>7899811100596</v>
      </c>
      <c r="G21" s="48">
        <v>96</v>
      </c>
      <c r="H21" s="35" t="s">
        <v>19</v>
      </c>
      <c r="I21" s="136"/>
      <c r="J21" s="22">
        <v>9.8601109999999998</v>
      </c>
      <c r="K21" s="21">
        <f>Tabela18287389[[#This Row],[CAIXA MÁSTER]]*Tabela18287389[[#This Row],[QUANT.]]*Tabela18287389[[#This Row],[3 DISTRIBUIDOR P12]]</f>
        <v>0</v>
      </c>
    </row>
    <row r="22" spans="1:11" ht="24.6" customHeight="1">
      <c r="A22" s="26">
        <v>40012</v>
      </c>
      <c r="B22" s="17" t="s">
        <v>16</v>
      </c>
      <c r="C22" s="18" t="s">
        <v>38</v>
      </c>
      <c r="D22" s="17">
        <v>2001500</v>
      </c>
      <c r="E22" s="17">
        <v>33049990</v>
      </c>
      <c r="F22" s="19">
        <v>7899811100299</v>
      </c>
      <c r="G22" s="20">
        <v>96</v>
      </c>
      <c r="H22" s="17" t="s">
        <v>39</v>
      </c>
      <c r="I22" s="136"/>
      <c r="J22" s="22">
        <v>16.943201000000002</v>
      </c>
      <c r="K22" s="21">
        <f>Tabela18287389[[#This Row],[CAIXA MÁSTER]]*Tabela18287389[[#This Row],[QUANT.]]*Tabela18287389[[#This Row],[3 DISTRIBUIDOR P12]]</f>
        <v>0</v>
      </c>
    </row>
    <row r="23" spans="1:11" ht="24.6" customHeight="1">
      <c r="A23" s="26">
        <v>40079</v>
      </c>
      <c r="B23" s="17" t="s">
        <v>16</v>
      </c>
      <c r="C23" s="18" t="s">
        <v>125</v>
      </c>
      <c r="D23" s="17">
        <v>2001500</v>
      </c>
      <c r="E23" s="17">
        <v>33049990</v>
      </c>
      <c r="F23" s="19">
        <v>7899811102125</v>
      </c>
      <c r="G23" s="50">
        <v>48</v>
      </c>
      <c r="H23" s="35" t="s">
        <v>18</v>
      </c>
      <c r="I23" s="136"/>
      <c r="J23" s="22">
        <v>10.6</v>
      </c>
      <c r="K23" s="21">
        <f>Tabela18287389[[#This Row],[CAIXA MÁSTER]]*Tabela18287389[[#This Row],[QUANT.]]*Tabela18287389[[#This Row],[3 DISTRIBUIDOR P12]]</f>
        <v>0</v>
      </c>
    </row>
    <row r="24" spans="1:11" ht="24.6" customHeight="1">
      <c r="A24" s="26">
        <v>40133</v>
      </c>
      <c r="B24" s="17" t="s">
        <v>16</v>
      </c>
      <c r="C24" s="18" t="s">
        <v>40</v>
      </c>
      <c r="D24" s="17">
        <v>2001700</v>
      </c>
      <c r="E24" s="17">
        <v>33051000</v>
      </c>
      <c r="F24" s="19">
        <v>7899811102033</v>
      </c>
      <c r="G24" s="33">
        <v>48</v>
      </c>
      <c r="H24" s="35" t="s">
        <v>19</v>
      </c>
      <c r="I24" s="136"/>
      <c r="J24" s="22">
        <v>19.776437000000001</v>
      </c>
      <c r="K24" s="21">
        <f>Tabela18287389[[#This Row],[CAIXA MÁSTER]]*Tabela18287389[[#This Row],[QUANT.]]*Tabela18287389[[#This Row],[3 DISTRIBUIDOR P12]]</f>
        <v>0</v>
      </c>
    </row>
    <row r="25" spans="1:11" ht="24.6" customHeight="1">
      <c r="A25" s="26">
        <v>40132</v>
      </c>
      <c r="B25" s="17" t="s">
        <v>16</v>
      </c>
      <c r="C25" s="18" t="s">
        <v>41</v>
      </c>
      <c r="D25" s="17">
        <v>2001700</v>
      </c>
      <c r="E25" s="17">
        <v>33051000</v>
      </c>
      <c r="F25" s="19">
        <v>7899811102040</v>
      </c>
      <c r="G25" s="33">
        <v>48</v>
      </c>
      <c r="H25" s="35" t="s">
        <v>19</v>
      </c>
      <c r="I25" s="136"/>
      <c r="J25" s="22">
        <v>26.454779000000002</v>
      </c>
      <c r="K25" s="21">
        <f>Tabela18287389[[#This Row],[CAIXA MÁSTER]]*Tabela18287389[[#This Row],[QUANT.]]*Tabela18287389[[#This Row],[3 DISTRIBUIDOR P12]]</f>
        <v>0</v>
      </c>
    </row>
    <row r="26" spans="1:11" ht="24.6" customHeight="1">
      <c r="A26" s="37">
        <v>40112</v>
      </c>
      <c r="B26" s="17" t="s">
        <v>16</v>
      </c>
      <c r="C26" s="39" t="s">
        <v>42</v>
      </c>
      <c r="D26" s="38">
        <v>2001500</v>
      </c>
      <c r="E26" s="38">
        <v>33049990</v>
      </c>
      <c r="F26" s="46">
        <v>7899811100978</v>
      </c>
      <c r="G26" s="41">
        <v>48</v>
      </c>
      <c r="H26" s="35" t="s">
        <v>18</v>
      </c>
      <c r="I26" s="136"/>
      <c r="J26" s="22">
        <v>0</v>
      </c>
      <c r="K26" s="21">
        <f>Tabela18287389[[#This Row],[CAIXA MÁSTER]]*Tabela18287389[[#This Row],[QUANT.]]*Tabela18287389[[#This Row],[3 DISTRIBUIDOR P12]]</f>
        <v>0</v>
      </c>
    </row>
    <row r="27" spans="1:11" ht="24.6" customHeight="1">
      <c r="A27" s="26">
        <v>40009</v>
      </c>
      <c r="B27" s="17" t="s">
        <v>16</v>
      </c>
      <c r="C27" s="18" t="s">
        <v>43</v>
      </c>
      <c r="D27" s="17">
        <v>2001500</v>
      </c>
      <c r="E27" s="17">
        <v>33049990</v>
      </c>
      <c r="F27" s="19">
        <v>7899811100275</v>
      </c>
      <c r="G27" s="27">
        <v>48</v>
      </c>
      <c r="H27" s="35" t="s">
        <v>18</v>
      </c>
      <c r="I27" s="136"/>
      <c r="J27" s="22">
        <v>17.516594000000001</v>
      </c>
      <c r="K27" s="21">
        <f>Tabela18287389[[#This Row],[CAIXA MÁSTER]]*Tabela18287389[[#This Row],[QUANT.]]*Tabela18287389[[#This Row],[3 DISTRIBUIDOR P12]]</f>
        <v>0</v>
      </c>
    </row>
    <row r="28" spans="1:11" ht="24.6" customHeight="1">
      <c r="A28" s="26">
        <v>40048</v>
      </c>
      <c r="B28" s="17" t="s">
        <v>16</v>
      </c>
      <c r="C28" s="18" t="s">
        <v>44</v>
      </c>
      <c r="D28" s="18">
        <v>2001500</v>
      </c>
      <c r="E28" s="17">
        <v>33049990</v>
      </c>
      <c r="F28" s="19">
        <v>7899811100503</v>
      </c>
      <c r="G28" s="48">
        <v>42</v>
      </c>
      <c r="H28" s="59" t="s">
        <v>18</v>
      </c>
      <c r="I28" s="136"/>
      <c r="J28" s="22">
        <v>13.356684000000001</v>
      </c>
      <c r="K28" s="21">
        <f>Tabela18287389[[#This Row],[CAIXA MÁSTER]]*Tabela18287389[[#This Row],[QUANT.]]*Tabela18287389[[#This Row],[3 DISTRIBUIDOR P12]]</f>
        <v>0</v>
      </c>
    </row>
    <row r="29" spans="1:11" ht="24.6" customHeight="1">
      <c r="A29" s="26">
        <v>40059</v>
      </c>
      <c r="B29" s="17" t="s">
        <v>16</v>
      </c>
      <c r="C29" s="18" t="s">
        <v>45</v>
      </c>
      <c r="D29" s="17">
        <v>2001500</v>
      </c>
      <c r="E29" s="17">
        <v>33049990</v>
      </c>
      <c r="F29" s="32">
        <v>7899811100237</v>
      </c>
      <c r="G29" s="17">
        <v>96</v>
      </c>
      <c r="H29" s="17" t="s">
        <v>19</v>
      </c>
      <c r="I29" s="139"/>
      <c r="J29" s="22">
        <v>9.2305030000000023</v>
      </c>
      <c r="K29" s="21">
        <f>Tabela18287389[[#This Row],[CAIXA MÁSTER]]*Tabela18287389[[#This Row],[QUANT.]]*Tabela18287389[[#This Row],[3 DISTRIBUIDOR P12]]</f>
        <v>0</v>
      </c>
    </row>
    <row r="30" spans="1:11" ht="24.6" customHeight="1">
      <c r="A30" s="26">
        <v>40047</v>
      </c>
      <c r="B30" s="17" t="s">
        <v>16</v>
      </c>
      <c r="C30" s="18" t="s">
        <v>46</v>
      </c>
      <c r="D30" s="17">
        <v>2001500</v>
      </c>
      <c r="E30" s="17">
        <v>33049990</v>
      </c>
      <c r="F30" s="19">
        <v>7899811100381</v>
      </c>
      <c r="G30" s="20">
        <v>96</v>
      </c>
      <c r="H30" s="17" t="s">
        <v>19</v>
      </c>
      <c r="I30" s="136"/>
      <c r="J30" s="22">
        <v>12.457244000000001</v>
      </c>
      <c r="K30" s="21">
        <f>Tabela18287389[[#This Row],[CAIXA MÁSTER]]*Tabela18287389[[#This Row],[QUANT.]]*Tabela18287389[[#This Row],[3 DISTRIBUIDOR P12]]</f>
        <v>0</v>
      </c>
    </row>
    <row r="31" spans="1:11" ht="24.6" customHeight="1">
      <c r="A31" s="18">
        <v>40127</v>
      </c>
      <c r="B31" s="17" t="s">
        <v>16</v>
      </c>
      <c r="C31" s="61" t="s">
        <v>47</v>
      </c>
      <c r="D31" s="17">
        <v>2003600</v>
      </c>
      <c r="E31" s="17">
        <v>34012010</v>
      </c>
      <c r="F31" s="49">
        <v>7899811100930</v>
      </c>
      <c r="G31" s="17">
        <v>48</v>
      </c>
      <c r="H31" s="17" t="s">
        <v>39</v>
      </c>
      <c r="I31" s="139"/>
      <c r="J31" s="22">
        <v>11.490346000000002</v>
      </c>
      <c r="K31" s="21">
        <f>Tabela18287389[[#This Row],[CAIXA MÁSTER]]*Tabela18287389[[#This Row],[QUANT.]]*Tabela18287389[[#This Row],[3 DISTRIBUIDOR P12]]</f>
        <v>0</v>
      </c>
    </row>
    <row r="32" spans="1:11" ht="24.6" customHeight="1">
      <c r="A32" s="18">
        <v>40019</v>
      </c>
      <c r="B32" s="17" t="s">
        <v>16</v>
      </c>
      <c r="C32" s="18" t="s">
        <v>48</v>
      </c>
      <c r="D32" s="17">
        <v>2003600</v>
      </c>
      <c r="E32" s="17">
        <v>34012010</v>
      </c>
      <c r="F32" s="19">
        <v>7899811100138</v>
      </c>
      <c r="G32" s="17">
        <v>48</v>
      </c>
      <c r="H32" s="17" t="s">
        <v>39</v>
      </c>
      <c r="I32" s="139"/>
      <c r="J32" s="22">
        <v>8.735811</v>
      </c>
      <c r="K32" s="21">
        <f>Tabela18287389[[#This Row],[CAIXA MÁSTER]]*Tabela18287389[[#This Row],[QUANT.]]*Tabela18287389[[#This Row],[3 DISTRIBUIDOR P12]]</f>
        <v>0</v>
      </c>
    </row>
    <row r="33" spans="1:11" ht="24.6" customHeight="1">
      <c r="A33" s="18">
        <v>40141</v>
      </c>
      <c r="B33" s="17" t="s">
        <v>16</v>
      </c>
      <c r="C33" s="61" t="s">
        <v>49</v>
      </c>
      <c r="D33" s="17">
        <v>2003600</v>
      </c>
      <c r="E33" s="17">
        <v>34012010</v>
      </c>
      <c r="F33" s="49">
        <v>7899811100961</v>
      </c>
      <c r="G33" s="17">
        <v>48</v>
      </c>
      <c r="H33" s="17" t="s">
        <v>39</v>
      </c>
      <c r="I33" s="139"/>
      <c r="J33" s="22">
        <v>11.681477000000001</v>
      </c>
      <c r="K33" s="21">
        <f>Tabela18287389[[#This Row],[CAIXA MÁSTER]]*Tabela18287389[[#This Row],[QUANT.]]*Tabela18287389[[#This Row],[3 DISTRIBUIDOR P12]]</f>
        <v>0</v>
      </c>
    </row>
    <row r="34" spans="1:11" ht="24.6" customHeight="1">
      <c r="A34" s="18">
        <v>40020</v>
      </c>
      <c r="B34" s="17" t="s">
        <v>16</v>
      </c>
      <c r="C34" s="18" t="s">
        <v>50</v>
      </c>
      <c r="D34" s="17">
        <v>2003600</v>
      </c>
      <c r="E34" s="17">
        <v>34012010</v>
      </c>
      <c r="F34" s="19">
        <v>7899811100145</v>
      </c>
      <c r="G34" s="17">
        <v>48</v>
      </c>
      <c r="H34" s="17" t="s">
        <v>39</v>
      </c>
      <c r="I34" s="139"/>
      <c r="J34" s="22">
        <v>8.9269420000000004</v>
      </c>
      <c r="K34" s="21">
        <f>Tabela18287389[[#This Row],[CAIXA MÁSTER]]*Tabela18287389[[#This Row],[QUANT.]]*Tabela18287389[[#This Row],[3 DISTRIBUIDOR P12]]</f>
        <v>0</v>
      </c>
    </row>
    <row r="35" spans="1:11" ht="24.6" customHeight="1">
      <c r="A35" s="39">
        <v>40027</v>
      </c>
      <c r="B35" s="38" t="s">
        <v>16</v>
      </c>
      <c r="C35" s="39" t="s">
        <v>126</v>
      </c>
      <c r="D35" s="38">
        <v>2003600</v>
      </c>
      <c r="E35" s="38">
        <v>34012010</v>
      </c>
      <c r="F35" s="46">
        <v>7899811100398</v>
      </c>
      <c r="G35" s="38">
        <v>48</v>
      </c>
      <c r="H35" s="17" t="s">
        <v>39</v>
      </c>
      <c r="I35" s="139"/>
      <c r="J35" s="22">
        <v>0</v>
      </c>
      <c r="K35" s="21">
        <f>Tabela18287389[[#This Row],[CAIXA MÁSTER]]*Tabela18287389[[#This Row],[QUANT.]]*Tabela18287389[[#This Row],[3 DISTRIBUIDOR P12]]</f>
        <v>0</v>
      </c>
    </row>
    <row r="36" spans="1:11" ht="24.6" customHeight="1">
      <c r="A36" s="37">
        <v>40136</v>
      </c>
      <c r="B36" s="38" t="s">
        <v>16</v>
      </c>
      <c r="C36" s="39" t="s">
        <v>51</v>
      </c>
      <c r="D36" s="38">
        <v>2001500</v>
      </c>
      <c r="E36" s="38">
        <v>33049990</v>
      </c>
      <c r="F36" s="46">
        <v>7899811102187</v>
      </c>
      <c r="G36" s="62">
        <v>48</v>
      </c>
      <c r="H36" s="35" t="s">
        <v>19</v>
      </c>
      <c r="I36" s="136"/>
      <c r="J36" s="22">
        <v>17.329999999999998</v>
      </c>
      <c r="K36" s="21">
        <f>Tabela18287389[[#This Row],[CAIXA MÁSTER]]*Tabela18287389[[#This Row],[QUANT.]]*Tabela18287389[[#This Row],[3 DISTRIBUIDOR P12]]</f>
        <v>0</v>
      </c>
    </row>
    <row r="37" spans="1:11" ht="24.6" customHeight="1">
      <c r="A37" s="26">
        <v>40035</v>
      </c>
      <c r="B37" s="17" t="s">
        <v>16</v>
      </c>
      <c r="C37" s="18" t="s">
        <v>52</v>
      </c>
      <c r="D37" s="17">
        <v>2001500</v>
      </c>
      <c r="E37" s="17">
        <v>33049990</v>
      </c>
      <c r="F37" s="19">
        <v>7899811100268</v>
      </c>
      <c r="G37" s="27">
        <v>35</v>
      </c>
      <c r="H37" s="35" t="s">
        <v>19</v>
      </c>
      <c r="I37" s="136"/>
      <c r="J37" s="22">
        <v>22.429784999999999</v>
      </c>
      <c r="K37" s="21">
        <f>Tabela18287389[[#This Row],[CAIXA MÁSTER]]*Tabela18287389[[#This Row],[QUANT.]]*Tabela18287389[[#This Row],[3 DISTRIBUIDOR P12]]</f>
        <v>0</v>
      </c>
    </row>
    <row r="38" spans="1:11" ht="24.6" customHeight="1">
      <c r="A38" s="39">
        <v>40065</v>
      </c>
      <c r="B38" s="38" t="s">
        <v>16</v>
      </c>
      <c r="C38" s="63" t="s">
        <v>53</v>
      </c>
      <c r="D38" s="38">
        <v>2001500</v>
      </c>
      <c r="E38" s="38">
        <v>33049990</v>
      </c>
      <c r="F38" s="52">
        <v>7899811100886</v>
      </c>
      <c r="G38" s="38">
        <v>60</v>
      </c>
      <c r="H38" s="17" t="s">
        <v>19</v>
      </c>
      <c r="I38" s="139"/>
      <c r="J38" s="22">
        <v>0</v>
      </c>
      <c r="K38" s="21">
        <f>Tabela18287389[[#This Row],[CAIXA MÁSTER]]*Tabela18287389[[#This Row],[QUANT.]]*Tabela18287389[[#This Row],[3 DISTRIBUIDOR P12]]</f>
        <v>0</v>
      </c>
    </row>
    <row r="39" spans="1:11" s="72" customFormat="1" ht="24.6" customHeight="1">
      <c r="A39" s="125">
        <v>40052</v>
      </c>
      <c r="B39" s="126" t="s">
        <v>16</v>
      </c>
      <c r="C39" s="127" t="s">
        <v>55</v>
      </c>
      <c r="D39" s="127"/>
      <c r="E39" s="128">
        <v>21069030</v>
      </c>
      <c r="F39" s="129">
        <v>7899811100039</v>
      </c>
      <c r="G39" s="130">
        <v>56</v>
      </c>
      <c r="H39" s="135" t="s">
        <v>21</v>
      </c>
      <c r="I39" s="140"/>
      <c r="J39" s="22">
        <v>10.759551000000002</v>
      </c>
      <c r="K39" s="21">
        <f>Tabela18287389[[#This Row],[CAIXA MÁSTER]]*Tabela18287389[[#This Row],[QUANT.]]*Tabela18287389[[#This Row],[3 DISTRIBUIDOR P12]]</f>
        <v>0</v>
      </c>
    </row>
    <row r="40" spans="1:11" s="80" customFormat="1" ht="24.6" customHeight="1">
      <c r="A40" s="26">
        <v>40034</v>
      </c>
      <c r="B40" s="123" t="s">
        <v>16</v>
      </c>
      <c r="C40" s="18" t="s">
        <v>56</v>
      </c>
      <c r="D40" s="18"/>
      <c r="E40" s="17">
        <v>21069030</v>
      </c>
      <c r="F40" s="19">
        <v>7899811100312</v>
      </c>
      <c r="G40" s="48">
        <v>30</v>
      </c>
      <c r="H40" s="59" t="s">
        <v>21</v>
      </c>
      <c r="I40" s="136"/>
      <c r="J40" s="69">
        <v>19.326717000000002</v>
      </c>
      <c r="K40" s="21">
        <f>Tabela18287389[[#This Row],[CAIXA MÁSTER]]*Tabela18287389[[#This Row],[QUANT.]]*Tabela18287389[[#This Row],[3 DISTRIBUIDOR P12]]</f>
        <v>0</v>
      </c>
    </row>
    <row r="41" spans="1:11" s="80" customFormat="1" ht="24.6" customHeight="1">
      <c r="A41" s="125">
        <v>42005</v>
      </c>
      <c r="B41" s="126" t="s">
        <v>16</v>
      </c>
      <c r="C41" s="127" t="s">
        <v>57</v>
      </c>
      <c r="D41" s="127"/>
      <c r="E41" s="128">
        <v>21069030</v>
      </c>
      <c r="F41" s="132">
        <v>7899811100053</v>
      </c>
      <c r="G41" s="130">
        <v>56</v>
      </c>
      <c r="H41" s="135" t="s">
        <v>21</v>
      </c>
      <c r="I41" s="140"/>
      <c r="J41" s="22">
        <v>10.129943000000001</v>
      </c>
      <c r="K41" s="21">
        <f>Tabela18287389[[#This Row],[CAIXA MÁSTER]]*Tabela18287389[[#This Row],[QUANT.]]*Tabela18287389[[#This Row],[3 DISTRIBUIDOR P12]]</f>
        <v>0</v>
      </c>
    </row>
    <row r="42" spans="1:11" s="83" customFormat="1" ht="24.6" customHeight="1">
      <c r="A42" s="26">
        <v>40103</v>
      </c>
      <c r="B42" s="123" t="s">
        <v>59</v>
      </c>
      <c r="C42" s="18" t="s">
        <v>60</v>
      </c>
      <c r="D42" s="18">
        <v>2001500</v>
      </c>
      <c r="E42" s="17">
        <v>33049990</v>
      </c>
      <c r="F42" s="19">
        <v>7899811102057</v>
      </c>
      <c r="G42" s="48">
        <v>48</v>
      </c>
      <c r="H42" s="59" t="s">
        <v>61</v>
      </c>
      <c r="I42" s="136"/>
      <c r="J42" s="22">
        <v>18.843268000000002</v>
      </c>
      <c r="K42" s="21">
        <f>Tabela18287389[[#This Row],[CAIXA MÁSTER]]*Tabela18287389[[#This Row],[QUANT.]]*Tabela18287389[[#This Row],[3 DISTRIBUIDOR P12]]</f>
        <v>0</v>
      </c>
    </row>
    <row r="43" spans="1:11" s="84" customFormat="1" ht="24.6" customHeight="1">
      <c r="A43" s="26">
        <v>40105</v>
      </c>
      <c r="B43" s="123" t="s">
        <v>59</v>
      </c>
      <c r="C43" s="18" t="s">
        <v>62</v>
      </c>
      <c r="D43" s="18">
        <v>2001500</v>
      </c>
      <c r="E43" s="17">
        <v>33049990</v>
      </c>
      <c r="F43" s="19">
        <v>7899811102019</v>
      </c>
      <c r="G43" s="48">
        <v>48</v>
      </c>
      <c r="H43" s="59" t="s">
        <v>61</v>
      </c>
      <c r="I43" s="136"/>
      <c r="J43" s="22">
        <v>26.893256000000004</v>
      </c>
      <c r="K43" s="21">
        <f>Tabela18287389[[#This Row],[CAIXA MÁSTER]]*Tabela18287389[[#This Row],[QUANT.]]*Tabela18287389[[#This Row],[3 DISTRIBUIDOR P12]]</f>
        <v>0</v>
      </c>
    </row>
    <row r="44" spans="1:11" s="86" customFormat="1" ht="24.6" customHeight="1">
      <c r="A44" s="26">
        <v>40050</v>
      </c>
      <c r="B44" s="123" t="s">
        <v>59</v>
      </c>
      <c r="C44" s="18" t="s">
        <v>63</v>
      </c>
      <c r="D44" s="18">
        <v>2001500</v>
      </c>
      <c r="E44" s="17">
        <v>33049990</v>
      </c>
      <c r="F44" s="19">
        <v>7899811100916</v>
      </c>
      <c r="G44" s="48">
        <v>48</v>
      </c>
      <c r="H44" s="59" t="s">
        <v>61</v>
      </c>
      <c r="I44" s="136"/>
      <c r="J44" s="22">
        <v>0</v>
      </c>
      <c r="K44" s="21">
        <f>Tabela18287389[[#This Row],[CAIXA MÁSTER]]*Tabela18287389[[#This Row],[QUANT.]]*Tabela18287389[[#This Row],[3 DISTRIBUIDOR P12]]</f>
        <v>0</v>
      </c>
    </row>
    <row r="45" spans="1:11" s="86" customFormat="1" ht="24.6" customHeight="1">
      <c r="A45" s="26">
        <v>40102</v>
      </c>
      <c r="B45" s="123" t="s">
        <v>59</v>
      </c>
      <c r="C45" s="18" t="s">
        <v>64</v>
      </c>
      <c r="D45" s="18">
        <v>2001500</v>
      </c>
      <c r="E45" s="17">
        <v>33049990</v>
      </c>
      <c r="F45" s="19">
        <v>7899811102064</v>
      </c>
      <c r="G45" s="48">
        <v>48</v>
      </c>
      <c r="H45" s="59" t="s">
        <v>61</v>
      </c>
      <c r="I45" s="136"/>
      <c r="J45" s="22">
        <v>17.302977000000002</v>
      </c>
      <c r="K45" s="21">
        <f>Tabela18287389[[#This Row],[CAIXA MÁSTER]]*Tabela18287389[[#This Row],[QUANT.]]*Tabela18287389[[#This Row],[3 DISTRIBUIDOR P12]]</f>
        <v>0</v>
      </c>
    </row>
    <row r="46" spans="1:11" s="86" customFormat="1" ht="24.6" customHeight="1">
      <c r="A46" s="26">
        <v>40104</v>
      </c>
      <c r="B46" s="123" t="s">
        <v>59</v>
      </c>
      <c r="C46" s="18" t="s">
        <v>65</v>
      </c>
      <c r="D46" s="18">
        <v>2001500</v>
      </c>
      <c r="E46" s="17">
        <v>33049990</v>
      </c>
      <c r="F46" s="19">
        <v>7899811102071</v>
      </c>
      <c r="G46" s="48">
        <v>48</v>
      </c>
      <c r="H46" s="59" t="s">
        <v>61</v>
      </c>
      <c r="I46" s="136"/>
      <c r="J46" s="22">
        <v>11.119327000000002</v>
      </c>
      <c r="K46" s="21">
        <f>Tabela18287389[[#This Row],[CAIXA MÁSTER]]*Tabela18287389[[#This Row],[QUANT.]]*Tabela18287389[[#This Row],[3 DISTRIBUIDOR P12]]</f>
        <v>0</v>
      </c>
    </row>
    <row r="47" spans="1:11" s="86" customFormat="1" ht="24.6" customHeight="1">
      <c r="A47" s="26">
        <v>40106</v>
      </c>
      <c r="B47" s="123" t="s">
        <v>59</v>
      </c>
      <c r="C47" s="18" t="s">
        <v>129</v>
      </c>
      <c r="D47" s="18">
        <v>2001500</v>
      </c>
      <c r="E47" s="17">
        <v>33049990</v>
      </c>
      <c r="F47" s="19">
        <v>7899811102095</v>
      </c>
      <c r="G47" s="48">
        <v>96</v>
      </c>
      <c r="H47" s="59" t="s">
        <v>61</v>
      </c>
      <c r="I47" s="136"/>
      <c r="J47" s="22">
        <v>12.951936</v>
      </c>
      <c r="K47" s="21">
        <f>Tabela18287389[[#This Row],[CAIXA MÁSTER]]*Tabela18287389[[#This Row],[QUANT.]]*Tabela18287389[[#This Row],[3 DISTRIBUIDOR P12]]</f>
        <v>0</v>
      </c>
    </row>
    <row r="48" spans="1:11" s="80" customFormat="1" ht="24.6" customHeight="1">
      <c r="A48" s="26">
        <v>40040</v>
      </c>
      <c r="B48" s="123" t="s">
        <v>59</v>
      </c>
      <c r="C48" s="18" t="s">
        <v>67</v>
      </c>
      <c r="D48" s="18">
        <v>2001500</v>
      </c>
      <c r="E48" s="17">
        <v>33049990</v>
      </c>
      <c r="F48" s="19">
        <v>7899811100893</v>
      </c>
      <c r="G48" s="48">
        <v>48</v>
      </c>
      <c r="H48" s="59" t="s">
        <v>61</v>
      </c>
      <c r="I48" s="136"/>
      <c r="J48" s="22">
        <v>0</v>
      </c>
      <c r="K48" s="21">
        <f>Tabela18287389[[#This Row],[CAIXA MÁSTER]]*Tabela18287389[[#This Row],[QUANT.]]*Tabela18287389[[#This Row],[3 DISTRIBUIDOR P12]]</f>
        <v>0</v>
      </c>
    </row>
    <row r="49" spans="1:11" s="86" customFormat="1" ht="24.6" customHeight="1">
      <c r="A49" s="26">
        <v>40099</v>
      </c>
      <c r="B49" s="123" t="s">
        <v>59</v>
      </c>
      <c r="C49" s="18" t="s">
        <v>68</v>
      </c>
      <c r="D49" s="18">
        <v>2001500</v>
      </c>
      <c r="E49" s="17">
        <v>33049990</v>
      </c>
      <c r="F49" s="19">
        <v>7899811102101</v>
      </c>
      <c r="G49" s="48">
        <v>48</v>
      </c>
      <c r="H49" s="59" t="s">
        <v>61</v>
      </c>
      <c r="I49" s="136"/>
      <c r="J49" s="22">
        <v>16.358565000000002</v>
      </c>
      <c r="K49" s="21">
        <f>Tabela18287389[[#This Row],[CAIXA MÁSTER]]*Tabela18287389[[#This Row],[QUANT.]]*Tabela18287389[[#This Row],[3 DISTRIBUIDOR P12]]</f>
        <v>0</v>
      </c>
    </row>
    <row r="50" spans="1:11" s="80" customFormat="1" ht="24.6" customHeight="1">
      <c r="A50" s="26">
        <v>40098</v>
      </c>
      <c r="B50" s="123" t="s">
        <v>59</v>
      </c>
      <c r="C50" s="18" t="s">
        <v>69</v>
      </c>
      <c r="D50" s="18">
        <v>2001500</v>
      </c>
      <c r="E50" s="17">
        <v>33049990</v>
      </c>
      <c r="F50" s="19">
        <v>7899811102118</v>
      </c>
      <c r="G50" s="48">
        <v>48</v>
      </c>
      <c r="H50" s="59" t="s">
        <v>61</v>
      </c>
      <c r="I50" s="136"/>
      <c r="J50" s="22">
        <v>13.469114000000001</v>
      </c>
      <c r="K50" s="21">
        <f>Tabela18287389[[#This Row],[CAIXA MÁSTER]]*Tabela18287389[[#This Row],[QUANT.]]*Tabela18287389[[#This Row],[3 DISTRIBUIDOR P12]]</f>
        <v>0</v>
      </c>
    </row>
    <row r="51" spans="1:11" s="86" customFormat="1" ht="24.6" customHeight="1">
      <c r="A51" s="26">
        <v>40117</v>
      </c>
      <c r="B51" s="133" t="s">
        <v>71</v>
      </c>
      <c r="C51" s="18" t="s">
        <v>72</v>
      </c>
      <c r="D51" s="18">
        <v>2000600</v>
      </c>
      <c r="E51" s="17">
        <v>33012990</v>
      </c>
      <c r="F51" s="19">
        <v>7899811100251</v>
      </c>
      <c r="G51" s="48">
        <v>72</v>
      </c>
      <c r="H51" s="59" t="s">
        <v>73</v>
      </c>
      <c r="I51" s="136"/>
      <c r="J51" s="22">
        <v>16.212406000000001</v>
      </c>
      <c r="K51" s="21">
        <f>Tabela18287389[[#This Row],[CAIXA MÁSTER]]*Tabela18287389[[#This Row],[QUANT.]]*Tabela18287389[[#This Row],[3 DISTRIBUIDOR P12]]</f>
        <v>0</v>
      </c>
    </row>
    <row r="52" spans="1:11" s="86" customFormat="1" ht="24.6" customHeight="1">
      <c r="A52" s="26">
        <v>40173</v>
      </c>
      <c r="B52" s="133" t="s">
        <v>71</v>
      </c>
      <c r="C52" s="18" t="s">
        <v>74</v>
      </c>
      <c r="D52" s="18">
        <v>2000600</v>
      </c>
      <c r="E52" s="17">
        <v>33011990</v>
      </c>
      <c r="F52" s="19">
        <v>7899811102590</v>
      </c>
      <c r="G52" s="48">
        <v>72</v>
      </c>
      <c r="H52" s="59" t="s">
        <v>73</v>
      </c>
      <c r="I52" s="136"/>
      <c r="J52" s="22">
        <v>0</v>
      </c>
      <c r="K52" s="21">
        <f>Tabela18287389[[#This Row],[CAIXA MÁSTER]]*Tabela18287389[[#This Row],[QUANT.]]*Tabela18287389[[#This Row],[3 DISTRIBUIDOR P12]]</f>
        <v>0</v>
      </c>
    </row>
    <row r="53" spans="1:11" s="86" customFormat="1" ht="24.6" customHeight="1">
      <c r="A53" s="26">
        <v>40092</v>
      </c>
      <c r="B53" s="133" t="s">
        <v>71</v>
      </c>
      <c r="C53" s="18" t="s">
        <v>75</v>
      </c>
      <c r="D53" s="18">
        <v>1707500</v>
      </c>
      <c r="E53" s="17">
        <v>15159090</v>
      </c>
      <c r="F53" s="19">
        <v>7899811102262</v>
      </c>
      <c r="G53" s="48">
        <v>72</v>
      </c>
      <c r="H53" s="59" t="s">
        <v>73</v>
      </c>
      <c r="I53" s="136"/>
      <c r="J53" s="22">
        <v>16.459752000000002</v>
      </c>
      <c r="K53" s="21">
        <f>Tabela18287389[[#This Row],[CAIXA MÁSTER]]*Tabela18287389[[#This Row],[QUANT.]]*Tabela18287389[[#This Row],[3 DISTRIBUIDOR P12]]</f>
        <v>0</v>
      </c>
    </row>
    <row r="54" spans="1:11" s="86" customFormat="1" ht="24.6" customHeight="1">
      <c r="A54" s="26">
        <v>40118</v>
      </c>
      <c r="B54" s="133" t="s">
        <v>71</v>
      </c>
      <c r="C54" s="18" t="s">
        <v>76</v>
      </c>
      <c r="D54" s="18">
        <v>2000600</v>
      </c>
      <c r="E54" s="17">
        <v>33012911</v>
      </c>
      <c r="F54" s="19">
        <v>7899811100107</v>
      </c>
      <c r="G54" s="48">
        <v>72</v>
      </c>
      <c r="H54" s="59" t="s">
        <v>73</v>
      </c>
      <c r="I54" s="136"/>
      <c r="J54" s="22">
        <v>11.996281000000002</v>
      </c>
      <c r="K54" s="21">
        <f>Tabela18287389[[#This Row],[CAIXA MÁSTER]]*Tabela18287389[[#This Row],[QUANT.]]*Tabela18287389[[#This Row],[3 DISTRIBUIDOR P12]]</f>
        <v>0</v>
      </c>
    </row>
    <row r="55" spans="1:11" s="86" customFormat="1" ht="24.6" customHeight="1">
      <c r="A55" s="26">
        <v>40075</v>
      </c>
      <c r="B55" s="133" t="s">
        <v>71</v>
      </c>
      <c r="C55" s="18" t="s">
        <v>77</v>
      </c>
      <c r="D55" s="18">
        <v>2000600</v>
      </c>
      <c r="E55" s="17">
        <v>33019040</v>
      </c>
      <c r="F55" s="19">
        <v>7899811100794</v>
      </c>
      <c r="G55" s="48">
        <v>72</v>
      </c>
      <c r="H55" s="59" t="s">
        <v>73</v>
      </c>
      <c r="I55" s="136"/>
      <c r="J55" s="22">
        <v>9.9500550000000008</v>
      </c>
      <c r="K55" s="21">
        <f>Tabela18287389[[#This Row],[CAIXA MÁSTER]]*Tabela18287389[[#This Row],[QUANT.]]*Tabela18287389[[#This Row],[3 DISTRIBUIDOR P12]]</f>
        <v>0</v>
      </c>
    </row>
    <row r="56" spans="1:11" s="86" customFormat="1" ht="24.6" customHeight="1">
      <c r="A56" s="26">
        <v>40070</v>
      </c>
      <c r="B56" s="133" t="s">
        <v>71</v>
      </c>
      <c r="C56" s="18" t="s">
        <v>78</v>
      </c>
      <c r="D56" s="18">
        <v>2000600</v>
      </c>
      <c r="E56" s="17">
        <v>33012990</v>
      </c>
      <c r="F56" s="19">
        <v>7899811100114</v>
      </c>
      <c r="G56" s="48">
        <v>72</v>
      </c>
      <c r="H56" s="59" t="s">
        <v>73</v>
      </c>
      <c r="I56" s="136"/>
      <c r="J56" s="22">
        <v>13.435385</v>
      </c>
      <c r="K56" s="21">
        <f>Tabela18287389[[#This Row],[CAIXA MÁSTER]]*Tabela18287389[[#This Row],[QUANT.]]*Tabela18287389[[#This Row],[3 DISTRIBUIDOR P12]]</f>
        <v>0</v>
      </c>
    </row>
    <row r="57" spans="1:11" s="86" customFormat="1" ht="24.6" customHeight="1">
      <c r="A57" s="26">
        <v>40123</v>
      </c>
      <c r="B57" s="133" t="s">
        <v>71</v>
      </c>
      <c r="C57" s="18" t="s">
        <v>79</v>
      </c>
      <c r="D57" s="18">
        <v>2001500</v>
      </c>
      <c r="E57" s="17">
        <v>33049990</v>
      </c>
      <c r="F57" s="19">
        <v>7899811100619</v>
      </c>
      <c r="G57" s="48">
        <v>36</v>
      </c>
      <c r="H57" s="59" t="s">
        <v>73</v>
      </c>
      <c r="I57" s="136"/>
      <c r="J57" s="22">
        <v>19.664006999999998</v>
      </c>
      <c r="K57" s="21">
        <f>Tabela18287389[[#This Row],[CAIXA MÁSTER]]*Tabela18287389[[#This Row],[QUANT.]]*Tabela18287389[[#This Row],[3 DISTRIBUIDOR P12]]</f>
        <v>0</v>
      </c>
    </row>
    <row r="58" spans="1:11" s="80" customFormat="1" ht="24.6" customHeight="1">
      <c r="A58" s="26">
        <v>40100</v>
      </c>
      <c r="B58" s="133" t="s">
        <v>71</v>
      </c>
      <c r="C58" s="18" t="s">
        <v>80</v>
      </c>
      <c r="D58" s="18">
        <v>2001500</v>
      </c>
      <c r="E58" s="17">
        <v>33049990</v>
      </c>
      <c r="F58" s="19">
        <v>7899811102644</v>
      </c>
      <c r="G58" s="48">
        <v>48</v>
      </c>
      <c r="H58" s="59" t="s">
        <v>73</v>
      </c>
      <c r="I58" s="136"/>
      <c r="J58" s="22">
        <v>0</v>
      </c>
      <c r="K58" s="21">
        <f>Tabela18287389[[#This Row],[CAIXA MÁSTER]]*Tabela18287389[[#This Row],[QUANT.]]*Tabela18287389[[#This Row],[3 DISTRIBUIDOR P12]]</f>
        <v>0</v>
      </c>
    </row>
    <row r="59" spans="1:11" s="80" customFormat="1" ht="24.6" customHeight="1">
      <c r="A59" s="26">
        <v>40033</v>
      </c>
      <c r="B59" s="133" t="s">
        <v>71</v>
      </c>
      <c r="C59" s="18" t="s">
        <v>81</v>
      </c>
      <c r="D59" s="18">
        <v>2000600</v>
      </c>
      <c r="E59" s="17">
        <v>33012919</v>
      </c>
      <c r="F59" s="19">
        <v>7899811100411</v>
      </c>
      <c r="G59" s="48">
        <v>72</v>
      </c>
      <c r="H59" s="59" t="s">
        <v>73</v>
      </c>
      <c r="I59" s="136"/>
      <c r="J59" s="22">
        <v>12.547188</v>
      </c>
      <c r="K59" s="21">
        <f>Tabela18287389[[#This Row],[CAIXA MÁSTER]]*Tabela18287389[[#This Row],[QUANT.]]*Tabela18287389[[#This Row],[3 DISTRIBUIDOR P12]]</f>
        <v>0</v>
      </c>
    </row>
    <row r="60" spans="1:11" s="80" customFormat="1" ht="24.6" customHeight="1">
      <c r="A60" s="26">
        <v>40170</v>
      </c>
      <c r="B60" s="133" t="s">
        <v>71</v>
      </c>
      <c r="C60" s="18" t="s">
        <v>82</v>
      </c>
      <c r="D60" s="18">
        <v>2000600</v>
      </c>
      <c r="E60" s="17">
        <v>33012100</v>
      </c>
      <c r="F60" s="19">
        <v>7899811102620</v>
      </c>
      <c r="G60" s="48">
        <v>72</v>
      </c>
      <c r="H60" s="59" t="s">
        <v>73</v>
      </c>
      <c r="I60" s="136"/>
      <c r="J60" s="22">
        <v>0</v>
      </c>
      <c r="K60" s="21">
        <f>Tabela18287389[[#This Row],[CAIXA MÁSTER]]*Tabela18287389[[#This Row],[QUANT.]]*Tabela18287389[[#This Row],[3 DISTRIBUIDOR P12]]</f>
        <v>0</v>
      </c>
    </row>
    <row r="61" spans="1:11" s="80" customFormat="1" ht="24.6" customHeight="1">
      <c r="A61" s="26">
        <v>40064</v>
      </c>
      <c r="B61" s="133" t="s">
        <v>71</v>
      </c>
      <c r="C61" s="18" t="s">
        <v>83</v>
      </c>
      <c r="D61" s="18">
        <v>2000600</v>
      </c>
      <c r="E61" s="17">
        <v>33011290</v>
      </c>
      <c r="F61" s="19">
        <v>7899811102361</v>
      </c>
      <c r="G61" s="20">
        <v>72</v>
      </c>
      <c r="H61" s="59" t="s">
        <v>73</v>
      </c>
      <c r="I61" s="136"/>
      <c r="J61" s="22">
        <v>10.411018</v>
      </c>
      <c r="K61" s="21">
        <f>Tabela18287389[[#This Row],[CAIXA MÁSTER]]*Tabela18287389[[#This Row],[QUANT.]]*Tabela18287389[[#This Row],[3 DISTRIBUIDOR P12]]</f>
        <v>0</v>
      </c>
    </row>
    <row r="62" spans="1:11" s="80" customFormat="1" ht="24.6" customHeight="1">
      <c r="A62" s="26">
        <v>40084</v>
      </c>
      <c r="B62" s="133" t="s">
        <v>71</v>
      </c>
      <c r="C62" s="18" t="s">
        <v>84</v>
      </c>
      <c r="D62" s="18">
        <v>2000600</v>
      </c>
      <c r="E62" s="17">
        <v>33012921</v>
      </c>
      <c r="F62" s="19">
        <v>7899811100701</v>
      </c>
      <c r="G62" s="48">
        <v>72</v>
      </c>
      <c r="H62" s="59" t="s">
        <v>73</v>
      </c>
      <c r="I62" s="136"/>
      <c r="J62" s="22">
        <v>17.876370000000001</v>
      </c>
      <c r="K62" s="21">
        <f>Tabela18287389[[#This Row],[CAIXA MÁSTER]]*Tabela18287389[[#This Row],[QUANT.]]*Tabela18287389[[#This Row],[3 DISTRIBUIDOR P12]]</f>
        <v>0</v>
      </c>
    </row>
    <row r="63" spans="1:11" s="80" customFormat="1" ht="24.6" customHeight="1">
      <c r="A63" s="26">
        <v>40091</v>
      </c>
      <c r="B63" s="133" t="s">
        <v>71</v>
      </c>
      <c r="C63" s="18" t="s">
        <v>85</v>
      </c>
      <c r="D63" s="18">
        <v>2000600</v>
      </c>
      <c r="E63" s="17">
        <v>33012914</v>
      </c>
      <c r="F63" s="19">
        <v>7899811102378</v>
      </c>
      <c r="G63" s="20">
        <v>72</v>
      </c>
      <c r="H63" s="59" t="s">
        <v>73</v>
      </c>
      <c r="I63" s="136"/>
      <c r="J63" s="22">
        <v>14.818274000000001</v>
      </c>
      <c r="K63" s="21">
        <f>Tabela18287389[[#This Row],[CAIXA MÁSTER]]*Tabela18287389[[#This Row],[QUANT.]]*Tabela18287389[[#This Row],[3 DISTRIBUIDOR P12]]</f>
        <v>0</v>
      </c>
    </row>
    <row r="64" spans="1:11" s="80" customFormat="1" ht="24.6" customHeight="1">
      <c r="A64" s="26">
        <v>40093</v>
      </c>
      <c r="B64" s="133" t="s">
        <v>71</v>
      </c>
      <c r="C64" s="18" t="s">
        <v>86</v>
      </c>
      <c r="D64" s="18">
        <v>2000600</v>
      </c>
      <c r="E64" s="17">
        <v>33011300</v>
      </c>
      <c r="F64" s="19">
        <v>7899811102385</v>
      </c>
      <c r="G64" s="48">
        <v>72</v>
      </c>
      <c r="H64" s="59" t="s">
        <v>73</v>
      </c>
      <c r="I64" s="136"/>
      <c r="J64" s="22">
        <v>11.434131000000001</v>
      </c>
      <c r="K64" s="21">
        <f>Tabela18287389[[#This Row],[CAIXA MÁSTER]]*Tabela18287389[[#This Row],[QUANT.]]*Tabela18287389[[#This Row],[3 DISTRIBUIDOR P12]]</f>
        <v>0</v>
      </c>
    </row>
    <row r="65" spans="1:11" s="80" customFormat="1" ht="24.6" customHeight="1">
      <c r="A65" s="26">
        <v>40073</v>
      </c>
      <c r="B65" s="133" t="s">
        <v>71</v>
      </c>
      <c r="C65" s="18" t="s">
        <v>87</v>
      </c>
      <c r="D65" s="18">
        <v>2000600</v>
      </c>
      <c r="E65" s="17">
        <v>33012990</v>
      </c>
      <c r="F65" s="19">
        <v>7899811100787</v>
      </c>
      <c r="G65" s="48">
        <v>72</v>
      </c>
      <c r="H65" s="59" t="s">
        <v>73</v>
      </c>
      <c r="I65" s="136"/>
      <c r="J65" s="22">
        <v>13.053123000000001</v>
      </c>
      <c r="K65" s="21">
        <f>Tabela18287389[[#This Row],[CAIXA MÁSTER]]*Tabela18287389[[#This Row],[QUANT.]]*Tabela18287389[[#This Row],[3 DISTRIBUIDOR P12]]</f>
        <v>0</v>
      </c>
    </row>
    <row r="66" spans="1:11" s="80" customFormat="1" ht="24.6" customHeight="1">
      <c r="A66" s="26">
        <v>40071</v>
      </c>
      <c r="B66" s="133" t="s">
        <v>71</v>
      </c>
      <c r="C66" s="18" t="s">
        <v>88</v>
      </c>
      <c r="D66" s="18">
        <v>2000600</v>
      </c>
      <c r="E66" s="17">
        <v>33012400</v>
      </c>
      <c r="F66" s="19">
        <v>7899811100763</v>
      </c>
      <c r="G66" s="48">
        <v>72</v>
      </c>
      <c r="H66" s="59" t="s">
        <v>73</v>
      </c>
      <c r="I66" s="136"/>
      <c r="J66" s="22">
        <v>17.606538</v>
      </c>
      <c r="K66" s="21">
        <f>Tabela18287389[[#This Row],[CAIXA MÁSTER]]*Tabela18287389[[#This Row],[QUANT.]]*Tabela18287389[[#This Row],[3 DISTRIBUIDOR P12]]</f>
        <v>0</v>
      </c>
    </row>
    <row r="67" spans="1:11" s="80" customFormat="1" ht="24.6" customHeight="1">
      <c r="A67" s="26">
        <v>40171</v>
      </c>
      <c r="B67" s="133" t="s">
        <v>71</v>
      </c>
      <c r="C67" s="18" t="s">
        <v>89</v>
      </c>
      <c r="D67" s="18">
        <v>2000600</v>
      </c>
      <c r="E67" s="17">
        <v>33012990</v>
      </c>
      <c r="F67" s="19">
        <v>7899811102606</v>
      </c>
      <c r="G67" s="48">
        <v>72</v>
      </c>
      <c r="H67" s="59" t="s">
        <v>73</v>
      </c>
      <c r="I67" s="136"/>
      <c r="J67" s="22">
        <v>0</v>
      </c>
      <c r="K67" s="21">
        <f>Tabela18287389[[#This Row],[CAIXA MÁSTER]]*Tabela18287389[[#This Row],[QUANT.]]*Tabela18287389[[#This Row],[3 DISTRIBUIDOR P12]]</f>
        <v>0</v>
      </c>
    </row>
    <row r="68" spans="1:11" s="80" customFormat="1" ht="24.6" customHeight="1">
      <c r="A68" s="26">
        <v>40072</v>
      </c>
      <c r="B68" s="133" t="s">
        <v>71</v>
      </c>
      <c r="C68" s="18" t="s">
        <v>90</v>
      </c>
      <c r="D68" s="18">
        <v>1707500</v>
      </c>
      <c r="E68" s="17">
        <v>15159090</v>
      </c>
      <c r="F68" s="19">
        <v>7899811100770</v>
      </c>
      <c r="G68" s="48">
        <v>72</v>
      </c>
      <c r="H68" s="59" t="s">
        <v>73</v>
      </c>
      <c r="I68" s="136"/>
      <c r="J68" s="22">
        <v>8.949428000000001</v>
      </c>
      <c r="K68" s="21">
        <f>Tabela18287389[[#This Row],[CAIXA MÁSTER]]*Tabela18287389[[#This Row],[QUANT.]]*Tabela18287389[[#This Row],[3 DISTRIBUIDOR P12]]</f>
        <v>0</v>
      </c>
    </row>
    <row r="69" spans="1:11" s="80" customFormat="1" ht="24.6" customHeight="1">
      <c r="A69" s="26">
        <v>40128</v>
      </c>
      <c r="B69" s="133" t="s">
        <v>71</v>
      </c>
      <c r="C69" s="18" t="s">
        <v>91</v>
      </c>
      <c r="D69" s="18">
        <v>1707500</v>
      </c>
      <c r="E69" s="17">
        <v>15159090</v>
      </c>
      <c r="F69" s="19">
        <v>7899811100688</v>
      </c>
      <c r="G69" s="48">
        <v>72</v>
      </c>
      <c r="H69" s="59" t="s">
        <v>73</v>
      </c>
      <c r="I69" s="136"/>
      <c r="J69" s="22">
        <v>11.153056000000001</v>
      </c>
      <c r="K69" s="21">
        <f>Tabela18287389[[#This Row],[CAIXA MÁSTER]]*Tabela18287389[[#This Row],[QUANT.]]*Tabela18287389[[#This Row],[3 DISTRIBUIDOR P12]]</f>
        <v>0</v>
      </c>
    </row>
    <row r="70" spans="1:11" s="80" customFormat="1" ht="24.6" customHeight="1">
      <c r="A70" s="26">
        <v>40172</v>
      </c>
      <c r="B70" s="133" t="s">
        <v>71</v>
      </c>
      <c r="C70" s="18" t="s">
        <v>92</v>
      </c>
      <c r="D70" s="18">
        <v>2000600</v>
      </c>
      <c r="E70" s="17">
        <v>33012990</v>
      </c>
      <c r="F70" s="19">
        <v>7899811102613</v>
      </c>
      <c r="G70" s="48">
        <v>72</v>
      </c>
      <c r="H70" s="59" t="s">
        <v>73</v>
      </c>
      <c r="I70" s="136"/>
      <c r="J70" s="22">
        <v>0</v>
      </c>
      <c r="K70" s="21">
        <f>Tabela18287389[[#This Row],[CAIXA MÁSTER]]*Tabela18287389[[#This Row],[QUANT.]]*Tabela18287389[[#This Row],[3 DISTRIBUIDOR P12]]</f>
        <v>0</v>
      </c>
    </row>
    <row r="71" spans="1:11" s="31" customFormat="1" ht="24.6" customHeight="1">
      <c r="A71" s="26">
        <v>40157</v>
      </c>
      <c r="B71" s="123" t="s">
        <v>94</v>
      </c>
      <c r="C71" s="18" t="s">
        <v>95</v>
      </c>
      <c r="D71" s="18">
        <v>2001500</v>
      </c>
      <c r="E71" s="17">
        <v>33049990</v>
      </c>
      <c r="F71" s="19">
        <v>7899811100220</v>
      </c>
      <c r="G71" s="48">
        <v>24</v>
      </c>
      <c r="H71" s="20" t="s">
        <v>96</v>
      </c>
      <c r="I71" s="136"/>
      <c r="J71" s="22">
        <v>8.6121380000000016</v>
      </c>
      <c r="K71" s="21">
        <f>Tabela18287389[[#This Row],[CAIXA MÁSTER]]*Tabela18287389[[#This Row],[QUANT.]]*Tabela18287389[[#This Row],[3 DISTRIBUIDOR P12]]</f>
        <v>0</v>
      </c>
    </row>
    <row r="72" spans="1:11" s="31" customFormat="1" ht="24.6" customHeight="1">
      <c r="A72" s="26">
        <v>40158</v>
      </c>
      <c r="B72" s="123" t="s">
        <v>94</v>
      </c>
      <c r="C72" s="18" t="s">
        <v>97</v>
      </c>
      <c r="D72" s="18">
        <v>2001500</v>
      </c>
      <c r="E72" s="17">
        <v>33049990</v>
      </c>
      <c r="F72" s="19">
        <v>7899811100367</v>
      </c>
      <c r="G72" s="48">
        <v>72</v>
      </c>
      <c r="H72" s="20" t="s">
        <v>96</v>
      </c>
      <c r="I72" s="136"/>
      <c r="J72" s="22">
        <v>2.4284880000000002</v>
      </c>
      <c r="K72" s="21">
        <f>Tabela18287389[[#This Row],[CAIXA MÁSTER]]*Tabela18287389[[#This Row],[QUANT.]]*Tabela18287389[[#This Row],[3 DISTRIBUIDOR P12]]</f>
        <v>0</v>
      </c>
    </row>
    <row r="73" spans="1:11" s="31" customFormat="1" ht="24.6" customHeight="1">
      <c r="A73" s="26">
        <v>40066</v>
      </c>
      <c r="B73" s="123" t="s">
        <v>16</v>
      </c>
      <c r="C73" s="18" t="s">
        <v>130</v>
      </c>
      <c r="D73" s="18">
        <v>2001500</v>
      </c>
      <c r="E73" s="17">
        <v>33049990</v>
      </c>
      <c r="F73" s="19">
        <v>7899811100664</v>
      </c>
      <c r="G73" s="48">
        <v>72</v>
      </c>
      <c r="H73" s="20" t="s">
        <v>96</v>
      </c>
      <c r="I73" s="136"/>
      <c r="J73" s="22">
        <v>5.0593500000000002</v>
      </c>
      <c r="K73" s="21">
        <f>Tabela18287389[[#This Row],[CAIXA MÁSTER]]*Tabela18287389[[#This Row],[QUANT.]]*Tabela18287389[[#This Row],[3 DISTRIBUIDOR P12]]</f>
        <v>0</v>
      </c>
    </row>
    <row r="74" spans="1:11" s="72" customFormat="1" ht="24.6" customHeight="1">
      <c r="A74" s="26">
        <v>40138</v>
      </c>
      <c r="B74" s="123" t="s">
        <v>94</v>
      </c>
      <c r="C74" s="18" t="s">
        <v>99</v>
      </c>
      <c r="D74" s="18">
        <v>2001500</v>
      </c>
      <c r="E74" s="17">
        <v>33049990</v>
      </c>
      <c r="F74" s="131">
        <v>7899811102156</v>
      </c>
      <c r="G74" s="20">
        <v>50</v>
      </c>
      <c r="H74" s="20" t="s">
        <v>96</v>
      </c>
      <c r="I74" s="136"/>
      <c r="J74" s="22">
        <v>5.7451730000000012</v>
      </c>
      <c r="K74" s="21">
        <f>Tabela18287389[[#This Row],[CAIXA MÁSTER]]*Tabela18287389[[#This Row],[QUANT.]]*Tabela18287389[[#This Row],[3 DISTRIBUIDOR P12]]</f>
        <v>0</v>
      </c>
    </row>
    <row r="75" spans="1:11" s="72" customFormat="1" ht="24.6" customHeight="1">
      <c r="A75" s="26">
        <v>40139</v>
      </c>
      <c r="B75" s="123" t="s">
        <v>94</v>
      </c>
      <c r="C75" s="18" t="s">
        <v>100</v>
      </c>
      <c r="D75" s="18">
        <v>2001500</v>
      </c>
      <c r="E75" s="17">
        <v>33049990</v>
      </c>
      <c r="F75" s="131">
        <v>7899811102149</v>
      </c>
      <c r="G75" s="48">
        <v>50</v>
      </c>
      <c r="H75" s="20" t="s">
        <v>96</v>
      </c>
      <c r="I75" s="136"/>
      <c r="J75" s="22">
        <v>7.4091370000000003</v>
      </c>
      <c r="K75" s="21">
        <f>Tabela18287389[[#This Row],[CAIXA MÁSTER]]*Tabela18287389[[#This Row],[QUANT.]]*Tabela18287389[[#This Row],[3 DISTRIBUIDOR P12]]</f>
        <v>0</v>
      </c>
    </row>
    <row r="76" spans="1:11" s="96" customFormat="1" ht="24.6" customHeight="1">
      <c r="A76" s="26">
        <v>40155</v>
      </c>
      <c r="B76" s="123" t="s">
        <v>94</v>
      </c>
      <c r="C76" s="18" t="s">
        <v>101</v>
      </c>
      <c r="D76" s="18">
        <v>2001500</v>
      </c>
      <c r="E76" s="17">
        <v>33049990</v>
      </c>
      <c r="F76" s="19">
        <v>7899811100183</v>
      </c>
      <c r="G76" s="48">
        <v>72</v>
      </c>
      <c r="H76" s="20" t="s">
        <v>96</v>
      </c>
      <c r="I76" s="136"/>
      <c r="J76" s="22">
        <v>3.8563490000000002</v>
      </c>
      <c r="K76" s="21">
        <f>Tabela18287389[[#This Row],[CAIXA MÁSTER]]*Tabela18287389[[#This Row],[QUANT.]]*Tabela18287389[[#This Row],[3 DISTRIBUIDOR P12]]</f>
        <v>0</v>
      </c>
    </row>
    <row r="77" spans="1:11" s="86" customFormat="1" ht="24.6" customHeight="1">
      <c r="A77" s="26">
        <v>40164</v>
      </c>
      <c r="B77" s="123" t="s">
        <v>94</v>
      </c>
      <c r="C77" s="18" t="s">
        <v>102</v>
      </c>
      <c r="D77" s="18">
        <v>2002500</v>
      </c>
      <c r="E77" s="134">
        <v>33069000</v>
      </c>
      <c r="F77" s="19">
        <v>7899811100305</v>
      </c>
      <c r="G77" s="48">
        <v>48</v>
      </c>
      <c r="H77" s="20" t="s">
        <v>96</v>
      </c>
      <c r="I77" s="136"/>
      <c r="J77" s="22">
        <v>0</v>
      </c>
      <c r="K77" s="21">
        <f>Tabela18287389[[#This Row],[CAIXA MÁSTER]]*Tabela18287389[[#This Row],[QUANT.]]*Tabela18287389[[#This Row],[3 DISTRIBUIDOR P12]]</f>
        <v>0</v>
      </c>
    </row>
    <row r="78" spans="1:11" s="86" customFormat="1" ht="24.6" customHeight="1">
      <c r="A78" s="26">
        <v>40058</v>
      </c>
      <c r="B78" s="123" t="s">
        <v>94</v>
      </c>
      <c r="C78" s="18" t="s">
        <v>103</v>
      </c>
      <c r="D78" s="18">
        <v>2002500</v>
      </c>
      <c r="E78" s="17">
        <v>33069000</v>
      </c>
      <c r="F78" s="19">
        <v>7899811100671</v>
      </c>
      <c r="G78" s="48">
        <v>96</v>
      </c>
      <c r="H78" s="20" t="s">
        <v>96</v>
      </c>
      <c r="I78" s="136"/>
      <c r="J78" s="22">
        <v>0</v>
      </c>
      <c r="K78" s="21">
        <f>Tabela18287389[[#This Row],[CAIXA MÁSTER]]*Tabela18287389[[#This Row],[QUANT.]]*Tabela18287389[[#This Row],[3 DISTRIBUIDOR P12]]</f>
        <v>0</v>
      </c>
    </row>
    <row r="79" spans="1:11" s="86" customFormat="1" ht="24.6" customHeight="1">
      <c r="A79" s="26">
        <v>40107</v>
      </c>
      <c r="B79" s="123" t="s">
        <v>94</v>
      </c>
      <c r="C79" s="18" t="s">
        <v>104</v>
      </c>
      <c r="D79" s="18"/>
      <c r="E79" s="17">
        <v>15200010</v>
      </c>
      <c r="F79" s="19">
        <v>7899811102415</v>
      </c>
      <c r="G79" s="48">
        <v>96</v>
      </c>
      <c r="H79" s="20" t="s">
        <v>96</v>
      </c>
      <c r="I79" s="136"/>
      <c r="J79" s="22">
        <v>4.3285550000000006</v>
      </c>
      <c r="K79" s="21">
        <f>Tabela18287389[[#This Row],[CAIXA MÁSTER]]*Tabela18287389[[#This Row],[QUANT.]]*Tabela18287389[[#This Row],[3 DISTRIBUIDOR P12]]</f>
        <v>0</v>
      </c>
    </row>
    <row r="80" spans="1:11" s="86" customFormat="1" ht="24.6" customHeight="1">
      <c r="A80" s="26">
        <v>40058</v>
      </c>
      <c r="B80" s="123" t="s">
        <v>16</v>
      </c>
      <c r="C80" s="18" t="s">
        <v>105</v>
      </c>
      <c r="D80" s="18">
        <v>2002500</v>
      </c>
      <c r="E80" s="17">
        <v>33069000</v>
      </c>
      <c r="F80" s="131">
        <v>7899811100671</v>
      </c>
      <c r="G80" s="48">
        <v>96</v>
      </c>
      <c r="H80" s="20" t="s">
        <v>96</v>
      </c>
      <c r="I80" s="136"/>
      <c r="J80" s="22">
        <v>5.4416120000000001</v>
      </c>
      <c r="K80" s="21">
        <f>Tabela18287389[[#This Row],[CAIXA MÁSTER]]*Tabela18287389[[#This Row],[QUANT.]]*Tabela18287389[[#This Row],[3 DISTRIBUIDOR P12]]</f>
        <v>0</v>
      </c>
    </row>
    <row r="81" spans="1:11" s="80" customFormat="1" ht="24.6" customHeight="1">
      <c r="A81" s="26">
        <v>40010</v>
      </c>
      <c r="B81" s="123" t="s">
        <v>16</v>
      </c>
      <c r="C81" s="18" t="s">
        <v>131</v>
      </c>
      <c r="D81" s="18">
        <v>2001500</v>
      </c>
      <c r="E81" s="17">
        <v>33049990</v>
      </c>
      <c r="F81" s="19">
        <v>7899811100442</v>
      </c>
      <c r="G81" s="20">
        <v>12</v>
      </c>
      <c r="H81" s="20" t="s">
        <v>96</v>
      </c>
      <c r="I81" s="136"/>
      <c r="J81" s="22">
        <v>8.6121380000000016</v>
      </c>
      <c r="K81" s="21">
        <f>Tabela18287389[[#This Row],[CAIXA MÁSTER]]*Tabela18287389[[#This Row],[QUANT.]]*Tabela18287389[[#This Row],[3 DISTRIBUIDOR P12]]</f>
        <v>0</v>
      </c>
    </row>
    <row r="82" spans="1:11" s="86" customFormat="1" ht="24.6" customHeight="1">
      <c r="A82" s="26">
        <v>40022</v>
      </c>
      <c r="B82" s="124" t="s">
        <v>16</v>
      </c>
      <c r="C82" s="18" t="s">
        <v>107</v>
      </c>
      <c r="D82" s="18">
        <v>2001500</v>
      </c>
      <c r="E82" s="17">
        <v>33049990</v>
      </c>
      <c r="F82" s="19">
        <v>7899811100084</v>
      </c>
      <c r="G82" s="20">
        <v>48</v>
      </c>
      <c r="H82" s="20" t="s">
        <v>96</v>
      </c>
      <c r="I82" s="136"/>
      <c r="J82" s="22">
        <v>2.4284880000000002</v>
      </c>
      <c r="K82" s="21">
        <f>Tabela18287389[[#This Row],[CAIXA MÁSTER]]*Tabela18287389[[#This Row],[QUANT.]]*Tabela18287389[[#This Row],[3 DISTRIBUIDOR P12]]</f>
        <v>0</v>
      </c>
    </row>
    <row r="83" spans="1:11" s="86" customFormat="1" ht="24.6" customHeight="1">
      <c r="A83" s="26">
        <v>40056</v>
      </c>
      <c r="B83" s="123" t="s">
        <v>94</v>
      </c>
      <c r="C83" s="18" t="s">
        <v>108</v>
      </c>
      <c r="D83" s="18">
        <v>2002900</v>
      </c>
      <c r="E83" s="17">
        <v>33072090</v>
      </c>
      <c r="F83" s="131">
        <v>7899811100404</v>
      </c>
      <c r="G83" s="48">
        <v>120</v>
      </c>
      <c r="H83" s="20" t="s">
        <v>96</v>
      </c>
      <c r="I83" s="136"/>
      <c r="J83" s="22">
        <v>3.5865170000000002</v>
      </c>
      <c r="K83" s="21">
        <f>Tabela18287389[[#This Row],[CAIXA MÁSTER]]*Tabela18287389[[#This Row],[QUANT.]]*Tabela18287389[[#This Row],[3 DISTRIBUIDOR P12]]</f>
        <v>0</v>
      </c>
    </row>
    <row r="84" spans="1:11" s="86" customFormat="1" ht="24.6" customHeight="1">
      <c r="A84" s="26">
        <v>40088</v>
      </c>
      <c r="B84" s="123" t="s">
        <v>94</v>
      </c>
      <c r="C84" s="18" t="s">
        <v>109</v>
      </c>
      <c r="D84" s="18">
        <v>2002000</v>
      </c>
      <c r="E84" s="17">
        <v>33074900</v>
      </c>
      <c r="F84" s="19">
        <v>7899811102453</v>
      </c>
      <c r="G84" s="48">
        <v>96</v>
      </c>
      <c r="H84" s="20" t="s">
        <v>96</v>
      </c>
      <c r="I84" s="136"/>
      <c r="J84" s="22">
        <v>5.3853970000000002</v>
      </c>
      <c r="K84" s="21">
        <f>Tabela18287389[[#This Row],[CAIXA MÁSTER]]*Tabela18287389[[#This Row],[QUANT.]]*Tabela18287389[[#This Row],[3 DISTRIBUIDOR P12]]</f>
        <v>0</v>
      </c>
    </row>
    <row r="85" spans="1:11" s="86" customFormat="1" ht="24.6" customHeight="1">
      <c r="A85" s="26">
        <v>40154</v>
      </c>
      <c r="B85" s="123" t="s">
        <v>94</v>
      </c>
      <c r="C85" s="18" t="s">
        <v>110</v>
      </c>
      <c r="D85" s="18">
        <v>2001500</v>
      </c>
      <c r="E85" s="17">
        <v>33049990</v>
      </c>
      <c r="F85" s="19">
        <v>7899811102484</v>
      </c>
      <c r="G85" s="20">
        <v>96</v>
      </c>
      <c r="H85" s="20" t="s">
        <v>96</v>
      </c>
      <c r="I85" s="136"/>
      <c r="J85" s="22">
        <v>6.689585000000001</v>
      </c>
      <c r="K85" s="21">
        <f>Tabela18287389[[#This Row],[CAIXA MÁSTER]]*Tabela18287389[[#This Row],[QUANT.]]*Tabela18287389[[#This Row],[3 DISTRIBUIDOR P12]]</f>
        <v>0</v>
      </c>
    </row>
    <row r="86" spans="1:11" s="86" customFormat="1" ht="24.6" customHeight="1">
      <c r="A86" s="26">
        <v>40153</v>
      </c>
      <c r="B86" s="123" t="s">
        <v>94</v>
      </c>
      <c r="C86" s="18" t="s">
        <v>111</v>
      </c>
      <c r="D86" s="18">
        <v>2001500</v>
      </c>
      <c r="E86" s="17">
        <v>33049990</v>
      </c>
      <c r="F86" s="19">
        <v>7899811102491</v>
      </c>
      <c r="G86" s="20">
        <v>96</v>
      </c>
      <c r="H86" s="20" t="s">
        <v>96</v>
      </c>
      <c r="I86" s="136"/>
      <c r="J86" s="22">
        <v>6.689585000000001</v>
      </c>
      <c r="K86" s="21">
        <f>Tabela18287389[[#This Row],[CAIXA MÁSTER]]*Tabela18287389[[#This Row],[QUANT.]]*Tabela18287389[[#This Row],[3 DISTRIBUIDOR P12]]</f>
        <v>0</v>
      </c>
    </row>
    <row r="87" spans="1:11" s="86" customFormat="1" ht="24.6" customHeight="1">
      <c r="A87" s="26">
        <v>40159</v>
      </c>
      <c r="B87" s="123" t="s">
        <v>94</v>
      </c>
      <c r="C87" s="18" t="s">
        <v>112</v>
      </c>
      <c r="D87" s="18">
        <v>2803500</v>
      </c>
      <c r="E87" s="17">
        <v>34013000</v>
      </c>
      <c r="F87" s="19">
        <v>7899811100480</v>
      </c>
      <c r="G87" s="48">
        <v>24</v>
      </c>
      <c r="H87" s="20" t="s">
        <v>96</v>
      </c>
      <c r="I87" s="136"/>
      <c r="J87" s="22">
        <v>11.119327000000002</v>
      </c>
      <c r="K87" s="21">
        <f>Tabela18287389[[#This Row],[CAIXA MÁSTER]]*Tabela18287389[[#This Row],[QUANT.]]*Tabela18287389[[#This Row],[3 DISTRIBUIDOR P12]]</f>
        <v>0</v>
      </c>
    </row>
    <row r="88" spans="1:11" s="86" customFormat="1" ht="24.6" customHeight="1">
      <c r="A88" s="26">
        <v>40120</v>
      </c>
      <c r="B88" s="123" t="s">
        <v>94</v>
      </c>
      <c r="C88" s="18" t="s">
        <v>113</v>
      </c>
      <c r="D88" s="18"/>
      <c r="E88" s="17">
        <v>27129000</v>
      </c>
      <c r="F88" s="19">
        <v>7899811100817</v>
      </c>
      <c r="G88" s="48">
        <v>216</v>
      </c>
      <c r="H88" s="20" t="s">
        <v>96</v>
      </c>
      <c r="I88" s="136"/>
      <c r="J88" s="22">
        <v>2.7882640000000003</v>
      </c>
      <c r="K88" s="21">
        <f>Tabela18287389[[#This Row],[CAIXA MÁSTER]]*Tabela18287389[[#This Row],[QUANT.]]*Tabela18287389[[#This Row],[3 DISTRIBUIDOR P12]]</f>
        <v>0</v>
      </c>
    </row>
    <row r="89" spans="1:11" s="86" customFormat="1" ht="24.6" customHeight="1">
      <c r="A89" s="26">
        <v>40121</v>
      </c>
      <c r="B89" s="123" t="s">
        <v>94</v>
      </c>
      <c r="C89" s="18" t="s">
        <v>114</v>
      </c>
      <c r="D89" s="18"/>
      <c r="E89" s="17">
        <v>27129000</v>
      </c>
      <c r="F89" s="19">
        <v>7899811100848</v>
      </c>
      <c r="G89" s="48">
        <v>96</v>
      </c>
      <c r="H89" s="20" t="s">
        <v>96</v>
      </c>
      <c r="I89" s="136"/>
      <c r="J89" s="22">
        <v>4.7782750000000007</v>
      </c>
      <c r="K89" s="21">
        <f>Tabela18287389[[#This Row],[CAIXA MÁSTER]]*Tabela18287389[[#This Row],[QUANT.]]*Tabela18287389[[#This Row],[3 DISTRIBUIDOR P12]]</f>
        <v>0</v>
      </c>
    </row>
    <row r="90" spans="1:11" s="96" customFormat="1" ht="24.6" customHeight="1">
      <c r="A90" s="26">
        <v>40054</v>
      </c>
      <c r="B90" s="123" t="s">
        <v>94</v>
      </c>
      <c r="C90" s="18" t="s">
        <v>115</v>
      </c>
      <c r="D90" s="18">
        <v>2002000</v>
      </c>
      <c r="E90" s="17">
        <v>33074900</v>
      </c>
      <c r="F90" s="19">
        <v>7899811102521</v>
      </c>
      <c r="G90" s="48">
        <v>96</v>
      </c>
      <c r="H90" s="20" t="s">
        <v>96</v>
      </c>
      <c r="I90" s="136"/>
      <c r="J90" s="22">
        <v>4.9356770000000001</v>
      </c>
      <c r="K90" s="21">
        <f>Tabela18287389[[#This Row],[CAIXA MÁSTER]]*Tabela18287389[[#This Row],[QUANT.]]*Tabela18287389[[#This Row],[3 DISTRIBUIDOR P12]]</f>
        <v>0</v>
      </c>
    </row>
    <row r="91" spans="1:11" s="86" customFormat="1" ht="24.6" customHeight="1">
      <c r="A91" s="26">
        <v>40168</v>
      </c>
      <c r="B91" s="123" t="s">
        <v>94</v>
      </c>
      <c r="C91" s="18" t="s">
        <v>116</v>
      </c>
      <c r="D91" s="18">
        <v>2000200</v>
      </c>
      <c r="E91" s="17">
        <v>27129000</v>
      </c>
      <c r="F91" s="19">
        <v>7899811102460</v>
      </c>
      <c r="G91" s="20">
        <v>96</v>
      </c>
      <c r="H91" s="20" t="s">
        <v>96</v>
      </c>
      <c r="I91" s="136"/>
      <c r="J91" s="22">
        <v>4.5309290000000004</v>
      </c>
      <c r="K91" s="21">
        <f>Tabela18287389[[#This Row],[CAIXA MÁSTER]]*Tabela18287389[[#This Row],[QUANT.]]*Tabela18287389[[#This Row],[3 DISTRIBUIDOR P12]]</f>
        <v>0</v>
      </c>
    </row>
    <row r="92" spans="1:11" s="84" customFormat="1" ht="24.6" customHeight="1">
      <c r="A92" s="125">
        <v>40111</v>
      </c>
      <c r="B92" s="126" t="s">
        <v>118</v>
      </c>
      <c r="C92" s="127" t="s">
        <v>119</v>
      </c>
      <c r="D92" s="127">
        <v>2001500</v>
      </c>
      <c r="E92" s="128">
        <v>33049990</v>
      </c>
      <c r="F92" s="129">
        <v>7899811100022</v>
      </c>
      <c r="G92" s="130">
        <v>72</v>
      </c>
      <c r="H92" s="135" t="s">
        <v>118</v>
      </c>
      <c r="I92" s="140"/>
      <c r="J92" s="22">
        <v>8.3085769999999997</v>
      </c>
      <c r="K92" s="21">
        <f>Tabela18287389[[#This Row],[CAIXA MÁSTER]]*Tabela18287389[[#This Row],[QUANT.]]*Tabela18287389[[#This Row],[3 DISTRIBUIDOR P12]]</f>
        <v>0</v>
      </c>
    </row>
    <row r="93" spans="1:11" ht="24.6" customHeight="1">
      <c r="C93" s="34"/>
    </row>
    <row r="94" spans="1:11" ht="24.6" customHeight="1">
      <c r="C94" s="120" t="s">
        <v>120</v>
      </c>
    </row>
    <row r="95" spans="1:11" ht="24.6" customHeight="1">
      <c r="C95" s="121" t="s">
        <v>121</v>
      </c>
    </row>
    <row r="96" spans="1:11" ht="24.6" customHeight="1">
      <c r="C96" s="122" t="s">
        <v>122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 12</vt:lpstr>
      <vt:lpstr>P 12 PEDIDO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ALTAMON GUIMARAES</dc:creator>
  <cp:lastModifiedBy>cronosmetal2019@outlook.com</cp:lastModifiedBy>
  <dcterms:created xsi:type="dcterms:W3CDTF">2026-04-07T11:53:54Z</dcterms:created>
  <dcterms:modified xsi:type="dcterms:W3CDTF">2026-07-02T11:53:25Z</dcterms:modified>
</cp:coreProperties>
</file>