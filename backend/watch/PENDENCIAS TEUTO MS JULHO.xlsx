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L-PO~1\AppData\Local\Temp\"/>
    </mc:Choice>
  </mc:AlternateContent>
  <xr:revisionPtr revIDLastSave="0" documentId="8_{CB8BA474-F7C2-4C0D-8807-6E25A4714F57}" xr6:coauthVersionLast="47" xr6:coauthVersionMax="47" xr10:uidLastSave="{00000000-0000-0000-0000-000000000000}"/>
  <bookViews>
    <workbookView xWindow="-120" yWindow="-120" windowWidth="29040" windowHeight="15720" xr2:uid="{EB86CA97-042B-4F2F-8A5C-5A4941CFB7D8}"/>
  </bookViews>
  <sheets>
    <sheet name="RESUMO" sheetId="1" r:id="rId1"/>
    <sheet name="PND CANCELADA" sheetId="2" r:id="rId2"/>
    <sheet name="PND" sheetId="3" r:id="rId3"/>
    <sheet name="FATURADO" sheetId="4" r:id="rId4"/>
    <sheet name="SEPARAÇÃO" sheetId="5" r:id="rId5"/>
  </sheets>
  <definedNames>
    <definedName name="_xlnm._FilterDatabase" localSheetId="3" hidden="1">FATURADO!$A$2:$P$2</definedName>
    <definedName name="_xlnm._FilterDatabase" localSheetId="2" hidden="1">PND!$A$2:$R$2</definedName>
    <definedName name="_xlnm._FilterDatabase" localSheetId="1" hidden="1">'PND CANCELADA'!$A$2:$R$2</definedName>
    <definedName name="_xlnm._FilterDatabase" localSheetId="0" hidden="1">RESUMO!$A$2:$M$2</definedName>
    <definedName name="_xlnm._FilterDatabase" localSheetId="4" hidden="1">SEPARAÇÃO!$A$2:$P$2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" i="5" l="1"/>
  <c r="O1" i="4"/>
  <c r="N1" i="4"/>
  <c r="J1" i="3"/>
  <c r="J1" i="2"/>
  <c r="K348" i="1"/>
  <c r="J348" i="1"/>
  <c r="I348" i="1"/>
  <c r="H348" i="1"/>
  <c r="G348" i="1"/>
  <c r="F348" i="1"/>
  <c r="K347" i="1"/>
  <c r="J347" i="1"/>
  <c r="I347" i="1"/>
  <c r="H347" i="1"/>
  <c r="G347" i="1"/>
  <c r="F347" i="1"/>
  <c r="K346" i="1"/>
  <c r="J346" i="1"/>
  <c r="I346" i="1"/>
  <c r="H346" i="1"/>
  <c r="G346" i="1"/>
  <c r="F346" i="1"/>
  <c r="K345" i="1"/>
  <c r="J345" i="1"/>
  <c r="I345" i="1"/>
  <c r="H345" i="1"/>
  <c r="G345" i="1"/>
  <c r="F345" i="1"/>
  <c r="K344" i="1"/>
  <c r="J344" i="1"/>
  <c r="I344" i="1"/>
  <c r="H344" i="1"/>
  <c r="G344" i="1"/>
  <c r="F344" i="1"/>
  <c r="K343" i="1"/>
  <c r="J343" i="1"/>
  <c r="I343" i="1"/>
  <c r="H343" i="1"/>
  <c r="G343" i="1"/>
  <c r="F343" i="1"/>
  <c r="K342" i="1"/>
  <c r="J342" i="1"/>
  <c r="I342" i="1"/>
  <c r="H342" i="1"/>
  <c r="G342" i="1"/>
  <c r="F342" i="1"/>
  <c r="K341" i="1"/>
  <c r="J341" i="1"/>
  <c r="I341" i="1"/>
  <c r="H341" i="1"/>
  <c r="G341" i="1"/>
  <c r="F341" i="1"/>
  <c r="K340" i="1"/>
  <c r="J340" i="1"/>
  <c r="I340" i="1"/>
  <c r="H340" i="1"/>
  <c r="G340" i="1"/>
  <c r="F340" i="1"/>
  <c r="K339" i="1"/>
  <c r="J339" i="1"/>
  <c r="I339" i="1"/>
  <c r="H339" i="1"/>
  <c r="G339" i="1"/>
  <c r="F339" i="1"/>
  <c r="K338" i="1"/>
  <c r="J338" i="1"/>
  <c r="I338" i="1"/>
  <c r="H338" i="1"/>
  <c r="G338" i="1"/>
  <c r="F338" i="1"/>
  <c r="K337" i="1"/>
  <c r="J337" i="1"/>
  <c r="I337" i="1"/>
  <c r="H337" i="1"/>
  <c r="G337" i="1"/>
  <c r="F337" i="1"/>
  <c r="K336" i="1"/>
  <c r="J336" i="1"/>
  <c r="I336" i="1"/>
  <c r="H336" i="1"/>
  <c r="G336" i="1"/>
  <c r="F336" i="1"/>
  <c r="K335" i="1"/>
  <c r="J335" i="1"/>
  <c r="I335" i="1"/>
  <c r="H335" i="1"/>
  <c r="G335" i="1"/>
  <c r="F335" i="1"/>
  <c r="K334" i="1"/>
  <c r="J334" i="1"/>
  <c r="I334" i="1"/>
  <c r="H334" i="1"/>
  <c r="G334" i="1"/>
  <c r="F334" i="1"/>
  <c r="K333" i="1"/>
  <c r="J333" i="1"/>
  <c r="I333" i="1"/>
  <c r="H333" i="1"/>
  <c r="G333" i="1"/>
  <c r="F333" i="1"/>
  <c r="K332" i="1"/>
  <c r="J332" i="1"/>
  <c r="I332" i="1"/>
  <c r="H332" i="1"/>
  <c r="G332" i="1"/>
  <c r="F332" i="1"/>
  <c r="K331" i="1"/>
  <c r="J331" i="1"/>
  <c r="I331" i="1"/>
  <c r="H331" i="1"/>
  <c r="G331" i="1"/>
  <c r="F331" i="1"/>
  <c r="K330" i="1"/>
  <c r="J330" i="1"/>
  <c r="I330" i="1"/>
  <c r="H330" i="1"/>
  <c r="G330" i="1"/>
  <c r="F330" i="1"/>
  <c r="K329" i="1"/>
  <c r="J329" i="1"/>
  <c r="I329" i="1"/>
  <c r="H329" i="1"/>
  <c r="G329" i="1"/>
  <c r="F329" i="1"/>
  <c r="K328" i="1"/>
  <c r="J328" i="1"/>
  <c r="I328" i="1"/>
  <c r="H328" i="1"/>
  <c r="G328" i="1"/>
  <c r="F328" i="1"/>
  <c r="K327" i="1"/>
  <c r="J327" i="1"/>
  <c r="I327" i="1"/>
  <c r="H327" i="1"/>
  <c r="G327" i="1"/>
  <c r="F327" i="1"/>
  <c r="K326" i="1"/>
  <c r="J326" i="1"/>
  <c r="I326" i="1"/>
  <c r="H326" i="1"/>
  <c r="G326" i="1"/>
  <c r="F326" i="1"/>
  <c r="K325" i="1"/>
  <c r="J325" i="1"/>
  <c r="I325" i="1"/>
  <c r="H325" i="1"/>
  <c r="G325" i="1"/>
  <c r="F325" i="1"/>
  <c r="K324" i="1"/>
  <c r="J324" i="1"/>
  <c r="I324" i="1"/>
  <c r="H324" i="1"/>
  <c r="G324" i="1"/>
  <c r="F324" i="1"/>
  <c r="K323" i="1"/>
  <c r="J323" i="1"/>
  <c r="I323" i="1"/>
  <c r="H323" i="1"/>
  <c r="G323" i="1"/>
  <c r="F323" i="1"/>
  <c r="K322" i="1"/>
  <c r="J322" i="1"/>
  <c r="I322" i="1"/>
  <c r="H322" i="1"/>
  <c r="G322" i="1"/>
  <c r="F322" i="1"/>
  <c r="K321" i="1"/>
  <c r="J321" i="1"/>
  <c r="I321" i="1"/>
  <c r="H321" i="1"/>
  <c r="G321" i="1"/>
  <c r="F321" i="1"/>
  <c r="K320" i="1"/>
  <c r="J320" i="1"/>
  <c r="I320" i="1"/>
  <c r="H320" i="1"/>
  <c r="G320" i="1"/>
  <c r="F320" i="1"/>
  <c r="K319" i="1"/>
  <c r="J319" i="1"/>
  <c r="I319" i="1"/>
  <c r="H319" i="1"/>
  <c r="G319" i="1"/>
  <c r="F319" i="1"/>
  <c r="K318" i="1"/>
  <c r="J318" i="1"/>
  <c r="I318" i="1"/>
  <c r="H318" i="1"/>
  <c r="G318" i="1"/>
  <c r="F318" i="1"/>
  <c r="K317" i="1"/>
  <c r="J317" i="1"/>
  <c r="I317" i="1"/>
  <c r="H317" i="1"/>
  <c r="G317" i="1"/>
  <c r="F317" i="1"/>
  <c r="K316" i="1"/>
  <c r="J316" i="1"/>
  <c r="I316" i="1"/>
  <c r="H316" i="1"/>
  <c r="G316" i="1"/>
  <c r="F316" i="1"/>
  <c r="K315" i="1"/>
  <c r="J315" i="1"/>
  <c r="I315" i="1"/>
  <c r="H315" i="1"/>
  <c r="G315" i="1"/>
  <c r="F315" i="1"/>
  <c r="K314" i="1"/>
  <c r="J314" i="1"/>
  <c r="I314" i="1"/>
  <c r="H314" i="1"/>
  <c r="G314" i="1"/>
  <c r="F314" i="1"/>
  <c r="K313" i="1"/>
  <c r="J313" i="1"/>
  <c r="I313" i="1"/>
  <c r="H313" i="1"/>
  <c r="G313" i="1"/>
  <c r="F313" i="1"/>
  <c r="K312" i="1"/>
  <c r="J312" i="1"/>
  <c r="I312" i="1"/>
  <c r="H312" i="1"/>
  <c r="G312" i="1"/>
  <c r="F312" i="1"/>
  <c r="K311" i="1"/>
  <c r="J311" i="1"/>
  <c r="I311" i="1"/>
  <c r="H311" i="1"/>
  <c r="G311" i="1"/>
  <c r="F311" i="1"/>
  <c r="K310" i="1"/>
  <c r="J310" i="1"/>
  <c r="I310" i="1"/>
  <c r="H310" i="1"/>
  <c r="G310" i="1"/>
  <c r="F310" i="1"/>
  <c r="K309" i="1"/>
  <c r="J309" i="1"/>
  <c r="I309" i="1"/>
  <c r="H309" i="1"/>
  <c r="G309" i="1"/>
  <c r="F309" i="1"/>
  <c r="K308" i="1"/>
  <c r="J308" i="1"/>
  <c r="I308" i="1"/>
  <c r="H308" i="1"/>
  <c r="G308" i="1"/>
  <c r="F308" i="1"/>
  <c r="K307" i="1"/>
  <c r="J307" i="1"/>
  <c r="I307" i="1"/>
  <c r="H307" i="1"/>
  <c r="G307" i="1"/>
  <c r="F307" i="1"/>
  <c r="K306" i="1"/>
  <c r="J306" i="1"/>
  <c r="I306" i="1"/>
  <c r="H306" i="1"/>
  <c r="G306" i="1"/>
  <c r="F306" i="1"/>
  <c r="K305" i="1"/>
  <c r="J305" i="1"/>
  <c r="I305" i="1"/>
  <c r="H305" i="1"/>
  <c r="G305" i="1"/>
  <c r="F305" i="1"/>
  <c r="K304" i="1"/>
  <c r="J304" i="1"/>
  <c r="I304" i="1"/>
  <c r="H304" i="1"/>
  <c r="G304" i="1"/>
  <c r="F304" i="1"/>
  <c r="K303" i="1"/>
  <c r="J303" i="1"/>
  <c r="I303" i="1"/>
  <c r="H303" i="1"/>
  <c r="G303" i="1"/>
  <c r="F303" i="1"/>
  <c r="K302" i="1"/>
  <c r="J302" i="1"/>
  <c r="I302" i="1"/>
  <c r="H302" i="1"/>
  <c r="G302" i="1"/>
  <c r="F302" i="1"/>
  <c r="K301" i="1"/>
  <c r="J301" i="1"/>
  <c r="I301" i="1"/>
  <c r="H301" i="1"/>
  <c r="G301" i="1"/>
  <c r="F301" i="1"/>
  <c r="K300" i="1"/>
  <c r="J300" i="1"/>
  <c r="I300" i="1"/>
  <c r="H300" i="1"/>
  <c r="G300" i="1"/>
  <c r="F300" i="1"/>
  <c r="K299" i="1"/>
  <c r="J299" i="1"/>
  <c r="I299" i="1"/>
  <c r="H299" i="1"/>
  <c r="G299" i="1"/>
  <c r="F299" i="1"/>
  <c r="K298" i="1"/>
  <c r="J298" i="1"/>
  <c r="I298" i="1"/>
  <c r="H298" i="1"/>
  <c r="G298" i="1"/>
  <c r="F298" i="1"/>
  <c r="K297" i="1"/>
  <c r="J297" i="1"/>
  <c r="I297" i="1"/>
  <c r="H297" i="1"/>
  <c r="G297" i="1"/>
  <c r="F297" i="1"/>
  <c r="K296" i="1"/>
  <c r="J296" i="1"/>
  <c r="I296" i="1"/>
  <c r="H296" i="1"/>
  <c r="G296" i="1"/>
  <c r="F296" i="1"/>
  <c r="K295" i="1"/>
  <c r="J295" i="1"/>
  <c r="I295" i="1"/>
  <c r="H295" i="1"/>
  <c r="G295" i="1"/>
  <c r="F295" i="1"/>
  <c r="K294" i="1"/>
  <c r="J294" i="1"/>
  <c r="I294" i="1"/>
  <c r="H294" i="1"/>
  <c r="G294" i="1"/>
  <c r="F294" i="1"/>
  <c r="K293" i="1"/>
  <c r="J293" i="1"/>
  <c r="I293" i="1"/>
  <c r="H293" i="1"/>
  <c r="G293" i="1"/>
  <c r="F293" i="1"/>
  <c r="K292" i="1"/>
  <c r="J292" i="1"/>
  <c r="I292" i="1"/>
  <c r="H292" i="1"/>
  <c r="G292" i="1"/>
  <c r="F292" i="1"/>
  <c r="K291" i="1"/>
  <c r="J291" i="1"/>
  <c r="I291" i="1"/>
  <c r="H291" i="1"/>
  <c r="G291" i="1"/>
  <c r="F291" i="1"/>
  <c r="K290" i="1"/>
  <c r="J290" i="1"/>
  <c r="I290" i="1"/>
  <c r="H290" i="1"/>
  <c r="G290" i="1"/>
  <c r="F290" i="1"/>
  <c r="K289" i="1"/>
  <c r="J289" i="1"/>
  <c r="I289" i="1"/>
  <c r="H289" i="1"/>
  <c r="G289" i="1"/>
  <c r="F289" i="1"/>
  <c r="K288" i="1"/>
  <c r="J288" i="1"/>
  <c r="I288" i="1"/>
  <c r="H288" i="1"/>
  <c r="G288" i="1"/>
  <c r="F288" i="1"/>
  <c r="K287" i="1"/>
  <c r="J287" i="1"/>
  <c r="I287" i="1"/>
  <c r="H287" i="1"/>
  <c r="G287" i="1"/>
  <c r="F287" i="1"/>
  <c r="K286" i="1"/>
  <c r="J286" i="1"/>
  <c r="I286" i="1"/>
  <c r="H286" i="1"/>
  <c r="G286" i="1"/>
  <c r="F286" i="1"/>
  <c r="K285" i="1"/>
  <c r="J285" i="1"/>
  <c r="I285" i="1"/>
  <c r="H285" i="1"/>
  <c r="G285" i="1"/>
  <c r="F285" i="1"/>
  <c r="K284" i="1"/>
  <c r="J284" i="1"/>
  <c r="I284" i="1"/>
  <c r="H284" i="1"/>
  <c r="G284" i="1"/>
  <c r="F284" i="1"/>
  <c r="K283" i="1"/>
  <c r="J283" i="1"/>
  <c r="I283" i="1"/>
  <c r="H283" i="1"/>
  <c r="G283" i="1"/>
  <c r="F283" i="1"/>
  <c r="K282" i="1"/>
  <c r="J282" i="1"/>
  <c r="I282" i="1"/>
  <c r="H282" i="1"/>
  <c r="G282" i="1"/>
  <c r="F282" i="1"/>
  <c r="K281" i="1"/>
  <c r="J281" i="1"/>
  <c r="I281" i="1"/>
  <c r="H281" i="1"/>
  <c r="G281" i="1"/>
  <c r="F281" i="1"/>
  <c r="K280" i="1"/>
  <c r="J280" i="1"/>
  <c r="I280" i="1"/>
  <c r="H280" i="1"/>
  <c r="G280" i="1"/>
  <c r="F280" i="1"/>
  <c r="K279" i="1"/>
  <c r="J279" i="1"/>
  <c r="I279" i="1"/>
  <c r="H279" i="1"/>
  <c r="G279" i="1"/>
  <c r="F279" i="1"/>
  <c r="K278" i="1"/>
  <c r="J278" i="1"/>
  <c r="I278" i="1"/>
  <c r="H278" i="1"/>
  <c r="G278" i="1"/>
  <c r="F278" i="1"/>
  <c r="K277" i="1"/>
  <c r="J277" i="1"/>
  <c r="I277" i="1"/>
  <c r="H277" i="1"/>
  <c r="G277" i="1"/>
  <c r="F277" i="1"/>
  <c r="K276" i="1"/>
  <c r="J276" i="1"/>
  <c r="I276" i="1"/>
  <c r="H276" i="1"/>
  <c r="G276" i="1"/>
  <c r="F276" i="1"/>
  <c r="K275" i="1"/>
  <c r="J275" i="1"/>
  <c r="I275" i="1"/>
  <c r="H275" i="1"/>
  <c r="G275" i="1"/>
  <c r="F275" i="1"/>
  <c r="K274" i="1"/>
  <c r="J274" i="1"/>
  <c r="I274" i="1"/>
  <c r="H274" i="1"/>
  <c r="G274" i="1"/>
  <c r="F274" i="1"/>
  <c r="K273" i="1"/>
  <c r="J273" i="1"/>
  <c r="I273" i="1"/>
  <c r="H273" i="1"/>
  <c r="G273" i="1"/>
  <c r="F273" i="1"/>
  <c r="K272" i="1"/>
  <c r="J272" i="1"/>
  <c r="I272" i="1"/>
  <c r="H272" i="1"/>
  <c r="G272" i="1"/>
  <c r="F272" i="1"/>
  <c r="K271" i="1"/>
  <c r="J271" i="1"/>
  <c r="I271" i="1"/>
  <c r="H271" i="1"/>
  <c r="G271" i="1"/>
  <c r="F271" i="1"/>
  <c r="K270" i="1"/>
  <c r="J270" i="1"/>
  <c r="I270" i="1"/>
  <c r="H270" i="1"/>
  <c r="G270" i="1"/>
  <c r="F270" i="1"/>
  <c r="K269" i="1"/>
  <c r="J269" i="1"/>
  <c r="I269" i="1"/>
  <c r="H269" i="1"/>
  <c r="G269" i="1"/>
  <c r="F269" i="1"/>
  <c r="K268" i="1"/>
  <c r="J268" i="1"/>
  <c r="I268" i="1"/>
  <c r="H268" i="1"/>
  <c r="G268" i="1"/>
  <c r="F268" i="1"/>
  <c r="K267" i="1"/>
  <c r="J267" i="1"/>
  <c r="I267" i="1"/>
  <c r="H267" i="1"/>
  <c r="G267" i="1"/>
  <c r="F267" i="1"/>
  <c r="K266" i="1"/>
  <c r="J266" i="1"/>
  <c r="I266" i="1"/>
  <c r="H266" i="1"/>
  <c r="G266" i="1"/>
  <c r="F266" i="1"/>
  <c r="K265" i="1"/>
  <c r="J265" i="1"/>
  <c r="I265" i="1"/>
  <c r="H265" i="1"/>
  <c r="G265" i="1"/>
  <c r="F265" i="1"/>
  <c r="K264" i="1"/>
  <c r="J264" i="1"/>
  <c r="I264" i="1"/>
  <c r="H264" i="1"/>
  <c r="G264" i="1"/>
  <c r="F264" i="1"/>
  <c r="K263" i="1"/>
  <c r="J263" i="1"/>
  <c r="I263" i="1"/>
  <c r="H263" i="1"/>
  <c r="G263" i="1"/>
  <c r="F263" i="1"/>
  <c r="K262" i="1"/>
  <c r="J262" i="1"/>
  <c r="I262" i="1"/>
  <c r="H262" i="1"/>
  <c r="G262" i="1"/>
  <c r="F262" i="1"/>
  <c r="K261" i="1"/>
  <c r="J261" i="1"/>
  <c r="I261" i="1"/>
  <c r="H261" i="1"/>
  <c r="G261" i="1"/>
  <c r="F261" i="1"/>
  <c r="K260" i="1"/>
  <c r="J260" i="1"/>
  <c r="I260" i="1"/>
  <c r="H260" i="1"/>
  <c r="G260" i="1"/>
  <c r="F260" i="1"/>
  <c r="K259" i="1"/>
  <c r="J259" i="1"/>
  <c r="I259" i="1"/>
  <c r="H259" i="1"/>
  <c r="G259" i="1"/>
  <c r="F259" i="1"/>
  <c r="K258" i="1"/>
  <c r="J258" i="1"/>
  <c r="I258" i="1"/>
  <c r="H258" i="1"/>
  <c r="G258" i="1"/>
  <c r="F258" i="1"/>
  <c r="K257" i="1"/>
  <c r="J257" i="1"/>
  <c r="I257" i="1"/>
  <c r="H257" i="1"/>
  <c r="G257" i="1"/>
  <c r="F257" i="1"/>
  <c r="K256" i="1"/>
  <c r="J256" i="1"/>
  <c r="I256" i="1"/>
  <c r="H256" i="1"/>
  <c r="G256" i="1"/>
  <c r="F256" i="1"/>
  <c r="K255" i="1"/>
  <c r="J255" i="1"/>
  <c r="I255" i="1"/>
  <c r="H255" i="1"/>
  <c r="G255" i="1"/>
  <c r="F255" i="1"/>
  <c r="K254" i="1"/>
  <c r="J254" i="1"/>
  <c r="I254" i="1"/>
  <c r="H254" i="1"/>
  <c r="G254" i="1"/>
  <c r="F254" i="1"/>
  <c r="K253" i="1"/>
  <c r="J253" i="1"/>
  <c r="I253" i="1"/>
  <c r="H253" i="1"/>
  <c r="G253" i="1"/>
  <c r="F253" i="1"/>
  <c r="K252" i="1"/>
  <c r="J252" i="1"/>
  <c r="I252" i="1"/>
  <c r="H252" i="1"/>
  <c r="G252" i="1"/>
  <c r="F252" i="1"/>
  <c r="K251" i="1"/>
  <c r="J251" i="1"/>
  <c r="I251" i="1"/>
  <c r="H251" i="1"/>
  <c r="G251" i="1"/>
  <c r="F251" i="1"/>
  <c r="K250" i="1"/>
  <c r="J250" i="1"/>
  <c r="I250" i="1"/>
  <c r="H250" i="1"/>
  <c r="G250" i="1"/>
  <c r="F250" i="1"/>
  <c r="K249" i="1"/>
  <c r="J249" i="1"/>
  <c r="I249" i="1"/>
  <c r="H249" i="1"/>
  <c r="G249" i="1"/>
  <c r="F249" i="1"/>
  <c r="K248" i="1"/>
  <c r="J248" i="1"/>
  <c r="I248" i="1"/>
  <c r="H248" i="1"/>
  <c r="G248" i="1"/>
  <c r="F248" i="1"/>
  <c r="K247" i="1"/>
  <c r="J247" i="1"/>
  <c r="I247" i="1"/>
  <c r="H247" i="1"/>
  <c r="G247" i="1"/>
  <c r="F247" i="1"/>
  <c r="K246" i="1"/>
  <c r="J246" i="1"/>
  <c r="I246" i="1"/>
  <c r="H246" i="1"/>
  <c r="G246" i="1"/>
  <c r="F246" i="1"/>
  <c r="K245" i="1"/>
  <c r="J245" i="1"/>
  <c r="I245" i="1"/>
  <c r="H245" i="1"/>
  <c r="G245" i="1"/>
  <c r="F245" i="1"/>
  <c r="K244" i="1"/>
  <c r="J244" i="1"/>
  <c r="I244" i="1"/>
  <c r="H244" i="1"/>
  <c r="G244" i="1"/>
  <c r="F244" i="1"/>
  <c r="K243" i="1"/>
  <c r="J243" i="1"/>
  <c r="I243" i="1"/>
  <c r="H243" i="1"/>
  <c r="G243" i="1"/>
  <c r="F243" i="1"/>
  <c r="K242" i="1"/>
  <c r="J242" i="1"/>
  <c r="I242" i="1"/>
  <c r="H242" i="1"/>
  <c r="G242" i="1"/>
  <c r="F242" i="1"/>
  <c r="K241" i="1"/>
  <c r="J241" i="1"/>
  <c r="I241" i="1"/>
  <c r="H241" i="1"/>
  <c r="G241" i="1"/>
  <c r="F241" i="1"/>
  <c r="K240" i="1"/>
  <c r="J240" i="1"/>
  <c r="I240" i="1"/>
  <c r="H240" i="1"/>
  <c r="G240" i="1"/>
  <c r="F240" i="1"/>
  <c r="K239" i="1"/>
  <c r="J239" i="1"/>
  <c r="I239" i="1"/>
  <c r="H239" i="1"/>
  <c r="G239" i="1"/>
  <c r="F239" i="1"/>
  <c r="K238" i="1"/>
  <c r="J238" i="1"/>
  <c r="I238" i="1"/>
  <c r="H238" i="1"/>
  <c r="G238" i="1"/>
  <c r="F238" i="1"/>
  <c r="K237" i="1"/>
  <c r="J237" i="1"/>
  <c r="I237" i="1"/>
  <c r="H237" i="1"/>
  <c r="G237" i="1"/>
  <c r="F237" i="1"/>
  <c r="K236" i="1"/>
  <c r="J236" i="1"/>
  <c r="I236" i="1"/>
  <c r="H236" i="1"/>
  <c r="G236" i="1"/>
  <c r="F236" i="1"/>
  <c r="K235" i="1"/>
  <c r="J235" i="1"/>
  <c r="I235" i="1"/>
  <c r="H235" i="1"/>
  <c r="G235" i="1"/>
  <c r="F235" i="1"/>
  <c r="K234" i="1"/>
  <c r="J234" i="1"/>
  <c r="I234" i="1"/>
  <c r="H234" i="1"/>
  <c r="G234" i="1"/>
  <c r="F234" i="1"/>
  <c r="K233" i="1"/>
  <c r="J233" i="1"/>
  <c r="I233" i="1"/>
  <c r="H233" i="1"/>
  <c r="G233" i="1"/>
  <c r="F233" i="1"/>
  <c r="K232" i="1"/>
  <c r="J232" i="1"/>
  <c r="I232" i="1"/>
  <c r="H232" i="1"/>
  <c r="G232" i="1"/>
  <c r="F232" i="1"/>
  <c r="K231" i="1"/>
  <c r="J231" i="1"/>
  <c r="I231" i="1"/>
  <c r="H231" i="1"/>
  <c r="G231" i="1"/>
  <c r="F231" i="1"/>
  <c r="K230" i="1"/>
  <c r="J230" i="1"/>
  <c r="I230" i="1"/>
  <c r="H230" i="1"/>
  <c r="G230" i="1"/>
  <c r="F230" i="1"/>
  <c r="K229" i="1"/>
  <c r="J229" i="1"/>
  <c r="I229" i="1"/>
  <c r="H229" i="1"/>
  <c r="G229" i="1"/>
  <c r="F229" i="1"/>
  <c r="K228" i="1"/>
  <c r="J228" i="1"/>
  <c r="I228" i="1"/>
  <c r="H228" i="1"/>
  <c r="G228" i="1"/>
  <c r="F228" i="1"/>
  <c r="K227" i="1"/>
  <c r="J227" i="1"/>
  <c r="I227" i="1"/>
  <c r="H227" i="1"/>
  <c r="G227" i="1"/>
  <c r="F227" i="1"/>
  <c r="K226" i="1"/>
  <c r="J226" i="1"/>
  <c r="I226" i="1"/>
  <c r="H226" i="1"/>
  <c r="G226" i="1"/>
  <c r="F226" i="1"/>
  <c r="K225" i="1"/>
  <c r="J225" i="1"/>
  <c r="I225" i="1"/>
  <c r="H225" i="1"/>
  <c r="G225" i="1"/>
  <c r="F225" i="1"/>
  <c r="K224" i="1"/>
  <c r="J224" i="1"/>
  <c r="I224" i="1"/>
  <c r="H224" i="1"/>
  <c r="G224" i="1"/>
  <c r="F224" i="1"/>
  <c r="K223" i="1"/>
  <c r="J223" i="1"/>
  <c r="I223" i="1"/>
  <c r="H223" i="1"/>
  <c r="G223" i="1"/>
  <c r="F223" i="1"/>
  <c r="K222" i="1"/>
  <c r="J222" i="1"/>
  <c r="I222" i="1"/>
  <c r="H222" i="1"/>
  <c r="G222" i="1"/>
  <c r="F222" i="1"/>
  <c r="K221" i="1"/>
  <c r="J221" i="1"/>
  <c r="I221" i="1"/>
  <c r="H221" i="1"/>
  <c r="G221" i="1"/>
  <c r="F221" i="1"/>
  <c r="K220" i="1"/>
  <c r="J220" i="1"/>
  <c r="I220" i="1"/>
  <c r="H220" i="1"/>
  <c r="G220" i="1"/>
  <c r="F220" i="1"/>
  <c r="K219" i="1"/>
  <c r="J219" i="1"/>
  <c r="I219" i="1"/>
  <c r="H219" i="1"/>
  <c r="G219" i="1"/>
  <c r="F219" i="1"/>
  <c r="K218" i="1"/>
  <c r="J218" i="1"/>
  <c r="I218" i="1"/>
  <c r="H218" i="1"/>
  <c r="G218" i="1"/>
  <c r="F218" i="1"/>
  <c r="K217" i="1"/>
  <c r="J217" i="1"/>
  <c r="I217" i="1"/>
  <c r="H217" i="1"/>
  <c r="G217" i="1"/>
  <c r="F217" i="1"/>
  <c r="K216" i="1"/>
  <c r="J216" i="1"/>
  <c r="I216" i="1"/>
  <c r="H216" i="1"/>
  <c r="G216" i="1"/>
  <c r="F216" i="1"/>
  <c r="K215" i="1"/>
  <c r="J215" i="1"/>
  <c r="I215" i="1"/>
  <c r="H215" i="1"/>
  <c r="G215" i="1"/>
  <c r="F215" i="1"/>
  <c r="K214" i="1"/>
  <c r="J214" i="1"/>
  <c r="I214" i="1"/>
  <c r="H214" i="1"/>
  <c r="G214" i="1"/>
  <c r="F214" i="1"/>
  <c r="K213" i="1"/>
  <c r="J213" i="1"/>
  <c r="I213" i="1"/>
  <c r="H213" i="1"/>
  <c r="G213" i="1"/>
  <c r="F213" i="1"/>
  <c r="K212" i="1"/>
  <c r="J212" i="1"/>
  <c r="I212" i="1"/>
  <c r="H212" i="1"/>
  <c r="G212" i="1"/>
  <c r="F212" i="1"/>
  <c r="K211" i="1"/>
  <c r="J211" i="1"/>
  <c r="I211" i="1"/>
  <c r="H211" i="1"/>
  <c r="G211" i="1"/>
  <c r="F211" i="1"/>
  <c r="K210" i="1"/>
  <c r="J210" i="1"/>
  <c r="I210" i="1"/>
  <c r="H210" i="1"/>
  <c r="G210" i="1"/>
  <c r="F210" i="1"/>
  <c r="K209" i="1"/>
  <c r="J209" i="1"/>
  <c r="I209" i="1"/>
  <c r="H209" i="1"/>
  <c r="G209" i="1"/>
  <c r="F209" i="1"/>
  <c r="K208" i="1"/>
  <c r="J208" i="1"/>
  <c r="I208" i="1"/>
  <c r="H208" i="1"/>
  <c r="G208" i="1"/>
  <c r="F208" i="1"/>
  <c r="K207" i="1"/>
  <c r="J207" i="1"/>
  <c r="I207" i="1"/>
  <c r="H207" i="1"/>
  <c r="G207" i="1"/>
  <c r="F207" i="1"/>
  <c r="K206" i="1"/>
  <c r="J206" i="1"/>
  <c r="I206" i="1"/>
  <c r="H206" i="1"/>
  <c r="G206" i="1"/>
  <c r="F206" i="1"/>
  <c r="K205" i="1"/>
  <c r="J205" i="1"/>
  <c r="I205" i="1"/>
  <c r="H205" i="1"/>
  <c r="G205" i="1"/>
  <c r="F205" i="1"/>
  <c r="K204" i="1"/>
  <c r="J204" i="1"/>
  <c r="I204" i="1"/>
  <c r="H204" i="1"/>
  <c r="G204" i="1"/>
  <c r="F204" i="1"/>
  <c r="K203" i="1"/>
  <c r="J203" i="1"/>
  <c r="I203" i="1"/>
  <c r="H203" i="1"/>
  <c r="G203" i="1"/>
  <c r="F203" i="1"/>
  <c r="K202" i="1"/>
  <c r="J202" i="1"/>
  <c r="I202" i="1"/>
  <c r="H202" i="1"/>
  <c r="G202" i="1"/>
  <c r="F202" i="1"/>
  <c r="K201" i="1"/>
  <c r="J201" i="1"/>
  <c r="I201" i="1"/>
  <c r="H201" i="1"/>
  <c r="G201" i="1"/>
  <c r="F201" i="1"/>
  <c r="K200" i="1"/>
  <c r="J200" i="1"/>
  <c r="I200" i="1"/>
  <c r="H200" i="1"/>
  <c r="G200" i="1"/>
  <c r="F200" i="1"/>
  <c r="K199" i="1"/>
  <c r="J199" i="1"/>
  <c r="I199" i="1"/>
  <c r="H199" i="1"/>
  <c r="G199" i="1"/>
  <c r="F199" i="1"/>
  <c r="K198" i="1"/>
  <c r="J198" i="1"/>
  <c r="I198" i="1"/>
  <c r="H198" i="1"/>
  <c r="G198" i="1"/>
  <c r="F198" i="1"/>
  <c r="K197" i="1"/>
  <c r="J197" i="1"/>
  <c r="I197" i="1"/>
  <c r="H197" i="1"/>
  <c r="G197" i="1"/>
  <c r="F197" i="1"/>
  <c r="K196" i="1"/>
  <c r="J196" i="1"/>
  <c r="I196" i="1"/>
  <c r="H196" i="1"/>
  <c r="G196" i="1"/>
  <c r="F196" i="1"/>
  <c r="K195" i="1"/>
  <c r="J195" i="1"/>
  <c r="I195" i="1"/>
  <c r="H195" i="1"/>
  <c r="G195" i="1"/>
  <c r="F195" i="1"/>
  <c r="K194" i="1"/>
  <c r="J194" i="1"/>
  <c r="I194" i="1"/>
  <c r="H194" i="1"/>
  <c r="G194" i="1"/>
  <c r="F194" i="1"/>
  <c r="K193" i="1"/>
  <c r="J193" i="1"/>
  <c r="I193" i="1"/>
  <c r="H193" i="1"/>
  <c r="G193" i="1"/>
  <c r="F193" i="1"/>
  <c r="K192" i="1"/>
  <c r="J192" i="1"/>
  <c r="I192" i="1"/>
  <c r="H192" i="1"/>
  <c r="G192" i="1"/>
  <c r="F192" i="1"/>
  <c r="K191" i="1"/>
  <c r="J191" i="1"/>
  <c r="I191" i="1"/>
  <c r="H191" i="1"/>
  <c r="G191" i="1"/>
  <c r="F191" i="1"/>
  <c r="K190" i="1"/>
  <c r="J190" i="1"/>
  <c r="I190" i="1"/>
  <c r="H190" i="1"/>
  <c r="G190" i="1"/>
  <c r="F190" i="1"/>
  <c r="K189" i="1"/>
  <c r="J189" i="1"/>
  <c r="I189" i="1"/>
  <c r="H189" i="1"/>
  <c r="G189" i="1"/>
  <c r="F189" i="1"/>
  <c r="K188" i="1"/>
  <c r="J188" i="1"/>
  <c r="I188" i="1"/>
  <c r="H188" i="1"/>
  <c r="G188" i="1"/>
  <c r="F188" i="1"/>
  <c r="K187" i="1"/>
  <c r="J187" i="1"/>
  <c r="I187" i="1"/>
  <c r="H187" i="1"/>
  <c r="G187" i="1"/>
  <c r="F187" i="1"/>
  <c r="K186" i="1"/>
  <c r="J186" i="1"/>
  <c r="I186" i="1"/>
  <c r="H186" i="1"/>
  <c r="G186" i="1"/>
  <c r="F186" i="1"/>
  <c r="K185" i="1"/>
  <c r="J185" i="1"/>
  <c r="I185" i="1"/>
  <c r="H185" i="1"/>
  <c r="G185" i="1"/>
  <c r="F185" i="1"/>
  <c r="K184" i="1"/>
  <c r="J184" i="1"/>
  <c r="I184" i="1"/>
  <c r="H184" i="1"/>
  <c r="G184" i="1"/>
  <c r="F184" i="1"/>
  <c r="K183" i="1"/>
  <c r="J183" i="1"/>
  <c r="I183" i="1"/>
  <c r="H183" i="1"/>
  <c r="G183" i="1"/>
  <c r="F183" i="1"/>
  <c r="K182" i="1"/>
  <c r="J182" i="1"/>
  <c r="I182" i="1"/>
  <c r="H182" i="1"/>
  <c r="G182" i="1"/>
  <c r="F182" i="1"/>
  <c r="K181" i="1"/>
  <c r="J181" i="1"/>
  <c r="I181" i="1"/>
  <c r="H181" i="1"/>
  <c r="G181" i="1"/>
  <c r="F181" i="1"/>
  <c r="K180" i="1"/>
  <c r="J180" i="1"/>
  <c r="I180" i="1"/>
  <c r="H180" i="1"/>
  <c r="G180" i="1"/>
  <c r="F180" i="1"/>
  <c r="K179" i="1"/>
  <c r="J179" i="1"/>
  <c r="I179" i="1"/>
  <c r="H179" i="1"/>
  <c r="G179" i="1"/>
  <c r="F179" i="1"/>
  <c r="K178" i="1"/>
  <c r="J178" i="1"/>
  <c r="I178" i="1"/>
  <c r="H178" i="1"/>
  <c r="G178" i="1"/>
  <c r="F178" i="1"/>
  <c r="K177" i="1"/>
  <c r="J177" i="1"/>
  <c r="I177" i="1"/>
  <c r="H177" i="1"/>
  <c r="G177" i="1"/>
  <c r="F177" i="1"/>
  <c r="K176" i="1"/>
  <c r="J176" i="1"/>
  <c r="I176" i="1"/>
  <c r="H176" i="1"/>
  <c r="G176" i="1"/>
  <c r="F176" i="1"/>
  <c r="K175" i="1"/>
  <c r="J175" i="1"/>
  <c r="I175" i="1"/>
  <c r="H175" i="1"/>
  <c r="G175" i="1"/>
  <c r="F175" i="1"/>
  <c r="K174" i="1"/>
  <c r="J174" i="1"/>
  <c r="I174" i="1"/>
  <c r="H174" i="1"/>
  <c r="G174" i="1"/>
  <c r="F174" i="1"/>
  <c r="K173" i="1"/>
  <c r="J173" i="1"/>
  <c r="I173" i="1"/>
  <c r="H173" i="1"/>
  <c r="G173" i="1"/>
  <c r="F173" i="1"/>
  <c r="K172" i="1"/>
  <c r="J172" i="1"/>
  <c r="I172" i="1"/>
  <c r="H172" i="1"/>
  <c r="G172" i="1"/>
  <c r="F172" i="1"/>
  <c r="K171" i="1"/>
  <c r="J171" i="1"/>
  <c r="I171" i="1"/>
  <c r="H171" i="1"/>
  <c r="G171" i="1"/>
  <c r="F171" i="1"/>
  <c r="K170" i="1"/>
  <c r="J170" i="1"/>
  <c r="I170" i="1"/>
  <c r="H170" i="1"/>
  <c r="G170" i="1"/>
  <c r="F170" i="1"/>
  <c r="K169" i="1"/>
  <c r="J169" i="1"/>
  <c r="I169" i="1"/>
  <c r="H169" i="1"/>
  <c r="G169" i="1"/>
  <c r="F169" i="1"/>
  <c r="K168" i="1"/>
  <c r="J168" i="1"/>
  <c r="I168" i="1"/>
  <c r="H168" i="1"/>
  <c r="G168" i="1"/>
  <c r="F168" i="1"/>
  <c r="K167" i="1"/>
  <c r="J167" i="1"/>
  <c r="I167" i="1"/>
  <c r="H167" i="1"/>
  <c r="G167" i="1"/>
  <c r="F167" i="1"/>
  <c r="K166" i="1"/>
  <c r="J166" i="1"/>
  <c r="I166" i="1"/>
  <c r="H166" i="1"/>
  <c r="G166" i="1"/>
  <c r="F166" i="1"/>
  <c r="K165" i="1"/>
  <c r="J165" i="1"/>
  <c r="I165" i="1"/>
  <c r="H165" i="1"/>
  <c r="G165" i="1"/>
  <c r="F165" i="1"/>
  <c r="K164" i="1"/>
  <c r="J164" i="1"/>
  <c r="I164" i="1"/>
  <c r="H164" i="1"/>
  <c r="G164" i="1"/>
  <c r="F164" i="1"/>
  <c r="K163" i="1"/>
  <c r="J163" i="1"/>
  <c r="I163" i="1"/>
  <c r="H163" i="1"/>
  <c r="G163" i="1"/>
  <c r="F163" i="1"/>
  <c r="K162" i="1"/>
  <c r="J162" i="1"/>
  <c r="I162" i="1"/>
  <c r="H162" i="1"/>
  <c r="G162" i="1"/>
  <c r="F162" i="1"/>
  <c r="K161" i="1"/>
  <c r="J161" i="1"/>
  <c r="I161" i="1"/>
  <c r="H161" i="1"/>
  <c r="G161" i="1"/>
  <c r="F161" i="1"/>
  <c r="K160" i="1"/>
  <c r="J160" i="1"/>
  <c r="I160" i="1"/>
  <c r="H160" i="1"/>
  <c r="G160" i="1"/>
  <c r="F160" i="1"/>
  <c r="K159" i="1"/>
  <c r="J159" i="1"/>
  <c r="I159" i="1"/>
  <c r="H159" i="1"/>
  <c r="G159" i="1"/>
  <c r="F159" i="1"/>
  <c r="K158" i="1"/>
  <c r="J158" i="1"/>
  <c r="I158" i="1"/>
  <c r="H158" i="1"/>
  <c r="G158" i="1"/>
  <c r="F158" i="1"/>
  <c r="K157" i="1"/>
  <c r="J157" i="1"/>
  <c r="I157" i="1"/>
  <c r="H157" i="1"/>
  <c r="G157" i="1"/>
  <c r="F157" i="1"/>
  <c r="K156" i="1"/>
  <c r="J156" i="1"/>
  <c r="I156" i="1"/>
  <c r="H156" i="1"/>
  <c r="G156" i="1"/>
  <c r="F156" i="1"/>
  <c r="K155" i="1"/>
  <c r="J155" i="1"/>
  <c r="I155" i="1"/>
  <c r="H155" i="1"/>
  <c r="G155" i="1"/>
  <c r="F155" i="1"/>
  <c r="K154" i="1"/>
  <c r="J154" i="1"/>
  <c r="I154" i="1"/>
  <c r="H154" i="1"/>
  <c r="G154" i="1"/>
  <c r="F154" i="1"/>
  <c r="K153" i="1"/>
  <c r="J153" i="1"/>
  <c r="I153" i="1"/>
  <c r="H153" i="1"/>
  <c r="G153" i="1"/>
  <c r="F153" i="1"/>
  <c r="K152" i="1"/>
  <c r="J152" i="1"/>
  <c r="I152" i="1"/>
  <c r="H152" i="1"/>
  <c r="G152" i="1"/>
  <c r="F152" i="1"/>
  <c r="K151" i="1"/>
  <c r="J151" i="1"/>
  <c r="I151" i="1"/>
  <c r="H151" i="1"/>
  <c r="G151" i="1"/>
  <c r="F151" i="1"/>
  <c r="K150" i="1"/>
  <c r="J150" i="1"/>
  <c r="I150" i="1"/>
  <c r="H150" i="1"/>
  <c r="G150" i="1"/>
  <c r="F150" i="1"/>
  <c r="K149" i="1"/>
  <c r="J149" i="1"/>
  <c r="I149" i="1"/>
  <c r="H149" i="1"/>
  <c r="G149" i="1"/>
  <c r="F149" i="1"/>
  <c r="K148" i="1"/>
  <c r="J148" i="1"/>
  <c r="I148" i="1"/>
  <c r="H148" i="1"/>
  <c r="G148" i="1"/>
  <c r="F148" i="1"/>
  <c r="K147" i="1"/>
  <c r="J147" i="1"/>
  <c r="I147" i="1"/>
  <c r="H147" i="1"/>
  <c r="G147" i="1"/>
  <c r="F147" i="1"/>
  <c r="K146" i="1"/>
  <c r="J146" i="1"/>
  <c r="I146" i="1"/>
  <c r="H146" i="1"/>
  <c r="G146" i="1"/>
  <c r="F146" i="1"/>
  <c r="K145" i="1"/>
  <c r="J145" i="1"/>
  <c r="I145" i="1"/>
  <c r="H145" i="1"/>
  <c r="G145" i="1"/>
  <c r="F145" i="1"/>
  <c r="K144" i="1"/>
  <c r="J144" i="1"/>
  <c r="I144" i="1"/>
  <c r="H144" i="1"/>
  <c r="G144" i="1"/>
  <c r="F144" i="1"/>
  <c r="K143" i="1"/>
  <c r="J143" i="1"/>
  <c r="I143" i="1"/>
  <c r="H143" i="1"/>
  <c r="G143" i="1"/>
  <c r="F143" i="1"/>
  <c r="K142" i="1"/>
  <c r="J142" i="1"/>
  <c r="I142" i="1"/>
  <c r="H142" i="1"/>
  <c r="G142" i="1"/>
  <c r="F142" i="1"/>
  <c r="K141" i="1"/>
  <c r="J141" i="1"/>
  <c r="I141" i="1"/>
  <c r="H141" i="1"/>
  <c r="G141" i="1"/>
  <c r="F141" i="1"/>
  <c r="K140" i="1"/>
  <c r="J140" i="1"/>
  <c r="I140" i="1"/>
  <c r="H140" i="1"/>
  <c r="G140" i="1"/>
  <c r="F140" i="1"/>
  <c r="K139" i="1"/>
  <c r="J139" i="1"/>
  <c r="I139" i="1"/>
  <c r="H139" i="1"/>
  <c r="G139" i="1"/>
  <c r="F139" i="1"/>
  <c r="K138" i="1"/>
  <c r="J138" i="1"/>
  <c r="I138" i="1"/>
  <c r="H138" i="1"/>
  <c r="G138" i="1"/>
  <c r="F138" i="1"/>
  <c r="K137" i="1"/>
  <c r="J137" i="1"/>
  <c r="I137" i="1"/>
  <c r="H137" i="1"/>
  <c r="G137" i="1"/>
  <c r="F137" i="1"/>
  <c r="K136" i="1"/>
  <c r="J136" i="1"/>
  <c r="I136" i="1"/>
  <c r="H136" i="1"/>
  <c r="G136" i="1"/>
  <c r="F136" i="1"/>
  <c r="K135" i="1"/>
  <c r="J135" i="1"/>
  <c r="I135" i="1"/>
  <c r="H135" i="1"/>
  <c r="G135" i="1"/>
  <c r="F135" i="1"/>
  <c r="K134" i="1"/>
  <c r="J134" i="1"/>
  <c r="I134" i="1"/>
  <c r="H134" i="1"/>
  <c r="G134" i="1"/>
  <c r="F134" i="1"/>
  <c r="K133" i="1"/>
  <c r="J133" i="1"/>
  <c r="I133" i="1"/>
  <c r="H133" i="1"/>
  <c r="G133" i="1"/>
  <c r="F133" i="1"/>
  <c r="K132" i="1"/>
  <c r="J132" i="1"/>
  <c r="I132" i="1"/>
  <c r="H132" i="1"/>
  <c r="G132" i="1"/>
  <c r="F132" i="1"/>
  <c r="K131" i="1"/>
  <c r="J131" i="1"/>
  <c r="I131" i="1"/>
  <c r="H131" i="1"/>
  <c r="G131" i="1"/>
  <c r="F131" i="1"/>
  <c r="K130" i="1"/>
  <c r="J130" i="1"/>
  <c r="I130" i="1"/>
  <c r="H130" i="1"/>
  <c r="G130" i="1"/>
  <c r="F130" i="1"/>
  <c r="K129" i="1"/>
  <c r="J129" i="1"/>
  <c r="I129" i="1"/>
  <c r="H129" i="1"/>
  <c r="G129" i="1"/>
  <c r="F129" i="1"/>
  <c r="K128" i="1"/>
  <c r="J128" i="1"/>
  <c r="I128" i="1"/>
  <c r="H128" i="1"/>
  <c r="G128" i="1"/>
  <c r="F128" i="1"/>
  <c r="K127" i="1"/>
  <c r="J127" i="1"/>
  <c r="I127" i="1"/>
  <c r="H127" i="1"/>
  <c r="G127" i="1"/>
  <c r="F127" i="1"/>
  <c r="K126" i="1"/>
  <c r="J126" i="1"/>
  <c r="I126" i="1"/>
  <c r="H126" i="1"/>
  <c r="G126" i="1"/>
  <c r="F126" i="1"/>
  <c r="K125" i="1"/>
  <c r="J125" i="1"/>
  <c r="I125" i="1"/>
  <c r="H125" i="1"/>
  <c r="G125" i="1"/>
  <c r="F125" i="1"/>
  <c r="K124" i="1"/>
  <c r="J124" i="1"/>
  <c r="I124" i="1"/>
  <c r="H124" i="1"/>
  <c r="G124" i="1"/>
  <c r="F124" i="1"/>
  <c r="K123" i="1"/>
  <c r="J123" i="1"/>
  <c r="I123" i="1"/>
  <c r="H123" i="1"/>
  <c r="G123" i="1"/>
  <c r="F123" i="1"/>
  <c r="K122" i="1"/>
  <c r="J122" i="1"/>
  <c r="I122" i="1"/>
  <c r="H122" i="1"/>
  <c r="G122" i="1"/>
  <c r="F122" i="1"/>
  <c r="K121" i="1"/>
  <c r="J121" i="1"/>
  <c r="I121" i="1"/>
  <c r="H121" i="1"/>
  <c r="G121" i="1"/>
  <c r="F121" i="1"/>
  <c r="K120" i="1"/>
  <c r="J120" i="1"/>
  <c r="I120" i="1"/>
  <c r="H120" i="1"/>
  <c r="G120" i="1"/>
  <c r="F120" i="1"/>
  <c r="K119" i="1"/>
  <c r="J119" i="1"/>
  <c r="I119" i="1"/>
  <c r="H119" i="1"/>
  <c r="G119" i="1"/>
  <c r="F119" i="1"/>
  <c r="K118" i="1"/>
  <c r="J118" i="1"/>
  <c r="I118" i="1"/>
  <c r="H118" i="1"/>
  <c r="G118" i="1"/>
  <c r="F118" i="1"/>
  <c r="K117" i="1"/>
  <c r="J117" i="1"/>
  <c r="I117" i="1"/>
  <c r="H117" i="1"/>
  <c r="G117" i="1"/>
  <c r="F117" i="1"/>
  <c r="K116" i="1"/>
  <c r="J116" i="1"/>
  <c r="I116" i="1"/>
  <c r="H116" i="1"/>
  <c r="G116" i="1"/>
  <c r="M116" i="1" s="1"/>
  <c r="F116" i="1"/>
  <c r="L116" i="1" s="1"/>
  <c r="K115" i="1"/>
  <c r="J115" i="1"/>
  <c r="I115" i="1"/>
  <c r="H115" i="1"/>
  <c r="G115" i="1"/>
  <c r="F115" i="1"/>
  <c r="K114" i="1"/>
  <c r="J114" i="1"/>
  <c r="I114" i="1"/>
  <c r="H114" i="1"/>
  <c r="G114" i="1"/>
  <c r="F114" i="1"/>
  <c r="K113" i="1"/>
  <c r="J113" i="1"/>
  <c r="I113" i="1"/>
  <c r="H113" i="1"/>
  <c r="G113" i="1"/>
  <c r="F113" i="1"/>
  <c r="K112" i="1"/>
  <c r="J112" i="1"/>
  <c r="I112" i="1"/>
  <c r="H112" i="1"/>
  <c r="G112" i="1"/>
  <c r="F112" i="1"/>
  <c r="K111" i="1"/>
  <c r="J111" i="1"/>
  <c r="I111" i="1"/>
  <c r="H111" i="1"/>
  <c r="G111" i="1"/>
  <c r="F111" i="1"/>
  <c r="K110" i="1"/>
  <c r="J110" i="1"/>
  <c r="I110" i="1"/>
  <c r="H110" i="1"/>
  <c r="G110" i="1"/>
  <c r="F110" i="1"/>
  <c r="K109" i="1"/>
  <c r="J109" i="1"/>
  <c r="I109" i="1"/>
  <c r="H109" i="1"/>
  <c r="G109" i="1"/>
  <c r="F109" i="1"/>
  <c r="K108" i="1"/>
  <c r="J108" i="1"/>
  <c r="I108" i="1"/>
  <c r="H108" i="1"/>
  <c r="G108" i="1"/>
  <c r="F108" i="1"/>
  <c r="K107" i="1"/>
  <c r="J107" i="1"/>
  <c r="I107" i="1"/>
  <c r="H107" i="1"/>
  <c r="G107" i="1"/>
  <c r="F107" i="1"/>
  <c r="K106" i="1"/>
  <c r="J106" i="1"/>
  <c r="I106" i="1"/>
  <c r="H106" i="1"/>
  <c r="G106" i="1"/>
  <c r="F106" i="1"/>
  <c r="K105" i="1"/>
  <c r="J105" i="1"/>
  <c r="I105" i="1"/>
  <c r="H105" i="1"/>
  <c r="G105" i="1"/>
  <c r="F105" i="1"/>
  <c r="K104" i="1"/>
  <c r="J104" i="1"/>
  <c r="I104" i="1"/>
  <c r="H104" i="1"/>
  <c r="G104" i="1"/>
  <c r="F104" i="1"/>
  <c r="K103" i="1"/>
  <c r="J103" i="1"/>
  <c r="I103" i="1"/>
  <c r="H103" i="1"/>
  <c r="G103" i="1"/>
  <c r="F103" i="1"/>
  <c r="K102" i="1"/>
  <c r="J102" i="1"/>
  <c r="I102" i="1"/>
  <c r="H102" i="1"/>
  <c r="G102" i="1"/>
  <c r="F102" i="1"/>
  <c r="K101" i="1"/>
  <c r="J101" i="1"/>
  <c r="I101" i="1"/>
  <c r="H101" i="1"/>
  <c r="G101" i="1"/>
  <c r="F101" i="1"/>
  <c r="K100" i="1"/>
  <c r="J100" i="1"/>
  <c r="I100" i="1"/>
  <c r="H100" i="1"/>
  <c r="G100" i="1"/>
  <c r="F100" i="1"/>
  <c r="K99" i="1"/>
  <c r="J99" i="1"/>
  <c r="I99" i="1"/>
  <c r="H99" i="1"/>
  <c r="G99" i="1"/>
  <c r="F99" i="1"/>
  <c r="K98" i="1"/>
  <c r="J98" i="1"/>
  <c r="I98" i="1"/>
  <c r="H98" i="1"/>
  <c r="G98" i="1"/>
  <c r="F98" i="1"/>
  <c r="K97" i="1"/>
  <c r="J97" i="1"/>
  <c r="I97" i="1"/>
  <c r="H97" i="1"/>
  <c r="G97" i="1"/>
  <c r="F97" i="1"/>
  <c r="K96" i="1"/>
  <c r="J96" i="1"/>
  <c r="I96" i="1"/>
  <c r="H96" i="1"/>
  <c r="G96" i="1"/>
  <c r="F96" i="1"/>
  <c r="K95" i="1"/>
  <c r="J95" i="1"/>
  <c r="I95" i="1"/>
  <c r="H95" i="1"/>
  <c r="G95" i="1"/>
  <c r="F95" i="1"/>
  <c r="K94" i="1"/>
  <c r="J94" i="1"/>
  <c r="I94" i="1"/>
  <c r="H94" i="1"/>
  <c r="G94" i="1"/>
  <c r="F94" i="1"/>
  <c r="K93" i="1"/>
  <c r="J93" i="1"/>
  <c r="I93" i="1"/>
  <c r="H93" i="1"/>
  <c r="G93" i="1"/>
  <c r="F93" i="1"/>
  <c r="K92" i="1"/>
  <c r="J92" i="1"/>
  <c r="I92" i="1"/>
  <c r="H92" i="1"/>
  <c r="G92" i="1"/>
  <c r="F92" i="1"/>
  <c r="K91" i="1"/>
  <c r="J91" i="1"/>
  <c r="I91" i="1"/>
  <c r="H91" i="1"/>
  <c r="G91" i="1"/>
  <c r="F91" i="1"/>
  <c r="K90" i="1"/>
  <c r="J90" i="1"/>
  <c r="I90" i="1"/>
  <c r="H90" i="1"/>
  <c r="G90" i="1"/>
  <c r="F90" i="1"/>
  <c r="K89" i="1"/>
  <c r="J89" i="1"/>
  <c r="I89" i="1"/>
  <c r="H89" i="1"/>
  <c r="G89" i="1"/>
  <c r="F89" i="1"/>
  <c r="K88" i="1"/>
  <c r="J88" i="1"/>
  <c r="I88" i="1"/>
  <c r="H88" i="1"/>
  <c r="G88" i="1"/>
  <c r="F88" i="1"/>
  <c r="K87" i="1"/>
  <c r="J87" i="1"/>
  <c r="I87" i="1"/>
  <c r="H87" i="1"/>
  <c r="G87" i="1"/>
  <c r="F87" i="1"/>
  <c r="K86" i="1"/>
  <c r="J86" i="1"/>
  <c r="I86" i="1"/>
  <c r="H86" i="1"/>
  <c r="G86" i="1"/>
  <c r="F86" i="1"/>
  <c r="K85" i="1"/>
  <c r="J85" i="1"/>
  <c r="I85" i="1"/>
  <c r="H85" i="1"/>
  <c r="G85" i="1"/>
  <c r="F85" i="1"/>
  <c r="K84" i="1"/>
  <c r="J84" i="1"/>
  <c r="I84" i="1"/>
  <c r="H84" i="1"/>
  <c r="G84" i="1"/>
  <c r="F84" i="1"/>
  <c r="K83" i="1"/>
  <c r="J83" i="1"/>
  <c r="I83" i="1"/>
  <c r="H83" i="1"/>
  <c r="G83" i="1"/>
  <c r="F83" i="1"/>
  <c r="K82" i="1"/>
  <c r="J82" i="1"/>
  <c r="I82" i="1"/>
  <c r="H82" i="1"/>
  <c r="G82" i="1"/>
  <c r="F82" i="1"/>
  <c r="K81" i="1"/>
  <c r="J81" i="1"/>
  <c r="I81" i="1"/>
  <c r="H81" i="1"/>
  <c r="G81" i="1"/>
  <c r="F81" i="1"/>
  <c r="K80" i="1"/>
  <c r="J80" i="1"/>
  <c r="I80" i="1"/>
  <c r="H80" i="1"/>
  <c r="G80" i="1"/>
  <c r="F80" i="1"/>
  <c r="K79" i="1"/>
  <c r="J79" i="1"/>
  <c r="I79" i="1"/>
  <c r="H79" i="1"/>
  <c r="G79" i="1"/>
  <c r="M79" i="1" s="1"/>
  <c r="F79" i="1"/>
  <c r="L79" i="1" s="1"/>
  <c r="K78" i="1"/>
  <c r="J78" i="1"/>
  <c r="I78" i="1"/>
  <c r="H78" i="1"/>
  <c r="G78" i="1"/>
  <c r="M78" i="1" s="1"/>
  <c r="F78" i="1"/>
  <c r="L78" i="1" s="1"/>
  <c r="K77" i="1"/>
  <c r="J77" i="1"/>
  <c r="I77" i="1"/>
  <c r="H77" i="1"/>
  <c r="G77" i="1"/>
  <c r="M77" i="1" s="1"/>
  <c r="F77" i="1"/>
  <c r="L77" i="1" s="1"/>
  <c r="K76" i="1"/>
  <c r="J76" i="1"/>
  <c r="I76" i="1"/>
  <c r="H76" i="1"/>
  <c r="G76" i="1"/>
  <c r="M76" i="1" s="1"/>
  <c r="F76" i="1"/>
  <c r="L76" i="1" s="1"/>
  <c r="K75" i="1"/>
  <c r="J75" i="1"/>
  <c r="I75" i="1"/>
  <c r="H75" i="1"/>
  <c r="G75" i="1"/>
  <c r="M75" i="1" s="1"/>
  <c r="F75" i="1"/>
  <c r="L75" i="1" s="1"/>
  <c r="K74" i="1"/>
  <c r="J74" i="1"/>
  <c r="I74" i="1"/>
  <c r="H74" i="1"/>
  <c r="G74" i="1"/>
  <c r="F74" i="1"/>
  <c r="K73" i="1"/>
  <c r="J73" i="1"/>
  <c r="I73" i="1"/>
  <c r="H73" i="1"/>
  <c r="G73" i="1"/>
  <c r="F73" i="1"/>
  <c r="K72" i="1"/>
  <c r="J72" i="1"/>
  <c r="I72" i="1"/>
  <c r="H72" i="1"/>
  <c r="G72" i="1"/>
  <c r="F72" i="1"/>
  <c r="K71" i="1"/>
  <c r="J71" i="1"/>
  <c r="I71" i="1"/>
  <c r="H71" i="1"/>
  <c r="G71" i="1"/>
  <c r="F71" i="1"/>
  <c r="K70" i="1"/>
  <c r="J70" i="1"/>
  <c r="I70" i="1"/>
  <c r="H70" i="1"/>
  <c r="G70" i="1"/>
  <c r="F70" i="1"/>
  <c r="K69" i="1"/>
  <c r="J69" i="1"/>
  <c r="I69" i="1"/>
  <c r="H69" i="1"/>
  <c r="G69" i="1"/>
  <c r="F69" i="1"/>
  <c r="K68" i="1"/>
  <c r="J68" i="1"/>
  <c r="I68" i="1"/>
  <c r="H68" i="1"/>
  <c r="G68" i="1"/>
  <c r="F68" i="1"/>
  <c r="K67" i="1"/>
  <c r="J67" i="1"/>
  <c r="I67" i="1"/>
  <c r="H67" i="1"/>
  <c r="G67" i="1"/>
  <c r="F67" i="1"/>
  <c r="K66" i="1"/>
  <c r="J66" i="1"/>
  <c r="I66" i="1"/>
  <c r="H66" i="1"/>
  <c r="G66" i="1"/>
  <c r="F66" i="1"/>
  <c r="K65" i="1"/>
  <c r="J65" i="1"/>
  <c r="I65" i="1"/>
  <c r="H65" i="1"/>
  <c r="G65" i="1"/>
  <c r="F65" i="1"/>
  <c r="K64" i="1"/>
  <c r="J64" i="1"/>
  <c r="I64" i="1"/>
  <c r="H64" i="1"/>
  <c r="G64" i="1"/>
  <c r="F64" i="1"/>
  <c r="K63" i="1"/>
  <c r="J63" i="1"/>
  <c r="I63" i="1"/>
  <c r="H63" i="1"/>
  <c r="G63" i="1"/>
  <c r="F63" i="1"/>
  <c r="K62" i="1"/>
  <c r="J62" i="1"/>
  <c r="I62" i="1"/>
  <c r="H62" i="1"/>
  <c r="G62" i="1"/>
  <c r="F62" i="1"/>
  <c r="K61" i="1"/>
  <c r="J61" i="1"/>
  <c r="I61" i="1"/>
  <c r="H61" i="1"/>
  <c r="G61" i="1"/>
  <c r="F61" i="1"/>
  <c r="K60" i="1"/>
  <c r="J60" i="1"/>
  <c r="I60" i="1"/>
  <c r="H60" i="1"/>
  <c r="G60" i="1"/>
  <c r="F60" i="1"/>
  <c r="K59" i="1"/>
  <c r="J59" i="1"/>
  <c r="I59" i="1"/>
  <c r="H59" i="1"/>
  <c r="G59" i="1"/>
  <c r="F59" i="1"/>
  <c r="K58" i="1"/>
  <c r="J58" i="1"/>
  <c r="I58" i="1"/>
  <c r="H58" i="1"/>
  <c r="G58" i="1"/>
  <c r="F58" i="1"/>
  <c r="K57" i="1"/>
  <c r="J57" i="1"/>
  <c r="I57" i="1"/>
  <c r="H57" i="1"/>
  <c r="G57" i="1"/>
  <c r="F57" i="1"/>
  <c r="K56" i="1"/>
  <c r="D12" i="1" s="1"/>
  <c r="J56" i="1"/>
  <c r="C12" i="1" s="1"/>
  <c r="I56" i="1"/>
  <c r="D11" i="1" s="1"/>
  <c r="H56" i="1"/>
  <c r="C11" i="1" s="1"/>
  <c r="G56" i="1"/>
  <c r="F56" i="1"/>
  <c r="K55" i="1"/>
  <c r="J55" i="1"/>
  <c r="I55" i="1"/>
  <c r="H55" i="1"/>
  <c r="G55" i="1"/>
  <c r="F55" i="1"/>
  <c r="K54" i="1"/>
  <c r="J54" i="1"/>
  <c r="I54" i="1"/>
  <c r="H54" i="1"/>
  <c r="G54" i="1"/>
  <c r="F54" i="1"/>
  <c r="K53" i="1"/>
  <c r="J53" i="1"/>
  <c r="I53" i="1"/>
  <c r="H53" i="1"/>
  <c r="G53" i="1"/>
  <c r="F53" i="1"/>
  <c r="K52" i="1"/>
  <c r="J52" i="1"/>
  <c r="I52" i="1"/>
  <c r="H52" i="1"/>
  <c r="G52" i="1"/>
  <c r="F52" i="1"/>
  <c r="K51" i="1"/>
  <c r="J51" i="1"/>
  <c r="I51" i="1"/>
  <c r="H51" i="1"/>
  <c r="G51" i="1"/>
  <c r="F51" i="1"/>
  <c r="K50" i="1"/>
  <c r="J50" i="1"/>
  <c r="I50" i="1"/>
  <c r="H50" i="1"/>
  <c r="G50" i="1"/>
  <c r="F50" i="1"/>
  <c r="K49" i="1"/>
  <c r="J49" i="1"/>
  <c r="I49" i="1"/>
  <c r="H49" i="1"/>
  <c r="G49" i="1"/>
  <c r="F49" i="1"/>
  <c r="K48" i="1"/>
  <c r="J48" i="1"/>
  <c r="I48" i="1"/>
  <c r="H48" i="1"/>
  <c r="G48" i="1"/>
  <c r="F48" i="1"/>
  <c r="K47" i="1"/>
  <c r="J47" i="1"/>
  <c r="I47" i="1"/>
  <c r="H47" i="1"/>
  <c r="G47" i="1"/>
  <c r="F47" i="1"/>
  <c r="K46" i="1"/>
  <c r="J46" i="1"/>
  <c r="I46" i="1"/>
  <c r="H46" i="1"/>
  <c r="G46" i="1"/>
  <c r="F46" i="1"/>
  <c r="K45" i="1"/>
  <c r="J45" i="1"/>
  <c r="I45" i="1"/>
  <c r="H45" i="1"/>
  <c r="G45" i="1"/>
  <c r="F45" i="1"/>
  <c r="K44" i="1"/>
  <c r="J44" i="1"/>
  <c r="I44" i="1"/>
  <c r="H44" i="1"/>
  <c r="G44" i="1"/>
  <c r="F44" i="1"/>
  <c r="K43" i="1"/>
  <c r="J43" i="1"/>
  <c r="I43" i="1"/>
  <c r="H43" i="1"/>
  <c r="G43" i="1"/>
  <c r="F43" i="1"/>
  <c r="K42" i="1"/>
  <c r="J42" i="1"/>
  <c r="I42" i="1"/>
  <c r="H42" i="1"/>
  <c r="G42" i="1"/>
  <c r="F42" i="1"/>
  <c r="K41" i="1"/>
  <c r="J41" i="1"/>
  <c r="I41" i="1"/>
  <c r="H41" i="1"/>
  <c r="G41" i="1"/>
  <c r="F41" i="1"/>
  <c r="K40" i="1"/>
  <c r="J40" i="1"/>
  <c r="I40" i="1"/>
  <c r="H40" i="1"/>
  <c r="G40" i="1"/>
  <c r="F40" i="1"/>
  <c r="K39" i="1"/>
  <c r="J39" i="1"/>
  <c r="I39" i="1"/>
  <c r="H39" i="1"/>
  <c r="G39" i="1"/>
  <c r="F39" i="1"/>
  <c r="K38" i="1"/>
  <c r="J38" i="1"/>
  <c r="I38" i="1"/>
  <c r="H38" i="1"/>
  <c r="G38" i="1"/>
  <c r="F38" i="1"/>
  <c r="K37" i="1"/>
  <c r="J37" i="1"/>
  <c r="I37" i="1"/>
  <c r="H37" i="1"/>
  <c r="G37" i="1"/>
  <c r="F37" i="1"/>
  <c r="K36" i="1"/>
  <c r="J36" i="1"/>
  <c r="I36" i="1"/>
  <c r="H36" i="1"/>
  <c r="G36" i="1"/>
  <c r="F36" i="1"/>
  <c r="K35" i="1"/>
  <c r="J35" i="1"/>
  <c r="I35" i="1"/>
  <c r="H35" i="1"/>
  <c r="G35" i="1"/>
  <c r="F35" i="1"/>
  <c r="K34" i="1"/>
  <c r="J34" i="1"/>
  <c r="I34" i="1"/>
  <c r="H34" i="1"/>
  <c r="G34" i="1"/>
  <c r="F34" i="1"/>
  <c r="K33" i="1"/>
  <c r="J33" i="1"/>
  <c r="I33" i="1"/>
  <c r="H33" i="1"/>
  <c r="G33" i="1"/>
  <c r="F33" i="1"/>
  <c r="K32" i="1"/>
  <c r="J32" i="1"/>
  <c r="I32" i="1"/>
  <c r="H32" i="1"/>
  <c r="G32" i="1"/>
  <c r="F32" i="1"/>
  <c r="K31" i="1"/>
  <c r="J31" i="1"/>
  <c r="I31" i="1"/>
  <c r="H31" i="1"/>
  <c r="G31" i="1"/>
  <c r="F31" i="1"/>
  <c r="K30" i="1"/>
  <c r="J30" i="1"/>
  <c r="I30" i="1"/>
  <c r="H30" i="1"/>
  <c r="G30" i="1"/>
  <c r="F30" i="1"/>
  <c r="K29" i="1"/>
  <c r="J29" i="1"/>
  <c r="I29" i="1"/>
  <c r="H29" i="1"/>
  <c r="G29" i="1"/>
  <c r="F29" i="1"/>
  <c r="K28" i="1"/>
  <c r="J28" i="1"/>
  <c r="I28" i="1"/>
  <c r="H28" i="1"/>
  <c r="G28" i="1"/>
  <c r="F28" i="1"/>
  <c r="K27" i="1"/>
  <c r="J27" i="1"/>
  <c r="I27" i="1"/>
  <c r="H27" i="1"/>
  <c r="G27" i="1"/>
  <c r="F27" i="1"/>
  <c r="K26" i="1"/>
  <c r="J26" i="1"/>
  <c r="I26" i="1"/>
  <c r="H26" i="1"/>
  <c r="G26" i="1"/>
  <c r="F26" i="1"/>
  <c r="K25" i="1"/>
  <c r="J25" i="1"/>
  <c r="I25" i="1"/>
  <c r="H25" i="1"/>
  <c r="G25" i="1"/>
  <c r="F25" i="1"/>
  <c r="K24" i="1"/>
  <c r="J24" i="1"/>
  <c r="I24" i="1"/>
  <c r="H24" i="1"/>
  <c r="G24" i="1"/>
  <c r="F24" i="1"/>
  <c r="K23" i="1"/>
  <c r="J23" i="1"/>
  <c r="I23" i="1"/>
  <c r="H23" i="1"/>
  <c r="G23" i="1"/>
  <c r="F23" i="1"/>
  <c r="K22" i="1"/>
  <c r="J22" i="1"/>
  <c r="I22" i="1"/>
  <c r="H22" i="1"/>
  <c r="G22" i="1"/>
  <c r="F22" i="1"/>
  <c r="K21" i="1"/>
  <c r="J21" i="1"/>
  <c r="I21" i="1"/>
  <c r="H21" i="1"/>
  <c r="G21" i="1"/>
  <c r="F21" i="1"/>
  <c r="K20" i="1"/>
  <c r="J20" i="1"/>
  <c r="I20" i="1"/>
  <c r="H20" i="1"/>
  <c r="G20" i="1"/>
  <c r="F20" i="1"/>
  <c r="K19" i="1"/>
  <c r="J19" i="1"/>
  <c r="I19" i="1"/>
  <c r="H19" i="1"/>
  <c r="G19" i="1"/>
  <c r="F19" i="1"/>
  <c r="K18" i="1"/>
  <c r="J18" i="1"/>
  <c r="I18" i="1"/>
  <c r="H18" i="1"/>
  <c r="G18" i="1"/>
  <c r="F18" i="1"/>
  <c r="K17" i="1"/>
  <c r="J17" i="1"/>
  <c r="I17" i="1"/>
  <c r="H17" i="1"/>
  <c r="G17" i="1"/>
  <c r="F17" i="1"/>
  <c r="C8" i="1"/>
  <c r="C7" i="1"/>
  <c r="C6" i="1"/>
  <c r="L117" i="1" l="1"/>
  <c r="M49" i="1"/>
  <c r="M48" i="1"/>
  <c r="L48" i="1"/>
  <c r="L42" i="1"/>
  <c r="M18" i="1"/>
  <c r="M17" i="1"/>
  <c r="L17" i="1"/>
  <c r="L84" i="1"/>
  <c r="M83" i="1"/>
  <c r="L46" i="1"/>
  <c r="M81" i="1"/>
  <c r="M80" i="1"/>
  <c r="M42" i="1"/>
  <c r="M117" i="1"/>
  <c r="L83" i="1"/>
  <c r="M50" i="1"/>
  <c r="L50" i="1"/>
  <c r="M47" i="1"/>
  <c r="L47" i="1"/>
  <c r="M44" i="1"/>
  <c r="L44" i="1"/>
  <c r="M41" i="1"/>
  <c r="L41" i="1"/>
  <c r="M38" i="1"/>
  <c r="L38" i="1"/>
  <c r="L81" i="1"/>
  <c r="L80" i="1"/>
  <c r="M46" i="1"/>
  <c r="M45" i="1"/>
  <c r="L45" i="1"/>
  <c r="M40" i="1"/>
  <c r="M39" i="1"/>
  <c r="L39" i="1"/>
  <c r="M84" i="1"/>
  <c r="M82" i="1"/>
  <c r="L82" i="1"/>
  <c r="M51" i="1"/>
  <c r="L51" i="1"/>
  <c r="L49" i="1"/>
  <c r="M43" i="1"/>
  <c r="L43" i="1"/>
  <c r="L40" i="1"/>
  <c r="L18" i="1"/>
  <c r="L294" i="1"/>
  <c r="M282" i="1"/>
  <c r="L282" i="1"/>
  <c r="M277" i="1"/>
  <c r="M247" i="1"/>
  <c r="M243" i="1"/>
  <c r="M212" i="1"/>
  <c r="M180" i="1"/>
  <c r="L180" i="1"/>
  <c r="M148" i="1"/>
  <c r="M140" i="1"/>
  <c r="L140" i="1"/>
  <c r="M72" i="1"/>
  <c r="L72" i="1"/>
  <c r="M281" i="1"/>
  <c r="L281" i="1"/>
  <c r="M146" i="1"/>
  <c r="L146" i="1"/>
  <c r="M114" i="1"/>
  <c r="L114" i="1"/>
  <c r="M215" i="1"/>
  <c r="L215" i="1"/>
  <c r="L177" i="1"/>
  <c r="L143" i="1"/>
  <c r="M216" i="1"/>
  <c r="L216" i="1"/>
  <c r="M209" i="1"/>
  <c r="L209" i="1"/>
  <c r="M178" i="1"/>
  <c r="L178" i="1"/>
  <c r="M175" i="1"/>
  <c r="L175" i="1"/>
  <c r="M74" i="1"/>
  <c r="L74" i="1"/>
  <c r="M279" i="1"/>
  <c r="L279" i="1"/>
  <c r="M249" i="1"/>
  <c r="L249" i="1"/>
  <c r="M245" i="1"/>
  <c r="L245" i="1"/>
  <c r="M176" i="1"/>
  <c r="L176" i="1"/>
  <c r="M145" i="1"/>
  <c r="L145" i="1"/>
  <c r="M313" i="1"/>
  <c r="L313" i="1"/>
  <c r="M304" i="1"/>
  <c r="M278" i="1"/>
  <c r="L278" i="1"/>
  <c r="L247" i="1"/>
  <c r="L212" i="1"/>
  <c r="L148" i="1"/>
  <c r="M71" i="1"/>
  <c r="M314" i="1"/>
  <c r="L314" i="1"/>
  <c r="M280" i="1"/>
  <c r="L280" i="1"/>
  <c r="M213" i="1"/>
  <c r="L213" i="1"/>
  <c r="M150" i="1"/>
  <c r="L150" i="1"/>
  <c r="M142" i="1"/>
  <c r="L142" i="1"/>
  <c r="M182" i="1"/>
  <c r="L182" i="1"/>
  <c r="M149" i="1"/>
  <c r="L149" i="1"/>
  <c r="M141" i="1"/>
  <c r="L141" i="1"/>
  <c r="M115" i="1"/>
  <c r="L115" i="1"/>
  <c r="M244" i="1"/>
  <c r="L244" i="1"/>
  <c r="M214" i="1"/>
  <c r="L214" i="1"/>
  <c r="M183" i="1"/>
  <c r="L183" i="1"/>
  <c r="M144" i="1"/>
  <c r="L144" i="1"/>
  <c r="M246" i="1"/>
  <c r="L246" i="1"/>
  <c r="M211" i="1"/>
  <c r="L211" i="1"/>
  <c r="L345" i="1"/>
  <c r="M315" i="1"/>
  <c r="L315" i="1"/>
  <c r="M210" i="1"/>
  <c r="L210" i="1"/>
  <c r="M179" i="1"/>
  <c r="L179" i="1"/>
  <c r="M147" i="1"/>
  <c r="L147" i="1"/>
  <c r="M139" i="1"/>
  <c r="L139" i="1"/>
  <c r="M113" i="1"/>
  <c r="M184" i="1"/>
  <c r="M177" i="1"/>
  <c r="M151" i="1"/>
  <c r="M143" i="1"/>
  <c r="M248" i="1"/>
  <c r="L248" i="1"/>
  <c r="M181" i="1"/>
  <c r="L181" i="1"/>
  <c r="M73" i="1"/>
  <c r="L73" i="1"/>
  <c r="M324" i="1"/>
  <c r="L324" i="1"/>
  <c r="M310" i="1"/>
  <c r="L310" i="1"/>
  <c r="M307" i="1"/>
  <c r="L307" i="1"/>
  <c r="M301" i="1"/>
  <c r="L301" i="1"/>
  <c r="M296" i="1"/>
  <c r="L296" i="1"/>
  <c r="M290" i="1"/>
  <c r="L290" i="1"/>
  <c r="M286" i="1"/>
  <c r="L267" i="1"/>
  <c r="M264" i="1"/>
  <c r="L264" i="1"/>
  <c r="L255" i="1"/>
  <c r="L208" i="1"/>
  <c r="L207" i="1"/>
  <c r="L188" i="1"/>
  <c r="M157" i="1"/>
  <c r="M156" i="1"/>
  <c r="M155" i="1"/>
  <c r="L120" i="1"/>
  <c r="M61" i="1"/>
  <c r="M22" i="1"/>
  <c r="L21" i="1"/>
  <c r="L316" i="1"/>
  <c r="M316" i="1"/>
  <c r="L276" i="1"/>
  <c r="M253" i="1"/>
  <c r="L205" i="1"/>
  <c r="L198" i="1"/>
  <c r="L191" i="1"/>
  <c r="M190" i="1"/>
  <c r="L172" i="1"/>
  <c r="L171" i="1"/>
  <c r="L170" i="1"/>
  <c r="L162" i="1"/>
  <c r="M154" i="1"/>
  <c r="L119" i="1"/>
  <c r="L105" i="1"/>
  <c r="M104" i="1"/>
  <c r="L89" i="1"/>
  <c r="L88" i="1"/>
  <c r="M57" i="1"/>
  <c r="L33" i="1"/>
  <c r="L283" i="1"/>
  <c r="M283" i="1"/>
  <c r="M275" i="1"/>
  <c r="L275" i="1"/>
  <c r="M269" i="1"/>
  <c r="L269" i="1"/>
  <c r="L240" i="1"/>
  <c r="L239" i="1"/>
  <c r="M238" i="1"/>
  <c r="M231" i="1"/>
  <c r="L224" i="1"/>
  <c r="L223" i="1"/>
  <c r="L222" i="1"/>
  <c r="M160" i="1"/>
  <c r="M159" i="1"/>
  <c r="L158" i="1"/>
  <c r="L137" i="1"/>
  <c r="L128" i="1"/>
  <c r="L127" i="1"/>
  <c r="M126" i="1"/>
  <c r="M125" i="1"/>
  <c r="M124" i="1"/>
  <c r="M123" i="1"/>
  <c r="M122" i="1"/>
  <c r="L121" i="1"/>
  <c r="M107" i="1"/>
  <c r="M99" i="1"/>
  <c r="L98" i="1"/>
  <c r="M97" i="1"/>
  <c r="M96" i="1"/>
  <c r="L55" i="1"/>
  <c r="L31" i="1"/>
  <c r="M21" i="1"/>
  <c r="L250" i="1"/>
  <c r="M250" i="1"/>
  <c r="M227" i="1"/>
  <c r="L220" i="1"/>
  <c r="L197" i="1"/>
  <c r="L189" i="1"/>
  <c r="M188" i="1"/>
  <c r="M187" i="1"/>
  <c r="M169" i="1"/>
  <c r="L168" i="1"/>
  <c r="L167" i="1"/>
  <c r="M166" i="1"/>
  <c r="L138" i="1"/>
  <c r="L131" i="1"/>
  <c r="M108" i="1"/>
  <c r="L107" i="1"/>
  <c r="L99" i="1"/>
  <c r="M67" i="1"/>
  <c r="L58" i="1"/>
  <c r="L217" i="1"/>
  <c r="M217" i="1"/>
  <c r="M171" i="1"/>
  <c r="M170" i="1"/>
  <c r="L169" i="1"/>
  <c r="M134" i="1"/>
  <c r="M133" i="1"/>
  <c r="M111" i="1"/>
  <c r="M65" i="1"/>
  <c r="L63" i="1"/>
  <c r="L62" i="1"/>
  <c r="L61" i="1"/>
  <c r="M60" i="1"/>
  <c r="L59" i="1"/>
  <c r="M58" i="1"/>
  <c r="L25" i="1"/>
  <c r="L24" i="1"/>
  <c r="M23" i="1"/>
  <c r="L184" i="1"/>
  <c r="L160" i="1"/>
  <c r="L136" i="1"/>
  <c r="L135" i="1"/>
  <c r="M101" i="1"/>
  <c r="L151" i="1"/>
  <c r="L96" i="1"/>
  <c r="L66" i="1"/>
  <c r="L34" i="1"/>
  <c r="M33" i="1"/>
  <c r="L32" i="1"/>
  <c r="M31" i="1"/>
  <c r="L30" i="1"/>
  <c r="M118" i="1"/>
  <c r="L118" i="1"/>
  <c r="M85" i="1"/>
  <c r="L85" i="1"/>
  <c r="L60" i="1"/>
  <c r="M36" i="1"/>
  <c r="M53" i="1"/>
  <c r="L53" i="1"/>
  <c r="M52" i="1"/>
  <c r="L52" i="1"/>
  <c r="M30" i="1"/>
  <c r="M29" i="1"/>
  <c r="M28" i="1"/>
  <c r="M27" i="1"/>
  <c r="L20" i="1"/>
  <c r="K15" i="1"/>
  <c r="L19" i="1"/>
  <c r="M332" i="1"/>
  <c r="L332" i="1"/>
  <c r="M330" i="1"/>
  <c r="M326" i="1"/>
  <c r="L326" i="1"/>
  <c r="M322" i="1"/>
  <c r="M294" i="1"/>
  <c r="M287" i="1"/>
  <c r="L274" i="1"/>
  <c r="L256" i="1"/>
  <c r="M255" i="1"/>
  <c r="M254" i="1"/>
  <c r="L254" i="1"/>
  <c r="L227" i="1"/>
  <c r="L226" i="1"/>
  <c r="L219" i="1"/>
  <c r="M218" i="1"/>
  <c r="M194" i="1"/>
  <c r="L187" i="1"/>
  <c r="L186" i="1"/>
  <c r="M185" i="1"/>
  <c r="M174" i="1"/>
  <c r="M173" i="1"/>
  <c r="L159" i="1"/>
  <c r="M158" i="1"/>
  <c r="M131" i="1"/>
  <c r="L130" i="1"/>
  <c r="L129" i="1"/>
  <c r="M128" i="1"/>
  <c r="M106" i="1"/>
  <c r="M69" i="1"/>
  <c r="M68" i="1"/>
  <c r="M59" i="1"/>
  <c r="M345" i="1"/>
  <c r="L342" i="1"/>
  <c r="M341" i="1"/>
  <c r="L341" i="1"/>
  <c r="M337" i="1"/>
  <c r="L337" i="1"/>
  <c r="M328" i="1"/>
  <c r="L328" i="1"/>
  <c r="M319" i="1"/>
  <c r="L319" i="1"/>
  <c r="L312" i="1"/>
  <c r="M311" i="1"/>
  <c r="L311" i="1"/>
  <c r="L297" i="1"/>
  <c r="L291" i="1"/>
  <c r="L285" i="1"/>
  <c r="L271" i="1"/>
  <c r="M270" i="1"/>
  <c r="L270" i="1"/>
  <c r="L235" i="1"/>
  <c r="L228" i="1"/>
  <c r="L221" i="1"/>
  <c r="M204" i="1"/>
  <c r="M197" i="1"/>
  <c r="L196" i="1"/>
  <c r="M195" i="1"/>
  <c r="L194" i="1"/>
  <c r="L193" i="1"/>
  <c r="M192" i="1"/>
  <c r="L185" i="1"/>
  <c r="M167" i="1"/>
  <c r="L125" i="1"/>
  <c r="L111" i="1"/>
  <c r="L102" i="1"/>
  <c r="M93" i="1"/>
  <c r="L70" i="1"/>
  <c r="M37" i="1"/>
  <c r="L36" i="1"/>
  <c r="L35" i="1"/>
  <c r="M34" i="1"/>
  <c r="M347" i="1"/>
  <c r="L347" i="1"/>
  <c r="M343" i="1"/>
  <c r="L343" i="1"/>
  <c r="M339" i="1"/>
  <c r="L339" i="1"/>
  <c r="M336" i="1"/>
  <c r="L336" i="1"/>
  <c r="M333" i="1"/>
  <c r="L333" i="1"/>
  <c r="L322" i="1"/>
  <c r="M312" i="1"/>
  <c r="M306" i="1"/>
  <c r="L306" i="1"/>
  <c r="M300" i="1"/>
  <c r="L300" i="1"/>
  <c r="L286" i="1"/>
  <c r="M273" i="1"/>
  <c r="L273" i="1"/>
  <c r="M267" i="1"/>
  <c r="L265" i="1"/>
  <c r="M261" i="1"/>
  <c r="M256" i="1"/>
  <c r="M236" i="1"/>
  <c r="L230" i="1"/>
  <c r="L229" i="1"/>
  <c r="M200" i="1"/>
  <c r="M199" i="1"/>
  <c r="L199" i="1"/>
  <c r="M198" i="1"/>
  <c r="L174" i="1"/>
  <c r="L173" i="1"/>
  <c r="M172" i="1"/>
  <c r="L164" i="1"/>
  <c r="M129" i="1"/>
  <c r="M121" i="1"/>
  <c r="M100" i="1"/>
  <c r="L92" i="1"/>
  <c r="L91" i="1"/>
  <c r="M90" i="1"/>
  <c r="L67" i="1"/>
  <c r="M35" i="1"/>
  <c r="M26" i="1"/>
  <c r="M346" i="1"/>
  <c r="L346" i="1"/>
  <c r="M340" i="1"/>
  <c r="L340" i="1"/>
  <c r="M335" i="1"/>
  <c r="L335" i="1"/>
  <c r="M331" i="1"/>
  <c r="L331" i="1"/>
  <c r="M327" i="1"/>
  <c r="L327" i="1"/>
  <c r="M323" i="1"/>
  <c r="L323" i="1"/>
  <c r="M305" i="1"/>
  <c r="L305" i="1"/>
  <c r="L304" i="1"/>
  <c r="M289" i="1"/>
  <c r="L284" i="1"/>
  <c r="L277" i="1"/>
  <c r="L272" i="1"/>
  <c r="M258" i="1"/>
  <c r="L258" i="1"/>
  <c r="M257" i="1"/>
  <c r="L225" i="1"/>
  <c r="L203" i="1"/>
  <c r="M202" i="1"/>
  <c r="M201" i="1"/>
  <c r="L200" i="1"/>
  <c r="M162" i="1"/>
  <c r="M161" i="1"/>
  <c r="L133" i="1"/>
  <c r="L132" i="1"/>
  <c r="L124" i="1"/>
  <c r="L123" i="1"/>
  <c r="M109" i="1"/>
  <c r="M87" i="1"/>
  <c r="M86" i="1"/>
  <c r="M268" i="1"/>
  <c r="L263" i="1"/>
  <c r="M262" i="1"/>
  <c r="M252" i="1"/>
  <c r="M251" i="1"/>
  <c r="L243" i="1"/>
  <c r="L242" i="1"/>
  <c r="M241" i="1"/>
  <c r="L234" i="1"/>
  <c r="M233" i="1"/>
  <c r="M226" i="1"/>
  <c r="L204" i="1"/>
  <c r="M203" i="1"/>
  <c r="M165" i="1"/>
  <c r="M164" i="1"/>
  <c r="M163" i="1"/>
  <c r="L156" i="1"/>
  <c r="L155" i="1"/>
  <c r="L154" i="1"/>
  <c r="L153" i="1"/>
  <c r="M152" i="1"/>
  <c r="M130" i="1"/>
  <c r="L110" i="1"/>
  <c r="L109" i="1"/>
  <c r="M64" i="1"/>
  <c r="M32" i="1"/>
  <c r="L23" i="1"/>
  <c r="L22" i="1"/>
  <c r="M318" i="1"/>
  <c r="L318" i="1"/>
  <c r="M309" i="1"/>
  <c r="L309" i="1"/>
  <c r="M303" i="1"/>
  <c r="L303" i="1"/>
  <c r="M299" i="1"/>
  <c r="L299" i="1"/>
  <c r="M293" i="1"/>
  <c r="L289" i="1"/>
  <c r="M284" i="1"/>
  <c r="M272" i="1"/>
  <c r="L262" i="1"/>
  <c r="L257" i="1"/>
  <c r="L237" i="1"/>
  <c r="M230" i="1"/>
  <c r="M229" i="1"/>
  <c r="L163" i="1"/>
  <c r="M135" i="1"/>
  <c r="L134" i="1"/>
  <c r="L113" i="1"/>
  <c r="L104" i="1"/>
  <c r="L103" i="1"/>
  <c r="M94" i="1"/>
  <c r="L65" i="1"/>
  <c r="M63" i="1"/>
  <c r="M62" i="1"/>
  <c r="M54" i="1"/>
  <c r="M288" i="1"/>
  <c r="L288" i="1"/>
  <c r="M276" i="1"/>
  <c r="L236" i="1"/>
  <c r="M235" i="1"/>
  <c r="M228" i="1"/>
  <c r="M221" i="1"/>
  <c r="M220" i="1"/>
  <c r="M219" i="1"/>
  <c r="L190" i="1"/>
  <c r="M189" i="1"/>
  <c r="L157" i="1"/>
  <c r="M102" i="1"/>
  <c r="L101" i="1"/>
  <c r="L100" i="1"/>
  <c r="M98" i="1"/>
  <c r="L90" i="1"/>
  <c r="M89" i="1"/>
  <c r="M88" i="1"/>
  <c r="L87" i="1"/>
  <c r="L86" i="1"/>
  <c r="L71" i="1"/>
  <c r="M321" i="1"/>
  <c r="L321" i="1"/>
  <c r="M308" i="1"/>
  <c r="L308" i="1"/>
  <c r="M302" i="1"/>
  <c r="L302" i="1"/>
  <c r="M298" i="1"/>
  <c r="L298" i="1"/>
  <c r="L293" i="1"/>
  <c r="M292" i="1"/>
  <c r="L292" i="1"/>
  <c r="L287" i="1"/>
  <c r="M274" i="1"/>
  <c r="M266" i="1"/>
  <c r="L266" i="1"/>
  <c r="M263" i="1"/>
  <c r="M240" i="1"/>
  <c r="M239" i="1"/>
  <c r="M232" i="1"/>
  <c r="M225" i="1"/>
  <c r="L218" i="1"/>
  <c r="L202" i="1"/>
  <c r="L201" i="1"/>
  <c r="M193" i="1"/>
  <c r="M186" i="1"/>
  <c r="M168" i="1"/>
  <c r="L161" i="1"/>
  <c r="M132" i="1"/>
  <c r="L112" i="1"/>
  <c r="M103" i="1"/>
  <c r="M95" i="1"/>
  <c r="L94" i="1"/>
  <c r="M70" i="1"/>
  <c r="L69" i="1"/>
  <c r="L68" i="1"/>
  <c r="L29" i="1"/>
  <c r="L28" i="1"/>
  <c r="L27" i="1"/>
  <c r="L26" i="1"/>
  <c r="M338" i="1"/>
  <c r="L334" i="1"/>
  <c r="L330" i="1"/>
  <c r="M329" i="1"/>
  <c r="L329" i="1"/>
  <c r="M317" i="1"/>
  <c r="L317" i="1"/>
  <c r="M297" i="1"/>
  <c r="M291" i="1"/>
  <c r="M285" i="1"/>
  <c r="M271" i="1"/>
  <c r="L252" i="1"/>
  <c r="L251" i="1"/>
  <c r="M242" i="1"/>
  <c r="L241" i="1"/>
  <c r="M234" i="1"/>
  <c r="L233" i="1"/>
  <c r="L232" i="1"/>
  <c r="L231" i="1"/>
  <c r="M224" i="1"/>
  <c r="M223" i="1"/>
  <c r="M222" i="1"/>
  <c r="L192" i="1"/>
  <c r="M191" i="1"/>
  <c r="M153" i="1"/>
  <c r="L152" i="1"/>
  <c r="M138" i="1"/>
  <c r="M137" i="1"/>
  <c r="M136" i="1"/>
  <c r="M127" i="1"/>
  <c r="L126" i="1"/>
  <c r="L97" i="1"/>
  <c r="L57" i="1"/>
  <c r="M55" i="1"/>
  <c r="L54" i="1"/>
  <c r="M348" i="1"/>
  <c r="L348" i="1"/>
  <c r="M344" i="1"/>
  <c r="L344" i="1"/>
  <c r="M342" i="1"/>
  <c r="L338" i="1"/>
  <c r="M334" i="1"/>
  <c r="M325" i="1"/>
  <c r="L325" i="1"/>
  <c r="M320" i="1"/>
  <c r="L320" i="1"/>
  <c r="M295" i="1"/>
  <c r="L295" i="1"/>
  <c r="L268" i="1"/>
  <c r="M265" i="1"/>
  <c r="L261" i="1"/>
  <c r="M260" i="1"/>
  <c r="L260" i="1"/>
  <c r="M259" i="1"/>
  <c r="L259" i="1"/>
  <c r="L253" i="1"/>
  <c r="L238" i="1"/>
  <c r="M237" i="1"/>
  <c r="M208" i="1"/>
  <c r="M207" i="1"/>
  <c r="M206" i="1"/>
  <c r="L206" i="1"/>
  <c r="M205" i="1"/>
  <c r="M196" i="1"/>
  <c r="L195" i="1"/>
  <c r="L166" i="1"/>
  <c r="L165" i="1"/>
  <c r="L122" i="1"/>
  <c r="M120" i="1"/>
  <c r="M119" i="1"/>
  <c r="M112" i="1"/>
  <c r="M110" i="1"/>
  <c r="L108" i="1"/>
  <c r="L106" i="1"/>
  <c r="M105" i="1"/>
  <c r="L95" i="1"/>
  <c r="L93" i="1"/>
  <c r="M92" i="1"/>
  <c r="M91" i="1"/>
  <c r="M66" i="1"/>
  <c r="L64" i="1"/>
  <c r="L37" i="1"/>
  <c r="M25" i="1"/>
  <c r="M24" i="1"/>
  <c r="M56" i="1"/>
  <c r="D13" i="1" s="1"/>
  <c r="D10" i="1"/>
  <c r="C10" i="1"/>
  <c r="L56" i="1"/>
  <c r="M20" i="1"/>
  <c r="G15" i="1"/>
  <c r="M19" i="1"/>
  <c r="I15" i="1"/>
  <c r="M15" i="1" l="1"/>
  <c r="L15" i="1"/>
  <c r="C13" i="1"/>
</calcChain>
</file>

<file path=xl/sharedStrings.xml><?xml version="1.0" encoding="utf-8"?>
<sst xmlns="http://schemas.openxmlformats.org/spreadsheetml/2006/main" count="3804" uniqueCount="529">
  <si>
    <t>CONSULTA DE ITENS</t>
  </si>
  <si>
    <t>ITEM</t>
  </si>
  <si>
    <r>
      <t xml:space="preserve">🔍  </t>
    </r>
    <r>
      <rPr>
        <sz val="11"/>
        <color rgb="FFFF0000"/>
        <rFont val="Aptos Narrow"/>
        <family val="2"/>
        <scheme val="minor"/>
      </rPr>
      <t>(Digite o cod do item para pesquisar)</t>
    </r>
  </si>
  <si>
    <t>EAN</t>
  </si>
  <si>
    <t>DESCRIÇÃO ITEM</t>
  </si>
  <si>
    <t>LINHA</t>
  </si>
  <si>
    <t>-</t>
  </si>
  <si>
    <t>QUANTIDADE</t>
  </si>
  <si>
    <t>VALOR</t>
  </si>
  <si>
    <t>PENDÊNCIA</t>
  </si>
  <si>
    <t>FATURADO</t>
  </si>
  <si>
    <t>SEPARAÇÃO</t>
  </si>
  <si>
    <t>TOTAL</t>
  </si>
  <si>
    <t>ITENS</t>
  </si>
  <si>
    <t>QTD PDN</t>
  </si>
  <si>
    <t>VALOR PND</t>
  </si>
  <si>
    <t>QTD FAT</t>
  </si>
  <si>
    <t>VALOR FAT</t>
  </si>
  <si>
    <t>QTD EM SEP</t>
  </si>
  <si>
    <t>VALOR EM SEP</t>
  </si>
  <si>
    <t>TOTAL DE UND</t>
  </si>
  <si>
    <t>TOTAL  VALOR</t>
  </si>
  <si>
    <t>DEXAVISON COL 5ML</t>
  </si>
  <si>
    <t>SIMILAR</t>
  </si>
  <si>
    <t>HELMIZOL 250MG COMP C/20</t>
  </si>
  <si>
    <t>LOZAN 20MG/G CR 30G</t>
  </si>
  <si>
    <t>EZOPEN 200MG COMP C/25</t>
  </si>
  <si>
    <t>IBUPRIL 300MG COMP C/20</t>
  </si>
  <si>
    <t>COLIRIO TEUTO 20ML</t>
  </si>
  <si>
    <t>LOZAN 20MG/G XAMPU 100ML</t>
  </si>
  <si>
    <t>DIGESTIL 4MG/ML SOL 20ML</t>
  </si>
  <si>
    <t>BACLOFEN 10MG COMP C/20</t>
  </si>
  <si>
    <t>FENAFLAN GEL 60G</t>
  </si>
  <si>
    <t>NEBIVOLOL HCL 5 MG COMP C/30 GEN</t>
  </si>
  <si>
    <t>GENÉRICO</t>
  </si>
  <si>
    <t>CETOCORT 20 E 0,5MG POM 30G</t>
  </si>
  <si>
    <t>CETOCORT 20 E 0,5MG CREME 30G</t>
  </si>
  <si>
    <t>METOCLOPRAMIDA HCL 4MG/ML GTSADUL 10ML GEN</t>
  </si>
  <si>
    <t>FERRONIL 40MG COMP REV C/50</t>
  </si>
  <si>
    <t>SULFA+TRI 400 E 80MG COMP C/20GEN</t>
  </si>
  <si>
    <t>AERODINI 100MCG/JATO-DOSE SPRAY C/200 DOSES</t>
  </si>
  <si>
    <t>DICLOFENACO DIETILAMONIO 11,6MG/G GEL 60G GEN</t>
  </si>
  <si>
    <t>ALBENDAZOL 40MG/ML SUSP 10MLGEN</t>
  </si>
  <si>
    <t>MIRTAZAPINA 30MG (C1) COMP REV C/30 GEN</t>
  </si>
  <si>
    <t>DICLOFENACO RES 15MG/ML SUSP GTS 20ML GEN</t>
  </si>
  <si>
    <t>PROFERGAN 25MG COMP REV C/20</t>
  </si>
  <si>
    <t>OMEPRAZOL 20MG CAPS C/28 GEN</t>
  </si>
  <si>
    <t>CEFALEXINA 500MG COMP C/08 GEN</t>
  </si>
  <si>
    <t>CEFALEXINA 500MG COMP C/40 GEN</t>
  </si>
  <si>
    <t>LISINOPRIL 10MG COMP C/30 GEN</t>
  </si>
  <si>
    <t>LISINOPRIL 20MG COMP C/30 GEN</t>
  </si>
  <si>
    <t>AMINOFILINA 100MG COMP C/20 GEN</t>
  </si>
  <si>
    <t>AMINOFILINA 200MG COMP C/20 GEN</t>
  </si>
  <si>
    <t>CIMETIDINA 200MG COMP C/10 GEN</t>
  </si>
  <si>
    <t>CIMETIDINA 400MG COMP C/16 GEN</t>
  </si>
  <si>
    <t>PROPRANOLOL HCL 40MG COMP C/30GEN</t>
  </si>
  <si>
    <t>AZITROMICINA 500MG COMP REVC/03 GEN</t>
  </si>
  <si>
    <t>CETO+DIPRO BETA+SULF NEOM 20MG/G+0,64MG/G+ 2,5MG/G POM 30G GEN</t>
  </si>
  <si>
    <t>CETO+DIPRO BETA+SULF NEOM 20MG/G+0,64MG/G+2,5MG/GCR 30G GEN</t>
  </si>
  <si>
    <t>CLOBETASOL PROPION 0,5MG/G CR30G GEN</t>
  </si>
  <si>
    <t>BROMAZEPAM 6MG (B1) COMP C/30GEN</t>
  </si>
  <si>
    <t>CLOBETASOL PROPIO 0,5MG/G POM  30G GEN</t>
  </si>
  <si>
    <t>LOSARTANA POTASSICA 50MG COMP REV C/30 GEN</t>
  </si>
  <si>
    <t>ANLODIPINO BES 10MG COMP C/30GEN</t>
  </si>
  <si>
    <t>IPRATROPIO BROM 0,25MG/ML SOL INA 20ML GEN</t>
  </si>
  <si>
    <t>FENITOINA 100MG (C1) COMP C/30 GEN</t>
  </si>
  <si>
    <t>CANDITRAT 100.000UI/ML SUSP 50ML</t>
  </si>
  <si>
    <t>NAPROXENO 500MG COMP C/20 GEN</t>
  </si>
  <si>
    <t>BROMAZEPAM 3MG (B1) COMP C/30GEN</t>
  </si>
  <si>
    <t>CAPTOPRIL 25MG COMP C/30 GEN</t>
  </si>
  <si>
    <t>TEUTOVIT E 400MG CAPS C/30</t>
  </si>
  <si>
    <t>ANLODIPINO BES 5MG COMP C/30 GEN</t>
  </si>
  <si>
    <t>PYLORITRAT IBP 30MG + 500MG +500MG +28 CAPS</t>
  </si>
  <si>
    <t>CARBAMAZEPINA 200MG (C1) COMPC/30 GEN</t>
  </si>
  <si>
    <t>CARBAMAZEPINA 400MG (C1) COMPC/30 GEN</t>
  </si>
  <si>
    <t>CIMETIDINA 200MG COMP C/20 GEN</t>
  </si>
  <si>
    <t>CARBITAL 100MG (B1) COMP C/30</t>
  </si>
  <si>
    <t>FENOBARBITAL 100MG (B1) COMPC/30 GEN</t>
  </si>
  <si>
    <t>BROMOPRIDA 4MG/ML SOL 20ML GEN</t>
  </si>
  <si>
    <t>QUETIAPINA HEMIF 200MG (C1)COM P REV C/30 GEN</t>
  </si>
  <si>
    <t>QUETIAPINA HEMIF 100MG(C1) COMP REV C/30 GEN</t>
  </si>
  <si>
    <t>TRAMADOL HCL  50MG (A2) CAPS C/10 GEN</t>
  </si>
  <si>
    <t>QUETIAPINA HEMIF 25MG (C1) COMP REV C/30 GEN</t>
  </si>
  <si>
    <t>NAPROXENO 500MG COMP C/10 GEN</t>
  </si>
  <si>
    <t>FEXXOLYV 120MG COMP REV C/10</t>
  </si>
  <si>
    <t>FEXXOLYV 180MG COMP REV C/10</t>
  </si>
  <si>
    <t>LESTALGYN 2MG/5ML+0,25MG/5MLXPE FR PET 120ML</t>
  </si>
  <si>
    <t>DIURIX 25MG COMP C/30</t>
  </si>
  <si>
    <t>DICLOFENACO 50MG COMP DISP C/20 GEN PVDC</t>
  </si>
  <si>
    <t>LOZAN 200MG COMP C/10 ALU-ALU</t>
  </si>
  <si>
    <t>LOZAN 200MG COMP C/30 ALU-ALU</t>
  </si>
  <si>
    <t>CETOCONAZOL 200MG COMP C/10 GEN ALU-ALU</t>
  </si>
  <si>
    <t>CETOCONAZOL 200MG COMP C/30 GEN ALU-ALU</t>
  </si>
  <si>
    <t>CLINDAMICINA HCL 300MG CAPS C/16 GEN</t>
  </si>
  <si>
    <t>DIGOXINA 0,25MG COMP C/20 GEN</t>
  </si>
  <si>
    <t>DIGOXINA 0,25MG COMP C/30 GEN</t>
  </si>
  <si>
    <t>NAPROX 500MG COMP C/20</t>
  </si>
  <si>
    <t>DIPRO BETA+AC SALICILICO 0,64MG/G+30MG/G POM 30G C/01 GEN</t>
  </si>
  <si>
    <t>AMITRIPTILINA HCL 25MG (C1) COMP REV C/30 GEN</t>
  </si>
  <si>
    <t>VARFARINA SOD 5MG COMP C/30 GEN</t>
  </si>
  <si>
    <t>FENOBARBITAL 100MG (B1) COMP C/20 GEN</t>
  </si>
  <si>
    <t>ATENOLOL 50MG COMP C/30 GEN</t>
  </si>
  <si>
    <t>LORAZEPAM 2MG (B1) COMP C/30 GEN</t>
  </si>
  <si>
    <t>FLUOXETINA HCL 20MG (C1) CAPSC/30 GEN</t>
  </si>
  <si>
    <t>AZITROMICINA 500MG COMP REV C/5 GEN</t>
  </si>
  <si>
    <t>VENAFLON 450+50MG COMP REV C/30</t>
  </si>
  <si>
    <t>VENAFLON 450+50MG COMP REV C/60</t>
  </si>
  <si>
    <t>ENALAPRIL MAL 10MG COMP C/30 ALU-ALU GEN</t>
  </si>
  <si>
    <t>ENALAPRIL MAL 20MG COMP C/30 ALU-ALU GEN</t>
  </si>
  <si>
    <t>NISTATINA 100.000UI SUSP ORAL50ML C/01 GEN</t>
  </si>
  <si>
    <t>METFORMINA HCL 500MG COMP C/30GEN</t>
  </si>
  <si>
    <t>METFORMINA HCL 850MG COMP C/30 GEN</t>
  </si>
  <si>
    <t>TIMOLOL MAL 0,5% SOL OFTAL FRGEN</t>
  </si>
  <si>
    <t>CETOCONAZOL+DIPRO BETA 20MG+0,5MG/G POM 30G GEN</t>
  </si>
  <si>
    <t>CETOCONAZOL+DIPRO BETA 20MG+0,5MG/G CR 30G GEN</t>
  </si>
  <si>
    <t>NIMESULIDA 50MG/ML SUSP GTS 15ML GEN</t>
  </si>
  <si>
    <t>AMBROXOL HCL 15MG/5ML XPE PED120ML PET</t>
  </si>
  <si>
    <t>DEXCL+BETAM MAL XPE 120ML GENPET</t>
  </si>
  <si>
    <t>SULFA+TRI 40+8MG/ML SUSP 100MLPET</t>
  </si>
  <si>
    <t>DEXAMETASONA ELIX 0,1MG/ML 100ML PET</t>
  </si>
  <si>
    <t>DEXASON 0,1MG/ML ELIX 100ML PET</t>
  </si>
  <si>
    <t>DEXCLORFEN MAL 0,4MG/ML SOL ORAL 100ML PET</t>
  </si>
  <si>
    <t>POLARYN 0,4MG/ML SOL ORALFR PET AMB 100ML</t>
  </si>
  <si>
    <t>CETOCORT N 20MG/G+ 0,64MG/G+ 2,5MG/G CR 30G</t>
  </si>
  <si>
    <t>AMOXICILINA 250MG/5ML PO SUSP150ML GEN</t>
  </si>
  <si>
    <t>ACICLOVIR 200MG C/25 COMP GEN</t>
  </si>
  <si>
    <t>ACICLOVIR 50MG/G CR 10G GEN</t>
  </si>
  <si>
    <t>CEFALEXINA 250MG/5ML PO SUSP 100ML GEN</t>
  </si>
  <si>
    <t>HELMIZOL 400MG COMP C/24</t>
  </si>
  <si>
    <t>CITALOPRAM BRO (C1) 20MG COMPREV C/30 GEN</t>
  </si>
  <si>
    <t>DOXAZOSINA MES 2MG COMP C/30 GEN</t>
  </si>
  <si>
    <t>SIMETICONA 75MG/ML EMUL ORAL 15ML</t>
  </si>
  <si>
    <t>BRIMONIDINA TART 2MG/ML SOL OFT 5ML GEN</t>
  </si>
  <si>
    <t>DORZOLAMIDA HCL 2%+TIMOLOL MAL0,5% SOL OFT 5ML GEN</t>
  </si>
  <si>
    <t>CEFADROXILA 500MG CAPS C/8 GEN</t>
  </si>
  <si>
    <t>MELOXICAM 15MG COMP C/10 GEN</t>
  </si>
  <si>
    <t>HIDROCORT ACETA 1% CR 15G GEN</t>
  </si>
  <si>
    <t>HIDROCORT ACETA 1% CR 30G GEN</t>
  </si>
  <si>
    <t>IBUPROFENO 50MG/ML SUSP ORAL 30ML GEN</t>
  </si>
  <si>
    <t>NEOM+BACIT 5MG+250UI/G POM 15GGEN</t>
  </si>
  <si>
    <t>NEOM+BACIT 5MG+250UI/G POM 50GGEN</t>
  </si>
  <si>
    <t>CEFALEXINA 500MG COMP C/10 GEN</t>
  </si>
  <si>
    <t>LOSARTANA POT 50MGCOMPREV C/60 GEN</t>
  </si>
  <si>
    <t>LOSARTANA POTAS+HCTZ 100/25MG COMP REV C/30 GENV C/30 GEN</t>
  </si>
  <si>
    <t>LOSARTANA + HIDROCLOROTIAZIDA 50/12,5MG COMPREV C/30 GEN</t>
  </si>
  <si>
    <t>CLONAZEPAM 2,5MG/ML (B1) SOL ORAL 20ML GEN</t>
  </si>
  <si>
    <t>CETOPROFENO 20MG/ML SOL ORAL 20ML GEN</t>
  </si>
  <si>
    <t>SIMETICONA 125MG CAPS C/10</t>
  </si>
  <si>
    <t>DIMEZIN MAX 125MG CAPS C/10</t>
  </si>
  <si>
    <t>NISTATINA + OXIDO ZINCO 100.000UI + 200MG/G POM 60G GEN</t>
  </si>
  <si>
    <t>GLALFITAL 2% + 0,5% SOL OFT 5ML</t>
  </si>
  <si>
    <t>LAMOTRIGINA 100MG (C1) COMP C/30 GEN PVC</t>
  </si>
  <si>
    <t>ALPRAZOLAM 0,5MG (B1) COMP C/30 GEN</t>
  </si>
  <si>
    <t>ALPRAZOLAM 1MG (B1) COMP C/30GEN</t>
  </si>
  <si>
    <t>ALPRAZOLAM 2MG (B1) COMP C/30GEN</t>
  </si>
  <si>
    <t>IBUPRIL 50MG/ML SUSP ORAL 30ML</t>
  </si>
  <si>
    <t>PROMETAZINA HCL 25MG COMP REVC/20 GEN</t>
  </si>
  <si>
    <t>IBUPRIL 100MGML SUSP ORAL GTS20 ML</t>
  </si>
  <si>
    <t>DEXASON 1MG/G CR 10G</t>
  </si>
  <si>
    <t>DEXAMETASONA ACET 1MG/G CR 10G GEN</t>
  </si>
  <si>
    <t>PARACETAMOL 750MG COMP C/20</t>
  </si>
  <si>
    <t>CETOCONAZOL 20MG/G XAMPU 100ML</t>
  </si>
  <si>
    <t>CETOCONAZOL 20MG/G CR 30G</t>
  </si>
  <si>
    <t>PAROXETINA HCL 20MG (C1) COMP REV C/30 GEN</t>
  </si>
  <si>
    <t>FENAFLAN ICE MASSAGEADOR AEROSSOL 150ML (120G)</t>
  </si>
  <si>
    <t>METRONIDAZOL 250MG COMP C/20 GEN</t>
  </si>
  <si>
    <t>METRONIDAZOL 400MG COMP C/24 GEN</t>
  </si>
  <si>
    <t>METRONIDAZOL 100MG/G GEL VAG 50G GEN C/ 10 APLIC</t>
  </si>
  <si>
    <t>ARNICA GEL EXTRA FORTE MASSAGEADOR C/ 200G</t>
  </si>
  <si>
    <t>HIPODERME POM 45G</t>
  </si>
  <si>
    <t>VENAFLON 900+100MG COMP REV C/30</t>
  </si>
  <si>
    <t>SERTRALINA HCL 50MG (C1) COMP REV C/30 GEN</t>
  </si>
  <si>
    <t>CETOCORT N 20MG/G+ 0,64MG/G+ 2,5MG/G  POM 30G</t>
  </si>
  <si>
    <t>CLOPIDOGREL BISSUL  75MG COMP REV C/30 GEN</t>
  </si>
  <si>
    <t>LACTRAT 9.000 U.FCC COMP C /30</t>
  </si>
  <si>
    <t>LUT VISION SUPLEMENTO ALIMENTAR CAPS C/ 60</t>
  </si>
  <si>
    <t>BENEUM 300MG COMP REV C/30</t>
  </si>
  <si>
    <t>SENSIDRAT LOÇÃO REHIDRATANTE 10% C /120ML</t>
  </si>
  <si>
    <t>TEUPANTOL DERMA CREME 20G</t>
  </si>
  <si>
    <t>TEUPANTOL DERMA SOL 50ML</t>
  </si>
  <si>
    <t>ZOLPIDEM HEMITART (B1) 10MG COMP REV C/30 GEN</t>
  </si>
  <si>
    <t>FEXOFENADINA HCL 120MG COMP REV C/10 GEN</t>
  </si>
  <si>
    <t>FEXOFENADINA HCL 180MG COMP REV C/10 GEN</t>
  </si>
  <si>
    <t>VENAFLON 900+100MG COMP REV C/60</t>
  </si>
  <si>
    <t>BIOLAGRIMA 0,10% SOL P/ LENTE CONTATO FR C/15 ML</t>
  </si>
  <si>
    <t>BEPEBEN 1.200.000UI PO SUSP INJ+01 AMP DIL VD 4ML</t>
  </si>
  <si>
    <t>ROSUVASTATINA CALC 10MG COMP REV C/30 GEN</t>
  </si>
  <si>
    <t>ROSUVASTATINA CALC 20MG COMP REV C/30 GEN</t>
  </si>
  <si>
    <t>NORTRIPTILINA HCL 25MG (C1) CAPS C30 GEN</t>
  </si>
  <si>
    <t>ATORVASTATINA CALC 10MG COMP REV C30 GEN</t>
  </si>
  <si>
    <t>ATORVASTATINA CALC 20MG COMP REV C30 GEN</t>
  </si>
  <si>
    <t>SILDENAFILA CITRATO 50MG COMP REV C/4 GEN</t>
  </si>
  <si>
    <t>DIPIRONA MONOIDRATADA 1G COMP C/10 GEN</t>
  </si>
  <si>
    <t>COLGEN II SUPL  ALIMENTAR  40MG CAPS C/60</t>
  </si>
  <si>
    <t>DESVENLAFAXINA SUCCIN MONO 50MG (C1) COMP REV LIBPROL C/ 28 GEN</t>
  </si>
  <si>
    <t>DESVENLAFAXINA SUCCIN MONO 100MG (C1) COMP REV LIBPROL C/ 28 GEN</t>
  </si>
  <si>
    <t>NEBIVOLOL HCL 5 MG COMP C/60 GEN</t>
  </si>
  <si>
    <t>CANDITRAT 100 000UI/ML SUSP ORAL C/01 FR 50ML+COPMED</t>
  </si>
  <si>
    <t>NISTATINA 100 000UI/ML SUSP ORAL C/01 FR 50ML+COPMED GEN</t>
  </si>
  <si>
    <t>IBUPROFENO 600MG CAPS GEL MOLE C/10 GEN</t>
  </si>
  <si>
    <t>CELECOXIBE 200 MG (C1) CÁPS DURA C/10 GEN</t>
  </si>
  <si>
    <t>LEXIN 500MG COMP C/10</t>
  </si>
  <si>
    <t>FUROSEMIDA 40MG COMP C/30 GEN</t>
  </si>
  <si>
    <t>AXETILCEFUROXIMA  500MG COMP C/10 GEN</t>
  </si>
  <si>
    <t>AXETILCEFUROXIMA  500MG COMP C/14 GEN</t>
  </si>
  <si>
    <t>CELECOXIBE 200 MG (C1) CÁPS DURA C/30 GEN</t>
  </si>
  <si>
    <t>IBUPRIL CAPS 600MG C/10 CAPSUL GEL MOLE</t>
  </si>
  <si>
    <t>SILDENAFILA CITRATO 50MG COMP REV C/8 GEN</t>
  </si>
  <si>
    <t>KIT BIO LENTE SOL P / LENTE CONTATO 350ML+120ML</t>
  </si>
  <si>
    <t>CEFTRIAXONA DISSÓDICA 1G IM PO INJ+ AMP DIL 3,5ML</t>
  </si>
  <si>
    <t>BIOLAGRIMA 0.15% SOL OFTALMICA FR C/10ML</t>
  </si>
  <si>
    <t>TEUTOZOL 20MG CAPS C/28</t>
  </si>
  <si>
    <t>TEUTOZOL 20MG CAPS C/56</t>
  </si>
  <si>
    <t>BETA DIPRO 0,5MG/G + GENTA SULF 1,0MG/G POM 30G GEN</t>
  </si>
  <si>
    <t>LANS + CLARIT + AMOX C/7BL + 28 CAPS DE LANZ GEN</t>
  </si>
  <si>
    <t>DIPRO BETA 0,5MG/G + SULF GENTA 1,0MG/G CR 30G GEN</t>
  </si>
  <si>
    <t>VENLAFAXINA HCL 75MG (C1) CAPSC/30 GEN</t>
  </si>
  <si>
    <t>VENLAFAXINA HCL 150MG (C1) CAPS C/30 GEN</t>
  </si>
  <si>
    <t xml:space="preserve"> NENFY 100MG COMP MAST C/30</t>
  </si>
  <si>
    <t>ASMOFEN 0,2MG/ML XPE 120ML PET</t>
  </si>
  <si>
    <t>CARBIDOPA+LEVODOPA 25+250MG COMP C/60 GEN</t>
  </si>
  <si>
    <t>CETOFENID 20MG/ML SOL ORAL 20ML</t>
  </si>
  <si>
    <t>IBUPRIL 600MG COMP C/20</t>
  </si>
  <si>
    <t>ESCITALOPRAM OXAL 10MG (C1) COMP REV C/30 GEN PVDC</t>
  </si>
  <si>
    <t>ESCITALOPRAM OXAL 20MG (C1) COMP REV C/30 GEN PVDC</t>
  </si>
  <si>
    <t>IBUPRIL 400MG CAPS GEL C/08</t>
  </si>
  <si>
    <t>IBUPRIL 400MG CAPS GEL C/10(01 BLÍSTER C/10 CAPS)</t>
  </si>
  <si>
    <t>IBUPRIL 400MG CAPS GEL C/36(12BLÍSTERES C/3 CAPS)</t>
  </si>
  <si>
    <t>ZOLPIDEM HEMITART (B1) 10MG COMP REV C/20 GEN PVC</t>
  </si>
  <si>
    <t>LEVOFLOXACINO 500MG COMP REV C/7 GEN PVC</t>
  </si>
  <si>
    <t>LEVOFLOXACINO 500MG COMP REV C/10 GEN PVC</t>
  </si>
  <si>
    <t>NITROFEN 100MG CAPS C/ 28</t>
  </si>
  <si>
    <t>ALENDRONATO DE SODIO 70MG COMPC/4 GEN PVC</t>
  </si>
  <si>
    <t>TERBINAFINA HCL 250MG COMP C/28 GEN</t>
  </si>
  <si>
    <t>KIT BIO SOAK SOL LENTE CONTATO360+120ML</t>
  </si>
  <si>
    <t>HIDROCLOROTIAZIDA 25MG COMP C 30 GEN</t>
  </si>
  <si>
    <t>NITROFURANTOINA 100MG CAPS C/28 GEN</t>
  </si>
  <si>
    <t>MONTELUCASTE SOD 10MG COMP REVC/30 GEN</t>
  </si>
  <si>
    <t>MEMANTINA HCL 10MG (C1) COMP REV C/30 GEN</t>
  </si>
  <si>
    <t>MEMANTINA HCL 10MG (C1) COMP REV C/60 GEN</t>
  </si>
  <si>
    <t>DESLORATADINA 0,5MG/ML XPE FR 60ML + SER DOS GEN</t>
  </si>
  <si>
    <t>DESLORATADINA 0,5MG/ML XPE FR 100ML + SER DOS GEN</t>
  </si>
  <si>
    <t>DIGESTIL 10MG COMP C/20 PVDC 250/120 BCO</t>
  </si>
  <si>
    <t>FUROSEMIDA 40MG COMP C/20 GENPVC</t>
  </si>
  <si>
    <t>RISPERIDONA (C1) 1MG COMP REVC/30 GEN</t>
  </si>
  <si>
    <t>RISPERIDONA (C1) 2MG COMP REVC/30 GEN</t>
  </si>
  <si>
    <t>RISPERIDONA (C1) 3MG COMP REVC/30 GEN</t>
  </si>
  <si>
    <t>LACOSAMIDA 50MG (C1) COMP REV  C/14 GEN</t>
  </si>
  <si>
    <t>LACOSAMIDA 100MG (C1) COMP REV  C/28 GEN</t>
  </si>
  <si>
    <t>PREGABALINA 75MG (C1) CAPS C/30 GEN</t>
  </si>
  <si>
    <t>PREGABALINA 150MG (C1) CAPS C/30 GEN</t>
  </si>
  <si>
    <t>BROMOPRIDA 10MG COMP C/20 GEN PVDC 250/120</t>
  </si>
  <si>
    <t>NAPROX 500MG COMP C/10</t>
  </si>
  <si>
    <t>TRAVOPROSTA 0,04MG/ML SOL OFT2,5ML GEN PE</t>
  </si>
  <si>
    <t>BACLOFEN 10MG COMP C/60</t>
  </si>
  <si>
    <t>BACLOFENO 10MG COMP C/20 GEN</t>
  </si>
  <si>
    <t>BACLOFENO 10MG COMP C/60 GEN</t>
  </si>
  <si>
    <t>PROFERGAN 20MG/G CR 30G OURO</t>
  </si>
  <si>
    <t>PROMETAZINA 20MG/G CR 30G OURO GEN</t>
  </si>
  <si>
    <t>PIOGLITAZONA HCL 15MG COMP C/30 GEN</t>
  </si>
  <si>
    <t>OMEPRAZOL 20MG CAPS C/56 GEN</t>
  </si>
  <si>
    <t>A-Z CAPS GEL MOLE C/60</t>
  </si>
  <si>
    <t>OLEO MINERAL 100% C/100 ML</t>
  </si>
  <si>
    <t>NISTATINA 25000UI/G CR VAG 60G C/14 APLIC GEN</t>
  </si>
  <si>
    <t>MICONAZOL NITR 20MG/G CR VAG80G C/14 APLIC</t>
  </si>
  <si>
    <t>COLPATRIN 100MG/G + 20.000UI/GCR VAG 50G C/10 APLIC</t>
  </si>
  <si>
    <t>CARBIDOL 25+250MG COMP C/30PVDC</t>
  </si>
  <si>
    <t>FINASTERIDA 1MG COMP REV C/30GEN ALU-ALU</t>
  </si>
  <si>
    <t>SEDALEX COMP C/30 (3 BL/10)</t>
  </si>
  <si>
    <t>ACEBROFILINA 50MG/5ML XPEADU 120ML GEN PET</t>
  </si>
  <si>
    <t>FINASTERIDA 5MG COMP REV C/30GEN ALU-ALU</t>
  </si>
  <si>
    <t>MICOZEN 20MG/G CR VAG 80G C/14APLIC</t>
  </si>
  <si>
    <t>HELMIZOL 100MG/G GEL VAG 50G C/10 APLIC</t>
  </si>
  <si>
    <t>AMOXICILINA 500MG CAPS C/21GEN PVDC</t>
  </si>
  <si>
    <t>EZOPEN 50MG/G CR 10G</t>
  </si>
  <si>
    <t>VALSARTANA 80MG COMP REV C/30 GEN</t>
  </si>
  <si>
    <t>VALSARTANA 160MG COMP REV C/30 GEN</t>
  </si>
  <si>
    <t>DEXAMETASONA 4MG COMP C/ 10 GEN</t>
  </si>
  <si>
    <t>DEXASON 4MG COMP C/10</t>
  </si>
  <si>
    <t>METRONID+NISTAT 100MG/G+20000UI/G CR VAG 50G C/10 APLIC</t>
  </si>
  <si>
    <t>CEFTRIAXONA DISSÓDICA 500MG IM PO INJ + AMP DIL 2ML</t>
  </si>
  <si>
    <t>CLINDAMIN-C 300MG CAPS C/16</t>
  </si>
  <si>
    <t>BACTERACIN 40MG/ML+8MG/ML SUSP100ML</t>
  </si>
  <si>
    <t>BACTERACIN 400MG+80MG COMPC/20</t>
  </si>
  <si>
    <t>TENOFTAL 0,5% SOL OFT 5ML</t>
  </si>
  <si>
    <t>FINARID 5MG COMP REV C/30ALU-ALU</t>
  </si>
  <si>
    <t>AFOPIC 5MG COMP C/20 ALU - ALU</t>
  </si>
  <si>
    <t>SEGURDENT CR ADESIVO 48G</t>
  </si>
  <si>
    <t>FENAFLAN 15MG/ML SUSP ORAL20ML</t>
  </si>
  <si>
    <t>PIOGLITAZONA HCL 30MG COMP C/15 GEN</t>
  </si>
  <si>
    <t>PIOGLITAZONA HCL 30MG COMP C/30 GEN</t>
  </si>
  <si>
    <t>DILTIAZEM HCL 60MG COMP C/50</t>
  </si>
  <si>
    <t>CÓD MUDOU PARA 4849</t>
  </si>
  <si>
    <t>ACEBROFILINA 25MG/5ML XPE PED 120ML GEN PET</t>
  </si>
  <si>
    <t>ALBENTEL 40MG/ML SUSP 10ML</t>
  </si>
  <si>
    <t>AMBROXOL HCL 30MG/5ML XPE ADU120ML PET</t>
  </si>
  <si>
    <t>AMOXICILINA + CLAVULANATO 875 + 125 MG COMP REV C/14 GEN</t>
  </si>
  <si>
    <t>ATENOLOL 50MG COMP C/ 60 GEN</t>
  </si>
  <si>
    <t>BEPEBEN 1.200.000UI PO SUSP INJ+1AMP DIL 4ML</t>
  </si>
  <si>
    <t>BISOPROLOL HEMIF 10MG COMP REV C/30 GEN</t>
  </si>
  <si>
    <t>BISOPROLOL HEMIF 5MG COMP REV C/30 GEN</t>
  </si>
  <si>
    <t>CAPTOPRIL 25MG COMP C/60 GEN</t>
  </si>
  <si>
    <t>CIPROFIBRATO 100MG COMP C/30 GEN</t>
  </si>
  <si>
    <t>CLIOQUINOL+ASS CR 20G GEN</t>
  </si>
  <si>
    <t>CLIOQUINOL+ASS POM 20G GEN</t>
  </si>
  <si>
    <t>CORDIL 60MG COMP C/50</t>
  </si>
  <si>
    <t>DERMDRYL LOÇAO COSMETICO 100ML</t>
  </si>
  <si>
    <t>DEXCLOR MAL 10MG/G CR 30G GEN</t>
  </si>
  <si>
    <t>DIMEZIN 75MG/ML EMUL 10ML</t>
  </si>
  <si>
    <t>ENALAPRIL MAL 5MG COMP C/30 ALU-ALU GEN</t>
  </si>
  <si>
    <t>FENAFLAN 11,6MG/G GEL 30G</t>
  </si>
  <si>
    <t>FENAFLAN D 50MG COMP DISP C/20 PVDC</t>
  </si>
  <si>
    <t>FLOBAC PRO 55MG CAPS C/ 30</t>
  </si>
  <si>
    <t>FLUCONAZOL 150MG CAPS GEN</t>
  </si>
  <si>
    <t>INSONOX (B1) 10MG COMP REV C/10 PVC</t>
  </si>
  <si>
    <t>LANS + CLARIT + AMOX C/7BL 30+500+500MG GEN</t>
  </si>
  <si>
    <t>LEXIN 250MG/5ML SUSP 100ML</t>
  </si>
  <si>
    <t>MICOSIL 10MG/G CR 20G</t>
  </si>
  <si>
    <t>OSTRAZIL 70MG COMP C/4 PVC</t>
  </si>
  <si>
    <t>PARACETAMOL 200MG/ML SOL GTS 15ML GEN</t>
  </si>
  <si>
    <t>PARACETAMOL BEBÊ 100MG/ML SUSP ORAL 15MLGEN</t>
  </si>
  <si>
    <t>PARACETAMOL CRIANÇA 32MG/ML SUSP ORAL 60MLGEN</t>
  </si>
  <si>
    <t>PAROX 20MG (C1) COMP REV C/30</t>
  </si>
  <si>
    <t>POLARYN 2MG COMP REV C/20</t>
  </si>
  <si>
    <t>SALBUTAMOL SULF 100MCG/JATO-DOSE SPRAY C/200 DOSESGEN</t>
  </si>
  <si>
    <t>SECNIDAZOL 1000MG COMP C/02 GEN</t>
  </si>
  <si>
    <t>SECNIDAZOL 1000MG COMP C/04 GEN</t>
  </si>
  <si>
    <t>SEGURDENT CR ADESIVO 20G</t>
  </si>
  <si>
    <t>SEGURDENT CR ADESIVO 40G</t>
  </si>
  <si>
    <t>SEGURDENT CR ADESIVO 40G MENTA</t>
  </si>
  <si>
    <t>SIBUTRAMINA HCL 15MG (B2) CAPSC/30 GEN</t>
  </si>
  <si>
    <t>SIMETICONA 40MG COMP C/20</t>
  </si>
  <si>
    <t>TETRACICLINA HCL 500MG CAPS C/8 GEN</t>
  </si>
  <si>
    <t>TEUPANTOL 50MG/G POM 30G</t>
  </si>
  <si>
    <t>TEUSIL 25MG COMP C/30</t>
  </si>
  <si>
    <t>TICLOPIDINA HCL 250MG COMP REV C/30 GEN</t>
  </si>
  <si>
    <t>TINIDAZOL + MICONAZOL 30+20MG/G CR VAG 45G + 7 APLIC GEN</t>
  </si>
  <si>
    <t>TUA D SUPL ALIMENTAR VIT D3  2.000 UI CAPS MOLE C/30</t>
  </si>
  <si>
    <t>TUA D3 50.000 UI CAPS GEL MOLE C/4</t>
  </si>
  <si>
    <t>TUA D3 50.000 UI CAPS GEL MOLE C/8</t>
  </si>
  <si>
    <t>TUA D3 7.000 UI CAPS GEL MOLE C/30</t>
  </si>
  <si>
    <t>TYLIDOL 200MG/ML SOL GTS 15ML</t>
  </si>
  <si>
    <t>VALPROATO SODIO 250MG/5ML(C1) XPE 100ML GEN PET</t>
  </si>
  <si>
    <t>VENAFLON 450MG+50MG COMP REV C/60</t>
  </si>
  <si>
    <t>ZOLPIDEM HEMITART (B1) 10MG COMP REV C/10 GEN PVC</t>
  </si>
  <si>
    <t>COLGEN II SUPL ALIMENTAR  40MG CAPS  GEL DURA C/60</t>
  </si>
  <si>
    <t>TEUCEF 500MG IM PO SOL INJ + AMP DIL 2ML</t>
  </si>
  <si>
    <t>BACTERACIN 40MG/ML+8MG/ML SUSP100ML  PET</t>
  </si>
  <si>
    <t>TELMISARTANA+HCTZ  40MG+12,5MG COMP C/30 GEN</t>
  </si>
  <si>
    <t>ATENOLOL+CLORTALIDONA 50+12,5MG COMP C/30 GEN</t>
  </si>
  <si>
    <t>ATENOLOL+CLORTALIDONA 100+25MGCOMP C/30 GEN</t>
  </si>
  <si>
    <t>PND ATIVA *</t>
  </si>
  <si>
    <t>Codigo_Externo_Cliente</t>
  </si>
  <si>
    <t>Nome_Razao_Social</t>
  </si>
  <si>
    <t>UF</t>
  </si>
  <si>
    <t>Produto</t>
  </si>
  <si>
    <t>Desc_Produto</t>
  </si>
  <si>
    <t>Qtd_Atual</t>
  </si>
  <si>
    <t>Vlr_Unitario</t>
  </si>
  <si>
    <t>Valor_Atual</t>
  </si>
  <si>
    <t>Pedido</t>
  </si>
  <si>
    <t>ARMAZÉM</t>
  </si>
  <si>
    <t>Coordenador_ERP</t>
  </si>
  <si>
    <t>Codigo_Condicao_Pagamento</t>
  </si>
  <si>
    <t>Descricao_Condicao_Pagamento</t>
  </si>
  <si>
    <t>Regiao_Preco_Lista</t>
  </si>
  <si>
    <t>OBS_Pedido</t>
  </si>
  <si>
    <t>ES</t>
  </si>
  <si>
    <t>MATRIZ (GO)</t>
  </si>
  <si>
    <t xml:space="preserve">M4V205    </t>
  </si>
  <si>
    <t xml:space="preserve">0212 - FENAFLAN GEL 60G                                               </t>
  </si>
  <si>
    <t>FILIAL (ES)</t>
  </si>
  <si>
    <t>MS</t>
  </si>
  <si>
    <t xml:space="preserve">VCO-113 - COORD MS SELL IN SIM                                        </t>
  </si>
  <si>
    <t xml:space="preserve">1057 - PROPRANOLOL HCL 40MG COMP C/30GEN                              </t>
  </si>
  <si>
    <t xml:space="preserve">1358 - CLOBETASOL PROPION 0,5MG/G CR30G GEN                           </t>
  </si>
  <si>
    <t xml:space="preserve">108342 - DIMEBRAS DISTRIBUIDORA FARMACEUTICA LTDA                     </t>
  </si>
  <si>
    <t xml:space="preserve">0]        </t>
  </si>
  <si>
    <t>0] - 63/70A91+10F</t>
  </si>
  <si>
    <t>9741 
//PED APROVADO 22.5.2026
//PRAZO  63/70/77/84/91 + 10F QUIT DEB</t>
  </si>
  <si>
    <t xml:space="preserve">1382 - TUA D3 7.000 UI CAPS GEL MOLE C/30                             </t>
  </si>
  <si>
    <t xml:space="preserve">1438 - ATENOLOL+CLORTALIDONA 100+25MGCOMP C/30 GEN                    </t>
  </si>
  <si>
    <t xml:space="preserve">#K        </t>
  </si>
  <si>
    <t>#K - 98/105A126+6F</t>
  </si>
  <si>
    <t xml:space="preserve">V2M404    </t>
  </si>
  <si>
    <t xml:space="preserve">9633 
//PED APROVADO 29.4.2026
//PRAZO  98/105/112/119/126 
</t>
  </si>
  <si>
    <t xml:space="preserve">8{        </t>
  </si>
  <si>
    <t>8{ - 84/91A112+10F</t>
  </si>
  <si>
    <t xml:space="preserve">1784 - OLMESARTANA MEDOX 20MG COMP REV C/30 GEN                       </t>
  </si>
  <si>
    <t xml:space="preserve">1876 - PYLORITRAT IBP 30MG + 500MG +500MG +28 CAPS                    </t>
  </si>
  <si>
    <t xml:space="preserve">2246 - DICLOFENACO 50MG COMP SUSP C/20 GEN PVDC                       </t>
  </si>
  <si>
    <t xml:space="preserve">2261 - LOZAN 200MG COMP C/30 ALU-ALU                                  </t>
  </si>
  <si>
    <t xml:space="preserve">2367 - NAPROX 500MG COMP C/20                                         </t>
  </si>
  <si>
    <t xml:space="preserve">2566 - AZITROMICINA 500MG COMP REV C/5 GEN                            </t>
  </si>
  <si>
    <t xml:space="preserve">2583 - VENAFLON 450+50MG COMP REV C/60                                </t>
  </si>
  <si>
    <t xml:space="preserve">2876 - ACICLOVIR 200MG C/25 COMP GEN                                  </t>
  </si>
  <si>
    <t xml:space="preserve">2884 - ACICLOVIR 50MG/G CR 10G GEN                                    </t>
  </si>
  <si>
    <t xml:space="preserve">3206 - MELOXICAM 15MG COMP C/10 GEN                                   </t>
  </si>
  <si>
    <t xml:space="preserve">3293 - HIDROCORT ACETA 1% CR 15G GEN                                  </t>
  </si>
  <si>
    <t xml:space="preserve">4131 - IBUPRIL 100MGML SUSP ORAL GTS20 ML                             </t>
  </si>
  <si>
    <t xml:space="preserve">4134 - DEXASON 1MG/G CR 10G                                           </t>
  </si>
  <si>
    <t xml:space="preserve">4156 - PARACETAMOL 750MG COMP C/20                                    </t>
  </si>
  <si>
    <t>NOTIFICAÇÃO SIMPLIFICADA</t>
  </si>
  <si>
    <t xml:space="preserve">4162 - CETOCONAZOL 20MG/G XAMPU 100ML                                 </t>
  </si>
  <si>
    <t xml:space="preserve">4266 - METRONIDAZOL 400MG COMP C/24 GEN                               </t>
  </si>
  <si>
    <t xml:space="preserve">4270 - METRONIDAZOL 100MG/G GEL VAG 50G GEN C/ 10 APLIC               </t>
  </si>
  <si>
    <t xml:space="preserve">4339 - CLOPIDOGREL BISSUL  75MG COMP REV C/30 GEN                     </t>
  </si>
  <si>
    <t xml:space="preserve">4642 - IBUPROFENO 600MG CAPS GEL MOLE C/10 GEN                        </t>
  </si>
  <si>
    <t xml:space="preserve">4746 - AXETILCEFUROXIMA  500MG COMP C/14 GEN                          </t>
  </si>
  <si>
    <t xml:space="preserve">4796 - IBUPRIL CAPS 600MG C/10 CAPSUL GEL MOLE                        </t>
  </si>
  <si>
    <t xml:space="preserve">4832 - KIT BIO LENT SOL P / LENTE CONTATO 350ML+120ML                 </t>
  </si>
  <si>
    <t xml:space="preserve">4849 - CEFTRIAXONA DISSÓDICA 1G IM PO INJ+ AMP DIL 3,5ML              </t>
  </si>
  <si>
    <t xml:space="preserve">5086 - TEUTOZOL 20MG CAPS C/56                                        </t>
  </si>
  <si>
    <t xml:space="preserve">5118 - LANS + CLARIT + AMOX C/7BL + 28 CAPS DE LANZ GEN               </t>
  </si>
  <si>
    <t xml:space="preserve">5364 - NENFY 100MG COMP MAST C/30                                     </t>
  </si>
  <si>
    <t xml:space="preserve">6340 - TERBINAFINA HCL 250MG COMP C/28 GEN                            </t>
  </si>
  <si>
    <t xml:space="preserve">7135 - RISPERIDONA (C1) 1MG COMP REVC/30 GEN                          </t>
  </si>
  <si>
    <t xml:space="preserve">7147 - RISPERIDONA (C1) 3MG COMP REVC/30 GEN                          </t>
  </si>
  <si>
    <t xml:space="preserve">8100 - PROMETAZINA 20MG/G CR 30G OURO GEN                             </t>
  </si>
  <si>
    <t xml:space="preserve">P1V106    </t>
  </si>
  <si>
    <t xml:space="preserve">8910 - NISTATINA 25000UI/G CR VAG 60G C/14 APLIC GEN                  </t>
  </si>
  <si>
    <t xml:space="preserve">8911 - MICONAZOL NITR 20MG/G CR VAG80G C/14 APLIC                     </t>
  </si>
  <si>
    <t xml:space="preserve">9190 - MICOZEN 20MG/G CR VAG 80G C/14APLIC                            </t>
  </si>
  <si>
    <t xml:space="preserve">9192 - HELMIZOL 100MG/G GEL VAG 50G C/10 APLIC                        </t>
  </si>
  <si>
    <t xml:space="preserve">9465 - DEXASON 4MG COMP C/10                                          </t>
  </si>
  <si>
    <t xml:space="preserve">9608 - METRONID+NISTAT 100MG/G+20000UI/G CR VAG 50G C/10 APLIC        </t>
  </si>
  <si>
    <t xml:space="preserve">9801 - FINARID 5MG COMP REV C/30ALU-ALU                               </t>
  </si>
  <si>
    <t xml:space="preserve">9824 - AFOPIC 5MG COMP C/20 ALU - ALU                                 </t>
  </si>
  <si>
    <t xml:space="preserve">9994 - DILTIAZEM HCL 60MG COMP C/50                                   </t>
  </si>
  <si>
    <t>ORIGEM_DA_PENDENCIA</t>
  </si>
  <si>
    <t>ARMAZÉM ATUAL</t>
  </si>
  <si>
    <t xml:space="preserve">MAIO/2026                                                                                           </t>
  </si>
  <si>
    <t xml:space="preserve">JUNHO/2026                                                                                          </t>
  </si>
  <si>
    <t xml:space="preserve">1355 - AZITROMICINA 500MG COMP REVC/03 GEN                            </t>
  </si>
  <si>
    <t xml:space="preserve">4561 - NISTATINA 100 000UI/ML SUSP ORAL C/01 FR 50ML+COPMED GEN       </t>
  </si>
  <si>
    <t xml:space="preserve">2442 - AMITRIPTILINA HCL 25MG (C1) COMP REV C/30 GEN                  </t>
  </si>
  <si>
    <t xml:space="preserve">2243 - DIURIX 25MG COMP C/30                                          </t>
  </si>
  <si>
    <t xml:space="preserve">1033 - LISINOPRIL 20MG COMP C/30 GEN                                  </t>
  </si>
  <si>
    <t xml:space="preserve">V2M506    </t>
  </si>
  <si>
    <t xml:space="preserve">6833 - DESLORATADINA 0,5MG/ML XPE FR 60ML + SER DOS GEN               </t>
  </si>
  <si>
    <t xml:space="preserve">9149 - ACEBROFILINA 25MG/5ML XPE PED 120ML GEN PET                    </t>
  </si>
  <si>
    <t xml:space="preserve">4385 - ZOLPIDEM HEMITART (B1) 10MG COMP REV C/30 GEN                  </t>
  </si>
  <si>
    <t xml:space="preserve">1921 - CARBAMAZEPINA 200MG (C1) COMPC/30 GEN                          </t>
  </si>
  <si>
    <t xml:space="preserve">6834 - DESLORATADINA 0,5MG/ML XPE FR 100ML + SER DOS GEN              </t>
  </si>
  <si>
    <t xml:space="preserve">1383 - TUA D3 50.000 UI CAPS GEL MOLE C/4                             </t>
  </si>
  <si>
    <t xml:space="preserve">.{        </t>
  </si>
  <si>
    <t>.{ - 91A119+10,00F</t>
  </si>
  <si>
    <t xml:space="preserve">6721 - MEMANTINA HCL 10MG (C1) COMP REV C/60 GEN                      </t>
  </si>
  <si>
    <t>PERÍODO 01.05.2026 A 09.07.2026</t>
  </si>
  <si>
    <t>PEDBPCS</t>
  </si>
  <si>
    <t>CODCLI</t>
  </si>
  <si>
    <t>NOMECLI</t>
  </si>
  <si>
    <t>POR ONDE FATUROU</t>
  </si>
  <si>
    <t>NF</t>
  </si>
  <si>
    <t>DATANF</t>
  </si>
  <si>
    <t>CODITEM</t>
  </si>
  <si>
    <t>DESCRITEM</t>
  </si>
  <si>
    <t>QTDE</t>
  </si>
  <si>
    <t>VLR UNITARIO DO ITEM</t>
  </si>
  <si>
    <t>VLR TOTAL DO ITEM</t>
  </si>
  <si>
    <t>VLR CONTABIL COM ST</t>
  </si>
  <si>
    <t>PEDCLIENTE</t>
  </si>
  <si>
    <t>01/05/2026</t>
  </si>
  <si>
    <t>OMEPRAZOL 20MG CAPS LIB RET C/56 GEN</t>
  </si>
  <si>
    <t>FENAFLAN D 50MG COMP SUSP C/20</t>
  </si>
  <si>
    <t>DIMEBRAS DISTRIBUIDORA FARMACEUTICA LTDA</t>
  </si>
  <si>
    <t>9409</t>
  </si>
  <si>
    <t>9503</t>
  </si>
  <si>
    <t>MIRTAZAPINA 15MG (C1) COMP ORODISP C/ 30 GEN</t>
  </si>
  <si>
    <t>DICLOFENACO 50MG COMP SUSP C/20 GEN PVDC</t>
  </si>
  <si>
    <t>NENFY 100MG COMP MAST C/30</t>
  </si>
  <si>
    <t>MIRTAZAPINA 30MG (C1) COMP ORODISP C/ 30 GEN</t>
  </si>
  <si>
    <t>9577</t>
  </si>
  <si>
    <t>9633</t>
  </si>
  <si>
    <t>04/05/2026</t>
  </si>
  <si>
    <t/>
  </si>
  <si>
    <t>9645</t>
  </si>
  <si>
    <t>05/05/2026</t>
  </si>
  <si>
    <t>06/05/2026</t>
  </si>
  <si>
    <t>CARBIDOPA+LEVODOPA 25+250MG COMP C/30 GEN</t>
  </si>
  <si>
    <t>07/05/2026</t>
  </si>
  <si>
    <t>08/05/2026</t>
  </si>
  <si>
    <t>09/05/2026</t>
  </si>
  <si>
    <t>11/05/2026</t>
  </si>
  <si>
    <t>SOLIFENACINA SUC 5MG COMP REV C/30 GEN</t>
  </si>
  <si>
    <t>12/05/2026</t>
  </si>
  <si>
    <t>13/05/2026</t>
  </si>
  <si>
    <t>16/05/2026</t>
  </si>
  <si>
    <t>SOLIFENACINA SUC 10MG COMP REV C/30 GEN</t>
  </si>
  <si>
    <t>19/05/2026</t>
  </si>
  <si>
    <t>20/05/2026</t>
  </si>
  <si>
    <t>21/05/2026</t>
  </si>
  <si>
    <t>23/05/2026</t>
  </si>
  <si>
    <t>25/05/2026</t>
  </si>
  <si>
    <t>26/05/2026</t>
  </si>
  <si>
    <t>9741</t>
  </si>
  <si>
    <t>27/05/2026</t>
  </si>
  <si>
    <t>28/05/2026</t>
  </si>
  <si>
    <t>29/05/2026</t>
  </si>
  <si>
    <t>01/06/2026</t>
  </si>
  <si>
    <t>02/06/2026</t>
  </si>
  <si>
    <t>03/06/2026</t>
  </si>
  <si>
    <t>04/06/2026</t>
  </si>
  <si>
    <t>11/06/2026</t>
  </si>
  <si>
    <t>19/06/2026</t>
  </si>
  <si>
    <t>9832</t>
  </si>
  <si>
    <t>20/06/2026</t>
  </si>
  <si>
    <t>ISO4467886</t>
  </si>
  <si>
    <t>22/06/2026</t>
  </si>
  <si>
    <t>23/06/2026</t>
  </si>
  <si>
    <t>24/06/2026</t>
  </si>
  <si>
    <t>25/06/2026</t>
  </si>
  <si>
    <t>30/06/2026</t>
  </si>
  <si>
    <t>9871</t>
  </si>
  <si>
    <t>01/07/2026</t>
  </si>
  <si>
    <t>02/07/2026</t>
  </si>
  <si>
    <t>03/07/2026</t>
  </si>
  <si>
    <t>06/07/2026</t>
  </si>
  <si>
    <t>Estab.</t>
  </si>
  <si>
    <t>Cód.Cliente</t>
  </si>
  <si>
    <t>Cliente</t>
  </si>
  <si>
    <t>Nº. Pedido Cliente</t>
  </si>
  <si>
    <t>Estado</t>
  </si>
  <si>
    <t>Status</t>
  </si>
  <si>
    <t>Descrição Produto</t>
  </si>
  <si>
    <t>Qtde Faturada</t>
  </si>
  <si>
    <t>Valor Unitário Item</t>
  </si>
  <si>
    <t>Valor Total Item</t>
  </si>
  <si>
    <t>Valor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</si>
</sst>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R$ &quot;* #,##0.00_);_(&quot;R$ &quot;* \(#,##0.00\);_(&quot;R$ &quot;* &quot;-&quot;??_);_(@_)"/>
    <numFmt numFmtId="43" formatCode="_(* #,##0.00_);_(* \(#,##0.00\);_(* &quot;-&quot;??_);_(@_)"/>
    <numFmt numFmtId="164" formatCode="_(&quot;R$ &quot;* #,##0_);_(&quot;R$ &quot;* \(#,##0\);_(&quot;R$ &quot;* &quot;-&quot;??_);_(@_)"/>
    <numFmt numFmtId="165" formatCode="_(* #,##0_);_(* \(#,##0\);_(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Display"/>
      <family val="2"/>
      <scheme val="major"/>
    </font>
    <font>
      <b/>
      <sz val="10"/>
      <name val="Aptos Display"/>
      <family val="2"/>
      <scheme val="major"/>
    </font>
    <font>
      <b/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u val="singleAccounting"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206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5">
    <xf numFmtId="0" fontId="0" fillId="0" borderId="0" xfId="0"/>
    <xf numFmtId="0" fontId="0" fillId="2" borderId="0" xfId="0" applyFill="1"/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2" applyNumberFormat="1" applyFont="1" applyFill="1" applyAlignment="1">
      <alignment horizontal="center"/>
    </xf>
    <xf numFmtId="165" fontId="0" fillId="2" borderId="0" xfId="1" applyNumberFormat="1" applyFont="1" applyFill="1" applyAlignment="1">
      <alignment horizontal="center"/>
    </xf>
    <xf numFmtId="164" fontId="0" fillId="2" borderId="0" xfId="2" applyNumberFormat="1" applyFont="1" applyFill="1"/>
    <xf numFmtId="49" fontId="4" fillId="2" borderId="0" xfId="0" applyNumberFormat="1" applyFont="1" applyFill="1"/>
    <xf numFmtId="0" fontId="0" fillId="2" borderId="0" xfId="0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164" fontId="0" fillId="2" borderId="0" xfId="2" applyNumberFormat="1" applyFont="1" applyFill="1" applyAlignment="1">
      <alignment horizontal="center" vertical="center"/>
    </xf>
    <xf numFmtId="165" fontId="0" fillId="2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4" borderId="4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left"/>
    </xf>
    <xf numFmtId="1" fontId="7" fillId="4" borderId="4" xfId="0" applyNumberFormat="1" applyFont="1" applyFill="1" applyBorder="1" applyAlignment="1">
      <alignment horizontal="left"/>
    </xf>
    <xf numFmtId="1" fontId="0" fillId="4" borderId="0" xfId="0" applyNumberFormat="1" applyFill="1" applyAlignment="1" applyProtection="1">
      <alignment horizontal="left"/>
      <protection hidden="1"/>
    </xf>
    <xf numFmtId="1" fontId="0" fillId="4" borderId="6" xfId="0" applyNumberFormat="1" applyFill="1" applyBorder="1" applyAlignment="1" applyProtection="1">
      <alignment horizontal="left"/>
      <protection hidden="1"/>
    </xf>
    <xf numFmtId="0" fontId="8" fillId="4" borderId="5" xfId="0" applyFont="1" applyFill="1" applyBorder="1" applyAlignment="1" applyProtection="1">
      <alignment horizontal="left"/>
      <protection hidden="1"/>
    </xf>
    <xf numFmtId="0" fontId="8" fillId="4" borderId="6" xfId="0" applyFont="1" applyFill="1" applyBorder="1" applyAlignment="1" applyProtection="1">
      <alignment horizontal="left"/>
      <protection hidden="1"/>
    </xf>
    <xf numFmtId="0" fontId="0" fillId="4" borderId="0" xfId="0" applyFill="1" applyAlignment="1" applyProtection="1">
      <alignment horizontal="left"/>
      <protection hidden="1"/>
    </xf>
    <xf numFmtId="0" fontId="0" fillId="4" borderId="6" xfId="0" applyFill="1" applyBorder="1" applyAlignment="1" applyProtection="1">
      <alignment horizontal="left"/>
      <protection hidden="1"/>
    </xf>
    <xf numFmtId="0" fontId="6" fillId="3" borderId="0" xfId="0" applyFont="1" applyFill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37" fontId="0" fillId="4" borderId="0" xfId="1" applyNumberFormat="1" applyFont="1" applyFill="1" applyBorder="1" applyAlignment="1" applyProtection="1">
      <alignment horizontal="left" vertical="justify"/>
      <protection hidden="1"/>
    </xf>
    <xf numFmtId="44" fontId="0" fillId="4" borderId="6" xfId="2" applyFont="1" applyFill="1" applyBorder="1" applyAlignment="1" applyProtection="1">
      <alignment horizontal="left" vertical="justify"/>
      <protection hidden="1"/>
    </xf>
    <xf numFmtId="0" fontId="7" fillId="4" borderId="7" xfId="0" applyFont="1" applyFill="1" applyBorder="1" applyAlignment="1">
      <alignment horizontal="left"/>
    </xf>
    <xf numFmtId="37" fontId="4" fillId="4" borderId="8" xfId="1" applyNumberFormat="1" applyFont="1" applyFill="1" applyBorder="1" applyAlignment="1" applyProtection="1">
      <alignment horizontal="left" vertical="justify"/>
      <protection hidden="1"/>
    </xf>
    <xf numFmtId="44" fontId="4" fillId="4" borderId="9" xfId="2" applyFont="1" applyFill="1" applyBorder="1" applyAlignment="1" applyProtection="1">
      <alignment horizontal="left" vertical="top"/>
      <protection hidden="1"/>
    </xf>
    <xf numFmtId="0" fontId="7" fillId="2" borderId="0" xfId="0" applyFont="1" applyFill="1" applyAlignment="1">
      <alignment horizontal="left"/>
    </xf>
    <xf numFmtId="37" fontId="4" fillId="2" borderId="0" xfId="1" applyNumberFormat="1" applyFont="1" applyFill="1" applyBorder="1" applyAlignment="1" applyProtection="1">
      <alignment horizontal="left" vertical="justify"/>
      <protection hidden="1"/>
    </xf>
    <xf numFmtId="44" fontId="4" fillId="2" borderId="0" xfId="2" applyFont="1" applyFill="1" applyBorder="1" applyAlignment="1" applyProtection="1">
      <alignment horizontal="left" vertical="top"/>
      <protection hidden="1"/>
    </xf>
    <xf numFmtId="164" fontId="4" fillId="5" borderId="0" xfId="2" applyNumberFormat="1" applyFont="1" applyFill="1" applyAlignment="1">
      <alignment horizontal="center"/>
    </xf>
    <xf numFmtId="164" fontId="4" fillId="5" borderId="0" xfId="2" applyNumberFormat="1" applyFont="1" applyFill="1"/>
    <xf numFmtId="165" fontId="4" fillId="2" borderId="0" xfId="1" applyNumberFormat="1" applyFont="1" applyFill="1" applyAlignment="1"/>
    <xf numFmtId="0" fontId="0" fillId="6" borderId="0" xfId="0" applyFill="1" applyAlignment="1">
      <alignment horizontal="center"/>
    </xf>
    <xf numFmtId="1" fontId="0" fillId="6" borderId="0" xfId="0" applyNumberFormat="1" applyFill="1" applyAlignment="1">
      <alignment horizontal="center"/>
    </xf>
    <xf numFmtId="164" fontId="5" fillId="7" borderId="0" xfId="2" applyNumberFormat="1" applyFont="1" applyFill="1" applyAlignment="1">
      <alignment horizontal="center"/>
    </xf>
    <xf numFmtId="165" fontId="0" fillId="6" borderId="0" xfId="1" applyNumberFormat="1" applyFont="1" applyFill="1" applyAlignment="1">
      <alignment horizontal="center"/>
    </xf>
    <xf numFmtId="0" fontId="9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  <xf numFmtId="0" fontId="9" fillId="0" borderId="0" xfId="0" applyFont="1" applyAlignment="1">
      <alignment horizontal="left"/>
    </xf>
    <xf numFmtId="164" fontId="0" fillId="0" borderId="0" xfId="2" applyNumberFormat="1" applyFont="1" applyAlignment="1">
      <alignment horizontal="center"/>
    </xf>
    <xf numFmtId="164" fontId="0" fillId="0" borderId="0" xfId="2" applyNumberFormat="1" applyFont="1"/>
    <xf numFmtId="0" fontId="10" fillId="0" borderId="0" xfId="0" applyFont="1"/>
    <xf numFmtId="1" fontId="0" fillId="0" borderId="0" xfId="0" applyNumberFormat="1"/>
    <xf numFmtId="3" fontId="0" fillId="0" borderId="0" xfId="0" applyNumberFormat="1"/>
    <xf numFmtId="44" fontId="0" fillId="0" borderId="0" xfId="2" applyFont="1" applyFill="1" applyAlignment="1"/>
    <xf numFmtId="44" fontId="4" fillId="5" borderId="10" xfId="2" applyFont="1" applyFill="1" applyBorder="1" applyAlignment="1"/>
    <xf numFmtId="0" fontId="2" fillId="8" borderId="11" xfId="0" applyFont="1" applyFill="1" applyBorder="1" applyAlignment="1">
      <alignment horizontal="center"/>
    </xf>
    <xf numFmtId="1" fontId="2" fillId="8" borderId="11" xfId="0" applyNumberFormat="1" applyFont="1" applyFill="1" applyBorder="1" applyAlignment="1">
      <alignment horizontal="center"/>
    </xf>
    <xf numFmtId="3" fontId="2" fillId="8" borderId="11" xfId="0" applyNumberFormat="1" applyFont="1" applyFill="1" applyBorder="1" applyAlignment="1">
      <alignment horizontal="center"/>
    </xf>
    <xf numFmtId="44" fontId="2" fillId="8" borderId="11" xfId="2" applyFont="1" applyFill="1" applyBorder="1" applyAlignment="1">
      <alignment horizontal="center"/>
    </xf>
    <xf numFmtId="44" fontId="2" fillId="8" borderId="12" xfId="2" applyFont="1" applyFill="1" applyBorder="1" applyAlignment="1">
      <alignment horizontal="center"/>
    </xf>
    <xf numFmtId="49" fontId="0" fillId="0" borderId="11" xfId="0" applyNumberFormat="1" applyBorder="1"/>
    <xf numFmtId="1" fontId="0" fillId="0" borderId="11" xfId="0" applyNumberFormat="1" applyBorder="1"/>
    <xf numFmtId="0" fontId="0" fillId="0" borderId="11" xfId="0" applyBorder="1"/>
    <xf numFmtId="43" fontId="0" fillId="0" borderId="11" xfId="1" applyFont="1" applyFill="1" applyBorder="1"/>
    <xf numFmtId="44" fontId="0" fillId="0" borderId="0" xfId="2" applyFont="1" applyAlignment="1"/>
    <xf numFmtId="44" fontId="0" fillId="0" borderId="0" xfId="2" applyFont="1" applyFill="1"/>
    <xf numFmtId="44" fontId="4" fillId="5" borderId="10" xfId="2" applyFont="1" applyFill="1" applyBorder="1"/>
    <xf numFmtId="3" fontId="0" fillId="0" borderId="11" xfId="0" applyNumberFormat="1" applyBorder="1"/>
    <xf numFmtId="44" fontId="0" fillId="0" borderId="11" xfId="2" applyFont="1" applyBorder="1"/>
    <xf numFmtId="44" fontId="0" fillId="0" borderId="0" xfId="2" applyFont="1"/>
    <xf numFmtId="0" fontId="10" fillId="0" borderId="13" xfId="0" applyFont="1" applyBorder="1" applyAlignment="1">
      <alignment horizontal="left"/>
    </xf>
    <xf numFmtId="0" fontId="2" fillId="8" borderId="11" xfId="0" applyFont="1" applyFill="1" applyBorder="1" applyAlignment="1">
      <alignment horizontal="center" vertical="center"/>
    </xf>
    <xf numFmtId="1" fontId="2" fillId="8" borderId="11" xfId="0" applyNumberFormat="1" applyFont="1" applyFill="1" applyBorder="1" applyAlignment="1">
      <alignment horizontal="center" vertical="center"/>
    </xf>
    <xf numFmtId="3" fontId="2" fillId="8" borderId="11" xfId="0" applyNumberFormat="1" applyFont="1" applyFill="1" applyBorder="1" applyAlignment="1">
      <alignment horizontal="center" vertical="center"/>
    </xf>
    <xf numFmtId="44" fontId="2" fillId="8" borderId="11" xfId="2" applyFont="1" applyFill="1" applyBorder="1" applyAlignment="1">
      <alignment horizontal="center" vertical="center"/>
    </xf>
    <xf numFmtId="44" fontId="2" fillId="8" borderId="12" xfId="2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/>
    </xf>
    <xf numFmtId="49" fontId="0" fillId="0" borderId="11" xfId="0" applyNumberFormat="1" applyBorder="1" applyAlignment="1">
      <alignment horizontal="center"/>
    </xf>
    <xf numFmtId="0" fontId="0" fillId="0" borderId="0" xfId="0" applyAlignment="1">
      <alignment horizontal="left"/>
    </xf>
    <xf numFmtId="44" fontId="11" fillId="5" borderId="0" xfId="2" applyFont="1" applyFill="1"/>
    <xf numFmtId="0" fontId="2" fillId="8" borderId="10" xfId="0" applyFont="1" applyFill="1" applyBorder="1" applyAlignment="1">
      <alignment horizontal="center"/>
    </xf>
    <xf numFmtId="0" fontId="2" fillId="8" borderId="10" xfId="0" applyFont="1" applyFill="1" applyBorder="1" applyAlignment="1">
      <alignment horizontal="left"/>
    </xf>
    <xf numFmtId="1" fontId="2" fillId="8" borderId="10" xfId="0" applyNumberFormat="1" applyFont="1" applyFill="1" applyBorder="1" applyAlignment="1">
      <alignment horizontal="center"/>
    </xf>
    <xf numFmtId="43" fontId="2" fillId="8" borderId="10" xfId="1" applyFont="1" applyFill="1" applyBorder="1" applyAlignment="1">
      <alignment horizontal="center"/>
    </xf>
    <xf numFmtId="44" fontId="0" fillId="4" borderId="0" xfId="2" applyFont="1" applyFill="1"/>
  </cellXfs>
  <cellStyles count="3">
    <cellStyle name="Moeda" xfId="2" builtinId="4"/>
    <cellStyle name="Normal" xfId="0" builtinId="0"/>
    <cellStyle name="Vírgula" xfId="1" builtinId="3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&quot;R$ &quot;* #,##0_);_(&quot;R$ &quot;* \(#,##0\);_(&quot;R$ &quot;* &quot;-&quot;??_);_(@_)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numFmt numFmtId="165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&quot;R$ &quot;* #,##0_);_(&quot;R$ &quot;* \(#,##0\);_(&quot;R$ &quot;* &quot;-&quot;??_);_(@_)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&quot;R$ &quot;* #,##0_);_(&quot;R$ &quot;* \(#,##0\);_(&quot;R$ &quot;* &quot;-&quot;??_);_(@_)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&quot;R$ &quot;* #,##0_);_(&quot;R$ &quot;* \(#,##0\);_(&quot;R$ &quot;* &quot;-&quot;??_);_(@_)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auto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1FC1AC-4AD1-417A-A8D7-D5D78477F8F7}" name="Tabela2" displayName="Tabela2" ref="B16:M348" totalsRowShown="0" headerRowDxfId="14" dataDxfId="13" tableBorderDxfId="12" dataCellStyle="Vírgula">
  <autoFilter ref="B16:M348" xr:uid="{BD0E3128-3BFC-44D6-B431-090420997041}"/>
  <tableColumns count="12">
    <tableColumn id="1" xr3:uid="{9626FFFC-ACCC-42D7-B007-15151EEAB90A}" name="ITENS" dataDxfId="11"/>
    <tableColumn id="2" xr3:uid="{617B245D-CD45-4D37-867A-E44C4C2422E2}" name="DESCRIÇÃO ITEM" dataDxfId="10"/>
    <tableColumn id="3" xr3:uid="{A74024BB-5FA7-4B23-9ED3-4475F54B42D0}" name="EAN" dataDxfId="9"/>
    <tableColumn id="4" xr3:uid="{1E6D81A6-3F53-486B-99A5-3E51D70E7864}" name="LINHA" dataDxfId="8"/>
    <tableColumn id="5" xr3:uid="{C184380C-BAC0-4288-87B4-EF5EDD70E2CB}" name="QTD PDN" dataDxfId="7" dataCellStyle="Vírgula">
      <calculatedColumnFormula>SUMIF(PND!D:D,B17,PND!H:H)</calculatedColumnFormula>
    </tableColumn>
    <tableColumn id="10" xr3:uid="{A2ADE684-221B-4006-A2E0-4C2D4E400980}" name="VALOR PND" dataDxfId="6" dataCellStyle="Moeda">
      <calculatedColumnFormula>SUMIF(PND!D:D,Tabela2[[#This Row],[ITENS]],PND!J:J)</calculatedColumnFormula>
    </tableColumn>
    <tableColumn id="6" xr3:uid="{03726374-956A-4CFC-B981-C4F177CD1157}" name="QTD FAT" dataDxfId="5" dataCellStyle="Vírgula">
      <calculatedColumnFormula>SUMIF(FATURADO!H:H,B17,FATURADO!L:L)</calculatedColumnFormula>
    </tableColumn>
    <tableColumn id="11" xr3:uid="{B4145B09-51EA-4F5C-8601-D81B8A346D51}" name="VALOR FAT" dataDxfId="4" dataCellStyle="Moeda">
      <calculatedColumnFormula>SUMIF(FATURADO!H:H,Tabela2[[#This Row],[ITENS]],FATURADO!N:N)</calculatedColumnFormula>
    </tableColumn>
    <tableColumn id="7" xr3:uid="{7EE8CDC5-8446-4418-BD1E-361E20A70D78}" name="QTD EM SEP" dataDxfId="3" dataCellStyle="Vírgula">
      <calculatedColumnFormula>SUMIF(SEPARAÇÃO!I:I,B17,SEPARAÇÃO!M:M)</calculatedColumnFormula>
    </tableColumn>
    <tableColumn id="12" xr3:uid="{82FE5048-160E-4F58-91CE-3F8DF32565FB}" name="VALOR EM SEP" dataDxfId="2" dataCellStyle="Moeda">
      <calculatedColumnFormula>SUMIF(SEPARAÇÃO!I:I,Tabela2[[#This Row],[ITENS]],SEPARAÇÃO!P:P)</calculatedColumnFormula>
    </tableColumn>
    <tableColumn id="8" xr3:uid="{555E3629-CBC0-4D09-B530-1C032A651DBC}" name="TOTAL DE UND" dataDxfId="1" dataCellStyle="Vírgula">
      <calculatedColumnFormula>F17+H17+J17</calculatedColumnFormula>
    </tableColumn>
    <tableColumn id="9" xr3:uid="{CF92D0F6-5B0D-42FA-AA4B-709C708BBAE7}" name="TOTAL  VALOR" dataDxfId="0" dataCellStyle="Moeda">
      <calculatedColumnFormula>G17+I17+K17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7E0FB-9958-4113-A6E6-1FD3BD160B20}">
  <sheetPr>
    <tabColor rgb="FF002060"/>
  </sheetPr>
  <dimension ref="A1:M348"/>
  <sheetViews>
    <sheetView showGridLines="0" tabSelected="1" topLeftCell="A12" zoomScale="90" zoomScaleNormal="90" workbookViewId="0">
      <selection activeCell="I19" sqref="I19"/>
    </sheetView>
  </sheetViews>
  <sheetFormatPr defaultRowHeight="15" x14ac:dyDescent="0.25"/>
  <cols>
    <col min="1" max="1" width="2.7109375" customWidth="1"/>
    <col min="2" max="2" width="18.85546875" customWidth="1"/>
    <col min="3" max="3" width="37.85546875" customWidth="1"/>
    <col min="4" max="4" width="21.42578125" style="43" customWidth="1"/>
    <col min="5" max="5" width="14.5703125" customWidth="1"/>
    <col min="6" max="6" width="11.28515625" style="44" customWidth="1"/>
    <col min="7" max="7" width="15.140625" style="47" customWidth="1"/>
    <col min="8" max="8" width="13" style="44" bestFit="1" customWidth="1"/>
    <col min="9" max="9" width="16.5703125" style="47" bestFit="1" customWidth="1"/>
    <col min="10" max="10" width="13.42578125" style="44" customWidth="1"/>
    <col min="11" max="11" width="15.140625" style="47" customWidth="1"/>
    <col min="12" max="12" width="13.42578125" style="45" customWidth="1"/>
    <col min="13" max="13" width="19.5703125" style="48" bestFit="1" customWidth="1"/>
  </cols>
  <sheetData>
    <row r="1" spans="1:13" x14ac:dyDescent="0.25">
      <c r="A1" s="1"/>
      <c r="B1" s="1"/>
      <c r="C1" s="1"/>
      <c r="D1" s="2"/>
      <c r="E1" s="1"/>
      <c r="F1" s="3"/>
      <c r="G1" s="4"/>
      <c r="H1" s="3"/>
      <c r="I1" s="4"/>
      <c r="J1" s="3"/>
      <c r="K1" s="4"/>
      <c r="L1" s="5"/>
      <c r="M1" s="6"/>
    </row>
    <row r="2" spans="1:13" x14ac:dyDescent="0.25">
      <c r="A2" s="1"/>
      <c r="B2" s="7"/>
      <c r="C2" s="1"/>
      <c r="D2" s="2"/>
      <c r="E2" s="1"/>
      <c r="F2" s="3"/>
      <c r="G2" s="4"/>
      <c r="H2" s="3"/>
      <c r="I2" s="4"/>
      <c r="J2" s="3"/>
      <c r="K2" s="4"/>
      <c r="L2" s="5"/>
      <c r="M2" s="6"/>
    </row>
    <row r="3" spans="1:13" x14ac:dyDescent="0.25">
      <c r="A3" s="1"/>
      <c r="B3" s="1"/>
      <c r="C3" s="1"/>
      <c r="D3" s="2"/>
      <c r="E3" s="1"/>
      <c r="F3" s="3"/>
      <c r="G3" s="4"/>
      <c r="H3" s="3"/>
      <c r="I3" s="4"/>
      <c r="J3" s="3"/>
      <c r="K3" s="4"/>
      <c r="L3" s="5"/>
      <c r="M3" s="6"/>
    </row>
    <row r="4" spans="1:13" s="14" customFormat="1" ht="29.25" customHeight="1" x14ac:dyDescent="0.25">
      <c r="A4" s="8"/>
      <c r="B4" s="9" t="s">
        <v>0</v>
      </c>
      <c r="C4" s="10"/>
      <c r="D4" s="11"/>
      <c r="E4" s="8"/>
      <c r="F4" s="8"/>
      <c r="G4" s="12"/>
      <c r="H4" s="8"/>
      <c r="I4" s="12"/>
      <c r="J4" s="8"/>
      <c r="K4" s="12"/>
      <c r="L4" s="13"/>
      <c r="M4" s="12"/>
    </row>
    <row r="5" spans="1:13" x14ac:dyDescent="0.25">
      <c r="A5" s="1"/>
      <c r="B5" s="15" t="s">
        <v>1</v>
      </c>
      <c r="C5" s="16">
        <v>1418</v>
      </c>
      <c r="D5" s="17"/>
      <c r="E5" s="1" t="s">
        <v>2</v>
      </c>
      <c r="F5" s="3"/>
      <c r="G5" s="4"/>
      <c r="H5" s="3"/>
      <c r="I5" s="4"/>
      <c r="J5" s="3"/>
      <c r="K5" s="4"/>
      <c r="L5" s="5"/>
      <c r="M5" s="6"/>
    </row>
    <row r="6" spans="1:13" x14ac:dyDescent="0.25">
      <c r="A6" s="1"/>
      <c r="B6" s="18" t="s">
        <v>3</v>
      </c>
      <c r="C6" s="19">
        <f>IFERROR(INDEX(D17:D1000,MATCH(C5,B17:B1000,0)),"")</f>
        <v>7896112114185</v>
      </c>
      <c r="D6" s="20"/>
      <c r="E6" s="1"/>
      <c r="F6" s="3"/>
      <c r="G6" s="4"/>
      <c r="H6" s="3"/>
      <c r="I6" s="4"/>
      <c r="J6" s="3"/>
      <c r="K6" s="4"/>
      <c r="L6" s="5"/>
      <c r="M6" s="6"/>
    </row>
    <row r="7" spans="1:13" x14ac:dyDescent="0.25">
      <c r="A7" s="1"/>
      <c r="B7" s="15" t="s">
        <v>4</v>
      </c>
      <c r="C7" s="21" t="str">
        <f>IFERROR(INDEX(C17:C1000,MATCH(C5,B17:B1000,0)),"Item não encontrado")</f>
        <v>LOSARTANA POTASSICA 50MG COMP REV C/30 GEN</v>
      </c>
      <c r="D7" s="22"/>
      <c r="E7" s="1"/>
      <c r="F7" s="3"/>
      <c r="G7" s="4"/>
      <c r="H7" s="3"/>
      <c r="I7" s="4"/>
      <c r="J7" s="3"/>
      <c r="K7" s="4"/>
      <c r="L7" s="5"/>
      <c r="M7" s="6"/>
    </row>
    <row r="8" spans="1:13" x14ac:dyDescent="0.25">
      <c r="A8" s="1"/>
      <c r="B8" s="15" t="s">
        <v>5</v>
      </c>
      <c r="C8" s="23" t="str">
        <f>IFERROR(INDEX(E17:E1000,MATCH(C5,B17:B1000,0)),"")</f>
        <v>GENÉRICO</v>
      </c>
      <c r="D8" s="24"/>
      <c r="E8" s="1"/>
      <c r="F8" s="3"/>
      <c r="G8" s="4"/>
      <c r="H8" s="3"/>
      <c r="I8" s="4"/>
      <c r="J8" s="3"/>
      <c r="K8" s="4"/>
      <c r="L8" s="5"/>
      <c r="M8" s="6"/>
    </row>
    <row r="9" spans="1:13" x14ac:dyDescent="0.25">
      <c r="A9" s="1"/>
      <c r="B9" s="15" t="s">
        <v>6</v>
      </c>
      <c r="C9" s="25" t="s">
        <v>7</v>
      </c>
      <c r="D9" s="26" t="s">
        <v>8</v>
      </c>
      <c r="E9" s="1"/>
      <c r="F9" s="3"/>
      <c r="G9" s="4"/>
      <c r="H9" s="3"/>
      <c r="I9" s="4"/>
      <c r="J9" s="3"/>
      <c r="K9" s="4"/>
      <c r="L9" s="5"/>
      <c r="M9" s="6"/>
    </row>
    <row r="10" spans="1:13" x14ac:dyDescent="0.25">
      <c r="A10" s="1"/>
      <c r="B10" s="15" t="s">
        <v>9</v>
      </c>
      <c r="C10" s="27">
        <f>IFERROR(INDEX(F17:F1000,MATCH(C5,B17:B1000,0)),"")</f>
        <v>0</v>
      </c>
      <c r="D10" s="28">
        <f>IFERROR(INDEX(G17:G1000,MATCH(C5,B17:B1000,0)),"")</f>
        <v>0</v>
      </c>
      <c r="E10" s="1"/>
      <c r="F10" s="3"/>
      <c r="G10" s="4"/>
      <c r="H10" s="3"/>
      <c r="I10" s="4"/>
      <c r="J10" s="3"/>
      <c r="K10" s="4"/>
      <c r="L10" s="5"/>
      <c r="M10" s="6"/>
    </row>
    <row r="11" spans="1:13" x14ac:dyDescent="0.25">
      <c r="A11" s="1"/>
      <c r="B11" s="15" t="s">
        <v>10</v>
      </c>
      <c r="C11" s="27">
        <f>IFERROR(INDEX(H17:H1000,MATCH(C5,B17:B1000,0)),"")</f>
        <v>55000</v>
      </c>
      <c r="D11" s="28">
        <f>IFERROR(INDEX(I17:I1000,MATCH(C5,B17:B1000,0)),"")</f>
        <v>73500</v>
      </c>
      <c r="E11" s="1"/>
      <c r="F11" s="3"/>
      <c r="G11" s="4"/>
      <c r="H11" s="3"/>
      <c r="I11" s="4"/>
      <c r="J11" s="3"/>
      <c r="K11" s="4"/>
      <c r="L11" s="5"/>
      <c r="M11" s="6"/>
    </row>
    <row r="12" spans="1:13" x14ac:dyDescent="0.25">
      <c r="A12" s="1"/>
      <c r="B12" s="15" t="s">
        <v>11</v>
      </c>
      <c r="C12" s="27">
        <f>IFERROR(INDEX(J17:J1000,MATCH(C5,B17:B1000,0)),"")</f>
        <v>0</v>
      </c>
      <c r="D12" s="28">
        <f>IFERROR(INDEX(K17:K1000,MATCH(C5,B17:B1000,0)),"")</f>
        <v>0</v>
      </c>
      <c r="E12" s="1"/>
      <c r="F12" s="3"/>
      <c r="G12" s="4"/>
      <c r="H12" s="3"/>
      <c r="I12" s="4"/>
      <c r="J12" s="3"/>
      <c r="K12" s="4"/>
      <c r="L12" s="5"/>
      <c r="M12" s="6"/>
    </row>
    <row r="13" spans="1:13" x14ac:dyDescent="0.25">
      <c r="A13" s="1"/>
      <c r="B13" s="29" t="s">
        <v>12</v>
      </c>
      <c r="C13" s="30">
        <f>IFERROR(INDEX(L17:L1000,MATCH(C5,B17:B1000,0)),"")</f>
        <v>55000</v>
      </c>
      <c r="D13" s="31">
        <f>IFERROR(INDEX(M17:M1001,MATCH(C5,B17:B1001,0)),"")</f>
        <v>73500</v>
      </c>
      <c r="E13" s="1"/>
      <c r="F13" s="3"/>
      <c r="G13" s="4"/>
      <c r="H13" s="3"/>
      <c r="I13" s="4"/>
      <c r="J13" s="3"/>
      <c r="K13" s="4"/>
      <c r="L13" s="5"/>
      <c r="M13" s="6"/>
    </row>
    <row r="14" spans="1:13" x14ac:dyDescent="0.25">
      <c r="A14" s="1"/>
      <c r="B14" s="32"/>
      <c r="C14" s="33"/>
      <c r="D14" s="34"/>
      <c r="E14" s="1"/>
      <c r="F14" s="3"/>
      <c r="G14" s="4"/>
      <c r="H14" s="3"/>
      <c r="I14" s="4"/>
      <c r="J14" s="3"/>
      <c r="K14" s="4"/>
      <c r="L14" s="5"/>
      <c r="M14" s="6"/>
    </row>
    <row r="15" spans="1:13" x14ac:dyDescent="0.25">
      <c r="A15" s="1"/>
      <c r="B15" s="1"/>
      <c r="C15" s="1"/>
      <c r="D15" s="2"/>
      <c r="E15" s="1"/>
      <c r="F15" s="3"/>
      <c r="G15" s="35">
        <f>SUBTOTAL(9,Tabela2[[#All],[VALOR PND]])</f>
        <v>257559.01680000001</v>
      </c>
      <c r="H15" s="3"/>
      <c r="I15" s="36">
        <f>SUBTOTAL(9,Tabela2[[#All],[VALOR FAT]])</f>
        <v>1849615.55</v>
      </c>
      <c r="J15" s="3"/>
      <c r="K15" s="36">
        <f>SUBTOTAL(9,Tabela2[[#All],[VALOR EM SEP]])</f>
        <v>0</v>
      </c>
      <c r="L15" s="37">
        <f>SUBTOTAL(9,Tabela2[TOTAL DE UND])</f>
        <v>466988</v>
      </c>
      <c r="M15" s="36">
        <f>SUBTOTAL(9,Tabela2[TOTAL  VALOR])</f>
        <v>2107174.5667999997</v>
      </c>
    </row>
    <row r="16" spans="1:13" x14ac:dyDescent="0.25">
      <c r="A16" s="1"/>
      <c r="B16" s="38" t="s">
        <v>13</v>
      </c>
      <c r="C16" s="38" t="s">
        <v>4</v>
      </c>
      <c r="D16" s="39" t="s">
        <v>3</v>
      </c>
      <c r="E16" s="38" t="s">
        <v>5</v>
      </c>
      <c r="F16" s="38" t="s">
        <v>14</v>
      </c>
      <c r="G16" s="40" t="s">
        <v>15</v>
      </c>
      <c r="H16" s="38" t="s">
        <v>16</v>
      </c>
      <c r="I16" s="40" t="s">
        <v>17</v>
      </c>
      <c r="J16" s="38" t="s">
        <v>18</v>
      </c>
      <c r="K16" s="40" t="s">
        <v>19</v>
      </c>
      <c r="L16" s="41" t="s">
        <v>20</v>
      </c>
      <c r="M16" s="40" t="s">
        <v>21</v>
      </c>
    </row>
    <row r="17" spans="1:13" x14ac:dyDescent="0.25">
      <c r="A17" s="1"/>
      <c r="B17" s="42">
        <v>30</v>
      </c>
      <c r="C17" s="42" t="s">
        <v>22</v>
      </c>
      <c r="D17" s="43">
        <v>7896112140306</v>
      </c>
      <c r="E17" s="44" t="s">
        <v>23</v>
      </c>
      <c r="F17" s="45">
        <f>SUMIF(PND!D:D,B17,PND!H:H)</f>
        <v>0</v>
      </c>
      <c r="G17" s="4">
        <f>SUMIF(PND!D:D,Tabela2[[#This Row],[ITENS]],PND!J:J)</f>
        <v>0</v>
      </c>
      <c r="H17" s="45">
        <f>SUMIF(FATURADO!H:H,B17,FATURADO!L:L)</f>
        <v>9000</v>
      </c>
      <c r="I17" s="4">
        <f>SUMIF(FATURADO!H:H,Tabela2[[#This Row],[ITENS]],FATURADO!N:N)</f>
        <v>20040</v>
      </c>
      <c r="J17" s="45">
        <f>SUMIF(SEPARAÇÃO!I:I,B17,SEPARAÇÃO!M:M)</f>
        <v>0</v>
      </c>
      <c r="K17" s="4">
        <f>SUMIF(SEPARAÇÃO!I:I,Tabela2[[#This Row],[ITENS]],SEPARAÇÃO!P:P)</f>
        <v>0</v>
      </c>
      <c r="L17" s="45">
        <f>F17+H17+J17</f>
        <v>9000</v>
      </c>
      <c r="M17" s="4">
        <f>G17+I17+K17</f>
        <v>20040</v>
      </c>
    </row>
    <row r="18" spans="1:13" x14ac:dyDescent="0.25">
      <c r="A18" s="1"/>
      <c r="B18" s="42">
        <v>52</v>
      </c>
      <c r="C18" s="42" t="s">
        <v>24</v>
      </c>
      <c r="D18" s="43">
        <v>7896112140528</v>
      </c>
      <c r="E18" s="44" t="s">
        <v>23</v>
      </c>
      <c r="F18" s="45">
        <f>SUMIF(PND!D:D,B18,PND!H:H)</f>
        <v>0</v>
      </c>
      <c r="G18" s="4">
        <f>SUMIF(PND!D:D,Tabela2[[#This Row],[ITENS]],PND!J:J)</f>
        <v>0</v>
      </c>
      <c r="H18" s="45">
        <f>SUMIF(FATURADO!H:H,B18,FATURADO!L:L)</f>
        <v>400</v>
      </c>
      <c r="I18" s="4">
        <f>SUMIF(FATURADO!H:H,Tabela2[[#This Row],[ITENS]],FATURADO!N:N)</f>
        <v>1136</v>
      </c>
      <c r="J18" s="45">
        <f>SUMIF(SEPARAÇÃO!I:I,B18,SEPARAÇÃO!M:M)</f>
        <v>0</v>
      </c>
      <c r="K18" s="4">
        <f>SUMIF(SEPARAÇÃO!I:I,Tabela2[[#This Row],[ITENS]],SEPARAÇÃO!P:P)</f>
        <v>0</v>
      </c>
      <c r="L18" s="45">
        <f t="shared" ref="L18:M81" si="0">F18+H18+J18</f>
        <v>400</v>
      </c>
      <c r="M18" s="4">
        <f t="shared" si="0"/>
        <v>1136</v>
      </c>
    </row>
    <row r="19" spans="1:13" x14ac:dyDescent="0.25">
      <c r="A19" s="1"/>
      <c r="B19" s="42">
        <v>86</v>
      </c>
      <c r="C19" s="42" t="s">
        <v>25</v>
      </c>
      <c r="D19" s="43">
        <v>7896112140863</v>
      </c>
      <c r="E19" s="44" t="s">
        <v>23</v>
      </c>
      <c r="F19" s="45">
        <f>SUMIF(PND!D:D,B19,PND!H:H)</f>
        <v>0</v>
      </c>
      <c r="G19" s="4">
        <f>SUMIF(PND!D:D,Tabela2[[#This Row],[ITENS]],PND!J:J)</f>
        <v>0</v>
      </c>
      <c r="H19" s="45">
        <f>SUMIF(FATURADO!H:H,B19,FATURADO!L:L)</f>
        <v>450</v>
      </c>
      <c r="I19" s="4">
        <f>SUMIF(FATURADO!H:H,Tabela2[[#This Row],[ITENS]],FATURADO!N:N)</f>
        <v>1624.5</v>
      </c>
      <c r="J19" s="45">
        <f>SUMIF(SEPARAÇÃO!I:I,B19,SEPARAÇÃO!M:M)</f>
        <v>0</v>
      </c>
      <c r="K19" s="4">
        <f>SUMIF(SEPARAÇÃO!I:I,Tabela2[[#This Row],[ITENS]],SEPARAÇÃO!P:P)</f>
        <v>0</v>
      </c>
      <c r="L19" s="45">
        <f t="shared" si="0"/>
        <v>450</v>
      </c>
      <c r="M19" s="4">
        <f t="shared" si="0"/>
        <v>1624.5</v>
      </c>
    </row>
    <row r="20" spans="1:13" x14ac:dyDescent="0.25">
      <c r="A20" s="1"/>
      <c r="B20" s="42">
        <v>89</v>
      </c>
      <c r="C20" s="42" t="s">
        <v>26</v>
      </c>
      <c r="D20" s="43">
        <v>7896112140894</v>
      </c>
      <c r="E20" s="44" t="s">
        <v>23</v>
      </c>
      <c r="F20" s="45">
        <f>SUMIF(PND!D:D,B20,PND!H:H)</f>
        <v>0</v>
      </c>
      <c r="G20" s="4">
        <f>SUMIF(PND!D:D,Tabela2[[#This Row],[ITENS]],PND!J:J)</f>
        <v>0</v>
      </c>
      <c r="H20" s="45">
        <f>SUMIF(FATURADO!H:H,B20,FATURADO!L:L)</f>
        <v>0</v>
      </c>
      <c r="I20" s="4">
        <f>SUMIF(FATURADO!H:H,Tabela2[[#This Row],[ITENS]],FATURADO!N:N)</f>
        <v>0</v>
      </c>
      <c r="J20" s="45">
        <f>SUMIF(SEPARAÇÃO!I:I,B20,SEPARAÇÃO!M:M)</f>
        <v>0</v>
      </c>
      <c r="K20" s="4">
        <f>SUMIF(SEPARAÇÃO!I:I,Tabela2[[#This Row],[ITENS]],SEPARAÇÃO!P:P)</f>
        <v>0</v>
      </c>
      <c r="L20" s="45">
        <f t="shared" si="0"/>
        <v>0</v>
      </c>
      <c r="M20" s="4">
        <f t="shared" si="0"/>
        <v>0</v>
      </c>
    </row>
    <row r="21" spans="1:13" x14ac:dyDescent="0.25">
      <c r="A21" s="1"/>
      <c r="B21" s="42">
        <v>93</v>
      </c>
      <c r="C21" s="42" t="s">
        <v>27</v>
      </c>
      <c r="D21" s="43">
        <v>7896112140931</v>
      </c>
      <c r="E21" s="44" t="s">
        <v>23</v>
      </c>
      <c r="F21" s="45">
        <f>SUMIF(PND!D:D,B21,PND!H:H)</f>
        <v>0</v>
      </c>
      <c r="G21" s="4">
        <f>SUMIF(PND!D:D,Tabela2[[#This Row],[ITENS]],PND!J:J)</f>
        <v>0</v>
      </c>
      <c r="H21" s="45">
        <f>SUMIF(FATURADO!H:H,B21,FATURADO!L:L)</f>
        <v>300</v>
      </c>
      <c r="I21" s="4">
        <f>SUMIF(FATURADO!H:H,Tabela2[[#This Row],[ITENS]],FATURADO!N:N)</f>
        <v>960</v>
      </c>
      <c r="J21" s="45">
        <f>SUMIF(SEPARAÇÃO!I:I,B21,SEPARAÇÃO!M:M)</f>
        <v>0</v>
      </c>
      <c r="K21" s="4">
        <f>SUMIF(SEPARAÇÃO!I:I,Tabela2[[#This Row],[ITENS]],SEPARAÇÃO!P:P)</f>
        <v>0</v>
      </c>
      <c r="L21" s="45">
        <f t="shared" si="0"/>
        <v>300</v>
      </c>
      <c r="M21" s="4">
        <f t="shared" si="0"/>
        <v>960</v>
      </c>
    </row>
    <row r="22" spans="1:13" x14ac:dyDescent="0.25">
      <c r="A22" s="1"/>
      <c r="B22" s="42">
        <v>165</v>
      </c>
      <c r="C22" s="42" t="s">
        <v>28</v>
      </c>
      <c r="D22" s="43">
        <v>7896112141655</v>
      </c>
      <c r="E22" s="44" t="s">
        <v>23</v>
      </c>
      <c r="F22" s="45">
        <f>SUMIF(PND!D:D,B22,PND!H:H)</f>
        <v>0</v>
      </c>
      <c r="G22" s="4">
        <f>SUMIF(PND!D:D,Tabela2[[#This Row],[ITENS]],PND!J:J)</f>
        <v>0</v>
      </c>
      <c r="H22" s="45">
        <f>SUMIF(FATURADO!H:H,B22,FATURADO!L:L)</f>
        <v>0</v>
      </c>
      <c r="I22" s="4">
        <f>SUMIF(FATURADO!H:H,Tabela2[[#This Row],[ITENS]],FATURADO!N:N)</f>
        <v>0</v>
      </c>
      <c r="J22" s="45">
        <f>SUMIF(SEPARAÇÃO!I:I,B22,SEPARAÇÃO!M:M)</f>
        <v>0</v>
      </c>
      <c r="K22" s="4">
        <f>SUMIF(SEPARAÇÃO!I:I,Tabela2[[#This Row],[ITENS]],SEPARAÇÃO!P:P)</f>
        <v>0</v>
      </c>
      <c r="L22" s="45">
        <f t="shared" si="0"/>
        <v>0</v>
      </c>
      <c r="M22" s="4">
        <f t="shared" si="0"/>
        <v>0</v>
      </c>
    </row>
    <row r="23" spans="1:13" x14ac:dyDescent="0.25">
      <c r="A23" s="1"/>
      <c r="B23" s="42">
        <v>166</v>
      </c>
      <c r="C23" s="42" t="s">
        <v>29</v>
      </c>
      <c r="D23" s="43">
        <v>7896112141662</v>
      </c>
      <c r="E23" s="44" t="s">
        <v>23</v>
      </c>
      <c r="F23" s="45">
        <f>SUMIF(PND!D:D,B23,PND!H:H)</f>
        <v>0</v>
      </c>
      <c r="G23" s="4">
        <f>SUMIF(PND!D:D,Tabela2[[#This Row],[ITENS]],PND!J:J)</f>
        <v>0</v>
      </c>
      <c r="H23" s="45">
        <f>SUMIF(FATURADO!H:H,B23,FATURADO!L:L)</f>
        <v>0</v>
      </c>
      <c r="I23" s="4">
        <f>SUMIF(FATURADO!H:H,Tabela2[[#This Row],[ITENS]],FATURADO!N:N)</f>
        <v>0</v>
      </c>
      <c r="J23" s="45">
        <f>SUMIF(SEPARAÇÃO!I:I,B23,SEPARAÇÃO!M:M)</f>
        <v>0</v>
      </c>
      <c r="K23" s="4">
        <f>SUMIF(SEPARAÇÃO!I:I,Tabela2[[#This Row],[ITENS]],SEPARAÇÃO!P:P)</f>
        <v>0</v>
      </c>
      <c r="L23" s="45">
        <f t="shared" si="0"/>
        <v>0</v>
      </c>
      <c r="M23" s="4">
        <f t="shared" si="0"/>
        <v>0</v>
      </c>
    </row>
    <row r="24" spans="1:13" x14ac:dyDescent="0.25">
      <c r="A24" s="1"/>
      <c r="B24" s="42">
        <v>167</v>
      </c>
      <c r="C24" s="42" t="s">
        <v>30</v>
      </c>
      <c r="D24" s="43">
        <v>7896112141679</v>
      </c>
      <c r="E24" s="44" t="s">
        <v>23</v>
      </c>
      <c r="F24" s="45">
        <f>SUMIF(PND!D:D,B24,PND!H:H)</f>
        <v>0</v>
      </c>
      <c r="G24" s="4">
        <f>SUMIF(PND!D:D,Tabela2[[#This Row],[ITENS]],PND!J:J)</f>
        <v>0</v>
      </c>
      <c r="H24" s="45">
        <f>SUMIF(FATURADO!H:H,B24,FATURADO!L:L)</f>
        <v>1600</v>
      </c>
      <c r="I24" s="4">
        <f>SUMIF(FATURADO!H:H,Tabela2[[#This Row],[ITENS]],FATURADO!N:N)</f>
        <v>3072</v>
      </c>
      <c r="J24" s="45">
        <f>SUMIF(SEPARAÇÃO!I:I,B24,SEPARAÇÃO!M:M)</f>
        <v>0</v>
      </c>
      <c r="K24" s="4">
        <f>SUMIF(SEPARAÇÃO!I:I,Tabela2[[#This Row],[ITENS]],SEPARAÇÃO!P:P)</f>
        <v>0</v>
      </c>
      <c r="L24" s="45">
        <f t="shared" si="0"/>
        <v>1600</v>
      </c>
      <c r="M24" s="4">
        <f t="shared" si="0"/>
        <v>3072</v>
      </c>
    </row>
    <row r="25" spans="1:13" x14ac:dyDescent="0.25">
      <c r="A25" s="1"/>
      <c r="B25" s="42">
        <v>169</v>
      </c>
      <c r="C25" s="42" t="s">
        <v>31</v>
      </c>
      <c r="D25" s="43">
        <v>7896112141693</v>
      </c>
      <c r="E25" s="44" t="s">
        <v>23</v>
      </c>
      <c r="F25" s="45">
        <f>SUMIF(PND!D:D,B25,PND!H:H)</f>
        <v>0</v>
      </c>
      <c r="G25" s="4">
        <f>SUMIF(PND!D:D,Tabela2[[#This Row],[ITENS]],PND!J:J)</f>
        <v>0</v>
      </c>
      <c r="H25" s="45">
        <f>SUMIF(FATURADO!H:H,B25,FATURADO!L:L)</f>
        <v>500</v>
      </c>
      <c r="I25" s="4">
        <f>SUMIF(FATURADO!H:H,Tabela2[[#This Row],[ITENS]],FATURADO!N:N)</f>
        <v>1450</v>
      </c>
      <c r="J25" s="45">
        <f>SUMIF(SEPARAÇÃO!I:I,B25,SEPARAÇÃO!M:M)</f>
        <v>0</v>
      </c>
      <c r="K25" s="4">
        <f>SUMIF(SEPARAÇÃO!I:I,Tabela2[[#This Row],[ITENS]],SEPARAÇÃO!P:P)</f>
        <v>0</v>
      </c>
      <c r="L25" s="45">
        <f t="shared" si="0"/>
        <v>500</v>
      </c>
      <c r="M25" s="4">
        <f t="shared" si="0"/>
        <v>1450</v>
      </c>
    </row>
    <row r="26" spans="1:13" x14ac:dyDescent="0.25">
      <c r="A26" s="1"/>
      <c r="B26" s="42">
        <v>212</v>
      </c>
      <c r="C26" s="42" t="s">
        <v>32</v>
      </c>
      <c r="D26" s="43">
        <v>7896112142126</v>
      </c>
      <c r="E26" s="44" t="s">
        <v>23</v>
      </c>
      <c r="F26" s="45">
        <f>SUMIF(PND!D:D,B26,PND!H:H)</f>
        <v>400</v>
      </c>
      <c r="G26" s="4">
        <f>SUMIF(PND!D:D,Tabela2[[#This Row],[ITENS]],PND!J:J)</f>
        <v>1960</v>
      </c>
      <c r="H26" s="45">
        <f>SUMIF(FATURADO!H:H,B26,FATURADO!L:L)</f>
        <v>900</v>
      </c>
      <c r="I26" s="4">
        <f>SUMIF(FATURADO!H:H,Tabela2[[#This Row],[ITENS]],FATURADO!N:N)</f>
        <v>4128</v>
      </c>
      <c r="J26" s="45">
        <f>SUMIF(SEPARAÇÃO!I:I,B26,SEPARAÇÃO!M:M)</f>
        <v>0</v>
      </c>
      <c r="K26" s="4">
        <f>SUMIF(SEPARAÇÃO!I:I,Tabela2[[#This Row],[ITENS]],SEPARAÇÃO!P:P)</f>
        <v>0</v>
      </c>
      <c r="L26" s="45">
        <f t="shared" si="0"/>
        <v>1300</v>
      </c>
      <c r="M26" s="4">
        <f t="shared" si="0"/>
        <v>6088</v>
      </c>
    </row>
    <row r="27" spans="1:13" x14ac:dyDescent="0.25">
      <c r="A27" s="1"/>
      <c r="B27" s="42">
        <v>302</v>
      </c>
      <c r="C27" s="42" t="s">
        <v>33</v>
      </c>
      <c r="D27" s="43">
        <v>7896112103028</v>
      </c>
      <c r="E27" s="44" t="s">
        <v>34</v>
      </c>
      <c r="F27" s="45">
        <f>SUMIF(PND!D:D,B27,PND!H:H)</f>
        <v>0</v>
      </c>
      <c r="G27" s="4">
        <f>SUMIF(PND!D:D,Tabela2[[#This Row],[ITENS]],PND!J:J)</f>
        <v>0</v>
      </c>
      <c r="H27" s="45">
        <f>SUMIF(FATURADO!H:H,B27,FATURADO!L:L)</f>
        <v>320</v>
      </c>
      <c r="I27" s="4">
        <f>SUMIF(FATURADO!H:H,Tabela2[[#This Row],[ITENS]],FATURADO!N:N)</f>
        <v>3574.4</v>
      </c>
      <c r="J27" s="45">
        <f>SUMIF(SEPARAÇÃO!I:I,B27,SEPARAÇÃO!M:M)</f>
        <v>0</v>
      </c>
      <c r="K27" s="4">
        <f>SUMIF(SEPARAÇÃO!I:I,Tabela2[[#This Row],[ITENS]],SEPARAÇÃO!P:P)</f>
        <v>0</v>
      </c>
      <c r="L27" s="45">
        <f t="shared" si="0"/>
        <v>320</v>
      </c>
      <c r="M27" s="4">
        <f t="shared" si="0"/>
        <v>3574.4</v>
      </c>
    </row>
    <row r="28" spans="1:13" x14ac:dyDescent="0.25">
      <c r="A28" s="1"/>
      <c r="B28" s="42">
        <v>358</v>
      </c>
      <c r="C28" s="42" t="s">
        <v>35</v>
      </c>
      <c r="D28" s="43">
        <v>7896112143581</v>
      </c>
      <c r="E28" s="44" t="s">
        <v>23</v>
      </c>
      <c r="F28" s="45">
        <f>SUMIF(PND!D:D,B28,PND!H:H)</f>
        <v>0</v>
      </c>
      <c r="G28" s="4">
        <f>SUMIF(PND!D:D,Tabela2[[#This Row],[ITENS]],PND!J:J)</f>
        <v>0</v>
      </c>
      <c r="H28" s="45">
        <f>SUMIF(FATURADO!H:H,B28,FATURADO!L:L)</f>
        <v>0</v>
      </c>
      <c r="I28" s="4">
        <f>SUMIF(FATURADO!H:H,Tabela2[[#This Row],[ITENS]],FATURADO!N:N)</f>
        <v>0</v>
      </c>
      <c r="J28" s="45">
        <f>SUMIF(SEPARAÇÃO!I:I,B28,SEPARAÇÃO!M:M)</f>
        <v>0</v>
      </c>
      <c r="K28" s="4">
        <f>SUMIF(SEPARAÇÃO!I:I,Tabela2[[#This Row],[ITENS]],SEPARAÇÃO!P:P)</f>
        <v>0</v>
      </c>
      <c r="L28" s="45">
        <f t="shared" si="0"/>
        <v>0</v>
      </c>
      <c r="M28" s="4">
        <f t="shared" si="0"/>
        <v>0</v>
      </c>
    </row>
    <row r="29" spans="1:13" x14ac:dyDescent="0.25">
      <c r="A29" s="1"/>
      <c r="B29" s="42">
        <v>359</v>
      </c>
      <c r="C29" s="42" t="s">
        <v>36</v>
      </c>
      <c r="D29" s="43">
        <v>7896112143598</v>
      </c>
      <c r="E29" s="44" t="s">
        <v>23</v>
      </c>
      <c r="F29" s="45">
        <f>SUMIF(PND!D:D,B29,PND!H:H)</f>
        <v>0</v>
      </c>
      <c r="G29" s="4">
        <f>SUMIF(PND!D:D,Tabela2[[#This Row],[ITENS]],PND!J:J)</f>
        <v>0</v>
      </c>
      <c r="H29" s="45">
        <f>SUMIF(FATURADO!H:H,B29,FATURADO!L:L)</f>
        <v>0</v>
      </c>
      <c r="I29" s="4">
        <f>SUMIF(FATURADO!H:H,Tabela2[[#This Row],[ITENS]],FATURADO!N:N)</f>
        <v>0</v>
      </c>
      <c r="J29" s="45">
        <f>SUMIF(SEPARAÇÃO!I:I,B29,SEPARAÇÃO!M:M)</f>
        <v>0</v>
      </c>
      <c r="K29" s="4">
        <f>SUMIF(SEPARAÇÃO!I:I,Tabela2[[#This Row],[ITENS]],SEPARAÇÃO!P:P)</f>
        <v>0</v>
      </c>
      <c r="L29" s="45">
        <f t="shared" si="0"/>
        <v>0</v>
      </c>
      <c r="M29" s="4">
        <f t="shared" si="0"/>
        <v>0</v>
      </c>
    </row>
    <row r="30" spans="1:13" x14ac:dyDescent="0.25">
      <c r="A30" s="1"/>
      <c r="B30" s="42">
        <v>481</v>
      </c>
      <c r="C30" s="42" t="s">
        <v>37</v>
      </c>
      <c r="D30" s="43">
        <v>7896112144816</v>
      </c>
      <c r="E30" s="44" t="s">
        <v>34</v>
      </c>
      <c r="F30" s="45">
        <f>SUMIF(PND!D:D,B30,PND!H:H)</f>
        <v>0</v>
      </c>
      <c r="G30" s="4">
        <f>SUMIF(PND!D:D,Tabela2[[#This Row],[ITENS]],PND!J:J)</f>
        <v>0</v>
      </c>
      <c r="H30" s="45">
        <f>SUMIF(FATURADO!H:H,B30,FATURADO!L:L)</f>
        <v>0</v>
      </c>
      <c r="I30" s="4">
        <f>SUMIF(FATURADO!H:H,Tabela2[[#This Row],[ITENS]],FATURADO!N:N)</f>
        <v>0</v>
      </c>
      <c r="J30" s="45">
        <f>SUMIF(SEPARAÇÃO!I:I,B30,SEPARAÇÃO!M:M)</f>
        <v>0</v>
      </c>
      <c r="K30" s="4">
        <f>SUMIF(SEPARAÇÃO!I:I,Tabela2[[#This Row],[ITENS]],SEPARAÇÃO!P:P)</f>
        <v>0</v>
      </c>
      <c r="L30" s="45">
        <f t="shared" si="0"/>
        <v>0</v>
      </c>
      <c r="M30" s="4">
        <f t="shared" si="0"/>
        <v>0</v>
      </c>
    </row>
    <row r="31" spans="1:13" x14ac:dyDescent="0.25">
      <c r="A31" s="1"/>
      <c r="B31" s="42">
        <v>489</v>
      </c>
      <c r="C31" s="42" t="s">
        <v>38</v>
      </c>
      <c r="D31" s="43">
        <v>7896112144892</v>
      </c>
      <c r="E31" s="44" t="s">
        <v>23</v>
      </c>
      <c r="F31" s="45">
        <f>SUMIF(PND!D:D,B31,PND!H:H)</f>
        <v>0</v>
      </c>
      <c r="G31" s="4">
        <f>SUMIF(PND!D:D,Tabela2[[#This Row],[ITENS]],PND!J:J)</f>
        <v>0</v>
      </c>
      <c r="H31" s="45">
        <f>SUMIF(FATURADO!H:H,B31,FATURADO!L:L)</f>
        <v>3000</v>
      </c>
      <c r="I31" s="4">
        <f>SUMIF(FATURADO!H:H,Tabela2[[#This Row],[ITENS]],FATURADO!N:N)</f>
        <v>11520</v>
      </c>
      <c r="J31" s="45">
        <f>SUMIF(SEPARAÇÃO!I:I,B31,SEPARAÇÃO!M:M)</f>
        <v>0</v>
      </c>
      <c r="K31" s="4">
        <f>SUMIF(SEPARAÇÃO!I:I,Tabela2[[#This Row],[ITENS]],SEPARAÇÃO!P:P)</f>
        <v>0</v>
      </c>
      <c r="L31" s="45">
        <f t="shared" si="0"/>
        <v>3000</v>
      </c>
      <c r="M31" s="4">
        <f t="shared" si="0"/>
        <v>11520</v>
      </c>
    </row>
    <row r="32" spans="1:13" x14ac:dyDescent="0.25">
      <c r="A32" s="1"/>
      <c r="B32" s="42">
        <v>577</v>
      </c>
      <c r="C32" s="42" t="s">
        <v>39</v>
      </c>
      <c r="D32" s="43">
        <v>7896112145776</v>
      </c>
      <c r="E32" s="44" t="s">
        <v>34</v>
      </c>
      <c r="F32" s="45">
        <f>SUMIF(PND!D:D,B32,PND!H:H)</f>
        <v>0</v>
      </c>
      <c r="G32" s="4">
        <f>SUMIF(PND!D:D,Tabela2[[#This Row],[ITENS]],PND!J:J)</f>
        <v>0</v>
      </c>
      <c r="H32" s="45">
        <f>SUMIF(FATURADO!H:H,B32,FATURADO!L:L)</f>
        <v>0</v>
      </c>
      <c r="I32" s="4">
        <f>SUMIF(FATURADO!H:H,Tabela2[[#This Row],[ITENS]],FATURADO!N:N)</f>
        <v>0</v>
      </c>
      <c r="J32" s="45">
        <f>SUMIF(SEPARAÇÃO!I:I,B32,SEPARAÇÃO!M:M)</f>
        <v>0</v>
      </c>
      <c r="K32" s="4">
        <f>SUMIF(SEPARAÇÃO!I:I,Tabela2[[#This Row],[ITENS]],SEPARAÇÃO!P:P)</f>
        <v>0</v>
      </c>
      <c r="L32" s="45">
        <f t="shared" si="0"/>
        <v>0</v>
      </c>
      <c r="M32" s="4">
        <f t="shared" si="0"/>
        <v>0</v>
      </c>
    </row>
    <row r="33" spans="1:13" x14ac:dyDescent="0.25">
      <c r="A33" s="1"/>
      <c r="B33" s="42">
        <v>764</v>
      </c>
      <c r="C33" s="42" t="s">
        <v>40</v>
      </c>
      <c r="D33" s="43">
        <v>7896112147640</v>
      </c>
      <c r="E33" s="44" t="s">
        <v>23</v>
      </c>
      <c r="F33" s="45">
        <f>SUMIF(PND!D:D,B33,PND!H:H)</f>
        <v>0</v>
      </c>
      <c r="G33" s="4">
        <f>SUMIF(PND!D:D,Tabela2[[#This Row],[ITENS]],PND!J:J)</f>
        <v>0</v>
      </c>
      <c r="H33" s="45">
        <f>SUMIF(FATURADO!H:H,B33,FATURADO!L:L)</f>
        <v>10000</v>
      </c>
      <c r="I33" s="4">
        <f>SUMIF(FATURADO!H:H,Tabela2[[#This Row],[ITENS]],FATURADO!N:N)</f>
        <v>107100</v>
      </c>
      <c r="J33" s="45">
        <f>SUMIF(SEPARAÇÃO!I:I,B33,SEPARAÇÃO!M:M)</f>
        <v>0</v>
      </c>
      <c r="K33" s="4">
        <f>SUMIF(SEPARAÇÃO!I:I,Tabela2[[#This Row],[ITENS]],SEPARAÇÃO!P:P)</f>
        <v>0</v>
      </c>
      <c r="L33" s="45">
        <f t="shared" si="0"/>
        <v>10000</v>
      </c>
      <c r="M33" s="4">
        <f t="shared" si="0"/>
        <v>107100</v>
      </c>
    </row>
    <row r="34" spans="1:13" x14ac:dyDescent="0.25">
      <c r="A34" s="1"/>
      <c r="B34" s="42">
        <v>770</v>
      </c>
      <c r="C34" s="42" t="s">
        <v>41</v>
      </c>
      <c r="D34" s="43">
        <v>7896112147701</v>
      </c>
      <c r="E34" s="44" t="s">
        <v>34</v>
      </c>
      <c r="F34" s="45">
        <f>SUMIF(PND!D:D,B34,PND!H:H)</f>
        <v>0</v>
      </c>
      <c r="G34" s="4">
        <f>SUMIF(PND!D:D,Tabela2[[#This Row],[ITENS]],PND!J:J)</f>
        <v>0</v>
      </c>
      <c r="H34" s="45">
        <f>SUMIF(FATURADO!H:H,B34,FATURADO!L:L)</f>
        <v>0</v>
      </c>
      <c r="I34" s="4">
        <f>SUMIF(FATURADO!H:H,Tabela2[[#This Row],[ITENS]],FATURADO!N:N)</f>
        <v>0</v>
      </c>
      <c r="J34" s="45">
        <f>SUMIF(SEPARAÇÃO!I:I,B34,SEPARAÇÃO!M:M)</f>
        <v>0</v>
      </c>
      <c r="K34" s="4">
        <f>SUMIF(SEPARAÇÃO!I:I,Tabela2[[#This Row],[ITENS]],SEPARAÇÃO!P:P)</f>
        <v>0</v>
      </c>
      <c r="L34" s="45">
        <f t="shared" si="0"/>
        <v>0</v>
      </c>
      <c r="M34" s="4">
        <f t="shared" si="0"/>
        <v>0</v>
      </c>
    </row>
    <row r="35" spans="1:13" x14ac:dyDescent="0.25">
      <c r="A35" s="1"/>
      <c r="B35" s="42">
        <v>790</v>
      </c>
      <c r="C35" s="42" t="s">
        <v>42</v>
      </c>
      <c r="D35" s="43">
        <v>7896112147909</v>
      </c>
      <c r="E35" s="44" t="s">
        <v>34</v>
      </c>
      <c r="F35" s="45">
        <f>SUMIF(PND!D:D,B35,PND!H:H)</f>
        <v>0</v>
      </c>
      <c r="G35" s="4">
        <f>SUMIF(PND!D:D,Tabela2[[#This Row],[ITENS]],PND!J:J)</f>
        <v>0</v>
      </c>
      <c r="H35" s="45">
        <f>SUMIF(FATURADO!H:H,B35,FATURADO!L:L)</f>
        <v>3000</v>
      </c>
      <c r="I35" s="4">
        <f>SUMIF(FATURADO!H:H,Tabela2[[#This Row],[ITENS]],FATURADO!N:N)</f>
        <v>5580</v>
      </c>
      <c r="J35" s="45">
        <f>SUMIF(SEPARAÇÃO!I:I,B35,SEPARAÇÃO!M:M)</f>
        <v>0</v>
      </c>
      <c r="K35" s="4">
        <f>SUMIF(SEPARAÇÃO!I:I,Tabela2[[#This Row],[ITENS]],SEPARAÇÃO!P:P)</f>
        <v>0</v>
      </c>
      <c r="L35" s="45">
        <f t="shared" si="0"/>
        <v>3000</v>
      </c>
      <c r="M35" s="4">
        <f t="shared" si="0"/>
        <v>5580</v>
      </c>
    </row>
    <row r="36" spans="1:13" x14ac:dyDescent="0.25">
      <c r="A36" s="1"/>
      <c r="B36" s="42">
        <v>842</v>
      </c>
      <c r="C36" s="42" t="s">
        <v>43</v>
      </c>
      <c r="D36" s="43">
        <v>7896112108429</v>
      </c>
      <c r="E36" s="44" t="s">
        <v>34</v>
      </c>
      <c r="F36" s="45">
        <f>SUMIF(PND!D:D,B36,PND!H:H)</f>
        <v>0</v>
      </c>
      <c r="G36" s="4">
        <f>SUMIF(PND!D:D,Tabela2[[#This Row],[ITENS]],PND!J:J)</f>
        <v>0</v>
      </c>
      <c r="H36" s="45">
        <f>SUMIF(FATURADO!H:H,B36,FATURADO!L:L)</f>
        <v>900</v>
      </c>
      <c r="I36" s="4">
        <f>SUMIF(FATURADO!H:H,Tabela2[[#This Row],[ITENS]],FATURADO!N:N)</f>
        <v>11151</v>
      </c>
      <c r="J36" s="45">
        <f>SUMIF(SEPARAÇÃO!I:I,B36,SEPARAÇÃO!M:M)</f>
        <v>0</v>
      </c>
      <c r="K36" s="4">
        <f>SUMIF(SEPARAÇÃO!I:I,Tabela2[[#This Row],[ITENS]],SEPARAÇÃO!P:P)</f>
        <v>0</v>
      </c>
      <c r="L36" s="45">
        <f t="shared" si="0"/>
        <v>900</v>
      </c>
      <c r="M36" s="4">
        <f t="shared" si="0"/>
        <v>11151</v>
      </c>
    </row>
    <row r="37" spans="1:13" x14ac:dyDescent="0.25">
      <c r="A37" s="1"/>
      <c r="B37" s="42">
        <v>843</v>
      </c>
      <c r="C37" s="42" t="s">
        <v>43</v>
      </c>
      <c r="D37" s="43">
        <v>7896112108436</v>
      </c>
      <c r="E37" s="44" t="s">
        <v>34</v>
      </c>
      <c r="F37" s="45">
        <f>SUMIF(PND!D:D,B37,PND!H:H)</f>
        <v>0</v>
      </c>
      <c r="G37" s="4">
        <f>SUMIF(PND!D:D,Tabela2[[#This Row],[ITENS]],PND!J:J)</f>
        <v>0</v>
      </c>
      <c r="H37" s="45">
        <f>SUMIF(FATURADO!H:H,B37,FATURADO!L:L)</f>
        <v>420</v>
      </c>
      <c r="I37" s="4">
        <f>SUMIF(FATURADO!H:H,Tabela2[[#This Row],[ITENS]],FATURADO!N:N)</f>
        <v>7358.4</v>
      </c>
      <c r="J37" s="45">
        <f>SUMIF(SEPARAÇÃO!I:I,B37,SEPARAÇÃO!M:M)</f>
        <v>0</v>
      </c>
      <c r="K37" s="4">
        <f>SUMIF(SEPARAÇÃO!I:I,Tabela2[[#This Row],[ITENS]],SEPARAÇÃO!P:P)</f>
        <v>0</v>
      </c>
      <c r="L37" s="45">
        <f t="shared" si="0"/>
        <v>420</v>
      </c>
      <c r="M37" s="4">
        <f t="shared" si="0"/>
        <v>7358.4</v>
      </c>
    </row>
    <row r="38" spans="1:13" x14ac:dyDescent="0.25">
      <c r="A38" s="1"/>
      <c r="B38" s="42">
        <v>859</v>
      </c>
      <c r="C38" s="42" t="s">
        <v>44</v>
      </c>
      <c r="D38" s="43">
        <v>7896112148593</v>
      </c>
      <c r="E38" s="44" t="s">
        <v>34</v>
      </c>
      <c r="F38" s="45">
        <f>SUMIF(PND!D:D,B38,PND!H:H)</f>
        <v>0</v>
      </c>
      <c r="G38" s="4">
        <f>SUMIF(PND!D:D,Tabela2[[#This Row],[ITENS]],PND!J:J)</f>
        <v>0</v>
      </c>
      <c r="H38" s="45">
        <f>SUMIF(FATURADO!H:H,B38,FATURADO!L:L)</f>
        <v>3500</v>
      </c>
      <c r="I38" s="4">
        <f>SUMIF(FATURADO!H:H,Tabela2[[#This Row],[ITENS]],FATURADO!N:N)</f>
        <v>16335</v>
      </c>
      <c r="J38" s="45">
        <f>SUMIF(SEPARAÇÃO!I:I,B38,SEPARAÇÃO!M:M)</f>
        <v>0</v>
      </c>
      <c r="K38" s="4">
        <f>SUMIF(SEPARAÇÃO!I:I,Tabela2[[#This Row],[ITENS]],SEPARAÇÃO!P:P)</f>
        <v>0</v>
      </c>
      <c r="L38" s="45">
        <f t="shared" si="0"/>
        <v>3500</v>
      </c>
      <c r="M38" s="4">
        <f t="shared" si="0"/>
        <v>16335</v>
      </c>
    </row>
    <row r="39" spans="1:13" x14ac:dyDescent="0.25">
      <c r="A39" s="1"/>
      <c r="B39" s="42">
        <v>868</v>
      </c>
      <c r="C39" s="42" t="s">
        <v>45</v>
      </c>
      <c r="D39" s="43">
        <v>7896112148685</v>
      </c>
      <c r="E39" s="44" t="s">
        <v>23</v>
      </c>
      <c r="F39" s="45">
        <f>SUMIF(PND!D:D,B39,PND!H:H)</f>
        <v>0</v>
      </c>
      <c r="G39" s="4">
        <f>SUMIF(PND!D:D,Tabela2[[#This Row],[ITENS]],PND!J:J)</f>
        <v>0</v>
      </c>
      <c r="H39" s="45">
        <f>SUMIF(FATURADO!H:H,B39,FATURADO!L:L)</f>
        <v>5000</v>
      </c>
      <c r="I39" s="4">
        <f>SUMIF(FATURADO!H:H,Tabela2[[#This Row],[ITENS]],FATURADO!N:N)</f>
        <v>11800</v>
      </c>
      <c r="J39" s="45">
        <f>SUMIF(SEPARAÇÃO!I:I,B39,SEPARAÇÃO!M:M)</f>
        <v>0</v>
      </c>
      <c r="K39" s="4">
        <f>SUMIF(SEPARAÇÃO!I:I,Tabela2[[#This Row],[ITENS]],SEPARAÇÃO!P:P)</f>
        <v>0</v>
      </c>
      <c r="L39" s="45">
        <f t="shared" si="0"/>
        <v>5000</v>
      </c>
      <c r="M39" s="4">
        <f t="shared" si="0"/>
        <v>11800</v>
      </c>
    </row>
    <row r="40" spans="1:13" x14ac:dyDescent="0.25">
      <c r="A40" s="1"/>
      <c r="B40" s="42">
        <v>871</v>
      </c>
      <c r="C40" s="42" t="s">
        <v>46</v>
      </c>
      <c r="D40" s="43">
        <v>7896112148715</v>
      </c>
      <c r="E40" s="44" t="s">
        <v>34</v>
      </c>
      <c r="F40" s="45">
        <f>SUMIF(PND!D:D,B40,PND!H:H)</f>
        <v>0</v>
      </c>
      <c r="G40" s="4">
        <f>SUMIF(PND!D:D,Tabela2[[#This Row],[ITENS]],PND!J:J)</f>
        <v>0</v>
      </c>
      <c r="H40" s="45">
        <f>SUMIF(FATURADO!H:H,B40,FATURADO!L:L)</f>
        <v>0</v>
      </c>
      <c r="I40" s="4">
        <f>SUMIF(FATURADO!H:H,Tabela2[[#This Row],[ITENS]],FATURADO!N:N)</f>
        <v>0</v>
      </c>
      <c r="J40" s="45">
        <f>SUMIF(SEPARAÇÃO!I:I,B40,SEPARAÇÃO!M:M)</f>
        <v>0</v>
      </c>
      <c r="K40" s="4">
        <f>SUMIF(SEPARAÇÃO!I:I,Tabela2[[#This Row],[ITENS]],SEPARAÇÃO!P:P)</f>
        <v>0</v>
      </c>
      <c r="L40" s="45">
        <f t="shared" si="0"/>
        <v>0</v>
      </c>
      <c r="M40" s="4">
        <f t="shared" si="0"/>
        <v>0</v>
      </c>
    </row>
    <row r="41" spans="1:13" x14ac:dyDescent="0.25">
      <c r="A41" s="1"/>
      <c r="B41" s="42">
        <v>941</v>
      </c>
      <c r="C41" s="42" t="s">
        <v>47</v>
      </c>
      <c r="D41" s="43">
        <v>7896112149415</v>
      </c>
      <c r="E41" s="44" t="s">
        <v>34</v>
      </c>
      <c r="F41" s="45">
        <f>SUMIF(PND!D:D,B41,PND!H:H)</f>
        <v>0</v>
      </c>
      <c r="G41" s="4">
        <f>SUMIF(PND!D:D,Tabela2[[#This Row],[ITENS]],PND!J:J)</f>
        <v>0</v>
      </c>
      <c r="H41" s="45">
        <f>SUMIF(FATURADO!H:H,B41,FATURADO!L:L)</f>
        <v>0</v>
      </c>
      <c r="I41" s="4">
        <f>SUMIF(FATURADO!H:H,Tabela2[[#This Row],[ITENS]],FATURADO!N:N)</f>
        <v>0</v>
      </c>
      <c r="J41" s="45">
        <f>SUMIF(SEPARAÇÃO!I:I,B41,SEPARAÇÃO!M:M)</f>
        <v>0</v>
      </c>
      <c r="K41" s="4">
        <f>SUMIF(SEPARAÇÃO!I:I,Tabela2[[#This Row],[ITENS]],SEPARAÇÃO!P:P)</f>
        <v>0</v>
      </c>
      <c r="L41" s="45">
        <f t="shared" si="0"/>
        <v>0</v>
      </c>
      <c r="M41" s="4">
        <f t="shared" si="0"/>
        <v>0</v>
      </c>
    </row>
    <row r="42" spans="1:13" x14ac:dyDescent="0.25">
      <c r="A42" s="1"/>
      <c r="B42" s="42">
        <v>942</v>
      </c>
      <c r="C42" s="42" t="s">
        <v>48</v>
      </c>
      <c r="D42" s="43">
        <v>7896112149422</v>
      </c>
      <c r="E42" s="44" t="s">
        <v>34</v>
      </c>
      <c r="F42" s="45">
        <f>SUMIF(PND!D:D,B42,PND!H:H)</f>
        <v>0</v>
      </c>
      <c r="G42" s="4">
        <f>SUMIF(PND!D:D,Tabela2[[#This Row],[ITENS]],PND!J:J)</f>
        <v>0</v>
      </c>
      <c r="H42" s="45">
        <f>SUMIF(FATURADO!H:H,B42,FATURADO!L:L)</f>
        <v>0</v>
      </c>
      <c r="I42" s="4">
        <f>SUMIF(FATURADO!H:H,Tabela2[[#This Row],[ITENS]],FATURADO!N:N)</f>
        <v>0</v>
      </c>
      <c r="J42" s="45">
        <f>SUMIF(SEPARAÇÃO!I:I,B42,SEPARAÇÃO!M:M)</f>
        <v>0</v>
      </c>
      <c r="K42" s="4">
        <f>SUMIF(SEPARAÇÃO!I:I,Tabela2[[#This Row],[ITENS]],SEPARAÇÃO!P:P)</f>
        <v>0</v>
      </c>
      <c r="L42" s="45">
        <f t="shared" si="0"/>
        <v>0</v>
      </c>
      <c r="M42" s="4">
        <f t="shared" si="0"/>
        <v>0</v>
      </c>
    </row>
    <row r="43" spans="1:13" x14ac:dyDescent="0.25">
      <c r="A43" s="1"/>
      <c r="B43" s="42">
        <v>1032</v>
      </c>
      <c r="C43" s="42" t="s">
        <v>49</v>
      </c>
      <c r="D43" s="43">
        <v>7896112110323</v>
      </c>
      <c r="E43" s="44" t="s">
        <v>34</v>
      </c>
      <c r="F43" s="45">
        <f>SUMIF(PND!D:D,B43,PND!H:H)</f>
        <v>0</v>
      </c>
      <c r="G43" s="4">
        <f>SUMIF(PND!D:D,Tabela2[[#This Row],[ITENS]],PND!J:J)</f>
        <v>0</v>
      </c>
      <c r="H43" s="45">
        <f>SUMIF(FATURADO!H:H,B43,FATURADO!L:L)</f>
        <v>0</v>
      </c>
      <c r="I43" s="4">
        <f>SUMIF(FATURADO!H:H,Tabela2[[#This Row],[ITENS]],FATURADO!N:N)</f>
        <v>0</v>
      </c>
      <c r="J43" s="45">
        <f>SUMIF(SEPARAÇÃO!I:I,B43,SEPARAÇÃO!M:M)</f>
        <v>0</v>
      </c>
      <c r="K43" s="4">
        <f>SUMIF(SEPARAÇÃO!I:I,Tabela2[[#This Row],[ITENS]],SEPARAÇÃO!P:P)</f>
        <v>0</v>
      </c>
      <c r="L43" s="45">
        <f t="shared" si="0"/>
        <v>0</v>
      </c>
      <c r="M43" s="4">
        <f t="shared" si="0"/>
        <v>0</v>
      </c>
    </row>
    <row r="44" spans="1:13" x14ac:dyDescent="0.25">
      <c r="A44" s="1"/>
      <c r="B44" s="42">
        <v>1033</v>
      </c>
      <c r="C44" s="42" t="s">
        <v>50</v>
      </c>
      <c r="D44" s="43">
        <v>7896112110330</v>
      </c>
      <c r="E44" s="44" t="s">
        <v>34</v>
      </c>
      <c r="F44" s="45">
        <f>SUMIF(PND!D:D,B44,PND!H:H)</f>
        <v>100</v>
      </c>
      <c r="G44" s="4">
        <f>SUMIF(PND!D:D,Tabela2[[#This Row],[ITENS]],PND!J:J)</f>
        <v>676</v>
      </c>
      <c r="H44" s="45">
        <f>SUMIF(FATURADO!H:H,B44,FATURADO!L:L)</f>
        <v>100</v>
      </c>
      <c r="I44" s="4">
        <f>SUMIF(FATURADO!H:H,Tabela2[[#This Row],[ITENS]],FATURADO!N:N)</f>
        <v>690</v>
      </c>
      <c r="J44" s="45">
        <f>SUMIF(SEPARAÇÃO!I:I,B44,SEPARAÇÃO!M:M)</f>
        <v>0</v>
      </c>
      <c r="K44" s="4">
        <f>SUMIF(SEPARAÇÃO!I:I,Tabela2[[#This Row],[ITENS]],SEPARAÇÃO!P:P)</f>
        <v>0</v>
      </c>
      <c r="L44" s="45">
        <f t="shared" si="0"/>
        <v>200</v>
      </c>
      <c r="M44" s="4">
        <f t="shared" si="0"/>
        <v>1366</v>
      </c>
    </row>
    <row r="45" spans="1:13" x14ac:dyDescent="0.25">
      <c r="A45" s="1"/>
      <c r="B45" s="42">
        <v>1034</v>
      </c>
      <c r="C45" s="42" t="s">
        <v>51</v>
      </c>
      <c r="D45" s="43">
        <v>7896112110347</v>
      </c>
      <c r="E45" s="44" t="s">
        <v>34</v>
      </c>
      <c r="F45" s="45">
        <f>SUMIF(PND!D:D,B45,PND!H:H)</f>
        <v>0</v>
      </c>
      <c r="G45" s="4">
        <f>SUMIF(PND!D:D,Tabela2[[#This Row],[ITENS]],PND!J:J)</f>
        <v>0</v>
      </c>
      <c r="H45" s="45">
        <f>SUMIF(FATURADO!H:H,B45,FATURADO!L:L)</f>
        <v>400</v>
      </c>
      <c r="I45" s="4">
        <f>SUMIF(FATURADO!H:H,Tabela2[[#This Row],[ITENS]],FATURADO!N:N)</f>
        <v>868</v>
      </c>
      <c r="J45" s="45">
        <f>SUMIF(SEPARAÇÃO!I:I,B45,SEPARAÇÃO!M:M)</f>
        <v>0</v>
      </c>
      <c r="K45" s="4">
        <f>SUMIF(SEPARAÇÃO!I:I,Tabela2[[#This Row],[ITENS]],SEPARAÇÃO!P:P)</f>
        <v>0</v>
      </c>
      <c r="L45" s="45">
        <f t="shared" si="0"/>
        <v>400</v>
      </c>
      <c r="M45" s="4">
        <f t="shared" si="0"/>
        <v>868</v>
      </c>
    </row>
    <row r="46" spans="1:13" x14ac:dyDescent="0.25">
      <c r="A46" s="1"/>
      <c r="B46" s="42">
        <v>1035</v>
      </c>
      <c r="C46" s="42" t="s">
        <v>52</v>
      </c>
      <c r="D46" s="43">
        <v>7896112110354</v>
      </c>
      <c r="E46" s="44" t="s">
        <v>34</v>
      </c>
      <c r="F46" s="45">
        <f>SUMIF(PND!D:D,B46,PND!H:H)</f>
        <v>0</v>
      </c>
      <c r="G46" s="4">
        <f>SUMIF(PND!D:D,Tabela2[[#This Row],[ITENS]],PND!J:J)</f>
        <v>0</v>
      </c>
      <c r="H46" s="45">
        <f>SUMIF(FATURADO!H:H,B46,FATURADO!L:L)</f>
        <v>900</v>
      </c>
      <c r="I46" s="4">
        <f>SUMIF(FATURADO!H:H,Tabela2[[#This Row],[ITENS]],FATURADO!N:N)</f>
        <v>2601</v>
      </c>
      <c r="J46" s="45">
        <f>SUMIF(SEPARAÇÃO!I:I,B46,SEPARAÇÃO!M:M)</f>
        <v>0</v>
      </c>
      <c r="K46" s="4">
        <f>SUMIF(SEPARAÇÃO!I:I,Tabela2[[#This Row],[ITENS]],SEPARAÇÃO!P:P)</f>
        <v>0</v>
      </c>
      <c r="L46" s="45">
        <f t="shared" si="0"/>
        <v>900</v>
      </c>
      <c r="M46" s="4">
        <f t="shared" si="0"/>
        <v>2601</v>
      </c>
    </row>
    <row r="47" spans="1:13" x14ac:dyDescent="0.25">
      <c r="A47" s="1"/>
      <c r="B47" s="42">
        <v>1037</v>
      </c>
      <c r="C47" s="42" t="s">
        <v>53</v>
      </c>
      <c r="D47" s="43">
        <v>7896112110378</v>
      </c>
      <c r="E47" s="44" t="s">
        <v>34</v>
      </c>
      <c r="F47" s="45">
        <f>SUMIF(PND!D:D,B47,PND!H:H)</f>
        <v>0</v>
      </c>
      <c r="G47" s="4">
        <f>SUMIF(PND!D:D,Tabela2[[#This Row],[ITENS]],PND!J:J)</f>
        <v>0</v>
      </c>
      <c r="H47" s="45">
        <f>SUMIF(FATURADO!H:H,B47,FATURADO!L:L)</f>
        <v>0</v>
      </c>
      <c r="I47" s="4">
        <f>SUMIF(FATURADO!H:H,Tabela2[[#This Row],[ITENS]],FATURADO!N:N)</f>
        <v>0</v>
      </c>
      <c r="J47" s="45">
        <f>SUMIF(SEPARAÇÃO!I:I,B47,SEPARAÇÃO!M:M)</f>
        <v>0</v>
      </c>
      <c r="K47" s="4">
        <f>SUMIF(SEPARAÇÃO!I:I,Tabela2[[#This Row],[ITENS]],SEPARAÇÃO!P:P)</f>
        <v>0</v>
      </c>
      <c r="L47" s="45">
        <f t="shared" si="0"/>
        <v>0</v>
      </c>
      <c r="M47" s="4">
        <f t="shared" si="0"/>
        <v>0</v>
      </c>
    </row>
    <row r="48" spans="1:13" x14ac:dyDescent="0.25">
      <c r="A48" s="1"/>
      <c r="B48" s="42">
        <v>1039</v>
      </c>
      <c r="C48" s="42" t="s">
        <v>54</v>
      </c>
      <c r="D48" s="43">
        <v>7896112110392</v>
      </c>
      <c r="E48" s="44" t="s">
        <v>34</v>
      </c>
      <c r="F48" s="45">
        <f>SUMIF(PND!D:D,B48,PND!H:H)</f>
        <v>0</v>
      </c>
      <c r="G48" s="4">
        <f>SUMIF(PND!D:D,Tabela2[[#This Row],[ITENS]],PND!J:J)</f>
        <v>0</v>
      </c>
      <c r="H48" s="45">
        <f>SUMIF(FATURADO!H:H,B48,FATURADO!L:L)</f>
        <v>800</v>
      </c>
      <c r="I48" s="4">
        <f>SUMIF(FATURADO!H:H,Tabela2[[#This Row],[ITENS]],FATURADO!N:N)</f>
        <v>6064</v>
      </c>
      <c r="J48" s="45">
        <f>SUMIF(SEPARAÇÃO!I:I,B48,SEPARAÇÃO!M:M)</f>
        <v>0</v>
      </c>
      <c r="K48" s="4">
        <f>SUMIF(SEPARAÇÃO!I:I,Tabela2[[#This Row],[ITENS]],SEPARAÇÃO!P:P)</f>
        <v>0</v>
      </c>
      <c r="L48" s="45">
        <f t="shared" si="0"/>
        <v>800</v>
      </c>
      <c r="M48" s="4">
        <f t="shared" si="0"/>
        <v>6064</v>
      </c>
    </row>
    <row r="49" spans="1:13" x14ac:dyDescent="0.25">
      <c r="A49" s="1"/>
      <c r="B49" s="42">
        <v>1057</v>
      </c>
      <c r="C49" s="42" t="s">
        <v>55</v>
      </c>
      <c r="D49" s="43">
        <v>7896112110576</v>
      </c>
      <c r="E49" s="44" t="s">
        <v>34</v>
      </c>
      <c r="F49" s="45">
        <f>SUMIF(PND!D:D,B49,PND!H:H)</f>
        <v>3000</v>
      </c>
      <c r="G49" s="4">
        <f>SUMIF(PND!D:D,Tabela2[[#This Row],[ITENS]],PND!J:J)</f>
        <v>4290</v>
      </c>
      <c r="H49" s="45">
        <f>SUMIF(FATURADO!H:H,B49,FATURADO!L:L)</f>
        <v>20000</v>
      </c>
      <c r="I49" s="4">
        <f>SUMIF(FATURADO!H:H,Tabela2[[#This Row],[ITENS]],FATURADO!N:N)</f>
        <v>27670</v>
      </c>
      <c r="J49" s="45">
        <f>SUMIF(SEPARAÇÃO!I:I,B49,SEPARAÇÃO!M:M)</f>
        <v>0</v>
      </c>
      <c r="K49" s="4">
        <f>SUMIF(SEPARAÇÃO!I:I,Tabela2[[#This Row],[ITENS]],SEPARAÇÃO!P:P)</f>
        <v>0</v>
      </c>
      <c r="L49" s="45">
        <f t="shared" si="0"/>
        <v>23000</v>
      </c>
      <c r="M49" s="4">
        <f t="shared" si="0"/>
        <v>31960</v>
      </c>
    </row>
    <row r="50" spans="1:13" x14ac:dyDescent="0.25">
      <c r="A50" s="1"/>
      <c r="B50" s="42">
        <v>1355</v>
      </c>
      <c r="C50" s="42" t="s">
        <v>56</v>
      </c>
      <c r="D50" s="43">
        <v>7896112113553</v>
      </c>
      <c r="E50" s="44" t="s">
        <v>34</v>
      </c>
      <c r="F50" s="45">
        <f>SUMIF(PND!D:D,B50,PND!H:H)</f>
        <v>600</v>
      </c>
      <c r="G50" s="4">
        <f>SUMIF(PND!D:D,Tabela2[[#This Row],[ITENS]],PND!J:J)</f>
        <v>1554</v>
      </c>
      <c r="H50" s="45">
        <f>SUMIF(FATURADO!H:H,B50,FATURADO!L:L)</f>
        <v>1000</v>
      </c>
      <c r="I50" s="4">
        <f>SUMIF(FATURADO!H:H,Tabela2[[#This Row],[ITENS]],FATURADO!N:N)</f>
        <v>3050</v>
      </c>
      <c r="J50" s="45">
        <f>SUMIF(SEPARAÇÃO!I:I,B50,SEPARAÇÃO!M:M)</f>
        <v>0</v>
      </c>
      <c r="K50" s="4">
        <f>SUMIF(SEPARAÇÃO!I:I,Tabela2[[#This Row],[ITENS]],SEPARAÇÃO!P:P)</f>
        <v>0</v>
      </c>
      <c r="L50" s="45">
        <f t="shared" si="0"/>
        <v>1600</v>
      </c>
      <c r="M50" s="4">
        <f t="shared" si="0"/>
        <v>4604</v>
      </c>
    </row>
    <row r="51" spans="1:13" x14ac:dyDescent="0.25">
      <c r="A51" s="1"/>
      <c r="B51" s="42">
        <v>1356</v>
      </c>
      <c r="C51" s="42" t="s">
        <v>57</v>
      </c>
      <c r="D51" s="43">
        <v>7896112113560</v>
      </c>
      <c r="E51" s="44" t="s">
        <v>34</v>
      </c>
      <c r="F51" s="45">
        <f>SUMIF(PND!D:D,B51,PND!H:H)</f>
        <v>0</v>
      </c>
      <c r="G51" s="4">
        <f>SUMIF(PND!D:D,Tabela2[[#This Row],[ITENS]],PND!J:J)</f>
        <v>0</v>
      </c>
      <c r="H51" s="45">
        <f>SUMIF(FATURADO!H:H,B51,FATURADO!L:L)</f>
        <v>0</v>
      </c>
      <c r="I51" s="4">
        <f>SUMIF(FATURADO!H:H,Tabela2[[#This Row],[ITENS]],FATURADO!N:N)</f>
        <v>0</v>
      </c>
      <c r="J51" s="45">
        <f>SUMIF(SEPARAÇÃO!I:I,B51,SEPARAÇÃO!M:M)</f>
        <v>0</v>
      </c>
      <c r="K51" s="4">
        <f>SUMIF(SEPARAÇÃO!I:I,Tabela2[[#This Row],[ITENS]],SEPARAÇÃO!P:P)</f>
        <v>0</v>
      </c>
      <c r="L51" s="45">
        <f t="shared" si="0"/>
        <v>0</v>
      </c>
      <c r="M51" s="4">
        <f t="shared" si="0"/>
        <v>0</v>
      </c>
    </row>
    <row r="52" spans="1:13" x14ac:dyDescent="0.25">
      <c r="A52" s="1"/>
      <c r="B52" s="42">
        <v>1357</v>
      </c>
      <c r="C52" s="42" t="s">
        <v>58</v>
      </c>
      <c r="D52" s="43">
        <v>7896112113577</v>
      </c>
      <c r="E52" s="44" t="s">
        <v>34</v>
      </c>
      <c r="F52" s="45">
        <f>SUMIF(PND!D:D,B52,PND!H:H)</f>
        <v>0</v>
      </c>
      <c r="G52" s="4">
        <f>SUMIF(PND!D:D,Tabela2[[#This Row],[ITENS]],PND!J:J)</f>
        <v>0</v>
      </c>
      <c r="H52" s="45">
        <f>SUMIF(FATURADO!H:H,B52,FATURADO!L:L)</f>
        <v>0</v>
      </c>
      <c r="I52" s="4">
        <f>SUMIF(FATURADO!H:H,Tabela2[[#This Row],[ITENS]],FATURADO!N:N)</f>
        <v>0</v>
      </c>
      <c r="J52" s="45">
        <f>SUMIF(SEPARAÇÃO!I:I,B52,SEPARAÇÃO!M:M)</f>
        <v>0</v>
      </c>
      <c r="K52" s="4">
        <f>SUMIF(SEPARAÇÃO!I:I,Tabela2[[#This Row],[ITENS]],SEPARAÇÃO!P:P)</f>
        <v>0</v>
      </c>
      <c r="L52" s="45">
        <f t="shared" si="0"/>
        <v>0</v>
      </c>
      <c r="M52" s="4">
        <f t="shared" si="0"/>
        <v>0</v>
      </c>
    </row>
    <row r="53" spans="1:13" x14ac:dyDescent="0.25">
      <c r="A53" s="1"/>
      <c r="B53" s="42">
        <v>1358</v>
      </c>
      <c r="C53" s="42" t="s">
        <v>59</v>
      </c>
      <c r="D53" s="43">
        <v>7896112113584</v>
      </c>
      <c r="E53" s="44" t="s">
        <v>34</v>
      </c>
      <c r="F53" s="45">
        <f>SUMIF(PND!D:D,B53,PND!H:H)</f>
        <v>0</v>
      </c>
      <c r="G53" s="4">
        <f>SUMIF(PND!D:D,Tabela2[[#This Row],[ITENS]],PND!J:J)</f>
        <v>0</v>
      </c>
      <c r="H53" s="45">
        <f>SUMIF(FATURADO!H:H,B53,FATURADO!L:L)</f>
        <v>0</v>
      </c>
      <c r="I53" s="4">
        <f>SUMIF(FATURADO!H:H,Tabela2[[#This Row],[ITENS]],FATURADO!N:N)</f>
        <v>0</v>
      </c>
      <c r="J53" s="45">
        <f>SUMIF(SEPARAÇÃO!I:I,B53,SEPARAÇÃO!M:M)</f>
        <v>0</v>
      </c>
      <c r="K53" s="4">
        <f>SUMIF(SEPARAÇÃO!I:I,Tabela2[[#This Row],[ITENS]],SEPARAÇÃO!P:P)</f>
        <v>0</v>
      </c>
      <c r="L53" s="45">
        <f t="shared" si="0"/>
        <v>0</v>
      </c>
      <c r="M53" s="4">
        <f t="shared" si="0"/>
        <v>0</v>
      </c>
    </row>
    <row r="54" spans="1:13" x14ac:dyDescent="0.25">
      <c r="A54" s="1"/>
      <c r="B54" s="42">
        <v>1384</v>
      </c>
      <c r="C54" s="42" t="s">
        <v>60</v>
      </c>
      <c r="D54" s="43">
        <v>7896112113843</v>
      </c>
      <c r="E54" s="44" t="s">
        <v>34</v>
      </c>
      <c r="F54" s="45">
        <f>SUMIF(PND!D:D,B54,PND!H:H)</f>
        <v>0</v>
      </c>
      <c r="G54" s="4">
        <f>SUMIF(PND!D:D,Tabela2[[#This Row],[ITENS]],PND!J:J)</f>
        <v>0</v>
      </c>
      <c r="H54" s="45">
        <f>SUMIF(FATURADO!H:H,B54,FATURADO!L:L)</f>
        <v>0</v>
      </c>
      <c r="I54" s="4">
        <f>SUMIF(FATURADO!H:H,Tabela2[[#This Row],[ITENS]],FATURADO!N:N)</f>
        <v>0</v>
      </c>
      <c r="J54" s="45">
        <f>SUMIF(SEPARAÇÃO!I:I,B54,SEPARAÇÃO!M:M)</f>
        <v>0</v>
      </c>
      <c r="K54" s="4">
        <f>SUMIF(SEPARAÇÃO!I:I,Tabela2[[#This Row],[ITENS]],SEPARAÇÃO!P:P)</f>
        <v>0</v>
      </c>
      <c r="L54" s="45">
        <f t="shared" si="0"/>
        <v>0</v>
      </c>
      <c r="M54" s="4">
        <f t="shared" si="0"/>
        <v>0</v>
      </c>
    </row>
    <row r="55" spans="1:13" x14ac:dyDescent="0.25">
      <c r="A55" s="1"/>
      <c r="B55" s="42">
        <v>1406</v>
      </c>
      <c r="C55" s="42" t="s">
        <v>61</v>
      </c>
      <c r="D55" s="43">
        <v>7896112114062</v>
      </c>
      <c r="E55" s="44" t="s">
        <v>34</v>
      </c>
      <c r="F55" s="45">
        <f>SUMIF(PND!D:D,B55,PND!H:H)</f>
        <v>0</v>
      </c>
      <c r="G55" s="4">
        <f>SUMIF(PND!D:D,Tabela2[[#This Row],[ITENS]],PND!J:J)</f>
        <v>0</v>
      </c>
      <c r="H55" s="45">
        <f>SUMIF(FATURADO!H:H,B55,FATURADO!L:L)</f>
        <v>0</v>
      </c>
      <c r="I55" s="4">
        <f>SUMIF(FATURADO!H:H,Tabela2[[#This Row],[ITENS]],FATURADO!N:N)</f>
        <v>0</v>
      </c>
      <c r="J55" s="45">
        <f>SUMIF(SEPARAÇÃO!I:I,B55,SEPARAÇÃO!M:M)</f>
        <v>0</v>
      </c>
      <c r="K55" s="4">
        <f>SUMIF(SEPARAÇÃO!I:I,Tabela2[[#This Row],[ITENS]],SEPARAÇÃO!P:P)</f>
        <v>0</v>
      </c>
      <c r="L55" s="45">
        <f t="shared" si="0"/>
        <v>0</v>
      </c>
      <c r="M55" s="4">
        <f t="shared" si="0"/>
        <v>0</v>
      </c>
    </row>
    <row r="56" spans="1:13" x14ac:dyDescent="0.25">
      <c r="A56" s="1"/>
      <c r="B56" s="42">
        <v>1418</v>
      </c>
      <c r="C56" s="42" t="s">
        <v>62</v>
      </c>
      <c r="D56" s="43">
        <v>7896112114185</v>
      </c>
      <c r="E56" s="44" t="s">
        <v>34</v>
      </c>
      <c r="F56" s="45">
        <f>SUMIF(PND!D:D,B56,PND!H:H)</f>
        <v>0</v>
      </c>
      <c r="G56" s="4">
        <f>SUMIF(PND!D:D,Tabela2[[#This Row],[ITENS]],PND!J:J)</f>
        <v>0</v>
      </c>
      <c r="H56" s="45">
        <f>SUMIF(FATURADO!H:H,B56,FATURADO!L:L)</f>
        <v>55000</v>
      </c>
      <c r="I56" s="4">
        <f>SUMIF(FATURADO!H:H,Tabela2[[#This Row],[ITENS]],FATURADO!N:N)</f>
        <v>73500</v>
      </c>
      <c r="J56" s="45">
        <f>SUMIF(SEPARAÇÃO!I:I,B56,SEPARAÇÃO!M:M)</f>
        <v>0</v>
      </c>
      <c r="K56" s="4">
        <f>SUMIF(SEPARAÇÃO!I:I,Tabela2[[#This Row],[ITENS]],SEPARAÇÃO!P:P)</f>
        <v>0</v>
      </c>
      <c r="L56" s="45">
        <f t="shared" si="0"/>
        <v>55000</v>
      </c>
      <c r="M56" s="4">
        <f t="shared" si="0"/>
        <v>73500</v>
      </c>
    </row>
    <row r="57" spans="1:13" x14ac:dyDescent="0.25">
      <c r="A57" s="1"/>
      <c r="B57" s="42">
        <v>1427</v>
      </c>
      <c r="C57" s="42" t="s">
        <v>63</v>
      </c>
      <c r="D57" s="43">
        <v>7896112114277</v>
      </c>
      <c r="E57" s="44" t="s">
        <v>34</v>
      </c>
      <c r="F57" s="45">
        <f>SUMIF(PND!D:D,B57,PND!H:H)</f>
        <v>0</v>
      </c>
      <c r="G57" s="4">
        <f>SUMIF(PND!D:D,Tabela2[[#This Row],[ITENS]],PND!J:J)</f>
        <v>0</v>
      </c>
      <c r="H57" s="45">
        <f>SUMIF(FATURADO!H:H,B57,FATURADO!L:L)</f>
        <v>300</v>
      </c>
      <c r="I57" s="4">
        <f>SUMIF(FATURADO!H:H,Tabela2[[#This Row],[ITENS]],FATURADO!N:N)</f>
        <v>1312</v>
      </c>
      <c r="J57" s="45">
        <f>SUMIF(SEPARAÇÃO!I:I,B57,SEPARAÇÃO!M:M)</f>
        <v>0</v>
      </c>
      <c r="K57" s="4">
        <f>SUMIF(SEPARAÇÃO!I:I,Tabela2[[#This Row],[ITENS]],SEPARAÇÃO!P:P)</f>
        <v>0</v>
      </c>
      <c r="L57" s="45">
        <f t="shared" si="0"/>
        <v>300</v>
      </c>
      <c r="M57" s="4">
        <f t="shared" si="0"/>
        <v>1312</v>
      </c>
    </row>
    <row r="58" spans="1:13" x14ac:dyDescent="0.25">
      <c r="A58" s="1"/>
      <c r="B58" s="42">
        <v>1441</v>
      </c>
      <c r="C58" s="42" t="s">
        <v>64</v>
      </c>
      <c r="D58" s="43">
        <v>7896112114413</v>
      </c>
      <c r="E58" s="44" t="s">
        <v>34</v>
      </c>
      <c r="F58" s="45">
        <f>SUMIF(PND!D:D,B58,PND!H:H)</f>
        <v>0</v>
      </c>
      <c r="G58" s="4">
        <f>SUMIF(PND!D:D,Tabela2[[#This Row],[ITENS]],PND!J:J)</f>
        <v>0</v>
      </c>
      <c r="H58" s="45">
        <f>SUMIF(FATURADO!H:H,B58,FATURADO!L:L)</f>
        <v>14000</v>
      </c>
      <c r="I58" s="4">
        <f>SUMIF(FATURADO!H:H,Tabela2[[#This Row],[ITENS]],FATURADO!N:N)</f>
        <v>20860</v>
      </c>
      <c r="J58" s="45">
        <f>SUMIF(SEPARAÇÃO!I:I,B58,SEPARAÇÃO!M:M)</f>
        <v>0</v>
      </c>
      <c r="K58" s="4">
        <f>SUMIF(SEPARAÇÃO!I:I,Tabela2[[#This Row],[ITENS]],SEPARAÇÃO!P:P)</f>
        <v>0</v>
      </c>
      <c r="L58" s="45">
        <f t="shared" si="0"/>
        <v>14000</v>
      </c>
      <c r="M58" s="4">
        <f t="shared" si="0"/>
        <v>20860</v>
      </c>
    </row>
    <row r="59" spans="1:13" x14ac:dyDescent="0.25">
      <c r="A59" s="1"/>
      <c r="B59" s="42">
        <v>1457</v>
      </c>
      <c r="C59" s="42" t="s">
        <v>65</v>
      </c>
      <c r="D59" s="43">
        <v>7896112114574</v>
      </c>
      <c r="E59" s="44" t="s">
        <v>34</v>
      </c>
      <c r="F59" s="45">
        <f>SUMIF(PND!D:D,B59,PND!H:H)</f>
        <v>0</v>
      </c>
      <c r="G59" s="4">
        <f>SUMIF(PND!D:D,Tabela2[[#This Row],[ITENS]],PND!J:J)</f>
        <v>0</v>
      </c>
      <c r="H59" s="45">
        <f>SUMIF(FATURADO!H:H,B59,FATURADO!L:L)</f>
        <v>0</v>
      </c>
      <c r="I59" s="4">
        <f>SUMIF(FATURADO!H:H,Tabela2[[#This Row],[ITENS]],FATURADO!N:N)</f>
        <v>0</v>
      </c>
      <c r="J59" s="45">
        <f>SUMIF(SEPARAÇÃO!I:I,B59,SEPARAÇÃO!M:M)</f>
        <v>0</v>
      </c>
      <c r="K59" s="4">
        <f>SUMIF(SEPARAÇÃO!I:I,Tabela2[[#This Row],[ITENS]],SEPARAÇÃO!P:P)</f>
        <v>0</v>
      </c>
      <c r="L59" s="45">
        <f t="shared" si="0"/>
        <v>0</v>
      </c>
      <c r="M59" s="4">
        <f t="shared" si="0"/>
        <v>0</v>
      </c>
    </row>
    <row r="60" spans="1:13" x14ac:dyDescent="0.25">
      <c r="A60" s="1"/>
      <c r="B60" s="42">
        <v>1504</v>
      </c>
      <c r="C60" s="42" t="s">
        <v>66</v>
      </c>
      <c r="D60" s="43">
        <v>7896112115045</v>
      </c>
      <c r="E60" s="44" t="s">
        <v>23</v>
      </c>
      <c r="F60" s="45">
        <f>SUMIF(PND!D:D,B60,PND!H:H)</f>
        <v>0</v>
      </c>
      <c r="G60" s="4">
        <f>SUMIF(PND!D:D,Tabela2[[#This Row],[ITENS]],PND!J:J)</f>
        <v>0</v>
      </c>
      <c r="H60" s="45">
        <f>SUMIF(FATURADO!H:H,B60,FATURADO!L:L)</f>
        <v>900</v>
      </c>
      <c r="I60" s="4">
        <f>SUMIF(FATURADO!H:H,Tabela2[[#This Row],[ITENS]],FATURADO!N:N)</f>
        <v>3994</v>
      </c>
      <c r="J60" s="45">
        <f>SUMIF(SEPARAÇÃO!I:I,B60,SEPARAÇÃO!M:M)</f>
        <v>0</v>
      </c>
      <c r="K60" s="4">
        <f>SUMIF(SEPARAÇÃO!I:I,Tabela2[[#This Row],[ITENS]],SEPARAÇÃO!P:P)</f>
        <v>0</v>
      </c>
      <c r="L60" s="45">
        <f t="shared" si="0"/>
        <v>900</v>
      </c>
      <c r="M60" s="4">
        <f t="shared" si="0"/>
        <v>3994</v>
      </c>
    </row>
    <row r="61" spans="1:13" x14ac:dyDescent="0.25">
      <c r="A61" s="1"/>
      <c r="B61" s="42">
        <v>1517</v>
      </c>
      <c r="C61" s="42" t="s">
        <v>67</v>
      </c>
      <c r="D61" s="43">
        <v>7896112115175</v>
      </c>
      <c r="E61" s="44" t="s">
        <v>34</v>
      </c>
      <c r="F61" s="45">
        <f>SUMIF(PND!D:D,B61,PND!H:H)</f>
        <v>0</v>
      </c>
      <c r="G61" s="4">
        <f>SUMIF(PND!D:D,Tabela2[[#This Row],[ITENS]],PND!J:J)</f>
        <v>0</v>
      </c>
      <c r="H61" s="45">
        <f>SUMIF(FATURADO!H:H,B61,FATURADO!L:L)</f>
        <v>0</v>
      </c>
      <c r="I61" s="4">
        <f>SUMIF(FATURADO!H:H,Tabela2[[#This Row],[ITENS]],FATURADO!N:N)</f>
        <v>0</v>
      </c>
      <c r="J61" s="45">
        <f>SUMIF(SEPARAÇÃO!I:I,B61,SEPARAÇÃO!M:M)</f>
        <v>0</v>
      </c>
      <c r="K61" s="4">
        <f>SUMIF(SEPARAÇÃO!I:I,Tabela2[[#This Row],[ITENS]],SEPARAÇÃO!P:P)</f>
        <v>0</v>
      </c>
      <c r="L61" s="45">
        <f t="shared" si="0"/>
        <v>0</v>
      </c>
      <c r="M61" s="4">
        <f t="shared" si="0"/>
        <v>0</v>
      </c>
    </row>
    <row r="62" spans="1:13" x14ac:dyDescent="0.25">
      <c r="A62" s="1"/>
      <c r="B62" s="42">
        <v>1526</v>
      </c>
      <c r="C62" s="42" t="s">
        <v>68</v>
      </c>
      <c r="D62" s="43">
        <v>7896112115267</v>
      </c>
      <c r="E62" s="44" t="s">
        <v>34</v>
      </c>
      <c r="F62" s="45">
        <f>SUMIF(PND!D:D,B62,PND!H:H)</f>
        <v>0</v>
      </c>
      <c r="G62" s="4">
        <f>SUMIF(PND!D:D,Tabela2[[#This Row],[ITENS]],PND!J:J)</f>
        <v>0</v>
      </c>
      <c r="H62" s="45">
        <f>SUMIF(FATURADO!H:H,B62,FATURADO!L:L)</f>
        <v>0</v>
      </c>
      <c r="I62" s="4">
        <f>SUMIF(FATURADO!H:H,Tabela2[[#This Row],[ITENS]],FATURADO!N:N)</f>
        <v>0</v>
      </c>
      <c r="J62" s="45">
        <f>SUMIF(SEPARAÇÃO!I:I,B62,SEPARAÇÃO!M:M)</f>
        <v>0</v>
      </c>
      <c r="K62" s="4">
        <f>SUMIF(SEPARAÇÃO!I:I,Tabela2[[#This Row],[ITENS]],SEPARAÇÃO!P:P)</f>
        <v>0</v>
      </c>
      <c r="L62" s="45">
        <f t="shared" si="0"/>
        <v>0</v>
      </c>
      <c r="M62" s="4">
        <f t="shared" si="0"/>
        <v>0</v>
      </c>
    </row>
    <row r="63" spans="1:13" x14ac:dyDescent="0.25">
      <c r="A63" s="1"/>
      <c r="B63" s="42">
        <v>1666</v>
      </c>
      <c r="C63" s="42" t="s">
        <v>69</v>
      </c>
      <c r="D63" s="43">
        <v>7896112116660</v>
      </c>
      <c r="E63" s="44" t="s">
        <v>34</v>
      </c>
      <c r="F63" s="45">
        <f>SUMIF(PND!D:D,B63,PND!H:H)</f>
        <v>0</v>
      </c>
      <c r="G63" s="4">
        <f>SUMIF(PND!D:D,Tabela2[[#This Row],[ITENS]],PND!J:J)</f>
        <v>0</v>
      </c>
      <c r="H63" s="45">
        <f>SUMIF(FATURADO!H:H,B63,FATURADO!L:L)</f>
        <v>3000</v>
      </c>
      <c r="I63" s="4">
        <f>SUMIF(FATURADO!H:H,Tabela2[[#This Row],[ITENS]],FATURADO!N:N)</f>
        <v>3900</v>
      </c>
      <c r="J63" s="45">
        <f>SUMIF(SEPARAÇÃO!I:I,B63,SEPARAÇÃO!M:M)</f>
        <v>0</v>
      </c>
      <c r="K63" s="4">
        <f>SUMIF(SEPARAÇÃO!I:I,Tabela2[[#This Row],[ITENS]],SEPARAÇÃO!P:P)</f>
        <v>0</v>
      </c>
      <c r="L63" s="45">
        <f t="shared" si="0"/>
        <v>3000</v>
      </c>
      <c r="M63" s="4">
        <f t="shared" si="0"/>
        <v>3900</v>
      </c>
    </row>
    <row r="64" spans="1:13" x14ac:dyDescent="0.25">
      <c r="A64" s="1"/>
      <c r="B64" s="42">
        <v>1692</v>
      </c>
      <c r="C64" s="42" t="s">
        <v>70</v>
      </c>
      <c r="D64" s="43">
        <v>7896112116929</v>
      </c>
      <c r="E64" s="44" t="s">
        <v>23</v>
      </c>
      <c r="F64" s="45">
        <f>SUMIF(PND!D:D,B64,PND!H:H)</f>
        <v>0</v>
      </c>
      <c r="G64" s="4">
        <f>SUMIF(PND!D:D,Tabela2[[#This Row],[ITENS]],PND!J:J)</f>
        <v>0</v>
      </c>
      <c r="H64" s="45">
        <f>SUMIF(FATURADO!H:H,B64,FATURADO!L:L)</f>
        <v>0</v>
      </c>
      <c r="I64" s="4">
        <f>SUMIF(FATURADO!H:H,Tabela2[[#This Row],[ITENS]],FATURADO!N:N)</f>
        <v>0</v>
      </c>
      <c r="J64" s="45">
        <f>SUMIF(SEPARAÇÃO!I:I,B64,SEPARAÇÃO!M:M)</f>
        <v>0</v>
      </c>
      <c r="K64" s="4">
        <f>SUMIF(SEPARAÇÃO!I:I,Tabela2[[#This Row],[ITENS]],SEPARAÇÃO!P:P)</f>
        <v>0</v>
      </c>
      <c r="L64" s="45">
        <f t="shared" si="0"/>
        <v>0</v>
      </c>
      <c r="M64" s="4">
        <f t="shared" si="0"/>
        <v>0</v>
      </c>
    </row>
    <row r="65" spans="1:13" x14ac:dyDescent="0.25">
      <c r="A65" s="1"/>
      <c r="B65" s="42">
        <v>1768</v>
      </c>
      <c r="C65" s="42" t="s">
        <v>71</v>
      </c>
      <c r="D65" s="43">
        <v>7896112117681</v>
      </c>
      <c r="E65" s="44" t="s">
        <v>34</v>
      </c>
      <c r="F65" s="45">
        <f>SUMIF(PND!D:D,B65,PND!H:H)</f>
        <v>0</v>
      </c>
      <c r="G65" s="4">
        <f>SUMIF(PND!D:D,Tabela2[[#This Row],[ITENS]],PND!J:J)</f>
        <v>0</v>
      </c>
      <c r="H65" s="45">
        <f>SUMIF(FATURADO!H:H,B65,FATURADO!L:L)</f>
        <v>27000</v>
      </c>
      <c r="I65" s="4">
        <f>SUMIF(FATURADO!H:H,Tabela2[[#This Row],[ITENS]],FATURADO!N:N)</f>
        <v>40500</v>
      </c>
      <c r="J65" s="45">
        <f>SUMIF(SEPARAÇÃO!I:I,B65,SEPARAÇÃO!M:M)</f>
        <v>0</v>
      </c>
      <c r="K65" s="4">
        <f>SUMIF(SEPARAÇÃO!I:I,Tabela2[[#This Row],[ITENS]],SEPARAÇÃO!P:P)</f>
        <v>0</v>
      </c>
      <c r="L65" s="45">
        <f t="shared" si="0"/>
        <v>27000</v>
      </c>
      <c r="M65" s="4">
        <f t="shared" si="0"/>
        <v>40500</v>
      </c>
    </row>
    <row r="66" spans="1:13" x14ac:dyDescent="0.25">
      <c r="A66" s="1"/>
      <c r="B66" s="42">
        <v>1876</v>
      </c>
      <c r="C66" s="42" t="s">
        <v>72</v>
      </c>
      <c r="D66" s="43">
        <v>7896112118763</v>
      </c>
      <c r="E66" s="44" t="s">
        <v>23</v>
      </c>
      <c r="F66" s="45">
        <f>SUMIF(PND!D:D,B66,PND!H:H)</f>
        <v>300</v>
      </c>
      <c r="G66" s="4">
        <f>SUMIF(PND!D:D,Tabela2[[#This Row],[ITENS]],PND!J:J)</f>
        <v>12519</v>
      </c>
      <c r="H66" s="45">
        <f>SUMIF(FATURADO!H:H,B66,FATURADO!L:L)</f>
        <v>660</v>
      </c>
      <c r="I66" s="4">
        <f>SUMIF(FATURADO!H:H,Tabela2[[#This Row],[ITENS]],FATURADO!N:N)</f>
        <v>25671.599999999999</v>
      </c>
      <c r="J66" s="45">
        <f>SUMIF(SEPARAÇÃO!I:I,B66,SEPARAÇÃO!M:M)</f>
        <v>0</v>
      </c>
      <c r="K66" s="4">
        <f>SUMIF(SEPARAÇÃO!I:I,Tabela2[[#This Row],[ITENS]],SEPARAÇÃO!P:P)</f>
        <v>0</v>
      </c>
      <c r="L66" s="45">
        <f t="shared" si="0"/>
        <v>960</v>
      </c>
      <c r="M66" s="4">
        <f t="shared" si="0"/>
        <v>38190.6</v>
      </c>
    </row>
    <row r="67" spans="1:13" x14ac:dyDescent="0.25">
      <c r="A67" s="1"/>
      <c r="B67" s="42">
        <v>1921</v>
      </c>
      <c r="C67" s="42" t="s">
        <v>73</v>
      </c>
      <c r="D67" s="43">
        <v>7896112119210</v>
      </c>
      <c r="E67" s="44" t="s">
        <v>34</v>
      </c>
      <c r="F67" s="45">
        <f>SUMIF(PND!D:D,B67,PND!H:H)</f>
        <v>1000</v>
      </c>
      <c r="G67" s="4">
        <f>SUMIF(PND!D:D,Tabela2[[#This Row],[ITENS]],PND!J:J)</f>
        <v>3260</v>
      </c>
      <c r="H67" s="45">
        <f>SUMIF(FATURADO!H:H,B67,FATURADO!L:L)</f>
        <v>3000</v>
      </c>
      <c r="I67" s="4">
        <f>SUMIF(FATURADO!H:H,Tabela2[[#This Row],[ITENS]],FATURADO!N:N)</f>
        <v>10800</v>
      </c>
      <c r="J67" s="45">
        <f>SUMIF(SEPARAÇÃO!I:I,B67,SEPARAÇÃO!M:M)</f>
        <v>0</v>
      </c>
      <c r="K67" s="4">
        <f>SUMIF(SEPARAÇÃO!I:I,Tabela2[[#This Row],[ITENS]],SEPARAÇÃO!P:P)</f>
        <v>0</v>
      </c>
      <c r="L67" s="45">
        <f t="shared" si="0"/>
        <v>4000</v>
      </c>
      <c r="M67" s="4">
        <f t="shared" si="0"/>
        <v>14060</v>
      </c>
    </row>
    <row r="68" spans="1:13" x14ac:dyDescent="0.25">
      <c r="A68" s="1"/>
      <c r="B68" s="42">
        <v>1925</v>
      </c>
      <c r="C68" s="42" t="s">
        <v>74</v>
      </c>
      <c r="D68" s="43">
        <v>7896112119258</v>
      </c>
      <c r="E68" s="44" t="s">
        <v>34</v>
      </c>
      <c r="F68" s="45">
        <f>SUMIF(PND!D:D,B68,PND!H:H)</f>
        <v>0</v>
      </c>
      <c r="G68" s="4">
        <f>SUMIF(PND!D:D,Tabela2[[#This Row],[ITENS]],PND!J:J)</f>
        <v>0</v>
      </c>
      <c r="H68" s="45">
        <f>SUMIF(FATURADO!H:H,B68,FATURADO!L:L)</f>
        <v>600</v>
      </c>
      <c r="I68" s="4">
        <f>SUMIF(FATURADO!H:H,Tabela2[[#This Row],[ITENS]],FATURADO!N:N)</f>
        <v>5544</v>
      </c>
      <c r="J68" s="45">
        <f>SUMIF(SEPARAÇÃO!I:I,B68,SEPARAÇÃO!M:M)</f>
        <v>0</v>
      </c>
      <c r="K68" s="4">
        <f>SUMIF(SEPARAÇÃO!I:I,Tabela2[[#This Row],[ITENS]],SEPARAÇÃO!P:P)</f>
        <v>0</v>
      </c>
      <c r="L68" s="45">
        <f t="shared" si="0"/>
        <v>600</v>
      </c>
      <c r="M68" s="4">
        <f t="shared" si="0"/>
        <v>5544</v>
      </c>
    </row>
    <row r="69" spans="1:13" x14ac:dyDescent="0.25">
      <c r="A69" s="1"/>
      <c r="B69" s="42">
        <v>1960</v>
      </c>
      <c r="C69" s="42" t="s">
        <v>75</v>
      </c>
      <c r="D69" s="43">
        <v>7896112119609</v>
      </c>
      <c r="E69" s="44" t="s">
        <v>34</v>
      </c>
      <c r="F69" s="45">
        <f>SUMIF(PND!D:D,B69,PND!H:H)</f>
        <v>0</v>
      </c>
      <c r="G69" s="4">
        <f>SUMIF(PND!D:D,Tabela2[[#This Row],[ITENS]],PND!J:J)</f>
        <v>0</v>
      </c>
      <c r="H69" s="45">
        <f>SUMIF(FATURADO!H:H,B69,FATURADO!L:L)</f>
        <v>600</v>
      </c>
      <c r="I69" s="4">
        <f>SUMIF(FATURADO!H:H,Tabela2[[#This Row],[ITENS]],FATURADO!N:N)</f>
        <v>2910</v>
      </c>
      <c r="J69" s="45">
        <f>SUMIF(SEPARAÇÃO!I:I,B69,SEPARAÇÃO!M:M)</f>
        <v>0</v>
      </c>
      <c r="K69" s="4">
        <f>SUMIF(SEPARAÇÃO!I:I,Tabela2[[#This Row],[ITENS]],SEPARAÇÃO!P:P)</f>
        <v>0</v>
      </c>
      <c r="L69" s="45">
        <f t="shared" si="0"/>
        <v>600</v>
      </c>
      <c r="M69" s="4">
        <f t="shared" si="0"/>
        <v>2910</v>
      </c>
    </row>
    <row r="70" spans="1:13" x14ac:dyDescent="0.25">
      <c r="A70" s="1"/>
      <c r="B70" s="42">
        <v>1980</v>
      </c>
      <c r="C70" s="42" t="s">
        <v>76</v>
      </c>
      <c r="D70" s="43">
        <v>7896112119807</v>
      </c>
      <c r="E70" s="44" t="s">
        <v>23</v>
      </c>
      <c r="F70" s="45">
        <f>SUMIF(PND!D:D,B70,PND!H:H)</f>
        <v>0</v>
      </c>
      <c r="G70" s="4">
        <f>SUMIF(PND!D:D,Tabela2[[#This Row],[ITENS]],PND!J:J)</f>
        <v>0</v>
      </c>
      <c r="H70" s="45">
        <f>SUMIF(FATURADO!H:H,B70,FATURADO!L:L)</f>
        <v>0</v>
      </c>
      <c r="I70" s="4">
        <f>SUMIF(FATURADO!H:H,Tabela2[[#This Row],[ITENS]],FATURADO!N:N)</f>
        <v>0</v>
      </c>
      <c r="J70" s="45">
        <f>SUMIF(SEPARAÇÃO!I:I,B70,SEPARAÇÃO!M:M)</f>
        <v>0</v>
      </c>
      <c r="K70" s="4">
        <f>SUMIF(SEPARAÇÃO!I:I,Tabela2[[#This Row],[ITENS]],SEPARAÇÃO!P:P)</f>
        <v>0</v>
      </c>
      <c r="L70" s="45">
        <f t="shared" si="0"/>
        <v>0</v>
      </c>
      <c r="M70" s="4">
        <f t="shared" si="0"/>
        <v>0</v>
      </c>
    </row>
    <row r="71" spans="1:13" x14ac:dyDescent="0.25">
      <c r="A71" s="1"/>
      <c r="B71" s="42">
        <v>1984</v>
      </c>
      <c r="C71" s="42" t="s">
        <v>77</v>
      </c>
      <c r="D71" s="43">
        <v>7896112119845</v>
      </c>
      <c r="E71" s="44" t="s">
        <v>34</v>
      </c>
      <c r="F71" s="45">
        <f>SUMIF(PND!D:D,B71,PND!H:H)</f>
        <v>0</v>
      </c>
      <c r="G71" s="4">
        <f>SUMIF(PND!D:D,Tabela2[[#This Row],[ITENS]],PND!J:J)</f>
        <v>0</v>
      </c>
      <c r="H71" s="45">
        <f>SUMIF(FATURADO!H:H,B71,FATURADO!L:L)</f>
        <v>1000</v>
      </c>
      <c r="I71" s="4">
        <f>SUMIF(FATURADO!H:H,Tabela2[[#This Row],[ITENS]],FATURADO!N:N)</f>
        <v>4970</v>
      </c>
      <c r="J71" s="45">
        <f>SUMIF(SEPARAÇÃO!I:I,B71,SEPARAÇÃO!M:M)</f>
        <v>0</v>
      </c>
      <c r="K71" s="4">
        <f>SUMIF(SEPARAÇÃO!I:I,Tabela2[[#This Row],[ITENS]],SEPARAÇÃO!P:P)</f>
        <v>0</v>
      </c>
      <c r="L71" s="45">
        <f t="shared" si="0"/>
        <v>1000</v>
      </c>
      <c r="M71" s="4">
        <f t="shared" si="0"/>
        <v>4970</v>
      </c>
    </row>
    <row r="72" spans="1:13" x14ac:dyDescent="0.25">
      <c r="A72" s="1"/>
      <c r="B72" s="42">
        <v>2029</v>
      </c>
      <c r="C72" s="42" t="s">
        <v>78</v>
      </c>
      <c r="D72" s="43">
        <v>7896112120292</v>
      </c>
      <c r="E72" s="44" t="s">
        <v>34</v>
      </c>
      <c r="F72" s="45">
        <f>SUMIF(PND!D:D,B72,PND!H:H)</f>
        <v>0</v>
      </c>
      <c r="G72" s="4">
        <f>SUMIF(PND!D:D,Tabela2[[#This Row],[ITENS]],PND!J:J)</f>
        <v>0</v>
      </c>
      <c r="H72" s="45">
        <f>SUMIF(FATURADO!H:H,B72,FATURADO!L:L)</f>
        <v>1200</v>
      </c>
      <c r="I72" s="4">
        <f>SUMIF(FATURADO!H:H,Tabela2[[#This Row],[ITENS]],FATURADO!N:N)</f>
        <v>2448</v>
      </c>
      <c r="J72" s="45">
        <f>SUMIF(SEPARAÇÃO!I:I,B72,SEPARAÇÃO!M:M)</f>
        <v>0</v>
      </c>
      <c r="K72" s="4">
        <f>SUMIF(SEPARAÇÃO!I:I,Tabela2[[#This Row],[ITENS]],SEPARAÇÃO!P:P)</f>
        <v>0</v>
      </c>
      <c r="L72" s="45">
        <f t="shared" si="0"/>
        <v>1200</v>
      </c>
      <c r="M72" s="4">
        <f t="shared" si="0"/>
        <v>2448</v>
      </c>
    </row>
    <row r="73" spans="1:13" x14ac:dyDescent="0.25">
      <c r="A73" s="1"/>
      <c r="B73" s="42">
        <v>2103</v>
      </c>
      <c r="C73" s="42" t="s">
        <v>79</v>
      </c>
      <c r="D73" s="43">
        <v>7896112121039</v>
      </c>
      <c r="E73" s="44" t="s">
        <v>34</v>
      </c>
      <c r="F73" s="45">
        <f>SUMIF(PND!D:D,B73,PND!H:H)</f>
        <v>0</v>
      </c>
      <c r="G73" s="4">
        <f>SUMIF(PND!D:D,Tabela2[[#This Row],[ITENS]],PND!J:J)</f>
        <v>0</v>
      </c>
      <c r="H73" s="45">
        <f>SUMIF(FATURADO!H:H,B73,FATURADO!L:L)</f>
        <v>0</v>
      </c>
      <c r="I73" s="4">
        <f>SUMIF(FATURADO!H:H,Tabela2[[#This Row],[ITENS]],FATURADO!N:N)</f>
        <v>0</v>
      </c>
      <c r="J73" s="45">
        <f>SUMIF(SEPARAÇÃO!I:I,B73,SEPARAÇÃO!M:M)</f>
        <v>0</v>
      </c>
      <c r="K73" s="4">
        <f>SUMIF(SEPARAÇÃO!I:I,Tabela2[[#This Row],[ITENS]],SEPARAÇÃO!P:P)</f>
        <v>0</v>
      </c>
      <c r="L73" s="45">
        <f t="shared" si="0"/>
        <v>0</v>
      </c>
      <c r="M73" s="4">
        <f t="shared" si="0"/>
        <v>0</v>
      </c>
    </row>
    <row r="74" spans="1:13" x14ac:dyDescent="0.25">
      <c r="A74" s="1"/>
      <c r="B74" s="42">
        <v>2111</v>
      </c>
      <c r="C74" s="42" t="s">
        <v>80</v>
      </c>
      <c r="D74" s="43">
        <v>7896112121114</v>
      </c>
      <c r="E74" s="44" t="s">
        <v>34</v>
      </c>
      <c r="F74" s="45">
        <f>SUMIF(PND!D:D,B74,PND!H:H)</f>
        <v>0</v>
      </c>
      <c r="G74" s="4">
        <f>SUMIF(PND!D:D,Tabela2[[#This Row],[ITENS]],PND!J:J)</f>
        <v>0</v>
      </c>
      <c r="H74" s="45">
        <f>SUMIF(FATURADO!H:H,B74,FATURADO!L:L)</f>
        <v>3100</v>
      </c>
      <c r="I74" s="4">
        <f>SUMIF(FATURADO!H:H,Tabela2[[#This Row],[ITENS]],FATURADO!N:N)</f>
        <v>35493</v>
      </c>
      <c r="J74" s="45">
        <f>SUMIF(SEPARAÇÃO!I:I,B74,SEPARAÇÃO!M:M)</f>
        <v>0</v>
      </c>
      <c r="K74" s="4">
        <f>SUMIF(SEPARAÇÃO!I:I,Tabela2[[#This Row],[ITENS]],SEPARAÇÃO!P:P)</f>
        <v>0</v>
      </c>
      <c r="L74" s="45">
        <f t="shared" si="0"/>
        <v>3100</v>
      </c>
      <c r="M74" s="4">
        <f t="shared" si="0"/>
        <v>35493</v>
      </c>
    </row>
    <row r="75" spans="1:13" x14ac:dyDescent="0.25">
      <c r="A75" s="1"/>
      <c r="B75" s="42">
        <v>2114</v>
      </c>
      <c r="C75" s="42" t="s">
        <v>81</v>
      </c>
      <c r="D75" s="43">
        <v>7896112121145</v>
      </c>
      <c r="E75" s="44" t="s">
        <v>34</v>
      </c>
      <c r="F75" s="45">
        <f>SUMIF(PND!D:D,B75,PND!H:H)</f>
        <v>0</v>
      </c>
      <c r="G75" s="4">
        <f>SUMIF(PND!D:D,Tabela2[[#This Row],[ITENS]],PND!J:J)</f>
        <v>0</v>
      </c>
      <c r="H75" s="45">
        <f>SUMIF(FATURADO!H:H,B75,FATURADO!L:L)</f>
        <v>14000</v>
      </c>
      <c r="I75" s="4">
        <f>SUMIF(FATURADO!H:H,Tabela2[[#This Row],[ITENS]],FATURADO!N:N)</f>
        <v>21770</v>
      </c>
      <c r="J75" s="45">
        <f>SUMIF(SEPARAÇÃO!I:I,B75,SEPARAÇÃO!M:M)</f>
        <v>0</v>
      </c>
      <c r="K75" s="4">
        <f>SUMIF(SEPARAÇÃO!I:I,Tabela2[[#This Row],[ITENS]],SEPARAÇÃO!P:P)</f>
        <v>0</v>
      </c>
      <c r="L75" s="45">
        <f t="shared" si="0"/>
        <v>14000</v>
      </c>
      <c r="M75" s="4">
        <f t="shared" si="0"/>
        <v>21770</v>
      </c>
    </row>
    <row r="76" spans="1:13" x14ac:dyDescent="0.25">
      <c r="A76" s="1"/>
      <c r="B76" s="42">
        <v>2128</v>
      </c>
      <c r="C76" s="42" t="s">
        <v>82</v>
      </c>
      <c r="D76" s="43">
        <v>7896112121282</v>
      </c>
      <c r="E76" s="44" t="s">
        <v>34</v>
      </c>
      <c r="F76" s="45">
        <f>SUMIF(PND!D:D,B76,PND!H:H)</f>
        <v>0</v>
      </c>
      <c r="G76" s="4">
        <f>SUMIF(PND!D:D,Tabela2[[#This Row],[ITENS]],PND!J:J)</f>
        <v>0</v>
      </c>
      <c r="H76" s="45">
        <f>SUMIF(FATURADO!H:H,B76,FATURADO!L:L)</f>
        <v>6000</v>
      </c>
      <c r="I76" s="4">
        <f>SUMIF(FATURADO!H:H,Tabela2[[#This Row],[ITENS]],FATURADO!N:N)</f>
        <v>19440</v>
      </c>
      <c r="J76" s="45">
        <f>SUMIF(SEPARAÇÃO!I:I,B76,SEPARAÇÃO!M:M)</f>
        <v>0</v>
      </c>
      <c r="K76" s="4">
        <f>SUMIF(SEPARAÇÃO!I:I,Tabela2[[#This Row],[ITENS]],SEPARAÇÃO!P:P)</f>
        <v>0</v>
      </c>
      <c r="L76" s="45">
        <f t="shared" si="0"/>
        <v>6000</v>
      </c>
      <c r="M76" s="4">
        <f t="shared" si="0"/>
        <v>19440</v>
      </c>
    </row>
    <row r="77" spans="1:13" x14ac:dyDescent="0.25">
      <c r="A77" s="1"/>
      <c r="B77" s="42">
        <v>2183</v>
      </c>
      <c r="C77" s="42" t="s">
        <v>83</v>
      </c>
      <c r="D77" s="43">
        <v>7896112121831</v>
      </c>
      <c r="E77" s="44" t="s">
        <v>34</v>
      </c>
      <c r="F77" s="45">
        <f>SUMIF(PND!D:D,B77,PND!H:H)</f>
        <v>0</v>
      </c>
      <c r="G77" s="4">
        <f>SUMIF(PND!D:D,Tabela2[[#This Row],[ITENS]],PND!J:J)</f>
        <v>0</v>
      </c>
      <c r="H77" s="45">
        <f>SUMIF(FATURADO!H:H,B77,FATURADO!L:L)</f>
        <v>1500</v>
      </c>
      <c r="I77" s="4">
        <f>SUMIF(FATURADO!H:H,Tabela2[[#This Row],[ITENS]],FATURADO!N:N)</f>
        <v>5190</v>
      </c>
      <c r="J77" s="45">
        <f>SUMIF(SEPARAÇÃO!I:I,B77,SEPARAÇÃO!M:M)</f>
        <v>0</v>
      </c>
      <c r="K77" s="4">
        <f>SUMIF(SEPARAÇÃO!I:I,Tabela2[[#This Row],[ITENS]],SEPARAÇÃO!P:P)</f>
        <v>0</v>
      </c>
      <c r="L77" s="45">
        <f t="shared" si="0"/>
        <v>1500</v>
      </c>
      <c r="M77" s="4">
        <f t="shared" si="0"/>
        <v>5190</v>
      </c>
    </row>
    <row r="78" spans="1:13" x14ac:dyDescent="0.25">
      <c r="A78" s="1"/>
      <c r="B78" s="42">
        <v>2187</v>
      </c>
      <c r="C78" s="42" t="s">
        <v>84</v>
      </c>
      <c r="D78" s="43">
        <v>7896112121879</v>
      </c>
      <c r="E78" s="44" t="s">
        <v>23</v>
      </c>
      <c r="F78" s="45">
        <f>SUMIF(PND!D:D,B78,PND!H:H)</f>
        <v>0</v>
      </c>
      <c r="G78" s="4">
        <f>SUMIF(PND!D:D,Tabela2[[#This Row],[ITENS]],PND!J:J)</f>
        <v>0</v>
      </c>
      <c r="H78" s="45">
        <f>SUMIF(FATURADO!H:H,B78,FATURADO!L:L)</f>
        <v>0</v>
      </c>
      <c r="I78" s="4">
        <f>SUMIF(FATURADO!H:H,Tabela2[[#This Row],[ITENS]],FATURADO!N:N)</f>
        <v>0</v>
      </c>
      <c r="J78" s="45">
        <f>SUMIF(SEPARAÇÃO!I:I,B78,SEPARAÇÃO!M:M)</f>
        <v>0</v>
      </c>
      <c r="K78" s="4">
        <f>SUMIF(SEPARAÇÃO!I:I,Tabela2[[#This Row],[ITENS]],SEPARAÇÃO!P:P)</f>
        <v>0</v>
      </c>
      <c r="L78" s="45">
        <f t="shared" si="0"/>
        <v>0</v>
      </c>
      <c r="M78" s="4">
        <f t="shared" si="0"/>
        <v>0</v>
      </c>
    </row>
    <row r="79" spans="1:13" x14ac:dyDescent="0.25">
      <c r="A79" s="1"/>
      <c r="B79" s="42">
        <v>2188</v>
      </c>
      <c r="C79" s="42" t="s">
        <v>85</v>
      </c>
      <c r="D79" s="43">
        <v>7896112121886</v>
      </c>
      <c r="E79" s="44" t="s">
        <v>23</v>
      </c>
      <c r="F79" s="45">
        <f>SUMIF(PND!D:D,B79,PND!H:H)</f>
        <v>0</v>
      </c>
      <c r="G79" s="4">
        <f>SUMIF(PND!D:D,Tabela2[[#This Row],[ITENS]],PND!J:J)</f>
        <v>0</v>
      </c>
      <c r="H79" s="45">
        <f>SUMIF(FATURADO!H:H,B79,FATURADO!L:L)</f>
        <v>0</v>
      </c>
      <c r="I79" s="4">
        <f>SUMIF(FATURADO!H:H,Tabela2[[#This Row],[ITENS]],FATURADO!N:N)</f>
        <v>0</v>
      </c>
      <c r="J79" s="45">
        <f>SUMIF(SEPARAÇÃO!I:I,B79,SEPARAÇÃO!M:M)</f>
        <v>0</v>
      </c>
      <c r="K79" s="4">
        <f>SUMIF(SEPARAÇÃO!I:I,Tabela2[[#This Row],[ITENS]],SEPARAÇÃO!P:P)</f>
        <v>0</v>
      </c>
      <c r="L79" s="45">
        <f t="shared" si="0"/>
        <v>0</v>
      </c>
      <c r="M79" s="4">
        <f t="shared" si="0"/>
        <v>0</v>
      </c>
    </row>
    <row r="80" spans="1:13" x14ac:dyDescent="0.25">
      <c r="A80" s="1"/>
      <c r="B80" s="42">
        <v>2228</v>
      </c>
      <c r="C80" s="42" t="s">
        <v>86</v>
      </c>
      <c r="D80" s="43">
        <v>7896112122289</v>
      </c>
      <c r="E80" s="44" t="s">
        <v>23</v>
      </c>
      <c r="F80" s="45">
        <f>SUMIF(PND!D:D,B80,PND!H:H)</f>
        <v>0</v>
      </c>
      <c r="G80" s="4">
        <f>SUMIF(PND!D:D,Tabela2[[#This Row],[ITENS]],PND!J:J)</f>
        <v>0</v>
      </c>
      <c r="H80" s="45">
        <f>SUMIF(FATURADO!H:H,B80,FATURADO!L:L)</f>
        <v>0</v>
      </c>
      <c r="I80" s="4">
        <f>SUMIF(FATURADO!H:H,Tabela2[[#This Row],[ITENS]],FATURADO!N:N)</f>
        <v>0</v>
      </c>
      <c r="J80" s="45">
        <f>SUMIF(SEPARAÇÃO!I:I,B80,SEPARAÇÃO!M:M)</f>
        <v>0</v>
      </c>
      <c r="K80" s="4">
        <f>SUMIF(SEPARAÇÃO!I:I,Tabela2[[#This Row],[ITENS]],SEPARAÇÃO!P:P)</f>
        <v>0</v>
      </c>
      <c r="L80" s="45">
        <f t="shared" si="0"/>
        <v>0</v>
      </c>
      <c r="M80" s="4">
        <f t="shared" si="0"/>
        <v>0</v>
      </c>
    </row>
    <row r="81" spans="1:13" x14ac:dyDescent="0.25">
      <c r="A81" s="1"/>
      <c r="B81" s="42">
        <v>2243</v>
      </c>
      <c r="C81" s="42" t="s">
        <v>87</v>
      </c>
      <c r="D81" s="43">
        <v>7896112122432</v>
      </c>
      <c r="E81" s="44" t="s">
        <v>23</v>
      </c>
      <c r="F81" s="45">
        <f>SUMIF(PND!D:D,B81,PND!H:H)</f>
        <v>2000</v>
      </c>
      <c r="G81" s="4">
        <f>SUMIF(PND!D:D,Tabela2[[#This Row],[ITENS]],PND!J:J)</f>
        <v>2000</v>
      </c>
      <c r="H81" s="45">
        <f>SUMIF(FATURADO!H:H,B81,FATURADO!L:L)</f>
        <v>5000</v>
      </c>
      <c r="I81" s="4">
        <f>SUMIF(FATURADO!H:H,Tabela2[[#This Row],[ITENS]],FATURADO!N:N)</f>
        <v>4900</v>
      </c>
      <c r="J81" s="45">
        <f>SUMIF(SEPARAÇÃO!I:I,B81,SEPARAÇÃO!M:M)</f>
        <v>0</v>
      </c>
      <c r="K81" s="4">
        <f>SUMIF(SEPARAÇÃO!I:I,Tabela2[[#This Row],[ITENS]],SEPARAÇÃO!P:P)</f>
        <v>0</v>
      </c>
      <c r="L81" s="45">
        <f t="shared" si="0"/>
        <v>7000</v>
      </c>
      <c r="M81" s="4">
        <f t="shared" si="0"/>
        <v>6900</v>
      </c>
    </row>
    <row r="82" spans="1:13" x14ac:dyDescent="0.25">
      <c r="A82" s="1"/>
      <c r="B82" s="42">
        <v>2246</v>
      </c>
      <c r="C82" s="42" t="s">
        <v>88</v>
      </c>
      <c r="D82" s="43">
        <v>7896112122463</v>
      </c>
      <c r="E82" s="44" t="s">
        <v>34</v>
      </c>
      <c r="F82" s="45">
        <f>SUMIF(PND!D:D,B82,PND!H:H)</f>
        <v>2000</v>
      </c>
      <c r="G82" s="4">
        <f>SUMIF(PND!D:D,Tabela2[[#This Row],[ITENS]],PND!J:J)</f>
        <v>5720</v>
      </c>
      <c r="H82" s="45">
        <f>SUMIF(FATURADO!H:H,B82,FATURADO!L:L)</f>
        <v>2600</v>
      </c>
      <c r="I82" s="4">
        <f>SUMIF(FATURADO!H:H,Tabela2[[#This Row],[ITENS]],FATURADO!N:N)</f>
        <v>7248</v>
      </c>
      <c r="J82" s="45">
        <f>SUMIF(SEPARAÇÃO!I:I,B82,SEPARAÇÃO!M:M)</f>
        <v>0</v>
      </c>
      <c r="K82" s="4">
        <f>SUMIF(SEPARAÇÃO!I:I,Tabela2[[#This Row],[ITENS]],SEPARAÇÃO!P:P)</f>
        <v>0</v>
      </c>
      <c r="L82" s="45">
        <f t="shared" ref="L82:M145" si="1">F82+H82+J82</f>
        <v>4600</v>
      </c>
      <c r="M82" s="4">
        <f t="shared" si="1"/>
        <v>12968</v>
      </c>
    </row>
    <row r="83" spans="1:13" x14ac:dyDescent="0.25">
      <c r="A83" s="1"/>
      <c r="B83" s="42">
        <v>2260</v>
      </c>
      <c r="C83" s="42" t="s">
        <v>89</v>
      </c>
      <c r="D83" s="43">
        <v>7896112122609</v>
      </c>
      <c r="E83" s="44" t="s">
        <v>23</v>
      </c>
      <c r="F83" s="45">
        <f>SUMIF(PND!D:D,B83,PND!H:H)</f>
        <v>0</v>
      </c>
      <c r="G83" s="4">
        <f>SUMIF(PND!D:D,Tabela2[[#This Row],[ITENS]],PND!J:J)</f>
        <v>0</v>
      </c>
      <c r="H83" s="45">
        <f>SUMIF(FATURADO!H:H,B83,FATURADO!L:L)</f>
        <v>0</v>
      </c>
      <c r="I83" s="4">
        <f>SUMIF(FATURADO!H:H,Tabela2[[#This Row],[ITENS]],FATURADO!N:N)</f>
        <v>0</v>
      </c>
      <c r="J83" s="45">
        <f>SUMIF(SEPARAÇÃO!I:I,B83,SEPARAÇÃO!M:M)</f>
        <v>0</v>
      </c>
      <c r="K83" s="4">
        <f>SUMIF(SEPARAÇÃO!I:I,Tabela2[[#This Row],[ITENS]],SEPARAÇÃO!P:P)</f>
        <v>0</v>
      </c>
      <c r="L83" s="45">
        <f t="shared" si="1"/>
        <v>0</v>
      </c>
      <c r="M83" s="4">
        <f t="shared" si="1"/>
        <v>0</v>
      </c>
    </row>
    <row r="84" spans="1:13" x14ac:dyDescent="0.25">
      <c r="A84" s="1"/>
      <c r="B84" s="42">
        <v>2261</v>
      </c>
      <c r="C84" s="42" t="s">
        <v>90</v>
      </c>
      <c r="D84" s="43">
        <v>7896112122616</v>
      </c>
      <c r="E84" s="44" t="s">
        <v>23</v>
      </c>
      <c r="F84" s="45">
        <f>SUMIF(PND!D:D,B84,PND!H:H)</f>
        <v>150</v>
      </c>
      <c r="G84" s="4">
        <f>SUMIF(PND!D:D,Tabela2[[#This Row],[ITENS]],PND!J:J)</f>
        <v>1381.5</v>
      </c>
      <c r="H84" s="45">
        <f>SUMIF(FATURADO!H:H,B84,FATURADO!L:L)</f>
        <v>0</v>
      </c>
      <c r="I84" s="4">
        <f>SUMIF(FATURADO!H:H,Tabela2[[#This Row],[ITENS]],FATURADO!N:N)</f>
        <v>0</v>
      </c>
      <c r="J84" s="45">
        <f>SUMIF(SEPARAÇÃO!I:I,B84,SEPARAÇÃO!M:M)</f>
        <v>0</v>
      </c>
      <c r="K84" s="4">
        <f>SUMIF(SEPARAÇÃO!I:I,Tabela2[[#This Row],[ITENS]],SEPARAÇÃO!P:P)</f>
        <v>0</v>
      </c>
      <c r="L84" s="45">
        <f t="shared" si="1"/>
        <v>150</v>
      </c>
      <c r="M84" s="4">
        <f t="shared" si="1"/>
        <v>1381.5</v>
      </c>
    </row>
    <row r="85" spans="1:13" x14ac:dyDescent="0.25">
      <c r="A85" s="1"/>
      <c r="B85" s="42">
        <v>2269</v>
      </c>
      <c r="C85" s="42" t="s">
        <v>91</v>
      </c>
      <c r="D85" s="43">
        <v>7896112122692</v>
      </c>
      <c r="E85" s="44" t="s">
        <v>34</v>
      </c>
      <c r="F85" s="45">
        <f>SUMIF(PND!D:D,B85,PND!H:H)</f>
        <v>0</v>
      </c>
      <c r="G85" s="4">
        <f>SUMIF(PND!D:D,Tabela2[[#This Row],[ITENS]],PND!J:J)</f>
        <v>0</v>
      </c>
      <c r="H85" s="45">
        <f>SUMIF(FATURADO!H:H,B85,FATURADO!L:L)</f>
        <v>900</v>
      </c>
      <c r="I85" s="4">
        <f>SUMIF(FATURADO!H:H,Tabela2[[#This Row],[ITENS]],FATURADO!N:N)</f>
        <v>2991</v>
      </c>
      <c r="J85" s="45">
        <f>SUMIF(SEPARAÇÃO!I:I,B85,SEPARAÇÃO!M:M)</f>
        <v>0</v>
      </c>
      <c r="K85" s="4">
        <f>SUMIF(SEPARAÇÃO!I:I,Tabela2[[#This Row],[ITENS]],SEPARAÇÃO!P:P)</f>
        <v>0</v>
      </c>
      <c r="L85" s="45">
        <f t="shared" si="1"/>
        <v>900</v>
      </c>
      <c r="M85" s="4">
        <f t="shared" si="1"/>
        <v>2991</v>
      </c>
    </row>
    <row r="86" spans="1:13" x14ac:dyDescent="0.25">
      <c r="A86" s="1"/>
      <c r="B86" s="42">
        <v>2270</v>
      </c>
      <c r="C86" s="42" t="s">
        <v>92</v>
      </c>
      <c r="D86" s="43">
        <v>7896112122708</v>
      </c>
      <c r="E86" s="44" t="s">
        <v>34</v>
      </c>
      <c r="F86" s="45">
        <f>SUMIF(PND!D:D,B86,PND!H:H)</f>
        <v>0</v>
      </c>
      <c r="G86" s="4">
        <f>SUMIF(PND!D:D,Tabela2[[#This Row],[ITENS]],PND!J:J)</f>
        <v>0</v>
      </c>
      <c r="H86" s="45">
        <f>SUMIF(FATURADO!H:H,B86,FATURADO!L:L)</f>
        <v>100</v>
      </c>
      <c r="I86" s="4">
        <f>SUMIF(FATURADO!H:H,Tabela2[[#This Row],[ITENS]],FATURADO!N:N)</f>
        <v>822</v>
      </c>
      <c r="J86" s="45">
        <f>SUMIF(SEPARAÇÃO!I:I,B86,SEPARAÇÃO!M:M)</f>
        <v>0</v>
      </c>
      <c r="K86" s="4">
        <f>SUMIF(SEPARAÇÃO!I:I,Tabela2[[#This Row],[ITENS]],SEPARAÇÃO!P:P)</f>
        <v>0</v>
      </c>
      <c r="L86" s="45">
        <f t="shared" si="1"/>
        <v>100</v>
      </c>
      <c r="M86" s="4">
        <f t="shared" si="1"/>
        <v>822</v>
      </c>
    </row>
    <row r="87" spans="1:13" x14ac:dyDescent="0.25">
      <c r="A87" s="1"/>
      <c r="B87" s="42">
        <v>2303</v>
      </c>
      <c r="C87" s="42" t="s">
        <v>93</v>
      </c>
      <c r="D87" s="43">
        <v>7896112123033</v>
      </c>
      <c r="E87" s="44" t="s">
        <v>34</v>
      </c>
      <c r="F87" s="45">
        <f>SUMIF(PND!D:D,B87,PND!H:H)</f>
        <v>0</v>
      </c>
      <c r="G87" s="4">
        <f>SUMIF(PND!D:D,Tabela2[[#This Row],[ITENS]],PND!J:J)</f>
        <v>0</v>
      </c>
      <c r="H87" s="45">
        <f>SUMIF(FATURADO!H:H,B87,FATURADO!L:L)</f>
        <v>1300</v>
      </c>
      <c r="I87" s="4">
        <f>SUMIF(FATURADO!H:H,Tabela2[[#This Row],[ITENS]],FATURADO!N:N)</f>
        <v>14754</v>
      </c>
      <c r="J87" s="45">
        <f>SUMIF(SEPARAÇÃO!I:I,B87,SEPARAÇÃO!M:M)</f>
        <v>0</v>
      </c>
      <c r="K87" s="4">
        <f>SUMIF(SEPARAÇÃO!I:I,Tabela2[[#This Row],[ITENS]],SEPARAÇÃO!P:P)</f>
        <v>0</v>
      </c>
      <c r="L87" s="45">
        <f t="shared" si="1"/>
        <v>1300</v>
      </c>
      <c r="M87" s="4">
        <f t="shared" si="1"/>
        <v>14754</v>
      </c>
    </row>
    <row r="88" spans="1:13" x14ac:dyDescent="0.25">
      <c r="A88" s="1"/>
      <c r="B88" s="42">
        <v>2306</v>
      </c>
      <c r="C88" s="42" t="s">
        <v>94</v>
      </c>
      <c r="D88" s="43">
        <v>7896112123064</v>
      </c>
      <c r="E88" s="44" t="s">
        <v>34</v>
      </c>
      <c r="F88" s="45">
        <f>SUMIF(PND!D:D,B88,PND!H:H)</f>
        <v>0</v>
      </c>
      <c r="G88" s="4">
        <f>SUMIF(PND!D:D,Tabela2[[#This Row],[ITENS]],PND!J:J)</f>
        <v>0</v>
      </c>
      <c r="H88" s="45">
        <f>SUMIF(FATURADO!H:H,B88,FATURADO!L:L)</f>
        <v>200</v>
      </c>
      <c r="I88" s="4">
        <f>SUMIF(FATURADO!H:H,Tabela2[[#This Row],[ITENS]],FATURADO!N:N)</f>
        <v>484</v>
      </c>
      <c r="J88" s="45">
        <f>SUMIF(SEPARAÇÃO!I:I,B88,SEPARAÇÃO!M:M)</f>
        <v>0</v>
      </c>
      <c r="K88" s="4">
        <f>SUMIF(SEPARAÇÃO!I:I,Tabela2[[#This Row],[ITENS]],SEPARAÇÃO!P:P)</f>
        <v>0</v>
      </c>
      <c r="L88" s="45">
        <f t="shared" si="1"/>
        <v>200</v>
      </c>
      <c r="M88" s="4">
        <f t="shared" si="1"/>
        <v>484</v>
      </c>
    </row>
    <row r="89" spans="1:13" x14ac:dyDescent="0.25">
      <c r="A89" s="1"/>
      <c r="B89" s="42">
        <v>2317</v>
      </c>
      <c r="C89" s="42" t="s">
        <v>95</v>
      </c>
      <c r="D89" s="43">
        <v>7896112123170</v>
      </c>
      <c r="E89" s="44" t="s">
        <v>34</v>
      </c>
      <c r="F89" s="45">
        <f>SUMIF(PND!D:D,B89,PND!H:H)</f>
        <v>0</v>
      </c>
      <c r="G89" s="4">
        <f>SUMIF(PND!D:D,Tabela2[[#This Row],[ITENS]],PND!J:J)</f>
        <v>0</v>
      </c>
      <c r="H89" s="45">
        <f>SUMIF(FATURADO!H:H,B89,FATURADO!L:L)</f>
        <v>1200</v>
      </c>
      <c r="I89" s="4">
        <f>SUMIF(FATURADO!H:H,Tabela2[[#This Row],[ITENS]],FATURADO!N:N)</f>
        <v>3564</v>
      </c>
      <c r="J89" s="45">
        <f>SUMIF(SEPARAÇÃO!I:I,B89,SEPARAÇÃO!M:M)</f>
        <v>0</v>
      </c>
      <c r="K89" s="4">
        <f>SUMIF(SEPARAÇÃO!I:I,Tabela2[[#This Row],[ITENS]],SEPARAÇÃO!P:P)</f>
        <v>0</v>
      </c>
      <c r="L89" s="45">
        <f t="shared" si="1"/>
        <v>1200</v>
      </c>
      <c r="M89" s="4">
        <f t="shared" si="1"/>
        <v>3564</v>
      </c>
    </row>
    <row r="90" spans="1:13" x14ac:dyDescent="0.25">
      <c r="A90" s="1"/>
      <c r="B90" s="42">
        <v>2367</v>
      </c>
      <c r="C90" s="42" t="s">
        <v>96</v>
      </c>
      <c r="D90" s="43">
        <v>7896112123675</v>
      </c>
      <c r="E90" s="44" t="s">
        <v>23</v>
      </c>
      <c r="F90" s="45">
        <f>SUMIF(PND!D:D,B90,PND!H:H)</f>
        <v>400</v>
      </c>
      <c r="G90" s="4">
        <f>SUMIF(PND!D:D,Tabela2[[#This Row],[ITENS]],PND!J:J)</f>
        <v>2720</v>
      </c>
      <c r="H90" s="45">
        <f>SUMIF(FATURADO!H:H,B90,FATURADO!L:L)</f>
        <v>300</v>
      </c>
      <c r="I90" s="4">
        <f>SUMIF(FATURADO!H:H,Tabela2[[#This Row],[ITENS]],FATURADO!N:N)</f>
        <v>1962</v>
      </c>
      <c r="J90" s="45">
        <f>SUMIF(SEPARAÇÃO!I:I,B90,SEPARAÇÃO!M:M)</f>
        <v>0</v>
      </c>
      <c r="K90" s="4">
        <f>SUMIF(SEPARAÇÃO!I:I,Tabela2[[#This Row],[ITENS]],SEPARAÇÃO!P:P)</f>
        <v>0</v>
      </c>
      <c r="L90" s="45">
        <f t="shared" si="1"/>
        <v>700</v>
      </c>
      <c r="M90" s="4">
        <f t="shared" si="1"/>
        <v>4682</v>
      </c>
    </row>
    <row r="91" spans="1:13" x14ac:dyDescent="0.25">
      <c r="A91" s="1"/>
      <c r="B91" s="42">
        <v>2388</v>
      </c>
      <c r="C91" s="42" t="s">
        <v>97</v>
      </c>
      <c r="D91" s="43">
        <v>7896112123880</v>
      </c>
      <c r="E91" s="44" t="s">
        <v>34</v>
      </c>
      <c r="F91" s="45">
        <f>SUMIF(PND!D:D,B91,PND!H:H)</f>
        <v>0</v>
      </c>
      <c r="G91" s="4">
        <f>SUMIF(PND!D:D,Tabela2[[#This Row],[ITENS]],PND!J:J)</f>
        <v>0</v>
      </c>
      <c r="H91" s="45">
        <f>SUMIF(FATURADO!H:H,B91,FATURADO!L:L)</f>
        <v>0</v>
      </c>
      <c r="I91" s="4">
        <f>SUMIF(FATURADO!H:H,Tabela2[[#This Row],[ITENS]],FATURADO!N:N)</f>
        <v>0</v>
      </c>
      <c r="J91" s="45">
        <f>SUMIF(SEPARAÇÃO!I:I,B91,SEPARAÇÃO!M:M)</f>
        <v>0</v>
      </c>
      <c r="K91" s="4">
        <f>SUMIF(SEPARAÇÃO!I:I,Tabela2[[#This Row],[ITENS]],SEPARAÇÃO!P:P)</f>
        <v>0</v>
      </c>
      <c r="L91" s="45">
        <f t="shared" si="1"/>
        <v>0</v>
      </c>
      <c r="M91" s="4">
        <f t="shared" si="1"/>
        <v>0</v>
      </c>
    </row>
    <row r="92" spans="1:13" x14ac:dyDescent="0.25">
      <c r="A92" s="1"/>
      <c r="B92" s="42">
        <v>2442</v>
      </c>
      <c r="C92" s="42" t="s">
        <v>98</v>
      </c>
      <c r="D92" s="43">
        <v>7896112124429</v>
      </c>
      <c r="E92" s="44" t="s">
        <v>34</v>
      </c>
      <c r="F92" s="45">
        <f>SUMIF(PND!D:D,B92,PND!H:H)</f>
        <v>3000</v>
      </c>
      <c r="G92" s="4">
        <f>SUMIF(PND!D:D,Tabela2[[#This Row],[ITENS]],PND!J:J)</f>
        <v>5130</v>
      </c>
      <c r="H92" s="45">
        <f>SUMIF(FATURADO!H:H,B92,FATURADO!L:L)</f>
        <v>2000</v>
      </c>
      <c r="I92" s="4">
        <f>SUMIF(FATURADO!H:H,Tabela2[[#This Row],[ITENS]],FATURADO!N:N)</f>
        <v>3420</v>
      </c>
      <c r="J92" s="45">
        <f>SUMIF(SEPARAÇÃO!I:I,B92,SEPARAÇÃO!M:M)</f>
        <v>0</v>
      </c>
      <c r="K92" s="4">
        <f>SUMIF(SEPARAÇÃO!I:I,Tabela2[[#This Row],[ITENS]],SEPARAÇÃO!P:P)</f>
        <v>0</v>
      </c>
      <c r="L92" s="45">
        <f t="shared" si="1"/>
        <v>5000</v>
      </c>
      <c r="M92" s="4">
        <f t="shared" si="1"/>
        <v>8550</v>
      </c>
    </row>
    <row r="93" spans="1:13" x14ac:dyDescent="0.25">
      <c r="A93" s="1"/>
      <c r="B93" s="42">
        <v>2490</v>
      </c>
      <c r="C93" s="42" t="s">
        <v>99</v>
      </c>
      <c r="D93" s="43">
        <v>7896112124900</v>
      </c>
      <c r="E93" s="44" t="s">
        <v>34</v>
      </c>
      <c r="F93" s="45">
        <f>SUMIF(PND!D:D,B93,PND!H:H)</f>
        <v>0</v>
      </c>
      <c r="G93" s="4">
        <f>SUMIF(PND!D:D,Tabela2[[#This Row],[ITENS]],PND!J:J)</f>
        <v>0</v>
      </c>
      <c r="H93" s="45">
        <f>SUMIF(FATURADO!H:H,B93,FATURADO!L:L)</f>
        <v>200</v>
      </c>
      <c r="I93" s="4">
        <f>SUMIF(FATURADO!H:H,Tabela2[[#This Row],[ITENS]],FATURADO!N:N)</f>
        <v>715</v>
      </c>
      <c r="J93" s="45">
        <f>SUMIF(SEPARAÇÃO!I:I,B93,SEPARAÇÃO!M:M)</f>
        <v>0</v>
      </c>
      <c r="K93" s="4">
        <f>SUMIF(SEPARAÇÃO!I:I,Tabela2[[#This Row],[ITENS]],SEPARAÇÃO!P:P)</f>
        <v>0</v>
      </c>
      <c r="L93" s="45">
        <f t="shared" si="1"/>
        <v>200</v>
      </c>
      <c r="M93" s="4">
        <f t="shared" si="1"/>
        <v>715</v>
      </c>
    </row>
    <row r="94" spans="1:13" x14ac:dyDescent="0.25">
      <c r="A94" s="1"/>
      <c r="B94" s="42">
        <v>2535</v>
      </c>
      <c r="C94" s="42" t="s">
        <v>100</v>
      </c>
      <c r="D94" s="43">
        <v>7896112125358</v>
      </c>
      <c r="E94" s="44" t="s">
        <v>34</v>
      </c>
      <c r="F94" s="45">
        <f>SUMIF(PND!D:D,B94,PND!H:H)</f>
        <v>0</v>
      </c>
      <c r="G94" s="4">
        <f>SUMIF(PND!D:D,Tabela2[[#This Row],[ITENS]],PND!J:J)</f>
        <v>0</v>
      </c>
      <c r="H94" s="45">
        <f>SUMIF(FATURADO!H:H,B94,FATURADO!L:L)</f>
        <v>0</v>
      </c>
      <c r="I94" s="4">
        <f>SUMIF(FATURADO!H:H,Tabela2[[#This Row],[ITENS]],FATURADO!N:N)</f>
        <v>0</v>
      </c>
      <c r="J94" s="45">
        <f>SUMIF(SEPARAÇÃO!I:I,B94,SEPARAÇÃO!M:M)</f>
        <v>0</v>
      </c>
      <c r="K94" s="4">
        <f>SUMIF(SEPARAÇÃO!I:I,Tabela2[[#This Row],[ITENS]],SEPARAÇÃO!P:P)</f>
        <v>0</v>
      </c>
      <c r="L94" s="45">
        <f t="shared" si="1"/>
        <v>0</v>
      </c>
      <c r="M94" s="4">
        <f t="shared" si="1"/>
        <v>0</v>
      </c>
    </row>
    <row r="95" spans="1:13" x14ac:dyDescent="0.25">
      <c r="A95" s="1"/>
      <c r="B95" s="42">
        <v>2549</v>
      </c>
      <c r="C95" s="42" t="s">
        <v>101</v>
      </c>
      <c r="D95" s="43">
        <v>7896112125495</v>
      </c>
      <c r="E95" s="44" t="s">
        <v>34</v>
      </c>
      <c r="F95" s="45">
        <f>SUMIF(PND!D:D,B95,PND!H:H)</f>
        <v>0</v>
      </c>
      <c r="G95" s="4">
        <f>SUMIF(PND!D:D,Tabela2[[#This Row],[ITENS]],PND!J:J)</f>
        <v>0</v>
      </c>
      <c r="H95" s="45">
        <f>SUMIF(FATURADO!H:H,B95,FATURADO!L:L)</f>
        <v>0</v>
      </c>
      <c r="I95" s="4">
        <f>SUMIF(FATURADO!H:H,Tabela2[[#This Row],[ITENS]],FATURADO!N:N)</f>
        <v>0</v>
      </c>
      <c r="J95" s="45">
        <f>SUMIF(SEPARAÇÃO!I:I,B95,SEPARAÇÃO!M:M)</f>
        <v>0</v>
      </c>
      <c r="K95" s="4">
        <f>SUMIF(SEPARAÇÃO!I:I,Tabela2[[#This Row],[ITENS]],SEPARAÇÃO!P:P)</f>
        <v>0</v>
      </c>
      <c r="L95" s="45">
        <f t="shared" si="1"/>
        <v>0</v>
      </c>
      <c r="M95" s="4">
        <f t="shared" si="1"/>
        <v>0</v>
      </c>
    </row>
    <row r="96" spans="1:13" x14ac:dyDescent="0.25">
      <c r="A96" s="1"/>
      <c r="B96" s="42">
        <v>2556</v>
      </c>
      <c r="C96" s="42" t="s">
        <v>102</v>
      </c>
      <c r="D96" s="43">
        <v>7896112125563</v>
      </c>
      <c r="E96" s="44" t="s">
        <v>34</v>
      </c>
      <c r="F96" s="45">
        <f>SUMIF(PND!D:D,B96,PND!H:H)</f>
        <v>0</v>
      </c>
      <c r="G96" s="4">
        <f>SUMIF(PND!D:D,Tabela2[[#This Row],[ITENS]],PND!J:J)</f>
        <v>0</v>
      </c>
      <c r="H96" s="45">
        <f>SUMIF(FATURADO!H:H,B96,FATURADO!L:L)</f>
        <v>200</v>
      </c>
      <c r="I96" s="4">
        <f>SUMIF(FATURADO!H:H,Tabela2[[#This Row],[ITENS]],FATURADO!N:N)</f>
        <v>748</v>
      </c>
      <c r="J96" s="45">
        <f>SUMIF(SEPARAÇÃO!I:I,B96,SEPARAÇÃO!M:M)</f>
        <v>0</v>
      </c>
      <c r="K96" s="4">
        <f>SUMIF(SEPARAÇÃO!I:I,Tabela2[[#This Row],[ITENS]],SEPARAÇÃO!P:P)</f>
        <v>0</v>
      </c>
      <c r="L96" s="45">
        <f t="shared" si="1"/>
        <v>200</v>
      </c>
      <c r="M96" s="4">
        <f t="shared" si="1"/>
        <v>748</v>
      </c>
    </row>
    <row r="97" spans="1:13" x14ac:dyDescent="0.25">
      <c r="A97" s="1"/>
      <c r="B97" s="42">
        <v>2561</v>
      </c>
      <c r="C97" s="42" t="s">
        <v>103</v>
      </c>
      <c r="D97" s="43">
        <v>7896112125617</v>
      </c>
      <c r="E97" s="44" t="s">
        <v>34</v>
      </c>
      <c r="F97" s="45">
        <f>SUMIF(PND!D:D,B97,PND!H:H)</f>
        <v>0</v>
      </c>
      <c r="G97" s="4">
        <f>SUMIF(PND!D:D,Tabela2[[#This Row],[ITENS]],PND!J:J)</f>
        <v>0</v>
      </c>
      <c r="H97" s="45">
        <f>SUMIF(FATURADO!H:H,B97,FATURADO!L:L)</f>
        <v>2000</v>
      </c>
      <c r="I97" s="4">
        <f>SUMIF(FATURADO!H:H,Tabela2[[#This Row],[ITENS]],FATURADO!N:N)</f>
        <v>3880</v>
      </c>
      <c r="J97" s="45">
        <f>SUMIF(SEPARAÇÃO!I:I,B97,SEPARAÇÃO!M:M)</f>
        <v>0</v>
      </c>
      <c r="K97" s="4">
        <f>SUMIF(SEPARAÇÃO!I:I,Tabela2[[#This Row],[ITENS]],SEPARAÇÃO!P:P)</f>
        <v>0</v>
      </c>
      <c r="L97" s="45">
        <f t="shared" si="1"/>
        <v>2000</v>
      </c>
      <c r="M97" s="4">
        <f t="shared" si="1"/>
        <v>3880</v>
      </c>
    </row>
    <row r="98" spans="1:13" x14ac:dyDescent="0.25">
      <c r="A98" s="1"/>
      <c r="B98" s="42">
        <v>2566</v>
      </c>
      <c r="C98" s="42" t="s">
        <v>104</v>
      </c>
      <c r="D98" s="43">
        <v>7896112125662</v>
      </c>
      <c r="E98" s="44" t="s">
        <v>34</v>
      </c>
      <c r="F98" s="45">
        <f>SUMIF(PND!D:D,B98,PND!H:H)</f>
        <v>2000</v>
      </c>
      <c r="G98" s="4">
        <f>SUMIF(PND!D:D,Tabela2[[#This Row],[ITENS]],PND!J:J)</f>
        <v>8840</v>
      </c>
      <c r="H98" s="45">
        <f>SUMIF(FATURADO!H:H,B98,FATURADO!L:L)</f>
        <v>500</v>
      </c>
      <c r="I98" s="4">
        <f>SUMIF(FATURADO!H:H,Tabela2[[#This Row],[ITENS]],FATURADO!N:N)</f>
        <v>2210</v>
      </c>
      <c r="J98" s="45">
        <f>SUMIF(SEPARAÇÃO!I:I,B98,SEPARAÇÃO!M:M)</f>
        <v>0</v>
      </c>
      <c r="K98" s="4">
        <f>SUMIF(SEPARAÇÃO!I:I,Tabela2[[#This Row],[ITENS]],SEPARAÇÃO!P:P)</f>
        <v>0</v>
      </c>
      <c r="L98" s="45">
        <f t="shared" si="1"/>
        <v>2500</v>
      </c>
      <c r="M98" s="4">
        <f t="shared" si="1"/>
        <v>11050</v>
      </c>
    </row>
    <row r="99" spans="1:13" x14ac:dyDescent="0.25">
      <c r="A99" s="1"/>
      <c r="B99" s="42">
        <v>2582</v>
      </c>
      <c r="C99" s="42" t="s">
        <v>105</v>
      </c>
      <c r="D99" s="43">
        <v>7896112125822</v>
      </c>
      <c r="E99" s="44" t="s">
        <v>23</v>
      </c>
      <c r="F99" s="45">
        <f>SUMIF(PND!D:D,B99,PND!H:H)</f>
        <v>0</v>
      </c>
      <c r="G99" s="4">
        <f>SUMIF(PND!D:D,Tabela2[[#This Row],[ITENS]],PND!J:J)</f>
        <v>0</v>
      </c>
      <c r="H99" s="45">
        <f>SUMIF(FATURADO!H:H,B99,FATURADO!L:L)</f>
        <v>2600</v>
      </c>
      <c r="I99" s="4">
        <f>SUMIF(FATURADO!H:H,Tabela2[[#This Row],[ITENS]],FATURADO!N:N)</f>
        <v>29146</v>
      </c>
      <c r="J99" s="45">
        <f>SUMIF(SEPARAÇÃO!I:I,B99,SEPARAÇÃO!M:M)</f>
        <v>0</v>
      </c>
      <c r="K99" s="4">
        <f>SUMIF(SEPARAÇÃO!I:I,Tabela2[[#This Row],[ITENS]],SEPARAÇÃO!P:P)</f>
        <v>0</v>
      </c>
      <c r="L99" s="45">
        <f t="shared" si="1"/>
        <v>2600</v>
      </c>
      <c r="M99" s="4">
        <f t="shared" si="1"/>
        <v>29146</v>
      </c>
    </row>
    <row r="100" spans="1:13" x14ac:dyDescent="0.25">
      <c r="A100" s="1"/>
      <c r="B100" s="42">
        <v>2583</v>
      </c>
      <c r="C100" s="42" t="s">
        <v>106</v>
      </c>
      <c r="D100" s="43">
        <v>7896112125839</v>
      </c>
      <c r="E100" s="44" t="s">
        <v>23</v>
      </c>
      <c r="F100" s="45">
        <f>SUMIF(PND!D:D,B100,PND!H:H)</f>
        <v>1280</v>
      </c>
      <c r="G100" s="4">
        <f>SUMIF(PND!D:D,Tabela2[[#This Row],[ITENS]],PND!J:J)</f>
        <v>27865.599999999999</v>
      </c>
      <c r="H100" s="45">
        <f>SUMIF(FATURADO!H:H,B100,FATURADO!L:L)</f>
        <v>240</v>
      </c>
      <c r="I100" s="4">
        <f>SUMIF(FATURADO!H:H,Tabela2[[#This Row],[ITENS]],FATURADO!N:N)</f>
        <v>4922.3999999999996</v>
      </c>
      <c r="J100" s="45">
        <f>SUMIF(SEPARAÇÃO!I:I,B100,SEPARAÇÃO!M:M)</f>
        <v>0</v>
      </c>
      <c r="K100" s="4">
        <f>SUMIF(SEPARAÇÃO!I:I,Tabela2[[#This Row],[ITENS]],SEPARAÇÃO!P:P)</f>
        <v>0</v>
      </c>
      <c r="L100" s="45">
        <f t="shared" si="1"/>
        <v>1520</v>
      </c>
      <c r="M100" s="4">
        <f t="shared" si="1"/>
        <v>32788</v>
      </c>
    </row>
    <row r="101" spans="1:13" x14ac:dyDescent="0.25">
      <c r="A101" s="1"/>
      <c r="B101" s="42">
        <v>2622</v>
      </c>
      <c r="C101" s="42" t="s">
        <v>107</v>
      </c>
      <c r="D101" s="43">
        <v>7896112126225</v>
      </c>
      <c r="E101" s="44" t="s">
        <v>34</v>
      </c>
      <c r="F101" s="45">
        <f>SUMIF(PND!D:D,B101,PND!H:H)</f>
        <v>0</v>
      </c>
      <c r="G101" s="4">
        <f>SUMIF(PND!D:D,Tabela2[[#This Row],[ITENS]],PND!J:J)</f>
        <v>0</v>
      </c>
      <c r="H101" s="45">
        <f>SUMIF(FATURADO!H:H,B101,FATURADO!L:L)</f>
        <v>0</v>
      </c>
      <c r="I101" s="4">
        <f>SUMIF(FATURADO!H:H,Tabela2[[#This Row],[ITENS]],FATURADO!N:N)</f>
        <v>0</v>
      </c>
      <c r="J101" s="45">
        <f>SUMIF(SEPARAÇÃO!I:I,B101,SEPARAÇÃO!M:M)</f>
        <v>0</v>
      </c>
      <c r="K101" s="4">
        <f>SUMIF(SEPARAÇÃO!I:I,Tabela2[[#This Row],[ITENS]],SEPARAÇÃO!P:P)</f>
        <v>0</v>
      </c>
      <c r="L101" s="45">
        <f t="shared" si="1"/>
        <v>0</v>
      </c>
      <c r="M101" s="4">
        <f t="shared" si="1"/>
        <v>0</v>
      </c>
    </row>
    <row r="102" spans="1:13" x14ac:dyDescent="0.25">
      <c r="A102" s="1"/>
      <c r="B102" s="42">
        <v>2627</v>
      </c>
      <c r="C102" s="42" t="s">
        <v>108</v>
      </c>
      <c r="D102" s="43">
        <v>7896112126270</v>
      </c>
      <c r="E102" s="44" t="s">
        <v>34</v>
      </c>
      <c r="F102" s="45">
        <f>SUMIF(PND!D:D,B102,PND!H:H)</f>
        <v>0</v>
      </c>
      <c r="G102" s="4">
        <f>SUMIF(PND!D:D,Tabela2[[#This Row],[ITENS]],PND!J:J)</f>
        <v>0</v>
      </c>
      <c r="H102" s="45">
        <f>SUMIF(FATURADO!H:H,B102,FATURADO!L:L)</f>
        <v>1500</v>
      </c>
      <c r="I102" s="4">
        <f>SUMIF(FATURADO!H:H,Tabela2[[#This Row],[ITENS]],FATURADO!N:N)</f>
        <v>4485</v>
      </c>
      <c r="J102" s="45">
        <f>SUMIF(SEPARAÇÃO!I:I,B102,SEPARAÇÃO!M:M)</f>
        <v>0</v>
      </c>
      <c r="K102" s="4">
        <f>SUMIF(SEPARAÇÃO!I:I,Tabela2[[#This Row],[ITENS]],SEPARAÇÃO!P:P)</f>
        <v>0</v>
      </c>
      <c r="L102" s="45">
        <f t="shared" si="1"/>
        <v>1500</v>
      </c>
      <c r="M102" s="4">
        <f t="shared" si="1"/>
        <v>4485</v>
      </c>
    </row>
    <row r="103" spans="1:13" x14ac:dyDescent="0.25">
      <c r="A103" s="1"/>
      <c r="B103" s="42">
        <v>2643</v>
      </c>
      <c r="C103" s="42" t="s">
        <v>109</v>
      </c>
      <c r="D103" s="43">
        <v>7896112126430</v>
      </c>
      <c r="E103" s="44" t="s">
        <v>34</v>
      </c>
      <c r="F103" s="45">
        <f>SUMIF(PND!D:D,B103,PND!H:H)</f>
        <v>0</v>
      </c>
      <c r="G103" s="4">
        <f>SUMIF(PND!D:D,Tabela2[[#This Row],[ITENS]],PND!J:J)</f>
        <v>0</v>
      </c>
      <c r="H103" s="45">
        <f>SUMIF(FATURADO!H:H,B103,FATURADO!L:L)</f>
        <v>200</v>
      </c>
      <c r="I103" s="4">
        <f>SUMIF(FATURADO!H:H,Tabela2[[#This Row],[ITENS]],FATURADO!N:N)</f>
        <v>954</v>
      </c>
      <c r="J103" s="45">
        <f>SUMIF(SEPARAÇÃO!I:I,B103,SEPARAÇÃO!M:M)</f>
        <v>0</v>
      </c>
      <c r="K103" s="4">
        <f>SUMIF(SEPARAÇÃO!I:I,Tabela2[[#This Row],[ITENS]],SEPARAÇÃO!P:P)</f>
        <v>0</v>
      </c>
      <c r="L103" s="45">
        <f t="shared" si="1"/>
        <v>200</v>
      </c>
      <c r="M103" s="4">
        <f t="shared" si="1"/>
        <v>954</v>
      </c>
    </row>
    <row r="104" spans="1:13" x14ac:dyDescent="0.25">
      <c r="A104" s="1"/>
      <c r="B104" s="42">
        <v>2647</v>
      </c>
      <c r="C104" s="42" t="s">
        <v>110</v>
      </c>
      <c r="D104" s="43">
        <v>7896112126478</v>
      </c>
      <c r="E104" s="44" t="s">
        <v>34</v>
      </c>
      <c r="F104" s="45">
        <f>SUMIF(PND!D:D,B104,PND!H:H)</f>
        <v>0</v>
      </c>
      <c r="G104" s="4">
        <f>SUMIF(PND!D:D,Tabela2[[#This Row],[ITENS]],PND!J:J)</f>
        <v>0</v>
      </c>
      <c r="H104" s="45">
        <f>SUMIF(FATURADO!H:H,B104,FATURADO!L:L)</f>
        <v>0</v>
      </c>
      <c r="I104" s="4">
        <f>SUMIF(FATURADO!H:H,Tabela2[[#This Row],[ITENS]],FATURADO!N:N)</f>
        <v>0</v>
      </c>
      <c r="J104" s="45">
        <f>SUMIF(SEPARAÇÃO!I:I,B104,SEPARAÇÃO!M:M)</f>
        <v>0</v>
      </c>
      <c r="K104" s="4">
        <f>SUMIF(SEPARAÇÃO!I:I,Tabela2[[#This Row],[ITENS]],SEPARAÇÃO!P:P)</f>
        <v>0</v>
      </c>
      <c r="L104" s="45">
        <f t="shared" si="1"/>
        <v>0</v>
      </c>
      <c r="M104" s="4">
        <f t="shared" si="1"/>
        <v>0</v>
      </c>
    </row>
    <row r="105" spans="1:13" x14ac:dyDescent="0.25">
      <c r="A105" s="1"/>
      <c r="B105" s="42">
        <v>2648</v>
      </c>
      <c r="C105" s="42" t="s">
        <v>111</v>
      </c>
      <c r="D105" s="43">
        <v>7896112126485</v>
      </c>
      <c r="E105" s="44" t="s">
        <v>34</v>
      </c>
      <c r="F105" s="45">
        <f>SUMIF(PND!D:D,B105,PND!H:H)</f>
        <v>0</v>
      </c>
      <c r="G105" s="4">
        <f>SUMIF(PND!D:D,Tabela2[[#This Row],[ITENS]],PND!J:J)</f>
        <v>0</v>
      </c>
      <c r="H105" s="45">
        <f>SUMIF(FATURADO!H:H,B105,FATURADO!L:L)</f>
        <v>0</v>
      </c>
      <c r="I105" s="4">
        <f>SUMIF(FATURADO!H:H,Tabela2[[#This Row],[ITENS]],FATURADO!N:N)</f>
        <v>0</v>
      </c>
      <c r="J105" s="45">
        <f>SUMIF(SEPARAÇÃO!I:I,B105,SEPARAÇÃO!M:M)</f>
        <v>0</v>
      </c>
      <c r="K105" s="4">
        <f>SUMIF(SEPARAÇÃO!I:I,Tabela2[[#This Row],[ITENS]],SEPARAÇÃO!P:P)</f>
        <v>0</v>
      </c>
      <c r="L105" s="45">
        <f t="shared" si="1"/>
        <v>0</v>
      </c>
      <c r="M105" s="4">
        <f t="shared" si="1"/>
        <v>0</v>
      </c>
    </row>
    <row r="106" spans="1:13" x14ac:dyDescent="0.25">
      <c r="A106" s="1"/>
      <c r="B106" s="42">
        <v>2666</v>
      </c>
      <c r="C106" s="42" t="s">
        <v>112</v>
      </c>
      <c r="D106" s="43">
        <v>7896112126669</v>
      </c>
      <c r="E106" s="44" t="s">
        <v>34</v>
      </c>
      <c r="F106" s="45">
        <f>SUMIF(PND!D:D,B106,PND!H:H)</f>
        <v>0</v>
      </c>
      <c r="G106" s="4">
        <f>SUMIF(PND!D:D,Tabela2[[#This Row],[ITENS]],PND!J:J)</f>
        <v>0</v>
      </c>
      <c r="H106" s="45">
        <f>SUMIF(FATURADO!H:H,B106,FATURADO!L:L)</f>
        <v>0</v>
      </c>
      <c r="I106" s="4">
        <f>SUMIF(FATURADO!H:H,Tabela2[[#This Row],[ITENS]],FATURADO!N:N)</f>
        <v>0</v>
      </c>
      <c r="J106" s="45">
        <f>SUMIF(SEPARAÇÃO!I:I,B106,SEPARAÇÃO!M:M)</f>
        <v>0</v>
      </c>
      <c r="K106" s="4">
        <f>SUMIF(SEPARAÇÃO!I:I,Tabela2[[#This Row],[ITENS]],SEPARAÇÃO!P:P)</f>
        <v>0</v>
      </c>
      <c r="L106" s="45">
        <f t="shared" si="1"/>
        <v>0</v>
      </c>
      <c r="M106" s="4">
        <f t="shared" si="1"/>
        <v>0</v>
      </c>
    </row>
    <row r="107" spans="1:13" x14ac:dyDescent="0.25">
      <c r="A107" s="1"/>
      <c r="B107" s="42">
        <v>2672</v>
      </c>
      <c r="C107" s="42" t="s">
        <v>113</v>
      </c>
      <c r="D107" s="43">
        <v>7896112126720</v>
      </c>
      <c r="E107" s="44" t="s">
        <v>34</v>
      </c>
      <c r="F107" s="45">
        <f>SUMIF(PND!D:D,B107,PND!H:H)</f>
        <v>0</v>
      </c>
      <c r="G107" s="4">
        <f>SUMIF(PND!D:D,Tabela2[[#This Row],[ITENS]],PND!J:J)</f>
        <v>0</v>
      </c>
      <c r="H107" s="45">
        <f>SUMIF(FATURADO!H:H,B107,FATURADO!L:L)</f>
        <v>0</v>
      </c>
      <c r="I107" s="4">
        <f>SUMIF(FATURADO!H:H,Tabela2[[#This Row],[ITENS]],FATURADO!N:N)</f>
        <v>0</v>
      </c>
      <c r="J107" s="45">
        <f>SUMIF(SEPARAÇÃO!I:I,B107,SEPARAÇÃO!M:M)</f>
        <v>0</v>
      </c>
      <c r="K107" s="4">
        <f>SUMIF(SEPARAÇÃO!I:I,Tabela2[[#This Row],[ITENS]],SEPARAÇÃO!P:P)</f>
        <v>0</v>
      </c>
      <c r="L107" s="45">
        <f t="shared" si="1"/>
        <v>0</v>
      </c>
      <c r="M107" s="4">
        <f t="shared" si="1"/>
        <v>0</v>
      </c>
    </row>
    <row r="108" spans="1:13" x14ac:dyDescent="0.25">
      <c r="A108" s="1"/>
      <c r="B108" s="42">
        <v>2674</v>
      </c>
      <c r="C108" s="42" t="s">
        <v>114</v>
      </c>
      <c r="D108" s="43">
        <v>7896112126744</v>
      </c>
      <c r="E108" s="44" t="s">
        <v>34</v>
      </c>
      <c r="F108" s="45">
        <f>SUMIF(PND!D:D,B108,PND!H:H)</f>
        <v>0</v>
      </c>
      <c r="G108" s="4">
        <f>SUMIF(PND!D:D,Tabela2[[#This Row],[ITENS]],PND!J:J)</f>
        <v>0</v>
      </c>
      <c r="H108" s="45">
        <f>SUMIF(FATURADO!H:H,B108,FATURADO!L:L)</f>
        <v>0</v>
      </c>
      <c r="I108" s="4">
        <f>SUMIF(FATURADO!H:H,Tabela2[[#This Row],[ITENS]],FATURADO!N:N)</f>
        <v>0</v>
      </c>
      <c r="J108" s="45">
        <f>SUMIF(SEPARAÇÃO!I:I,B108,SEPARAÇÃO!M:M)</f>
        <v>0</v>
      </c>
      <c r="K108" s="4">
        <f>SUMIF(SEPARAÇÃO!I:I,Tabela2[[#This Row],[ITENS]],SEPARAÇÃO!P:P)</f>
        <v>0</v>
      </c>
      <c r="L108" s="45">
        <f t="shared" si="1"/>
        <v>0</v>
      </c>
      <c r="M108" s="4">
        <f t="shared" si="1"/>
        <v>0</v>
      </c>
    </row>
    <row r="109" spans="1:13" x14ac:dyDescent="0.25">
      <c r="A109" s="1"/>
      <c r="B109" s="42">
        <v>2676</v>
      </c>
      <c r="C109" s="42" t="s">
        <v>115</v>
      </c>
      <c r="D109" s="43">
        <v>7896112126768</v>
      </c>
      <c r="E109" s="44" t="s">
        <v>34</v>
      </c>
      <c r="F109" s="45">
        <f>SUMIF(PND!D:D,B109,PND!H:H)</f>
        <v>0</v>
      </c>
      <c r="G109" s="4">
        <f>SUMIF(PND!D:D,Tabela2[[#This Row],[ITENS]],PND!J:J)</f>
        <v>0</v>
      </c>
      <c r="H109" s="45">
        <f>SUMIF(FATURADO!H:H,B109,FATURADO!L:L)</f>
        <v>1500</v>
      </c>
      <c r="I109" s="4">
        <f>SUMIF(FATURADO!H:H,Tabela2[[#This Row],[ITENS]],FATURADO!N:N)</f>
        <v>2655</v>
      </c>
      <c r="J109" s="45">
        <f>SUMIF(SEPARAÇÃO!I:I,B109,SEPARAÇÃO!M:M)</f>
        <v>0</v>
      </c>
      <c r="K109" s="4">
        <f>SUMIF(SEPARAÇÃO!I:I,Tabela2[[#This Row],[ITENS]],SEPARAÇÃO!P:P)</f>
        <v>0</v>
      </c>
      <c r="L109" s="45">
        <f t="shared" si="1"/>
        <v>1500</v>
      </c>
      <c r="M109" s="4">
        <f t="shared" si="1"/>
        <v>2655</v>
      </c>
    </row>
    <row r="110" spans="1:13" x14ac:dyDescent="0.25">
      <c r="A110" s="1"/>
      <c r="B110" s="42">
        <v>2733</v>
      </c>
      <c r="C110" s="42" t="s">
        <v>116</v>
      </c>
      <c r="D110" s="43">
        <v>7896112127338</v>
      </c>
      <c r="E110" s="44" t="s">
        <v>34</v>
      </c>
      <c r="F110" s="45">
        <f>SUMIF(PND!D:D,B110,PND!H:H)</f>
        <v>0</v>
      </c>
      <c r="G110" s="4">
        <f>SUMIF(PND!D:D,Tabela2[[#This Row],[ITENS]],PND!J:J)</f>
        <v>0</v>
      </c>
      <c r="H110" s="45">
        <f>SUMIF(FATURADO!H:H,B110,FATURADO!L:L)</f>
        <v>600</v>
      </c>
      <c r="I110" s="4">
        <f>SUMIF(FATURADO!H:H,Tabela2[[#This Row],[ITENS]],FATURADO!N:N)</f>
        <v>2064</v>
      </c>
      <c r="J110" s="45">
        <f>SUMIF(SEPARAÇÃO!I:I,B110,SEPARAÇÃO!M:M)</f>
        <v>0</v>
      </c>
      <c r="K110" s="4">
        <f>SUMIF(SEPARAÇÃO!I:I,Tabela2[[#This Row],[ITENS]],SEPARAÇÃO!P:P)</f>
        <v>0</v>
      </c>
      <c r="L110" s="45">
        <f t="shared" si="1"/>
        <v>600</v>
      </c>
      <c r="M110" s="4">
        <f t="shared" si="1"/>
        <v>2064</v>
      </c>
    </row>
    <row r="111" spans="1:13" x14ac:dyDescent="0.25">
      <c r="A111" s="1"/>
      <c r="B111" s="42">
        <v>2743</v>
      </c>
      <c r="C111" s="42" t="s">
        <v>117</v>
      </c>
      <c r="D111" s="43">
        <v>7896112127437</v>
      </c>
      <c r="E111" s="44" t="s">
        <v>34</v>
      </c>
      <c r="F111" s="45">
        <f>SUMIF(PND!D:D,B111,PND!H:H)</f>
        <v>0</v>
      </c>
      <c r="G111" s="4">
        <f>SUMIF(PND!D:D,Tabela2[[#This Row],[ITENS]],PND!J:J)</f>
        <v>0</v>
      </c>
      <c r="H111" s="45">
        <f>SUMIF(FATURADO!H:H,B111,FATURADO!L:L)</f>
        <v>1600</v>
      </c>
      <c r="I111" s="4">
        <f>SUMIF(FATURADO!H:H,Tabela2[[#This Row],[ITENS]],FATURADO!N:N)</f>
        <v>5277</v>
      </c>
      <c r="J111" s="45">
        <f>SUMIF(SEPARAÇÃO!I:I,B111,SEPARAÇÃO!M:M)</f>
        <v>0</v>
      </c>
      <c r="K111" s="4">
        <f>SUMIF(SEPARAÇÃO!I:I,Tabela2[[#This Row],[ITENS]],SEPARAÇÃO!P:P)</f>
        <v>0</v>
      </c>
      <c r="L111" s="45">
        <f t="shared" si="1"/>
        <v>1600</v>
      </c>
      <c r="M111" s="4">
        <f t="shared" si="1"/>
        <v>5277</v>
      </c>
    </row>
    <row r="112" spans="1:13" x14ac:dyDescent="0.25">
      <c r="A112" s="1"/>
      <c r="B112" s="42">
        <v>2751</v>
      </c>
      <c r="C112" s="42" t="s">
        <v>118</v>
      </c>
      <c r="D112" s="43">
        <v>7896112127512</v>
      </c>
      <c r="E112" s="44" t="s">
        <v>34</v>
      </c>
      <c r="F112" s="45">
        <f>SUMIF(PND!D:D,B112,PND!H:H)</f>
        <v>0</v>
      </c>
      <c r="G112" s="4">
        <f>SUMIF(PND!D:D,Tabela2[[#This Row],[ITENS]],PND!J:J)</f>
        <v>0</v>
      </c>
      <c r="H112" s="45">
        <f>SUMIF(FATURADO!H:H,B112,FATURADO!L:L)</f>
        <v>600</v>
      </c>
      <c r="I112" s="4">
        <f>SUMIF(FATURADO!H:H,Tabela2[[#This Row],[ITENS]],FATURADO!N:N)</f>
        <v>1940</v>
      </c>
      <c r="J112" s="45">
        <f>SUMIF(SEPARAÇÃO!I:I,B112,SEPARAÇÃO!M:M)</f>
        <v>0</v>
      </c>
      <c r="K112" s="4">
        <f>SUMIF(SEPARAÇÃO!I:I,Tabela2[[#This Row],[ITENS]],SEPARAÇÃO!P:P)</f>
        <v>0</v>
      </c>
      <c r="L112" s="45">
        <f t="shared" si="1"/>
        <v>600</v>
      </c>
      <c r="M112" s="4">
        <f t="shared" si="1"/>
        <v>1940</v>
      </c>
    </row>
    <row r="113" spans="1:13" x14ac:dyDescent="0.25">
      <c r="A113" s="1"/>
      <c r="B113" s="42">
        <v>2766</v>
      </c>
      <c r="C113" s="42" t="s">
        <v>119</v>
      </c>
      <c r="D113" s="43">
        <v>7896112127666</v>
      </c>
      <c r="E113" s="44" t="s">
        <v>34</v>
      </c>
      <c r="F113" s="45">
        <f>SUMIF(PND!D:D,B113,PND!H:H)</f>
        <v>0</v>
      </c>
      <c r="G113" s="4">
        <f>SUMIF(PND!D:D,Tabela2[[#This Row],[ITENS]],PND!J:J)</f>
        <v>0</v>
      </c>
      <c r="H113" s="45">
        <f>SUMIF(FATURADO!H:H,B113,FATURADO!L:L)</f>
        <v>3300</v>
      </c>
      <c r="I113" s="4">
        <f>SUMIF(FATURADO!H:H,Tabela2[[#This Row],[ITENS]],FATURADO!N:N)</f>
        <v>8057</v>
      </c>
      <c r="J113" s="45">
        <f>SUMIF(SEPARAÇÃO!I:I,B113,SEPARAÇÃO!M:M)</f>
        <v>0</v>
      </c>
      <c r="K113" s="4">
        <f>SUMIF(SEPARAÇÃO!I:I,Tabela2[[#This Row],[ITENS]],SEPARAÇÃO!P:P)</f>
        <v>0</v>
      </c>
      <c r="L113" s="45">
        <f t="shared" si="1"/>
        <v>3300</v>
      </c>
      <c r="M113" s="4">
        <f t="shared" si="1"/>
        <v>8057</v>
      </c>
    </row>
    <row r="114" spans="1:13" x14ac:dyDescent="0.25">
      <c r="A114" s="1"/>
      <c r="B114" s="42">
        <v>2767</v>
      </c>
      <c r="C114" s="42" t="s">
        <v>120</v>
      </c>
      <c r="D114" s="43">
        <v>7896112127673</v>
      </c>
      <c r="E114" s="44" t="s">
        <v>23</v>
      </c>
      <c r="F114" s="45">
        <f>SUMIF(PND!D:D,B114,PND!H:H)</f>
        <v>0</v>
      </c>
      <c r="G114" s="4">
        <f>SUMIF(PND!D:D,Tabela2[[#This Row],[ITENS]],PND!J:J)</f>
        <v>0</v>
      </c>
      <c r="H114" s="45">
        <f>SUMIF(FATURADO!H:H,B114,FATURADO!L:L)</f>
        <v>4100</v>
      </c>
      <c r="I114" s="4">
        <f>SUMIF(FATURADO!H:H,Tabela2[[#This Row],[ITENS]],FATURADO!N:N)</f>
        <v>9673</v>
      </c>
      <c r="J114" s="45">
        <f>SUMIF(SEPARAÇÃO!I:I,B114,SEPARAÇÃO!M:M)</f>
        <v>0</v>
      </c>
      <c r="K114" s="4">
        <f>SUMIF(SEPARAÇÃO!I:I,Tabela2[[#This Row],[ITENS]],SEPARAÇÃO!P:P)</f>
        <v>0</v>
      </c>
      <c r="L114" s="45">
        <f t="shared" si="1"/>
        <v>4100</v>
      </c>
      <c r="M114" s="4">
        <f t="shared" si="1"/>
        <v>9673</v>
      </c>
    </row>
    <row r="115" spans="1:13" x14ac:dyDescent="0.25">
      <c r="A115" s="1"/>
      <c r="B115" s="42">
        <v>2768</v>
      </c>
      <c r="C115" s="42" t="s">
        <v>121</v>
      </c>
      <c r="D115" s="43">
        <v>7896112127680</v>
      </c>
      <c r="E115" s="44" t="s">
        <v>34</v>
      </c>
      <c r="F115" s="45">
        <f>SUMIF(PND!D:D,B115,PND!H:H)</f>
        <v>0</v>
      </c>
      <c r="G115" s="4">
        <f>SUMIF(PND!D:D,Tabela2[[#This Row],[ITENS]],PND!J:J)</f>
        <v>0</v>
      </c>
      <c r="H115" s="45">
        <f>SUMIF(FATURADO!H:H,B115,FATURADO!L:L)</f>
        <v>0</v>
      </c>
      <c r="I115" s="4">
        <f>SUMIF(FATURADO!H:H,Tabela2[[#This Row],[ITENS]],FATURADO!N:N)</f>
        <v>0</v>
      </c>
      <c r="J115" s="45">
        <f>SUMIF(SEPARAÇÃO!I:I,B115,SEPARAÇÃO!M:M)</f>
        <v>0</v>
      </c>
      <c r="K115" s="4">
        <f>SUMIF(SEPARAÇÃO!I:I,Tabela2[[#This Row],[ITENS]],SEPARAÇÃO!P:P)</f>
        <v>0</v>
      </c>
      <c r="L115" s="45">
        <f t="shared" si="1"/>
        <v>0</v>
      </c>
      <c r="M115" s="4">
        <f t="shared" si="1"/>
        <v>0</v>
      </c>
    </row>
    <row r="116" spans="1:13" x14ac:dyDescent="0.25">
      <c r="A116" s="1"/>
      <c r="B116" s="42">
        <v>2772</v>
      </c>
      <c r="C116" s="42" t="s">
        <v>122</v>
      </c>
      <c r="D116" s="43">
        <v>7896112127727</v>
      </c>
      <c r="E116" s="44" t="s">
        <v>23</v>
      </c>
      <c r="F116" s="45">
        <f>SUMIF(PND!D:D,B116,PND!H:H)</f>
        <v>0</v>
      </c>
      <c r="G116" s="4">
        <f>SUMIF(PND!D:D,Tabela2[[#This Row],[ITENS]],PND!J:J)</f>
        <v>0</v>
      </c>
      <c r="H116" s="45">
        <f>SUMIF(FATURADO!H:H,B116,FATURADO!L:L)</f>
        <v>0</v>
      </c>
      <c r="I116" s="4">
        <f>SUMIF(FATURADO!H:H,Tabela2[[#This Row],[ITENS]],FATURADO!N:N)</f>
        <v>0</v>
      </c>
      <c r="J116" s="45">
        <f>SUMIF(SEPARAÇÃO!I:I,B116,SEPARAÇÃO!M:M)</f>
        <v>0</v>
      </c>
      <c r="K116" s="4">
        <f>SUMIF(SEPARAÇÃO!I:I,Tabela2[[#This Row],[ITENS]],SEPARAÇÃO!P:P)</f>
        <v>0</v>
      </c>
      <c r="L116" s="45">
        <f t="shared" si="1"/>
        <v>0</v>
      </c>
      <c r="M116" s="4">
        <f t="shared" si="1"/>
        <v>0</v>
      </c>
    </row>
    <row r="117" spans="1:13" x14ac:dyDescent="0.25">
      <c r="A117" s="1"/>
      <c r="B117" s="42">
        <v>2775</v>
      </c>
      <c r="C117" s="42" t="s">
        <v>123</v>
      </c>
      <c r="D117" s="43">
        <v>7896112127758</v>
      </c>
      <c r="E117" s="44" t="s">
        <v>23</v>
      </c>
      <c r="F117" s="45">
        <f>SUMIF(PND!D:D,B117,PND!H:H)</f>
        <v>0</v>
      </c>
      <c r="G117" s="4">
        <f>SUMIF(PND!D:D,Tabela2[[#This Row],[ITENS]],PND!J:J)</f>
        <v>0</v>
      </c>
      <c r="H117" s="45">
        <f>SUMIF(FATURADO!H:H,B117,FATURADO!L:L)</f>
        <v>0</v>
      </c>
      <c r="I117" s="4">
        <f>SUMIF(FATURADO!H:H,Tabela2[[#This Row],[ITENS]],FATURADO!N:N)</f>
        <v>0</v>
      </c>
      <c r="J117" s="45">
        <f>SUMIF(SEPARAÇÃO!I:I,B117,SEPARAÇÃO!M:M)</f>
        <v>0</v>
      </c>
      <c r="K117" s="4">
        <f>SUMIF(SEPARAÇÃO!I:I,Tabela2[[#This Row],[ITENS]],SEPARAÇÃO!P:P)</f>
        <v>0</v>
      </c>
      <c r="L117" s="45">
        <f t="shared" si="1"/>
        <v>0</v>
      </c>
      <c r="M117" s="4">
        <f t="shared" si="1"/>
        <v>0</v>
      </c>
    </row>
    <row r="118" spans="1:13" x14ac:dyDescent="0.25">
      <c r="A118" s="1"/>
      <c r="B118" s="42">
        <v>2805</v>
      </c>
      <c r="C118" s="42" t="s">
        <v>124</v>
      </c>
      <c r="D118" s="43">
        <v>7896112128052</v>
      </c>
      <c r="E118" s="44" t="s">
        <v>34</v>
      </c>
      <c r="F118" s="45">
        <f>SUMIF(PND!D:D,B118,PND!H:H)</f>
        <v>0</v>
      </c>
      <c r="G118" s="4">
        <f>SUMIF(PND!D:D,Tabela2[[#This Row],[ITENS]],PND!J:J)</f>
        <v>0</v>
      </c>
      <c r="H118" s="45">
        <f>SUMIF(FATURADO!H:H,B118,FATURADO!L:L)</f>
        <v>3500</v>
      </c>
      <c r="I118" s="4">
        <f>SUMIF(FATURADO!H:H,Tabela2[[#This Row],[ITENS]],FATURADO!N:N)</f>
        <v>34035</v>
      </c>
      <c r="J118" s="45">
        <f>SUMIF(SEPARAÇÃO!I:I,B118,SEPARAÇÃO!M:M)</f>
        <v>0</v>
      </c>
      <c r="K118" s="4">
        <f>SUMIF(SEPARAÇÃO!I:I,Tabela2[[#This Row],[ITENS]],SEPARAÇÃO!P:P)</f>
        <v>0</v>
      </c>
      <c r="L118" s="45">
        <f t="shared" si="1"/>
        <v>3500</v>
      </c>
      <c r="M118" s="4">
        <f t="shared" si="1"/>
        <v>34035</v>
      </c>
    </row>
    <row r="119" spans="1:13" x14ac:dyDescent="0.25">
      <c r="A119" s="1"/>
      <c r="B119" s="42">
        <v>2876</v>
      </c>
      <c r="C119" s="42" t="s">
        <v>125</v>
      </c>
      <c r="D119" s="43">
        <v>7896112128762</v>
      </c>
      <c r="E119" s="44" t="s">
        <v>34</v>
      </c>
      <c r="F119" s="45">
        <f>SUMIF(PND!D:D,B119,PND!H:H)</f>
        <v>450</v>
      </c>
      <c r="G119" s="4">
        <f>SUMIF(PND!D:D,Tabela2[[#This Row],[ITENS]],PND!J:J)</f>
        <v>2675</v>
      </c>
      <c r="H119" s="45">
        <f>SUMIF(FATURADO!H:H,B119,FATURADO!L:L)</f>
        <v>300</v>
      </c>
      <c r="I119" s="4">
        <f>SUMIF(FATURADO!H:H,Tabela2[[#This Row],[ITENS]],FATURADO!N:N)</f>
        <v>1629</v>
      </c>
      <c r="J119" s="45">
        <f>SUMIF(SEPARAÇÃO!I:I,B119,SEPARAÇÃO!M:M)</f>
        <v>0</v>
      </c>
      <c r="K119" s="4">
        <f>SUMIF(SEPARAÇÃO!I:I,Tabela2[[#This Row],[ITENS]],SEPARAÇÃO!P:P)</f>
        <v>0</v>
      </c>
      <c r="L119" s="45">
        <f t="shared" si="1"/>
        <v>750</v>
      </c>
      <c r="M119" s="4">
        <f t="shared" si="1"/>
        <v>4304</v>
      </c>
    </row>
    <row r="120" spans="1:13" x14ac:dyDescent="0.25">
      <c r="A120" s="1"/>
      <c r="B120" s="42">
        <v>2884</v>
      </c>
      <c r="C120" s="42" t="s">
        <v>126</v>
      </c>
      <c r="D120" s="43">
        <v>7896112128847</v>
      </c>
      <c r="E120" s="44" t="s">
        <v>34</v>
      </c>
      <c r="F120" s="45">
        <f>SUMIF(PND!D:D,B120,PND!H:H)</f>
        <v>900</v>
      </c>
      <c r="G120" s="4">
        <f>SUMIF(PND!D:D,Tabela2[[#This Row],[ITENS]],PND!J:J)</f>
        <v>3109.5</v>
      </c>
      <c r="H120" s="45">
        <f>SUMIF(FATURADO!H:H,B120,FATURADO!L:L)</f>
        <v>0</v>
      </c>
      <c r="I120" s="4">
        <f>SUMIF(FATURADO!H:H,Tabela2[[#This Row],[ITENS]],FATURADO!N:N)</f>
        <v>0</v>
      </c>
      <c r="J120" s="45">
        <f>SUMIF(SEPARAÇÃO!I:I,B120,SEPARAÇÃO!M:M)</f>
        <v>0</v>
      </c>
      <c r="K120" s="4">
        <f>SUMIF(SEPARAÇÃO!I:I,Tabela2[[#This Row],[ITENS]],SEPARAÇÃO!P:P)</f>
        <v>0</v>
      </c>
      <c r="L120" s="45">
        <f t="shared" si="1"/>
        <v>900</v>
      </c>
      <c r="M120" s="4">
        <f t="shared" si="1"/>
        <v>3109.5</v>
      </c>
    </row>
    <row r="121" spans="1:13" x14ac:dyDescent="0.25">
      <c r="A121" s="1"/>
      <c r="B121" s="42">
        <v>2886</v>
      </c>
      <c r="C121" s="42" t="s">
        <v>127</v>
      </c>
      <c r="D121" s="43">
        <v>7896112128861</v>
      </c>
      <c r="E121" s="44" t="s">
        <v>34</v>
      </c>
      <c r="F121" s="45">
        <f>SUMIF(PND!D:D,B121,PND!H:H)</f>
        <v>0</v>
      </c>
      <c r="G121" s="4">
        <f>SUMIF(PND!D:D,Tabela2[[#This Row],[ITENS]],PND!J:J)</f>
        <v>0</v>
      </c>
      <c r="H121" s="45">
        <f>SUMIF(FATURADO!H:H,B121,FATURADO!L:L)</f>
        <v>2700</v>
      </c>
      <c r="I121" s="4">
        <f>SUMIF(FATURADO!H:H,Tabela2[[#This Row],[ITENS]],FATURADO!N:N)</f>
        <v>22332</v>
      </c>
      <c r="J121" s="45">
        <f>SUMIF(SEPARAÇÃO!I:I,B121,SEPARAÇÃO!M:M)</f>
        <v>0</v>
      </c>
      <c r="K121" s="4">
        <f>SUMIF(SEPARAÇÃO!I:I,Tabela2[[#This Row],[ITENS]],SEPARAÇÃO!P:P)</f>
        <v>0</v>
      </c>
      <c r="L121" s="45">
        <f t="shared" si="1"/>
        <v>2700</v>
      </c>
      <c r="M121" s="4">
        <f t="shared" si="1"/>
        <v>22332</v>
      </c>
    </row>
    <row r="122" spans="1:13" x14ac:dyDescent="0.25">
      <c r="A122" s="1"/>
      <c r="B122" s="42">
        <v>2891</v>
      </c>
      <c r="C122" s="42" t="s">
        <v>128</v>
      </c>
      <c r="D122" s="43">
        <v>7896112128915</v>
      </c>
      <c r="E122" s="44" t="s">
        <v>23</v>
      </c>
      <c r="F122" s="45">
        <f>SUMIF(PND!D:D,B122,PND!H:H)</f>
        <v>0</v>
      </c>
      <c r="G122" s="4">
        <f>SUMIF(PND!D:D,Tabela2[[#This Row],[ITENS]],PND!J:J)</f>
        <v>0</v>
      </c>
      <c r="H122" s="45">
        <f>SUMIF(FATURADO!H:H,B122,FATURADO!L:L)</f>
        <v>800</v>
      </c>
      <c r="I122" s="4">
        <f>SUMIF(FATURADO!H:H,Tabela2[[#This Row],[ITENS]],FATURADO!N:N)</f>
        <v>4444</v>
      </c>
      <c r="J122" s="45">
        <f>SUMIF(SEPARAÇÃO!I:I,B122,SEPARAÇÃO!M:M)</f>
        <v>0</v>
      </c>
      <c r="K122" s="4">
        <f>SUMIF(SEPARAÇÃO!I:I,Tabela2[[#This Row],[ITENS]],SEPARAÇÃO!P:P)</f>
        <v>0</v>
      </c>
      <c r="L122" s="45">
        <f t="shared" si="1"/>
        <v>800</v>
      </c>
      <c r="M122" s="4">
        <f t="shared" si="1"/>
        <v>4444</v>
      </c>
    </row>
    <row r="123" spans="1:13" x14ac:dyDescent="0.25">
      <c r="A123" s="1"/>
      <c r="B123" s="42">
        <v>2911</v>
      </c>
      <c r="C123" s="42" t="s">
        <v>129</v>
      </c>
      <c r="D123" s="43">
        <v>7896112129110</v>
      </c>
      <c r="E123" s="44" t="s">
        <v>34</v>
      </c>
      <c r="F123" s="45">
        <f>SUMIF(PND!D:D,B123,PND!H:H)</f>
        <v>0</v>
      </c>
      <c r="G123" s="4">
        <f>SUMIF(PND!D:D,Tabela2[[#This Row],[ITENS]],PND!J:J)</f>
        <v>0</v>
      </c>
      <c r="H123" s="45">
        <f>SUMIF(FATURADO!H:H,B123,FATURADO!L:L)</f>
        <v>800</v>
      </c>
      <c r="I123" s="4">
        <f>SUMIF(FATURADO!H:H,Tabela2[[#This Row],[ITENS]],FATURADO!N:N)</f>
        <v>2912</v>
      </c>
      <c r="J123" s="45">
        <f>SUMIF(SEPARAÇÃO!I:I,B123,SEPARAÇÃO!M:M)</f>
        <v>0</v>
      </c>
      <c r="K123" s="4">
        <f>SUMIF(SEPARAÇÃO!I:I,Tabela2[[#This Row],[ITENS]],SEPARAÇÃO!P:P)</f>
        <v>0</v>
      </c>
      <c r="L123" s="45">
        <f t="shared" si="1"/>
        <v>800</v>
      </c>
      <c r="M123" s="4">
        <f t="shared" si="1"/>
        <v>2912</v>
      </c>
    </row>
    <row r="124" spans="1:13" x14ac:dyDescent="0.25">
      <c r="A124" s="1"/>
      <c r="B124" s="42">
        <v>2929</v>
      </c>
      <c r="C124" s="42" t="s">
        <v>130</v>
      </c>
      <c r="D124" s="43">
        <v>7896112129295</v>
      </c>
      <c r="E124" s="44" t="s">
        <v>34</v>
      </c>
      <c r="F124" s="45">
        <f>SUMIF(PND!D:D,B124,PND!H:H)</f>
        <v>0</v>
      </c>
      <c r="G124" s="4">
        <f>SUMIF(PND!D:D,Tabela2[[#This Row],[ITENS]],PND!J:J)</f>
        <v>0</v>
      </c>
      <c r="H124" s="45">
        <f>SUMIF(FATURADO!H:H,B124,FATURADO!L:L)</f>
        <v>0</v>
      </c>
      <c r="I124" s="4">
        <f>SUMIF(FATURADO!H:H,Tabela2[[#This Row],[ITENS]],FATURADO!N:N)</f>
        <v>0</v>
      </c>
      <c r="J124" s="45">
        <f>SUMIF(SEPARAÇÃO!I:I,B124,SEPARAÇÃO!M:M)</f>
        <v>0</v>
      </c>
      <c r="K124" s="4">
        <f>SUMIF(SEPARAÇÃO!I:I,Tabela2[[#This Row],[ITENS]],SEPARAÇÃO!P:P)</f>
        <v>0</v>
      </c>
      <c r="L124" s="45">
        <f t="shared" si="1"/>
        <v>0</v>
      </c>
      <c r="M124" s="4">
        <f t="shared" si="1"/>
        <v>0</v>
      </c>
    </row>
    <row r="125" spans="1:13" x14ac:dyDescent="0.25">
      <c r="A125" s="1"/>
      <c r="B125" s="42">
        <v>2930</v>
      </c>
      <c r="C125" s="42" t="s">
        <v>131</v>
      </c>
      <c r="D125" s="43">
        <v>7896112129301</v>
      </c>
      <c r="E125" s="44" t="s">
        <v>34</v>
      </c>
      <c r="F125" s="45">
        <f>SUMIF(PND!D:D,B125,PND!H:H)</f>
        <v>0</v>
      </c>
      <c r="G125" s="4">
        <f>SUMIF(PND!D:D,Tabela2[[#This Row],[ITENS]],PND!J:J)</f>
        <v>0</v>
      </c>
      <c r="H125" s="45">
        <f>SUMIF(FATURADO!H:H,B125,FATURADO!L:L)</f>
        <v>200</v>
      </c>
      <c r="I125" s="4">
        <f>SUMIF(FATURADO!H:H,Tabela2[[#This Row],[ITENS]],FATURADO!N:N)</f>
        <v>528</v>
      </c>
      <c r="J125" s="45">
        <f>SUMIF(SEPARAÇÃO!I:I,B125,SEPARAÇÃO!M:M)</f>
        <v>0</v>
      </c>
      <c r="K125" s="4">
        <f>SUMIF(SEPARAÇÃO!I:I,Tabela2[[#This Row],[ITENS]],SEPARAÇÃO!P:P)</f>
        <v>0</v>
      </c>
      <c r="L125" s="45">
        <f t="shared" si="1"/>
        <v>200</v>
      </c>
      <c r="M125" s="4">
        <f t="shared" si="1"/>
        <v>528</v>
      </c>
    </row>
    <row r="126" spans="1:13" x14ac:dyDescent="0.25">
      <c r="A126" s="1"/>
      <c r="B126" s="42">
        <v>2936</v>
      </c>
      <c r="C126" s="42" t="s">
        <v>132</v>
      </c>
      <c r="D126" s="43">
        <v>7896112129363</v>
      </c>
      <c r="E126" s="44" t="s">
        <v>34</v>
      </c>
      <c r="F126" s="45">
        <f>SUMIF(PND!D:D,B126,PND!H:H)</f>
        <v>0</v>
      </c>
      <c r="G126" s="4">
        <f>SUMIF(PND!D:D,Tabela2[[#This Row],[ITENS]],PND!J:J)</f>
        <v>0</v>
      </c>
      <c r="H126" s="45">
        <f>SUMIF(FATURADO!H:H,B126,FATURADO!L:L)</f>
        <v>1000</v>
      </c>
      <c r="I126" s="4">
        <f>SUMIF(FATURADO!H:H,Tabela2[[#This Row],[ITENS]],FATURADO!N:N)</f>
        <v>6176</v>
      </c>
      <c r="J126" s="45">
        <f>SUMIF(SEPARAÇÃO!I:I,B126,SEPARAÇÃO!M:M)</f>
        <v>0</v>
      </c>
      <c r="K126" s="4">
        <f>SUMIF(SEPARAÇÃO!I:I,Tabela2[[#This Row],[ITENS]],SEPARAÇÃO!P:P)</f>
        <v>0</v>
      </c>
      <c r="L126" s="45">
        <f t="shared" si="1"/>
        <v>1000</v>
      </c>
      <c r="M126" s="4">
        <f t="shared" si="1"/>
        <v>6176</v>
      </c>
    </row>
    <row r="127" spans="1:13" x14ac:dyDescent="0.25">
      <c r="A127" s="1"/>
      <c r="B127" s="42">
        <v>2965</v>
      </c>
      <c r="C127" s="42" t="s">
        <v>133</v>
      </c>
      <c r="D127" s="43">
        <v>7896112129653</v>
      </c>
      <c r="E127" s="44" t="s">
        <v>34</v>
      </c>
      <c r="F127" s="45">
        <f>SUMIF(PND!D:D,B127,PND!H:H)</f>
        <v>0</v>
      </c>
      <c r="G127" s="4">
        <f>SUMIF(PND!D:D,Tabela2[[#This Row],[ITENS]],PND!J:J)</f>
        <v>0</v>
      </c>
      <c r="H127" s="45">
        <f>SUMIF(FATURADO!H:H,B127,FATURADO!L:L)</f>
        <v>200</v>
      </c>
      <c r="I127" s="4">
        <f>SUMIF(FATURADO!H:H,Tabela2[[#This Row],[ITENS]],FATURADO!N:N)</f>
        <v>2236</v>
      </c>
      <c r="J127" s="45">
        <f>SUMIF(SEPARAÇÃO!I:I,B127,SEPARAÇÃO!M:M)</f>
        <v>0</v>
      </c>
      <c r="K127" s="4">
        <f>SUMIF(SEPARAÇÃO!I:I,Tabela2[[#This Row],[ITENS]],SEPARAÇÃO!P:P)</f>
        <v>0</v>
      </c>
      <c r="L127" s="45">
        <f t="shared" si="1"/>
        <v>200</v>
      </c>
      <c r="M127" s="4">
        <f t="shared" si="1"/>
        <v>2236</v>
      </c>
    </row>
    <row r="128" spans="1:13" x14ac:dyDescent="0.25">
      <c r="A128" s="1"/>
      <c r="B128" s="42">
        <v>3019</v>
      </c>
      <c r="C128" s="42" t="s">
        <v>134</v>
      </c>
      <c r="D128" s="43">
        <v>7896112130192</v>
      </c>
      <c r="E128" s="44" t="s">
        <v>34</v>
      </c>
      <c r="F128" s="45">
        <f>SUMIF(PND!D:D,B128,PND!H:H)</f>
        <v>0</v>
      </c>
      <c r="G128" s="4">
        <f>SUMIF(PND!D:D,Tabela2[[#This Row],[ITENS]],PND!J:J)</f>
        <v>0</v>
      </c>
      <c r="H128" s="45">
        <f>SUMIF(FATURADO!H:H,B128,FATURADO!L:L)</f>
        <v>600</v>
      </c>
      <c r="I128" s="4">
        <f>SUMIF(FATURADO!H:H,Tabela2[[#This Row],[ITENS]],FATURADO!N:N)</f>
        <v>4782</v>
      </c>
      <c r="J128" s="45">
        <f>SUMIF(SEPARAÇÃO!I:I,B128,SEPARAÇÃO!M:M)</f>
        <v>0</v>
      </c>
      <c r="K128" s="4">
        <f>SUMIF(SEPARAÇÃO!I:I,Tabela2[[#This Row],[ITENS]],SEPARAÇÃO!P:P)</f>
        <v>0</v>
      </c>
      <c r="L128" s="45">
        <f t="shared" si="1"/>
        <v>600</v>
      </c>
      <c r="M128" s="4">
        <f t="shared" si="1"/>
        <v>4782</v>
      </c>
    </row>
    <row r="129" spans="1:13" x14ac:dyDescent="0.25">
      <c r="A129" s="1"/>
      <c r="B129" s="42">
        <v>3206</v>
      </c>
      <c r="C129" s="42" t="s">
        <v>135</v>
      </c>
      <c r="D129" s="43">
        <v>7896112132066</v>
      </c>
      <c r="E129" s="44" t="s">
        <v>34</v>
      </c>
      <c r="F129" s="45">
        <f>SUMIF(PND!D:D,B129,PND!H:H)</f>
        <v>700</v>
      </c>
      <c r="G129" s="4">
        <f>SUMIF(PND!D:D,Tabela2[[#This Row],[ITENS]],PND!J:J)</f>
        <v>1974</v>
      </c>
      <c r="H129" s="45">
        <f>SUMIF(FATURADO!H:H,B129,FATURADO!L:L)</f>
        <v>0</v>
      </c>
      <c r="I129" s="4">
        <f>SUMIF(FATURADO!H:H,Tabela2[[#This Row],[ITENS]],FATURADO!N:N)</f>
        <v>0</v>
      </c>
      <c r="J129" s="45">
        <f>SUMIF(SEPARAÇÃO!I:I,B129,SEPARAÇÃO!M:M)</f>
        <v>0</v>
      </c>
      <c r="K129" s="4">
        <f>SUMIF(SEPARAÇÃO!I:I,Tabela2[[#This Row],[ITENS]],SEPARAÇÃO!P:P)</f>
        <v>0</v>
      </c>
      <c r="L129" s="45">
        <f t="shared" si="1"/>
        <v>700</v>
      </c>
      <c r="M129" s="4">
        <f t="shared" si="1"/>
        <v>1974</v>
      </c>
    </row>
    <row r="130" spans="1:13" x14ac:dyDescent="0.25">
      <c r="A130" s="1"/>
      <c r="B130" s="42">
        <v>3293</v>
      </c>
      <c r="C130" s="42" t="s">
        <v>136</v>
      </c>
      <c r="D130" s="43">
        <v>7896112132936</v>
      </c>
      <c r="E130" s="44" t="s">
        <v>34</v>
      </c>
      <c r="F130" s="45">
        <f>SUMIF(PND!D:D,B130,PND!H:H)</f>
        <v>180</v>
      </c>
      <c r="G130" s="4">
        <f>SUMIF(PND!D:D,Tabela2[[#This Row],[ITENS]],PND!J:J)</f>
        <v>786.6</v>
      </c>
      <c r="H130" s="45">
        <f>SUMIF(FATURADO!H:H,B130,FATURADO!L:L)</f>
        <v>0</v>
      </c>
      <c r="I130" s="4">
        <f>SUMIF(FATURADO!H:H,Tabela2[[#This Row],[ITENS]],FATURADO!N:N)</f>
        <v>0</v>
      </c>
      <c r="J130" s="45">
        <f>SUMIF(SEPARAÇÃO!I:I,B130,SEPARAÇÃO!M:M)</f>
        <v>0</v>
      </c>
      <c r="K130" s="4">
        <f>SUMIF(SEPARAÇÃO!I:I,Tabela2[[#This Row],[ITENS]],SEPARAÇÃO!P:P)</f>
        <v>0</v>
      </c>
      <c r="L130" s="45">
        <f t="shared" si="1"/>
        <v>180</v>
      </c>
      <c r="M130" s="4">
        <f t="shared" si="1"/>
        <v>786.6</v>
      </c>
    </row>
    <row r="131" spans="1:13" x14ac:dyDescent="0.25">
      <c r="A131" s="1"/>
      <c r="B131" s="42">
        <v>3297</v>
      </c>
      <c r="C131" s="42" t="s">
        <v>137</v>
      </c>
      <c r="D131" s="43">
        <v>7896112132974</v>
      </c>
      <c r="E131" s="44" t="s">
        <v>34</v>
      </c>
      <c r="F131" s="45">
        <f>SUMIF(PND!D:D,B131,PND!H:H)</f>
        <v>0</v>
      </c>
      <c r="G131" s="4">
        <f>SUMIF(PND!D:D,Tabela2[[#This Row],[ITENS]],PND!J:J)</f>
        <v>0</v>
      </c>
      <c r="H131" s="45">
        <f>SUMIF(FATURADO!H:H,B131,FATURADO!L:L)</f>
        <v>270</v>
      </c>
      <c r="I131" s="4">
        <f>SUMIF(FATURADO!H:H,Tabela2[[#This Row],[ITENS]],FATURADO!N:N)</f>
        <v>1782</v>
      </c>
      <c r="J131" s="45">
        <f>SUMIF(SEPARAÇÃO!I:I,B131,SEPARAÇÃO!M:M)</f>
        <v>0</v>
      </c>
      <c r="K131" s="4">
        <f>SUMIF(SEPARAÇÃO!I:I,Tabela2[[#This Row],[ITENS]],SEPARAÇÃO!P:P)</f>
        <v>0</v>
      </c>
      <c r="L131" s="45">
        <f t="shared" si="1"/>
        <v>270</v>
      </c>
      <c r="M131" s="4">
        <f t="shared" si="1"/>
        <v>1782</v>
      </c>
    </row>
    <row r="132" spans="1:13" x14ac:dyDescent="0.25">
      <c r="A132" s="1"/>
      <c r="B132" s="42">
        <v>3300</v>
      </c>
      <c r="C132" s="42" t="s">
        <v>138</v>
      </c>
      <c r="D132" s="43">
        <v>7896112133001</v>
      </c>
      <c r="E132" s="44" t="s">
        <v>34</v>
      </c>
      <c r="F132" s="45">
        <f>SUMIF(PND!D:D,B132,PND!H:H)</f>
        <v>0</v>
      </c>
      <c r="G132" s="4">
        <f>SUMIF(PND!D:D,Tabela2[[#This Row],[ITENS]],PND!J:J)</f>
        <v>0</v>
      </c>
      <c r="H132" s="45">
        <f>SUMIF(FATURADO!H:H,B132,FATURADO!L:L)</f>
        <v>1680</v>
      </c>
      <c r="I132" s="4">
        <f>SUMIF(FATURADO!H:H,Tabela2[[#This Row],[ITENS]],FATURADO!N:N)</f>
        <v>4524.7999999999993</v>
      </c>
      <c r="J132" s="45">
        <f>SUMIF(SEPARAÇÃO!I:I,B132,SEPARAÇÃO!M:M)</f>
        <v>0</v>
      </c>
      <c r="K132" s="4">
        <f>SUMIF(SEPARAÇÃO!I:I,Tabela2[[#This Row],[ITENS]],SEPARAÇÃO!P:P)</f>
        <v>0</v>
      </c>
      <c r="L132" s="45">
        <f t="shared" si="1"/>
        <v>1680</v>
      </c>
      <c r="M132" s="4">
        <f t="shared" si="1"/>
        <v>4524.7999999999993</v>
      </c>
    </row>
    <row r="133" spans="1:13" x14ac:dyDescent="0.25">
      <c r="A133" s="1"/>
      <c r="B133" s="42">
        <v>3386</v>
      </c>
      <c r="C133" s="42" t="s">
        <v>139</v>
      </c>
      <c r="D133" s="43">
        <v>7896112133865</v>
      </c>
      <c r="E133" s="44" t="s">
        <v>34</v>
      </c>
      <c r="F133" s="45">
        <f>SUMIF(PND!D:D,B133,PND!H:H)</f>
        <v>0</v>
      </c>
      <c r="G133" s="4">
        <f>SUMIF(PND!D:D,Tabela2[[#This Row],[ITENS]],PND!J:J)</f>
        <v>0</v>
      </c>
      <c r="H133" s="45">
        <f>SUMIF(FATURADO!H:H,B133,FATURADO!L:L)</f>
        <v>810</v>
      </c>
      <c r="I133" s="4">
        <f>SUMIF(FATURADO!H:H,Tabela2[[#This Row],[ITENS]],FATURADO!N:N)</f>
        <v>2728.8</v>
      </c>
      <c r="J133" s="45">
        <f>SUMIF(SEPARAÇÃO!I:I,B133,SEPARAÇÃO!M:M)</f>
        <v>0</v>
      </c>
      <c r="K133" s="4">
        <f>SUMIF(SEPARAÇÃO!I:I,Tabela2[[#This Row],[ITENS]],SEPARAÇÃO!P:P)</f>
        <v>0</v>
      </c>
      <c r="L133" s="45">
        <f t="shared" si="1"/>
        <v>810</v>
      </c>
      <c r="M133" s="4">
        <f t="shared" si="1"/>
        <v>2728.8</v>
      </c>
    </row>
    <row r="134" spans="1:13" x14ac:dyDescent="0.25">
      <c r="A134" s="1"/>
      <c r="B134" s="42">
        <v>3390</v>
      </c>
      <c r="C134" s="42" t="s">
        <v>140</v>
      </c>
      <c r="D134" s="43">
        <v>7896112133902</v>
      </c>
      <c r="E134" s="44" t="s">
        <v>34</v>
      </c>
      <c r="F134" s="45">
        <f>SUMIF(PND!D:D,B134,PND!H:H)</f>
        <v>0</v>
      </c>
      <c r="G134" s="4">
        <f>SUMIF(PND!D:D,Tabela2[[#This Row],[ITENS]],PND!J:J)</f>
        <v>0</v>
      </c>
      <c r="H134" s="45">
        <f>SUMIF(FATURADO!H:H,B134,FATURADO!L:L)</f>
        <v>0</v>
      </c>
      <c r="I134" s="4">
        <f>SUMIF(FATURADO!H:H,Tabela2[[#This Row],[ITENS]],FATURADO!N:N)</f>
        <v>0</v>
      </c>
      <c r="J134" s="45">
        <f>SUMIF(SEPARAÇÃO!I:I,B134,SEPARAÇÃO!M:M)</f>
        <v>0</v>
      </c>
      <c r="K134" s="4">
        <f>SUMIF(SEPARAÇÃO!I:I,Tabela2[[#This Row],[ITENS]],SEPARAÇÃO!P:P)</f>
        <v>0</v>
      </c>
      <c r="L134" s="45">
        <f t="shared" si="1"/>
        <v>0</v>
      </c>
      <c r="M134" s="4">
        <f t="shared" si="1"/>
        <v>0</v>
      </c>
    </row>
    <row r="135" spans="1:13" x14ac:dyDescent="0.25">
      <c r="A135" s="1"/>
      <c r="B135" s="42">
        <v>3421</v>
      </c>
      <c r="C135" s="42" t="s">
        <v>141</v>
      </c>
      <c r="D135" s="43">
        <v>7896112134213</v>
      </c>
      <c r="E135" s="44" t="s">
        <v>34</v>
      </c>
      <c r="F135" s="45">
        <f>SUMIF(PND!D:D,B135,PND!H:H)</f>
        <v>0</v>
      </c>
      <c r="G135" s="4">
        <f>SUMIF(PND!D:D,Tabela2[[#This Row],[ITENS]],PND!J:J)</f>
        <v>0</v>
      </c>
      <c r="H135" s="45">
        <f>SUMIF(FATURADO!H:H,B135,FATURADO!L:L)</f>
        <v>4000</v>
      </c>
      <c r="I135" s="4">
        <f>SUMIF(FATURADO!H:H,Tabela2[[#This Row],[ITENS]],FATURADO!N:N)</f>
        <v>18280</v>
      </c>
      <c r="J135" s="45">
        <f>SUMIF(SEPARAÇÃO!I:I,B135,SEPARAÇÃO!M:M)</f>
        <v>0</v>
      </c>
      <c r="K135" s="4">
        <f>SUMIF(SEPARAÇÃO!I:I,Tabela2[[#This Row],[ITENS]],SEPARAÇÃO!P:P)</f>
        <v>0</v>
      </c>
      <c r="L135" s="45">
        <f t="shared" si="1"/>
        <v>4000</v>
      </c>
      <c r="M135" s="4">
        <f t="shared" si="1"/>
        <v>18280</v>
      </c>
    </row>
    <row r="136" spans="1:13" x14ac:dyDescent="0.25">
      <c r="A136" s="1"/>
      <c r="B136" s="42">
        <v>3422</v>
      </c>
      <c r="C136" s="42" t="s">
        <v>142</v>
      </c>
      <c r="D136" s="43">
        <v>7896112134220</v>
      </c>
      <c r="E136" s="44" t="s">
        <v>34</v>
      </c>
      <c r="F136" s="45">
        <f>SUMIF(PND!D:D,B136,PND!H:H)</f>
        <v>0</v>
      </c>
      <c r="G136" s="4">
        <f>SUMIF(PND!D:D,Tabela2[[#This Row],[ITENS]],PND!J:J)</f>
        <v>0</v>
      </c>
      <c r="H136" s="45">
        <f>SUMIF(FATURADO!H:H,B136,FATURADO!L:L)</f>
        <v>0</v>
      </c>
      <c r="I136" s="4">
        <f>SUMIF(FATURADO!H:H,Tabela2[[#This Row],[ITENS]],FATURADO!N:N)</f>
        <v>0</v>
      </c>
      <c r="J136" s="45">
        <f>SUMIF(SEPARAÇÃO!I:I,B136,SEPARAÇÃO!M:M)</f>
        <v>0</v>
      </c>
      <c r="K136" s="4">
        <f>SUMIF(SEPARAÇÃO!I:I,Tabela2[[#This Row],[ITENS]],SEPARAÇÃO!P:P)</f>
        <v>0</v>
      </c>
      <c r="L136" s="45">
        <f t="shared" si="1"/>
        <v>0</v>
      </c>
      <c r="M136" s="4">
        <f t="shared" si="1"/>
        <v>0</v>
      </c>
    </row>
    <row r="137" spans="1:13" x14ac:dyDescent="0.25">
      <c r="A137" s="1"/>
      <c r="B137" s="42">
        <v>3587</v>
      </c>
      <c r="C137" s="42" t="s">
        <v>143</v>
      </c>
      <c r="D137" s="43">
        <v>7896112135876</v>
      </c>
      <c r="E137" s="44" t="s">
        <v>34</v>
      </c>
      <c r="F137" s="45">
        <f>SUMIF(PND!D:D,B137,PND!H:H)</f>
        <v>0</v>
      </c>
      <c r="G137" s="4">
        <f>SUMIF(PND!D:D,Tabela2[[#This Row],[ITENS]],PND!J:J)</f>
        <v>0</v>
      </c>
      <c r="H137" s="45">
        <f>SUMIF(FATURADO!H:H,B137,FATURADO!L:L)</f>
        <v>0</v>
      </c>
      <c r="I137" s="4">
        <f>SUMIF(FATURADO!H:H,Tabela2[[#This Row],[ITENS]],FATURADO!N:N)</f>
        <v>0</v>
      </c>
      <c r="J137" s="45">
        <f>SUMIF(SEPARAÇÃO!I:I,B137,SEPARAÇÃO!M:M)</f>
        <v>0</v>
      </c>
      <c r="K137" s="4">
        <f>SUMIF(SEPARAÇÃO!I:I,Tabela2[[#This Row],[ITENS]],SEPARAÇÃO!P:P)</f>
        <v>0</v>
      </c>
      <c r="L137" s="45">
        <f t="shared" si="1"/>
        <v>0</v>
      </c>
      <c r="M137" s="4">
        <f t="shared" si="1"/>
        <v>0</v>
      </c>
    </row>
    <row r="138" spans="1:13" x14ac:dyDescent="0.25">
      <c r="A138" s="1"/>
      <c r="B138" s="42">
        <v>3588</v>
      </c>
      <c r="C138" s="42" t="s">
        <v>144</v>
      </c>
      <c r="D138" s="43">
        <v>7896112135883</v>
      </c>
      <c r="E138" s="44" t="s">
        <v>34</v>
      </c>
      <c r="F138" s="45">
        <f>SUMIF(PND!D:D,B138,PND!H:H)</f>
        <v>0</v>
      </c>
      <c r="G138" s="4">
        <f>SUMIF(PND!D:D,Tabela2[[#This Row],[ITENS]],PND!J:J)</f>
        <v>0</v>
      </c>
      <c r="H138" s="45">
        <f>SUMIF(FATURADO!H:H,B138,FATURADO!L:L)</f>
        <v>0</v>
      </c>
      <c r="I138" s="4">
        <f>SUMIF(FATURADO!H:H,Tabela2[[#This Row],[ITENS]],FATURADO!N:N)</f>
        <v>0</v>
      </c>
      <c r="J138" s="45">
        <f>SUMIF(SEPARAÇÃO!I:I,B138,SEPARAÇÃO!M:M)</f>
        <v>0</v>
      </c>
      <c r="K138" s="4">
        <f>SUMIF(SEPARAÇÃO!I:I,Tabela2[[#This Row],[ITENS]],SEPARAÇÃO!P:P)</f>
        <v>0</v>
      </c>
      <c r="L138" s="45">
        <f t="shared" si="1"/>
        <v>0</v>
      </c>
      <c r="M138" s="4">
        <f t="shared" si="1"/>
        <v>0</v>
      </c>
    </row>
    <row r="139" spans="1:13" x14ac:dyDescent="0.25">
      <c r="A139" s="1"/>
      <c r="B139" s="42">
        <v>3591</v>
      </c>
      <c r="C139" s="42" t="s">
        <v>145</v>
      </c>
      <c r="D139" s="43">
        <v>7896112135913</v>
      </c>
      <c r="E139" s="44" t="s">
        <v>34</v>
      </c>
      <c r="F139" s="45">
        <f>SUMIF(PND!D:D,B139,PND!H:H)</f>
        <v>0</v>
      </c>
      <c r="G139" s="4">
        <f>SUMIF(PND!D:D,Tabela2[[#This Row],[ITENS]],PND!J:J)</f>
        <v>0</v>
      </c>
      <c r="H139" s="45">
        <f>SUMIF(FATURADO!H:H,B139,FATURADO!L:L)</f>
        <v>3000</v>
      </c>
      <c r="I139" s="4">
        <f>SUMIF(FATURADO!H:H,Tabela2[[#This Row],[ITENS]],FATURADO!N:N)</f>
        <v>8620</v>
      </c>
      <c r="J139" s="45">
        <f>SUMIF(SEPARAÇÃO!I:I,B139,SEPARAÇÃO!M:M)</f>
        <v>0</v>
      </c>
      <c r="K139" s="4">
        <f>SUMIF(SEPARAÇÃO!I:I,Tabela2[[#This Row],[ITENS]],SEPARAÇÃO!P:P)</f>
        <v>0</v>
      </c>
      <c r="L139" s="45">
        <f t="shared" si="1"/>
        <v>3000</v>
      </c>
      <c r="M139" s="4">
        <f t="shared" si="1"/>
        <v>8620</v>
      </c>
    </row>
    <row r="140" spans="1:13" x14ac:dyDescent="0.25">
      <c r="A140" s="1"/>
      <c r="B140" s="42">
        <v>3638</v>
      </c>
      <c r="C140" s="42" t="s">
        <v>146</v>
      </c>
      <c r="D140" s="43">
        <v>7896112136385</v>
      </c>
      <c r="E140" s="44" t="s">
        <v>34</v>
      </c>
      <c r="F140" s="45">
        <f>SUMIF(PND!D:D,B140,PND!H:H)</f>
        <v>0</v>
      </c>
      <c r="G140" s="4">
        <f>SUMIF(PND!D:D,Tabela2[[#This Row],[ITENS]],PND!J:J)</f>
        <v>0</v>
      </c>
      <c r="H140" s="45">
        <f>SUMIF(FATURADO!H:H,B140,FATURADO!L:L)</f>
        <v>2200</v>
      </c>
      <c r="I140" s="4">
        <f>SUMIF(FATURADO!H:H,Tabela2[[#This Row],[ITENS]],FATURADO!N:N)</f>
        <v>4210</v>
      </c>
      <c r="J140" s="45">
        <f>SUMIF(SEPARAÇÃO!I:I,B140,SEPARAÇÃO!M:M)</f>
        <v>0</v>
      </c>
      <c r="K140" s="4">
        <f>SUMIF(SEPARAÇÃO!I:I,Tabela2[[#This Row],[ITENS]],SEPARAÇÃO!P:P)</f>
        <v>0</v>
      </c>
      <c r="L140" s="45">
        <f t="shared" si="1"/>
        <v>2200</v>
      </c>
      <c r="M140" s="4">
        <f t="shared" si="1"/>
        <v>4210</v>
      </c>
    </row>
    <row r="141" spans="1:13" x14ac:dyDescent="0.25">
      <c r="A141" s="1"/>
      <c r="B141" s="42">
        <v>3667</v>
      </c>
      <c r="C141" s="42" t="s">
        <v>147</v>
      </c>
      <c r="D141" s="43">
        <v>7896112136675</v>
      </c>
      <c r="E141" s="44" t="s">
        <v>34</v>
      </c>
      <c r="F141" s="45">
        <f>SUMIF(PND!D:D,B141,PND!H:H)</f>
        <v>0</v>
      </c>
      <c r="G141" s="4">
        <f>SUMIF(PND!D:D,Tabela2[[#This Row],[ITENS]],PND!J:J)</f>
        <v>0</v>
      </c>
      <c r="H141" s="45">
        <f>SUMIF(FATURADO!H:H,B141,FATURADO!L:L)</f>
        <v>0</v>
      </c>
      <c r="I141" s="4">
        <f>SUMIF(FATURADO!H:H,Tabela2[[#This Row],[ITENS]],FATURADO!N:N)</f>
        <v>0</v>
      </c>
      <c r="J141" s="45">
        <f>SUMIF(SEPARAÇÃO!I:I,B141,SEPARAÇÃO!M:M)</f>
        <v>0</v>
      </c>
      <c r="K141" s="4">
        <f>SUMIF(SEPARAÇÃO!I:I,Tabela2[[#This Row],[ITENS]],SEPARAÇÃO!P:P)</f>
        <v>0</v>
      </c>
      <c r="L141" s="45">
        <f t="shared" si="1"/>
        <v>0</v>
      </c>
      <c r="M141" s="4">
        <f t="shared" si="1"/>
        <v>0</v>
      </c>
    </row>
    <row r="142" spans="1:13" x14ac:dyDescent="0.25">
      <c r="A142" s="1"/>
      <c r="B142" s="42">
        <v>3680</v>
      </c>
      <c r="C142" s="42" t="s">
        <v>148</v>
      </c>
      <c r="D142" s="43">
        <v>7896112136804</v>
      </c>
      <c r="E142" s="44" t="s">
        <v>23</v>
      </c>
      <c r="F142" s="45">
        <f>SUMIF(PND!D:D,B142,PND!H:H)</f>
        <v>0</v>
      </c>
      <c r="G142" s="4">
        <f>SUMIF(PND!D:D,Tabela2[[#This Row],[ITENS]],PND!J:J)</f>
        <v>0</v>
      </c>
      <c r="H142" s="45">
        <f>SUMIF(FATURADO!H:H,B142,FATURADO!L:L)</f>
        <v>3200</v>
      </c>
      <c r="I142" s="4">
        <f>SUMIF(FATURADO!H:H,Tabela2[[#This Row],[ITENS]],FATURADO!N:N)</f>
        <v>6400</v>
      </c>
      <c r="J142" s="45">
        <f>SUMIF(SEPARAÇÃO!I:I,B142,SEPARAÇÃO!M:M)</f>
        <v>0</v>
      </c>
      <c r="K142" s="4">
        <f>SUMIF(SEPARAÇÃO!I:I,Tabela2[[#This Row],[ITENS]],SEPARAÇÃO!P:P)</f>
        <v>0</v>
      </c>
      <c r="L142" s="45">
        <f t="shared" si="1"/>
        <v>3200</v>
      </c>
      <c r="M142" s="4">
        <f t="shared" si="1"/>
        <v>6400</v>
      </c>
    </row>
    <row r="143" spans="1:13" x14ac:dyDescent="0.25">
      <c r="A143" s="1"/>
      <c r="B143" s="42">
        <v>3728</v>
      </c>
      <c r="C143" s="42" t="s">
        <v>149</v>
      </c>
      <c r="D143" s="43">
        <v>7896112137283</v>
      </c>
      <c r="E143" s="44" t="s">
        <v>34</v>
      </c>
      <c r="F143" s="45">
        <f>SUMIF(PND!D:D,B143,PND!H:H)</f>
        <v>0</v>
      </c>
      <c r="G143" s="4">
        <f>SUMIF(PND!D:D,Tabela2[[#This Row],[ITENS]],PND!J:J)</f>
        <v>0</v>
      </c>
      <c r="H143" s="45">
        <f>SUMIF(FATURADO!H:H,B143,FATURADO!L:L)</f>
        <v>0</v>
      </c>
      <c r="I143" s="4">
        <f>SUMIF(FATURADO!H:H,Tabela2[[#This Row],[ITENS]],FATURADO!N:N)</f>
        <v>0</v>
      </c>
      <c r="J143" s="45">
        <f>SUMIF(SEPARAÇÃO!I:I,B143,SEPARAÇÃO!M:M)</f>
        <v>0</v>
      </c>
      <c r="K143" s="4">
        <f>SUMIF(SEPARAÇÃO!I:I,Tabela2[[#This Row],[ITENS]],SEPARAÇÃO!P:P)</f>
        <v>0</v>
      </c>
      <c r="L143" s="45">
        <f t="shared" si="1"/>
        <v>0</v>
      </c>
      <c r="M143" s="4">
        <f t="shared" si="1"/>
        <v>0</v>
      </c>
    </row>
    <row r="144" spans="1:13" x14ac:dyDescent="0.25">
      <c r="A144" s="1"/>
      <c r="B144" s="42">
        <v>3838</v>
      </c>
      <c r="C144" s="42" t="s">
        <v>150</v>
      </c>
      <c r="D144" s="43">
        <v>7896112138389</v>
      </c>
      <c r="E144" s="44" t="s">
        <v>23</v>
      </c>
      <c r="F144" s="45">
        <f>SUMIF(PND!D:D,B144,PND!H:H)</f>
        <v>0</v>
      </c>
      <c r="G144" s="4">
        <f>SUMIF(PND!D:D,Tabela2[[#This Row],[ITENS]],PND!J:J)</f>
        <v>0</v>
      </c>
      <c r="H144" s="45">
        <f>SUMIF(FATURADO!H:H,B144,FATURADO!L:L)</f>
        <v>700</v>
      </c>
      <c r="I144" s="4">
        <f>SUMIF(FATURADO!H:H,Tabela2[[#This Row],[ITENS]],FATURADO!N:N)</f>
        <v>7740</v>
      </c>
      <c r="J144" s="45">
        <f>SUMIF(SEPARAÇÃO!I:I,B144,SEPARAÇÃO!M:M)</f>
        <v>0</v>
      </c>
      <c r="K144" s="4">
        <f>SUMIF(SEPARAÇÃO!I:I,Tabela2[[#This Row],[ITENS]],SEPARAÇÃO!P:P)</f>
        <v>0</v>
      </c>
      <c r="L144" s="45">
        <f t="shared" si="1"/>
        <v>700</v>
      </c>
      <c r="M144" s="4">
        <f t="shared" si="1"/>
        <v>7740</v>
      </c>
    </row>
    <row r="145" spans="1:13" x14ac:dyDescent="0.25">
      <c r="A145" s="1"/>
      <c r="B145" s="42">
        <v>3850</v>
      </c>
      <c r="C145" s="42" t="s">
        <v>151</v>
      </c>
      <c r="D145" s="43">
        <v>7896112138501</v>
      </c>
      <c r="E145" s="44" t="s">
        <v>34</v>
      </c>
      <c r="F145" s="45">
        <f>SUMIF(PND!D:D,B145,PND!H:H)</f>
        <v>0</v>
      </c>
      <c r="G145" s="4">
        <f>SUMIF(PND!D:D,Tabela2[[#This Row],[ITENS]],PND!J:J)</f>
        <v>0</v>
      </c>
      <c r="H145" s="45">
        <f>SUMIF(FATURADO!H:H,B145,FATURADO!L:L)</f>
        <v>900</v>
      </c>
      <c r="I145" s="4">
        <f>SUMIF(FATURADO!H:H,Tabela2[[#This Row],[ITENS]],FATURADO!N:N)</f>
        <v>6651</v>
      </c>
      <c r="J145" s="45">
        <f>SUMIF(SEPARAÇÃO!I:I,B145,SEPARAÇÃO!M:M)</f>
        <v>0</v>
      </c>
      <c r="K145" s="4">
        <f>SUMIF(SEPARAÇÃO!I:I,Tabela2[[#This Row],[ITENS]],SEPARAÇÃO!P:P)</f>
        <v>0</v>
      </c>
      <c r="L145" s="45">
        <f t="shared" si="1"/>
        <v>900</v>
      </c>
      <c r="M145" s="4">
        <f t="shared" si="1"/>
        <v>6651</v>
      </c>
    </row>
    <row r="146" spans="1:13" x14ac:dyDescent="0.25">
      <c r="A146" s="1"/>
      <c r="B146" s="42">
        <v>3903</v>
      </c>
      <c r="C146" s="42" t="s">
        <v>152</v>
      </c>
      <c r="D146" s="43">
        <v>7896112139034</v>
      </c>
      <c r="E146" s="44" t="s">
        <v>34</v>
      </c>
      <c r="F146" s="45">
        <f>SUMIF(PND!D:D,B146,PND!H:H)</f>
        <v>0</v>
      </c>
      <c r="G146" s="4">
        <f>SUMIF(PND!D:D,Tabela2[[#This Row],[ITENS]],PND!J:J)</f>
        <v>0</v>
      </c>
      <c r="H146" s="45">
        <f>SUMIF(FATURADO!H:H,B146,FATURADO!L:L)</f>
        <v>0</v>
      </c>
      <c r="I146" s="4">
        <f>SUMIF(FATURADO!H:H,Tabela2[[#This Row],[ITENS]],FATURADO!N:N)</f>
        <v>0</v>
      </c>
      <c r="J146" s="45">
        <f>SUMIF(SEPARAÇÃO!I:I,B146,SEPARAÇÃO!M:M)</f>
        <v>0</v>
      </c>
      <c r="K146" s="4">
        <f>SUMIF(SEPARAÇÃO!I:I,Tabela2[[#This Row],[ITENS]],SEPARAÇÃO!P:P)</f>
        <v>0</v>
      </c>
      <c r="L146" s="45">
        <f t="shared" ref="L146:M209" si="2">F146+H146+J146</f>
        <v>0</v>
      </c>
      <c r="M146" s="4">
        <f t="shared" si="2"/>
        <v>0</v>
      </c>
    </row>
    <row r="147" spans="1:13" x14ac:dyDescent="0.25">
      <c r="A147" s="1"/>
      <c r="B147" s="42">
        <v>3909</v>
      </c>
      <c r="C147" s="42" t="s">
        <v>153</v>
      </c>
      <c r="D147" s="43">
        <v>7896112139096</v>
      </c>
      <c r="E147" s="44" t="s">
        <v>34</v>
      </c>
      <c r="F147" s="45">
        <f>SUMIF(PND!D:D,B147,PND!H:H)</f>
        <v>0</v>
      </c>
      <c r="G147" s="4">
        <f>SUMIF(PND!D:D,Tabela2[[#This Row],[ITENS]],PND!J:J)</f>
        <v>0</v>
      </c>
      <c r="H147" s="45">
        <f>SUMIF(FATURADO!H:H,B147,FATURADO!L:L)</f>
        <v>0</v>
      </c>
      <c r="I147" s="4">
        <f>SUMIF(FATURADO!H:H,Tabela2[[#This Row],[ITENS]],FATURADO!N:N)</f>
        <v>0</v>
      </c>
      <c r="J147" s="45">
        <f>SUMIF(SEPARAÇÃO!I:I,B147,SEPARAÇÃO!M:M)</f>
        <v>0</v>
      </c>
      <c r="K147" s="4">
        <f>SUMIF(SEPARAÇÃO!I:I,Tabela2[[#This Row],[ITENS]],SEPARAÇÃO!P:P)</f>
        <v>0</v>
      </c>
      <c r="L147" s="45">
        <f t="shared" si="2"/>
        <v>0</v>
      </c>
      <c r="M147" s="4">
        <f t="shared" si="2"/>
        <v>0</v>
      </c>
    </row>
    <row r="148" spans="1:13" x14ac:dyDescent="0.25">
      <c r="A148" s="1"/>
      <c r="B148" s="42">
        <v>3915</v>
      </c>
      <c r="C148" s="42" t="s">
        <v>154</v>
      </c>
      <c r="D148" s="43">
        <v>7896112139157</v>
      </c>
      <c r="E148" s="44" t="s">
        <v>34</v>
      </c>
      <c r="F148" s="45">
        <f>SUMIF(PND!D:D,B148,PND!H:H)</f>
        <v>0</v>
      </c>
      <c r="G148" s="4">
        <f>SUMIF(PND!D:D,Tabela2[[#This Row],[ITENS]],PND!J:J)</f>
        <v>0</v>
      </c>
      <c r="H148" s="45">
        <f>SUMIF(FATURADO!H:H,B148,FATURADO!L:L)</f>
        <v>0</v>
      </c>
      <c r="I148" s="4">
        <f>SUMIF(FATURADO!H:H,Tabela2[[#This Row],[ITENS]],FATURADO!N:N)</f>
        <v>0</v>
      </c>
      <c r="J148" s="45">
        <f>SUMIF(SEPARAÇÃO!I:I,B148,SEPARAÇÃO!M:M)</f>
        <v>0</v>
      </c>
      <c r="K148" s="4">
        <f>SUMIF(SEPARAÇÃO!I:I,Tabela2[[#This Row],[ITENS]],SEPARAÇÃO!P:P)</f>
        <v>0</v>
      </c>
      <c r="L148" s="45">
        <f t="shared" si="2"/>
        <v>0</v>
      </c>
      <c r="M148" s="4">
        <f t="shared" si="2"/>
        <v>0</v>
      </c>
    </row>
    <row r="149" spans="1:13" x14ac:dyDescent="0.25">
      <c r="A149" s="1"/>
      <c r="B149" s="42">
        <v>3994</v>
      </c>
      <c r="C149" s="42" t="s">
        <v>155</v>
      </c>
      <c r="D149" s="43">
        <v>7896112139942</v>
      </c>
      <c r="E149" s="44" t="s">
        <v>23</v>
      </c>
      <c r="F149" s="45">
        <f>SUMIF(PND!D:D,B149,PND!H:H)</f>
        <v>0</v>
      </c>
      <c r="G149" s="4">
        <f>SUMIF(PND!D:D,Tabela2[[#This Row],[ITENS]],PND!J:J)</f>
        <v>0</v>
      </c>
      <c r="H149" s="45">
        <f>SUMIF(FATURADO!H:H,B149,FATURADO!L:L)</f>
        <v>1736</v>
      </c>
      <c r="I149" s="4">
        <f>SUMIF(FATURADO!H:H,Tabela2[[#This Row],[ITENS]],FATURADO!N:N)</f>
        <v>4784.6400000000003</v>
      </c>
      <c r="J149" s="45">
        <f>SUMIF(SEPARAÇÃO!I:I,B149,SEPARAÇÃO!M:M)</f>
        <v>0</v>
      </c>
      <c r="K149" s="4">
        <f>SUMIF(SEPARAÇÃO!I:I,Tabela2[[#This Row],[ITENS]],SEPARAÇÃO!P:P)</f>
        <v>0</v>
      </c>
      <c r="L149" s="45">
        <f t="shared" si="2"/>
        <v>1736</v>
      </c>
      <c r="M149" s="4">
        <f t="shared" si="2"/>
        <v>4784.6400000000003</v>
      </c>
    </row>
    <row r="150" spans="1:13" x14ac:dyDescent="0.25">
      <c r="A150" s="1"/>
      <c r="B150" s="42">
        <v>4053</v>
      </c>
      <c r="C150" s="42" t="s">
        <v>156</v>
      </c>
      <c r="D150" s="43">
        <v>7896112100539</v>
      </c>
      <c r="E150" s="44" t="s">
        <v>34</v>
      </c>
      <c r="F150" s="45">
        <f>SUMIF(PND!D:D,B150,PND!H:H)</f>
        <v>0</v>
      </c>
      <c r="G150" s="4">
        <f>SUMIF(PND!D:D,Tabela2[[#This Row],[ITENS]],PND!J:J)</f>
        <v>0</v>
      </c>
      <c r="H150" s="45">
        <f>SUMIF(FATURADO!H:H,B150,FATURADO!L:L)</f>
        <v>1000</v>
      </c>
      <c r="I150" s="4">
        <f>SUMIF(FATURADO!H:H,Tabela2[[#This Row],[ITENS]],FATURADO!N:N)</f>
        <v>2610</v>
      </c>
      <c r="J150" s="45">
        <f>SUMIF(SEPARAÇÃO!I:I,B150,SEPARAÇÃO!M:M)</f>
        <v>0</v>
      </c>
      <c r="K150" s="4">
        <f>SUMIF(SEPARAÇÃO!I:I,Tabela2[[#This Row],[ITENS]],SEPARAÇÃO!P:P)</f>
        <v>0</v>
      </c>
      <c r="L150" s="45">
        <f t="shared" si="2"/>
        <v>1000</v>
      </c>
      <c r="M150" s="4">
        <f t="shared" si="2"/>
        <v>2610</v>
      </c>
    </row>
    <row r="151" spans="1:13" x14ac:dyDescent="0.25">
      <c r="A151" s="1"/>
      <c r="B151" s="42">
        <v>4131</v>
      </c>
      <c r="C151" s="42" t="s">
        <v>157</v>
      </c>
      <c r="D151" s="43">
        <v>7896112101314</v>
      </c>
      <c r="E151" s="44" t="s">
        <v>23</v>
      </c>
      <c r="F151" s="45">
        <f>SUMIF(PND!D:D,B151,PND!H:H)</f>
        <v>560</v>
      </c>
      <c r="G151" s="4">
        <f>SUMIF(PND!D:D,Tabela2[[#This Row],[ITENS]],PND!J:J)</f>
        <v>1472.8</v>
      </c>
      <c r="H151" s="45">
        <f>SUMIF(FATURADO!H:H,B151,FATURADO!L:L)</f>
        <v>1064</v>
      </c>
      <c r="I151" s="4">
        <f>SUMIF(FATURADO!H:H,Tabela2[[#This Row],[ITENS]],FATURADO!N:N)</f>
        <v>2702.56</v>
      </c>
      <c r="J151" s="45">
        <f>SUMIF(SEPARAÇÃO!I:I,B151,SEPARAÇÃO!M:M)</f>
        <v>0</v>
      </c>
      <c r="K151" s="4">
        <f>SUMIF(SEPARAÇÃO!I:I,Tabela2[[#This Row],[ITENS]],SEPARAÇÃO!P:P)</f>
        <v>0</v>
      </c>
      <c r="L151" s="45">
        <f t="shared" si="2"/>
        <v>1624</v>
      </c>
      <c r="M151" s="4">
        <f t="shared" si="2"/>
        <v>4175.3599999999997</v>
      </c>
    </row>
    <row r="152" spans="1:13" x14ac:dyDescent="0.25">
      <c r="A152" s="1"/>
      <c r="B152" s="42">
        <v>4134</v>
      </c>
      <c r="C152" s="42" t="s">
        <v>158</v>
      </c>
      <c r="D152" s="43">
        <v>7896112101345</v>
      </c>
      <c r="E152" s="44" t="s">
        <v>23</v>
      </c>
      <c r="F152" s="45">
        <f>SUMIF(PND!D:D,B152,PND!H:H)</f>
        <v>3000</v>
      </c>
      <c r="G152" s="4">
        <f>SUMIF(PND!D:D,Tabela2[[#This Row],[ITENS]],PND!J:J)</f>
        <v>6060</v>
      </c>
      <c r="H152" s="45">
        <f>SUMIF(FATURADO!H:H,B152,FATURADO!L:L)</f>
        <v>0</v>
      </c>
      <c r="I152" s="4">
        <f>SUMIF(FATURADO!H:H,Tabela2[[#This Row],[ITENS]],FATURADO!N:N)</f>
        <v>0</v>
      </c>
      <c r="J152" s="45">
        <f>SUMIF(SEPARAÇÃO!I:I,B152,SEPARAÇÃO!M:M)</f>
        <v>0</v>
      </c>
      <c r="K152" s="4">
        <f>SUMIF(SEPARAÇÃO!I:I,Tabela2[[#This Row],[ITENS]],SEPARAÇÃO!P:P)</f>
        <v>0</v>
      </c>
      <c r="L152" s="45">
        <f t="shared" si="2"/>
        <v>3000</v>
      </c>
      <c r="M152" s="4">
        <f t="shared" si="2"/>
        <v>6060</v>
      </c>
    </row>
    <row r="153" spans="1:13" x14ac:dyDescent="0.25">
      <c r="A153" s="1"/>
      <c r="B153" s="42">
        <v>4135</v>
      </c>
      <c r="C153" s="42" t="s">
        <v>159</v>
      </c>
      <c r="D153" s="43">
        <v>7896112101352</v>
      </c>
      <c r="E153" s="44" t="s">
        <v>34</v>
      </c>
      <c r="F153" s="45">
        <f>SUMIF(PND!D:D,B153,PND!H:H)</f>
        <v>0</v>
      </c>
      <c r="G153" s="4">
        <f>SUMIF(PND!D:D,Tabela2[[#This Row],[ITENS]],PND!J:J)</f>
        <v>0</v>
      </c>
      <c r="H153" s="45">
        <f>SUMIF(FATURADO!H:H,B153,FATURADO!L:L)</f>
        <v>0</v>
      </c>
      <c r="I153" s="4">
        <f>SUMIF(FATURADO!H:H,Tabela2[[#This Row],[ITENS]],FATURADO!N:N)</f>
        <v>0</v>
      </c>
      <c r="J153" s="45">
        <f>SUMIF(SEPARAÇÃO!I:I,B153,SEPARAÇÃO!M:M)</f>
        <v>0</v>
      </c>
      <c r="K153" s="4">
        <f>SUMIF(SEPARAÇÃO!I:I,Tabela2[[#This Row],[ITENS]],SEPARAÇÃO!P:P)</f>
        <v>0</v>
      </c>
      <c r="L153" s="45">
        <f t="shared" si="2"/>
        <v>0</v>
      </c>
      <c r="M153" s="4">
        <f t="shared" si="2"/>
        <v>0</v>
      </c>
    </row>
    <row r="154" spans="1:13" x14ac:dyDescent="0.25">
      <c r="A154" s="1"/>
      <c r="B154" s="42">
        <v>4156</v>
      </c>
      <c r="C154" s="42" t="s">
        <v>160</v>
      </c>
      <c r="D154" s="43">
        <v>7896112101567</v>
      </c>
      <c r="E154" s="44" t="s">
        <v>34</v>
      </c>
      <c r="F154" s="45">
        <f>SUMIF(PND!D:D,B154,PND!H:H)</f>
        <v>6000</v>
      </c>
      <c r="G154" s="4">
        <f>SUMIF(PND!D:D,Tabela2[[#This Row],[ITENS]],PND!J:J)</f>
        <v>17040</v>
      </c>
      <c r="H154" s="45">
        <f>SUMIF(FATURADO!H:H,B154,FATURADO!L:L)</f>
        <v>3500</v>
      </c>
      <c r="I154" s="4">
        <f>SUMIF(FATURADO!H:H,Tabela2[[#This Row],[ITENS]],FATURADO!N:N)</f>
        <v>8615</v>
      </c>
      <c r="J154" s="45">
        <f>SUMIF(SEPARAÇÃO!I:I,B154,SEPARAÇÃO!M:M)</f>
        <v>0</v>
      </c>
      <c r="K154" s="4">
        <f>SUMIF(SEPARAÇÃO!I:I,Tabela2[[#This Row],[ITENS]],SEPARAÇÃO!P:P)</f>
        <v>0</v>
      </c>
      <c r="L154" s="45">
        <f t="shared" si="2"/>
        <v>9500</v>
      </c>
      <c r="M154" s="4">
        <f t="shared" si="2"/>
        <v>25655</v>
      </c>
    </row>
    <row r="155" spans="1:13" x14ac:dyDescent="0.25">
      <c r="A155" s="1"/>
      <c r="B155" s="42">
        <v>4162</v>
      </c>
      <c r="C155" s="42" t="s">
        <v>161</v>
      </c>
      <c r="D155" s="43">
        <v>7896112101628</v>
      </c>
      <c r="E155" s="44" t="s">
        <v>34</v>
      </c>
      <c r="F155" s="45">
        <f>SUMIF(PND!D:D,B155,PND!H:H)</f>
        <v>240</v>
      </c>
      <c r="G155" s="4">
        <f>SUMIF(PND!D:D,Tabela2[[#This Row],[ITENS]],PND!J:J)</f>
        <v>2536.8000000000002</v>
      </c>
      <c r="H155" s="45">
        <f>SUMIF(FATURADO!H:H,B155,FATURADO!L:L)</f>
        <v>200</v>
      </c>
      <c r="I155" s="4">
        <f>SUMIF(FATURADO!H:H,Tabela2[[#This Row],[ITENS]],FATURADO!N:N)</f>
        <v>1978.3999999999999</v>
      </c>
      <c r="J155" s="45">
        <f>SUMIF(SEPARAÇÃO!I:I,B155,SEPARAÇÃO!M:M)</f>
        <v>0</v>
      </c>
      <c r="K155" s="4">
        <f>SUMIF(SEPARAÇÃO!I:I,Tabela2[[#This Row],[ITENS]],SEPARAÇÃO!P:P)</f>
        <v>0</v>
      </c>
      <c r="L155" s="45">
        <f t="shared" si="2"/>
        <v>440</v>
      </c>
      <c r="M155" s="4">
        <f t="shared" si="2"/>
        <v>4515.2</v>
      </c>
    </row>
    <row r="156" spans="1:13" x14ac:dyDescent="0.25">
      <c r="A156" s="1"/>
      <c r="B156" s="42">
        <v>4163</v>
      </c>
      <c r="C156" s="42" t="s">
        <v>162</v>
      </c>
      <c r="D156" s="43">
        <v>7896112101635</v>
      </c>
      <c r="E156" s="44" t="s">
        <v>34</v>
      </c>
      <c r="F156" s="45">
        <f>SUMIF(PND!D:D,B156,PND!H:H)</f>
        <v>0</v>
      </c>
      <c r="G156" s="4">
        <f>SUMIF(PND!D:D,Tabela2[[#This Row],[ITENS]],PND!J:J)</f>
        <v>0</v>
      </c>
      <c r="H156" s="45">
        <f>SUMIF(FATURADO!H:H,B156,FATURADO!L:L)</f>
        <v>630</v>
      </c>
      <c r="I156" s="4">
        <f>SUMIF(FATURADO!H:H,Tabela2[[#This Row],[ITENS]],FATURADO!N:N)</f>
        <v>2104.1999999999998</v>
      </c>
      <c r="J156" s="45">
        <f>SUMIF(SEPARAÇÃO!I:I,B156,SEPARAÇÃO!M:M)</f>
        <v>0</v>
      </c>
      <c r="K156" s="4">
        <f>SUMIF(SEPARAÇÃO!I:I,Tabela2[[#This Row],[ITENS]],SEPARAÇÃO!P:P)</f>
        <v>0</v>
      </c>
      <c r="L156" s="45">
        <f t="shared" si="2"/>
        <v>630</v>
      </c>
      <c r="M156" s="4">
        <f t="shared" si="2"/>
        <v>2104.1999999999998</v>
      </c>
    </row>
    <row r="157" spans="1:13" x14ac:dyDescent="0.25">
      <c r="A157" s="1"/>
      <c r="B157" s="42">
        <v>4165</v>
      </c>
      <c r="C157" s="42" t="s">
        <v>163</v>
      </c>
      <c r="D157" s="43">
        <v>7896112101659</v>
      </c>
      <c r="E157" s="44" t="s">
        <v>34</v>
      </c>
      <c r="F157" s="45">
        <f>SUMIF(PND!D:D,B157,PND!H:H)</f>
        <v>0</v>
      </c>
      <c r="G157" s="4">
        <f>SUMIF(PND!D:D,Tabela2[[#This Row],[ITENS]],PND!J:J)</f>
        <v>0</v>
      </c>
      <c r="H157" s="45">
        <f>SUMIF(FATURADO!H:H,B157,FATURADO!L:L)</f>
        <v>2000</v>
      </c>
      <c r="I157" s="4">
        <f>SUMIF(FATURADO!H:H,Tabela2[[#This Row],[ITENS]],FATURADO!N:N)</f>
        <v>8930</v>
      </c>
      <c r="J157" s="45">
        <f>SUMIF(SEPARAÇÃO!I:I,B157,SEPARAÇÃO!M:M)</f>
        <v>0</v>
      </c>
      <c r="K157" s="4">
        <f>SUMIF(SEPARAÇÃO!I:I,Tabela2[[#This Row],[ITENS]],SEPARAÇÃO!P:P)</f>
        <v>0</v>
      </c>
      <c r="L157" s="45">
        <f t="shared" si="2"/>
        <v>2000</v>
      </c>
      <c r="M157" s="4">
        <f t="shared" si="2"/>
        <v>8930</v>
      </c>
    </row>
    <row r="158" spans="1:13" x14ac:dyDescent="0.25">
      <c r="A158" s="1"/>
      <c r="B158" s="42">
        <v>4244</v>
      </c>
      <c r="C158" s="42" t="s">
        <v>164</v>
      </c>
      <c r="D158" s="43">
        <v>7896112102441</v>
      </c>
      <c r="E158" s="44" t="s">
        <v>23</v>
      </c>
      <c r="F158" s="45">
        <f>SUMIF(PND!D:D,B158,PND!H:H)</f>
        <v>0</v>
      </c>
      <c r="G158" s="4">
        <f>SUMIF(PND!D:D,Tabela2[[#This Row],[ITENS]],PND!J:J)</f>
        <v>0</v>
      </c>
      <c r="H158" s="45">
        <f>SUMIF(FATURADO!H:H,B158,FATURADO!L:L)</f>
        <v>6000</v>
      </c>
      <c r="I158" s="4">
        <f>SUMIF(FATURADO!H:H,Tabela2[[#This Row],[ITENS]],FATURADO!N:N)</f>
        <v>55608</v>
      </c>
      <c r="J158" s="45">
        <f>SUMIF(SEPARAÇÃO!I:I,B158,SEPARAÇÃO!M:M)</f>
        <v>0</v>
      </c>
      <c r="K158" s="4">
        <f>SUMIF(SEPARAÇÃO!I:I,Tabela2[[#This Row],[ITENS]],SEPARAÇÃO!P:P)</f>
        <v>0</v>
      </c>
      <c r="L158" s="45">
        <f t="shared" si="2"/>
        <v>6000</v>
      </c>
      <c r="M158" s="4">
        <f t="shared" si="2"/>
        <v>55608</v>
      </c>
    </row>
    <row r="159" spans="1:13" x14ac:dyDescent="0.25">
      <c r="A159" s="1"/>
      <c r="B159" s="42">
        <v>4251</v>
      </c>
      <c r="C159" s="42" t="s">
        <v>165</v>
      </c>
      <c r="D159" s="43">
        <v>7896112102519</v>
      </c>
      <c r="E159" s="44" t="s">
        <v>34</v>
      </c>
      <c r="F159" s="45">
        <f>SUMIF(PND!D:D,B159,PND!H:H)</f>
        <v>0</v>
      </c>
      <c r="G159" s="4">
        <f>SUMIF(PND!D:D,Tabela2[[#This Row],[ITENS]],PND!J:J)</f>
        <v>0</v>
      </c>
      <c r="H159" s="45">
        <f>SUMIF(FATURADO!H:H,B159,FATURADO!L:L)</f>
        <v>1400</v>
      </c>
      <c r="I159" s="4">
        <f>SUMIF(FATURADO!H:H,Tabela2[[#This Row],[ITENS]],FATURADO!N:N)</f>
        <v>5334</v>
      </c>
      <c r="J159" s="45">
        <f>SUMIF(SEPARAÇÃO!I:I,B159,SEPARAÇÃO!M:M)</f>
        <v>0</v>
      </c>
      <c r="K159" s="4">
        <f>SUMIF(SEPARAÇÃO!I:I,Tabela2[[#This Row],[ITENS]],SEPARAÇÃO!P:P)</f>
        <v>0</v>
      </c>
      <c r="L159" s="45">
        <f t="shared" si="2"/>
        <v>1400</v>
      </c>
      <c r="M159" s="4">
        <f t="shared" si="2"/>
        <v>5334</v>
      </c>
    </row>
    <row r="160" spans="1:13" x14ac:dyDescent="0.25">
      <c r="A160" s="1"/>
      <c r="B160" s="42">
        <v>4266</v>
      </c>
      <c r="C160" s="42" t="s">
        <v>166</v>
      </c>
      <c r="D160" s="43">
        <v>7896112102663</v>
      </c>
      <c r="E160" s="44" t="s">
        <v>34</v>
      </c>
      <c r="F160" s="45">
        <f>SUMIF(PND!D:D,B160,PND!H:H)</f>
        <v>800</v>
      </c>
      <c r="G160" s="4">
        <f>SUMIF(PND!D:D,Tabela2[[#This Row],[ITENS]],PND!J:J)</f>
        <v>5544</v>
      </c>
      <c r="H160" s="45">
        <f>SUMIF(FATURADO!H:H,B160,FATURADO!L:L)</f>
        <v>240</v>
      </c>
      <c r="I160" s="4">
        <f>SUMIF(FATURADO!H:H,Tabela2[[#This Row],[ITENS]],FATURADO!N:N)</f>
        <v>1596</v>
      </c>
      <c r="J160" s="45">
        <f>SUMIF(SEPARAÇÃO!I:I,B160,SEPARAÇÃO!M:M)</f>
        <v>0</v>
      </c>
      <c r="K160" s="4">
        <f>SUMIF(SEPARAÇÃO!I:I,Tabela2[[#This Row],[ITENS]],SEPARAÇÃO!P:P)</f>
        <v>0</v>
      </c>
      <c r="L160" s="45">
        <f t="shared" si="2"/>
        <v>1040</v>
      </c>
      <c r="M160" s="4">
        <f t="shared" si="2"/>
        <v>7140</v>
      </c>
    </row>
    <row r="161" spans="1:13" x14ac:dyDescent="0.25">
      <c r="A161" s="1"/>
      <c r="B161" s="42">
        <v>4270</v>
      </c>
      <c r="C161" s="42" t="s">
        <v>167</v>
      </c>
      <c r="D161" s="43">
        <v>7896112102700</v>
      </c>
      <c r="E161" s="44" t="s">
        <v>34</v>
      </c>
      <c r="F161" s="45">
        <f>SUMIF(PND!D:D,B161,PND!H:H)</f>
        <v>200</v>
      </c>
      <c r="G161" s="4">
        <f>SUMIF(PND!D:D,Tabela2[[#This Row],[ITENS]],PND!J:J)</f>
        <v>1290</v>
      </c>
      <c r="H161" s="45">
        <f>SUMIF(FATURADO!H:H,B161,FATURADO!L:L)</f>
        <v>575</v>
      </c>
      <c r="I161" s="4">
        <f>SUMIF(FATURADO!H:H,Tabela2[[#This Row],[ITENS]],FATURADO!N:N)</f>
        <v>3369.25</v>
      </c>
      <c r="J161" s="45">
        <f>SUMIF(SEPARAÇÃO!I:I,B161,SEPARAÇÃO!M:M)</f>
        <v>0</v>
      </c>
      <c r="K161" s="4">
        <f>SUMIF(SEPARAÇÃO!I:I,Tabela2[[#This Row],[ITENS]],SEPARAÇÃO!P:P)</f>
        <v>0</v>
      </c>
      <c r="L161" s="45">
        <f t="shared" si="2"/>
        <v>775</v>
      </c>
      <c r="M161" s="4">
        <f t="shared" si="2"/>
        <v>4659.25</v>
      </c>
    </row>
    <row r="162" spans="1:13" x14ac:dyDescent="0.25">
      <c r="A162" s="1"/>
      <c r="B162" s="42">
        <v>4285</v>
      </c>
      <c r="C162" s="42" t="s">
        <v>168</v>
      </c>
      <c r="D162" s="43">
        <v>7896112102854</v>
      </c>
      <c r="E162" s="44" t="s">
        <v>23</v>
      </c>
      <c r="F162" s="45">
        <f>SUMIF(PND!D:D,B162,PND!H:H)</f>
        <v>0</v>
      </c>
      <c r="G162" s="4">
        <f>SUMIF(PND!D:D,Tabela2[[#This Row],[ITENS]],PND!J:J)</f>
        <v>0</v>
      </c>
      <c r="H162" s="45">
        <f>SUMIF(FATURADO!H:H,B162,FATURADO!L:L)</f>
        <v>240</v>
      </c>
      <c r="I162" s="4">
        <f>SUMIF(FATURADO!H:H,Tabela2[[#This Row],[ITENS]],FATURADO!N:N)</f>
        <v>1459.2</v>
      </c>
      <c r="J162" s="45">
        <f>SUMIF(SEPARAÇÃO!I:I,B162,SEPARAÇÃO!M:M)</f>
        <v>0</v>
      </c>
      <c r="K162" s="4">
        <f>SUMIF(SEPARAÇÃO!I:I,Tabela2[[#This Row],[ITENS]],SEPARAÇÃO!P:P)</f>
        <v>0</v>
      </c>
      <c r="L162" s="45">
        <f t="shared" si="2"/>
        <v>240</v>
      </c>
      <c r="M162" s="4">
        <f t="shared" si="2"/>
        <v>1459.2</v>
      </c>
    </row>
    <row r="163" spans="1:13" x14ac:dyDescent="0.25">
      <c r="A163" s="1"/>
      <c r="B163" s="42">
        <v>4287</v>
      </c>
      <c r="C163" s="42" t="s">
        <v>169</v>
      </c>
      <c r="D163" s="43">
        <v>7896112102878</v>
      </c>
      <c r="E163" s="44" t="s">
        <v>23</v>
      </c>
      <c r="F163" s="45">
        <f>SUMIF(PND!D:D,B163,PND!H:H)</f>
        <v>0</v>
      </c>
      <c r="G163" s="4">
        <f>SUMIF(PND!D:D,Tabela2[[#This Row],[ITENS]],PND!J:J)</f>
        <v>0</v>
      </c>
      <c r="H163" s="45">
        <f>SUMIF(FATURADO!H:H,B163,FATURADO!L:L)</f>
        <v>0</v>
      </c>
      <c r="I163" s="4">
        <f>SUMIF(FATURADO!H:H,Tabela2[[#This Row],[ITENS]],FATURADO!N:N)</f>
        <v>0</v>
      </c>
      <c r="J163" s="45">
        <f>SUMIF(SEPARAÇÃO!I:I,B163,SEPARAÇÃO!M:M)</f>
        <v>0</v>
      </c>
      <c r="K163" s="4">
        <f>SUMIF(SEPARAÇÃO!I:I,Tabela2[[#This Row],[ITENS]],SEPARAÇÃO!P:P)</f>
        <v>0</v>
      </c>
      <c r="L163" s="45">
        <f t="shared" si="2"/>
        <v>0</v>
      </c>
      <c r="M163" s="4">
        <f t="shared" si="2"/>
        <v>0</v>
      </c>
    </row>
    <row r="164" spans="1:13" x14ac:dyDescent="0.25">
      <c r="A164" s="1"/>
      <c r="B164" s="42">
        <v>4290</v>
      </c>
      <c r="C164" s="42" t="s">
        <v>170</v>
      </c>
      <c r="D164" s="43">
        <v>7896112102908</v>
      </c>
      <c r="E164" s="44" t="s">
        <v>23</v>
      </c>
      <c r="F164" s="45">
        <f>SUMIF(PND!D:D,B164,PND!H:H)</f>
        <v>0</v>
      </c>
      <c r="G164" s="4">
        <f>SUMIF(PND!D:D,Tabela2[[#This Row],[ITENS]],PND!J:J)</f>
        <v>0</v>
      </c>
      <c r="H164" s="45">
        <f>SUMIF(FATURADO!H:H,B164,FATURADO!L:L)</f>
        <v>2750</v>
      </c>
      <c r="I164" s="4">
        <f>SUMIF(FATURADO!H:H,Tabela2[[#This Row],[ITENS]],FATURADO!N:N)</f>
        <v>63082.5</v>
      </c>
      <c r="J164" s="45">
        <f>SUMIF(SEPARAÇÃO!I:I,B164,SEPARAÇÃO!M:M)</f>
        <v>0</v>
      </c>
      <c r="K164" s="4">
        <f>SUMIF(SEPARAÇÃO!I:I,Tabela2[[#This Row],[ITENS]],SEPARAÇÃO!P:P)</f>
        <v>0</v>
      </c>
      <c r="L164" s="45">
        <f t="shared" si="2"/>
        <v>2750</v>
      </c>
      <c r="M164" s="4">
        <f t="shared" si="2"/>
        <v>63082.5</v>
      </c>
    </row>
    <row r="165" spans="1:13" x14ac:dyDescent="0.25">
      <c r="A165" s="1"/>
      <c r="B165" s="42">
        <v>4296</v>
      </c>
      <c r="C165" s="42" t="s">
        <v>171</v>
      </c>
      <c r="D165" s="43">
        <v>7896112102960</v>
      </c>
      <c r="E165" s="44" t="s">
        <v>34</v>
      </c>
      <c r="F165" s="45">
        <f>SUMIF(PND!D:D,B165,PND!H:H)</f>
        <v>0</v>
      </c>
      <c r="G165" s="4">
        <f>SUMIF(PND!D:D,Tabela2[[#This Row],[ITENS]],PND!J:J)</f>
        <v>0</v>
      </c>
      <c r="H165" s="45">
        <f>SUMIF(FATURADO!H:H,B165,FATURADO!L:L)</f>
        <v>2400</v>
      </c>
      <c r="I165" s="4">
        <f>SUMIF(FATURADO!H:H,Tabela2[[#This Row],[ITENS]],FATURADO!N:N)</f>
        <v>10752</v>
      </c>
      <c r="J165" s="45">
        <f>SUMIF(SEPARAÇÃO!I:I,B165,SEPARAÇÃO!M:M)</f>
        <v>0</v>
      </c>
      <c r="K165" s="4">
        <f>SUMIF(SEPARAÇÃO!I:I,Tabela2[[#This Row],[ITENS]],SEPARAÇÃO!P:P)</f>
        <v>0</v>
      </c>
      <c r="L165" s="45">
        <f t="shared" si="2"/>
        <v>2400</v>
      </c>
      <c r="M165" s="4">
        <f t="shared" si="2"/>
        <v>10752</v>
      </c>
    </row>
    <row r="166" spans="1:13" x14ac:dyDescent="0.25">
      <c r="A166" s="1"/>
      <c r="B166" s="42">
        <v>4337</v>
      </c>
      <c r="C166" s="42" t="s">
        <v>172</v>
      </c>
      <c r="D166" s="43">
        <v>7896112103370</v>
      </c>
      <c r="E166" s="44" t="s">
        <v>23</v>
      </c>
      <c r="F166" s="45">
        <f>SUMIF(PND!D:D,B166,PND!H:H)</f>
        <v>0</v>
      </c>
      <c r="G166" s="4">
        <f>SUMIF(PND!D:D,Tabela2[[#This Row],[ITENS]],PND!J:J)</f>
        <v>0</v>
      </c>
      <c r="H166" s="45">
        <f>SUMIF(FATURADO!H:H,B166,FATURADO!L:L)</f>
        <v>0</v>
      </c>
      <c r="I166" s="4">
        <f>SUMIF(FATURADO!H:H,Tabela2[[#This Row],[ITENS]],FATURADO!N:N)</f>
        <v>0</v>
      </c>
      <c r="J166" s="45">
        <f>SUMIF(SEPARAÇÃO!I:I,B166,SEPARAÇÃO!M:M)</f>
        <v>0</v>
      </c>
      <c r="K166" s="4">
        <f>SUMIF(SEPARAÇÃO!I:I,Tabela2[[#This Row],[ITENS]],SEPARAÇÃO!P:P)</f>
        <v>0</v>
      </c>
      <c r="L166" s="45">
        <f t="shared" si="2"/>
        <v>0</v>
      </c>
      <c r="M166" s="4">
        <f t="shared" si="2"/>
        <v>0</v>
      </c>
    </row>
    <row r="167" spans="1:13" x14ac:dyDescent="0.25">
      <c r="A167" s="1"/>
      <c r="B167" s="42">
        <v>4339</v>
      </c>
      <c r="C167" s="42" t="s">
        <v>173</v>
      </c>
      <c r="D167" s="43">
        <v>7896112103394</v>
      </c>
      <c r="E167" s="44" t="s">
        <v>34</v>
      </c>
      <c r="F167" s="45">
        <f>SUMIF(PND!D:D,B167,PND!H:H)</f>
        <v>0</v>
      </c>
      <c r="G167" s="4">
        <f>SUMIF(PND!D:D,Tabela2[[#This Row],[ITENS]],PND!J:J)</f>
        <v>0</v>
      </c>
      <c r="H167" s="45">
        <f>SUMIF(FATURADO!H:H,B167,FATURADO!L:L)</f>
        <v>3360</v>
      </c>
      <c r="I167" s="4">
        <f>SUMIF(FATURADO!H:H,Tabela2[[#This Row],[ITENS]],FATURADO!N:N)</f>
        <v>28702.799999999999</v>
      </c>
      <c r="J167" s="45">
        <f>SUMIF(SEPARAÇÃO!I:I,B167,SEPARAÇÃO!M:M)</f>
        <v>0</v>
      </c>
      <c r="K167" s="4">
        <f>SUMIF(SEPARAÇÃO!I:I,Tabela2[[#This Row],[ITENS]],SEPARAÇÃO!P:P)</f>
        <v>0</v>
      </c>
      <c r="L167" s="45">
        <f t="shared" si="2"/>
        <v>3360</v>
      </c>
      <c r="M167" s="4">
        <f t="shared" si="2"/>
        <v>28702.799999999999</v>
      </c>
    </row>
    <row r="168" spans="1:13" x14ac:dyDescent="0.25">
      <c r="A168" s="1"/>
      <c r="B168" s="42">
        <v>4360</v>
      </c>
      <c r="C168" s="42" t="s">
        <v>174</v>
      </c>
      <c r="D168" s="43">
        <v>7896112103608</v>
      </c>
      <c r="E168" s="44" t="s">
        <v>23</v>
      </c>
      <c r="F168" s="45">
        <f>SUMIF(PND!D:D,B168,PND!H:H)</f>
        <v>0</v>
      </c>
      <c r="G168" s="4">
        <f>SUMIF(PND!D:D,Tabela2[[#This Row],[ITENS]],PND!J:J)</f>
        <v>0</v>
      </c>
      <c r="H168" s="45">
        <f>SUMIF(FATURADO!H:H,B168,FATURADO!L:L)</f>
        <v>0</v>
      </c>
      <c r="I168" s="4">
        <f>SUMIF(FATURADO!H:H,Tabela2[[#This Row],[ITENS]],FATURADO!N:N)</f>
        <v>0</v>
      </c>
      <c r="J168" s="45">
        <f>SUMIF(SEPARAÇÃO!I:I,B168,SEPARAÇÃO!M:M)</f>
        <v>0</v>
      </c>
      <c r="K168" s="4">
        <f>SUMIF(SEPARAÇÃO!I:I,Tabela2[[#This Row],[ITENS]],SEPARAÇÃO!P:P)</f>
        <v>0</v>
      </c>
      <c r="L168" s="45">
        <f t="shared" si="2"/>
        <v>0</v>
      </c>
      <c r="M168" s="4">
        <f t="shared" si="2"/>
        <v>0</v>
      </c>
    </row>
    <row r="169" spans="1:13" x14ac:dyDescent="0.25">
      <c r="A169" s="1"/>
      <c r="B169" s="42">
        <v>4375</v>
      </c>
      <c r="C169" s="42" t="s">
        <v>175</v>
      </c>
      <c r="D169" s="43">
        <v>7896112103752</v>
      </c>
      <c r="E169" s="44" t="s">
        <v>23</v>
      </c>
      <c r="F169" s="45">
        <f>SUMIF(PND!D:D,B169,PND!H:H)</f>
        <v>0</v>
      </c>
      <c r="G169" s="4">
        <f>SUMIF(PND!D:D,Tabela2[[#This Row],[ITENS]],PND!J:J)</f>
        <v>0</v>
      </c>
      <c r="H169" s="45">
        <f>SUMIF(FATURADO!H:H,B169,FATURADO!L:L)</f>
        <v>320</v>
      </c>
      <c r="I169" s="4">
        <f>SUMIF(FATURADO!H:H,Tabela2[[#This Row],[ITENS]],FATURADO!N:N)</f>
        <v>8079.9999999999991</v>
      </c>
      <c r="J169" s="45">
        <f>SUMIF(SEPARAÇÃO!I:I,B169,SEPARAÇÃO!M:M)</f>
        <v>0</v>
      </c>
      <c r="K169" s="4">
        <f>SUMIF(SEPARAÇÃO!I:I,Tabela2[[#This Row],[ITENS]],SEPARAÇÃO!P:P)</f>
        <v>0</v>
      </c>
      <c r="L169" s="45">
        <f t="shared" si="2"/>
        <v>320</v>
      </c>
      <c r="M169" s="4">
        <f t="shared" si="2"/>
        <v>8079.9999999999991</v>
      </c>
    </row>
    <row r="170" spans="1:13" x14ac:dyDescent="0.25">
      <c r="A170" s="1"/>
      <c r="B170" s="42">
        <v>4377</v>
      </c>
      <c r="C170" s="42" t="s">
        <v>176</v>
      </c>
      <c r="D170" s="43">
        <v>7896112103776</v>
      </c>
      <c r="E170" s="44" t="s">
        <v>23</v>
      </c>
      <c r="F170" s="45">
        <f>SUMIF(PND!D:D,B170,PND!H:H)</f>
        <v>0</v>
      </c>
      <c r="G170" s="4">
        <f>SUMIF(PND!D:D,Tabela2[[#This Row],[ITENS]],PND!J:J)</f>
        <v>0</v>
      </c>
      <c r="H170" s="45">
        <f>SUMIF(FATURADO!H:H,B170,FATURADO!L:L)</f>
        <v>2000</v>
      </c>
      <c r="I170" s="4">
        <f>SUMIF(FATURADO!H:H,Tabela2[[#This Row],[ITENS]],FATURADO!N:N)</f>
        <v>20960</v>
      </c>
      <c r="J170" s="45">
        <f>SUMIF(SEPARAÇÃO!I:I,B170,SEPARAÇÃO!M:M)</f>
        <v>0</v>
      </c>
      <c r="K170" s="4">
        <f>SUMIF(SEPARAÇÃO!I:I,Tabela2[[#This Row],[ITENS]],SEPARAÇÃO!P:P)</f>
        <v>0</v>
      </c>
      <c r="L170" s="45">
        <f t="shared" si="2"/>
        <v>2000</v>
      </c>
      <c r="M170" s="4">
        <f t="shared" si="2"/>
        <v>20960</v>
      </c>
    </row>
    <row r="171" spans="1:13" x14ac:dyDescent="0.25">
      <c r="A171" s="1"/>
      <c r="B171" s="42">
        <v>4380</v>
      </c>
      <c r="C171" s="42" t="s">
        <v>177</v>
      </c>
      <c r="D171" s="43">
        <v>7896112103806</v>
      </c>
      <c r="E171" s="44" t="s">
        <v>23</v>
      </c>
      <c r="F171" s="45">
        <f>SUMIF(PND!D:D,B171,PND!H:H)</f>
        <v>0</v>
      </c>
      <c r="G171" s="4">
        <f>SUMIF(PND!D:D,Tabela2[[#This Row],[ITENS]],PND!J:J)</f>
        <v>0</v>
      </c>
      <c r="H171" s="45">
        <f>SUMIF(FATURADO!H:H,B171,FATURADO!L:L)</f>
        <v>960</v>
      </c>
      <c r="I171" s="4">
        <f>SUMIF(FATURADO!H:H,Tabela2[[#This Row],[ITENS]],FATURADO!N:N)</f>
        <v>7677.5999999999995</v>
      </c>
      <c r="J171" s="45">
        <f>SUMIF(SEPARAÇÃO!I:I,B171,SEPARAÇÃO!M:M)</f>
        <v>0</v>
      </c>
      <c r="K171" s="4">
        <f>SUMIF(SEPARAÇÃO!I:I,Tabela2[[#This Row],[ITENS]],SEPARAÇÃO!P:P)</f>
        <v>0</v>
      </c>
      <c r="L171" s="45">
        <f t="shared" si="2"/>
        <v>960</v>
      </c>
      <c r="M171" s="4">
        <f t="shared" si="2"/>
        <v>7677.5999999999995</v>
      </c>
    </row>
    <row r="172" spans="1:13" x14ac:dyDescent="0.25">
      <c r="A172" s="1"/>
      <c r="B172" s="42">
        <v>4383</v>
      </c>
      <c r="C172" s="42" t="s">
        <v>178</v>
      </c>
      <c r="D172" s="43">
        <v>7896112103837</v>
      </c>
      <c r="E172" s="44" t="s">
        <v>23</v>
      </c>
      <c r="F172" s="45">
        <f>SUMIF(PND!D:D,B172,PND!H:H)</f>
        <v>0</v>
      </c>
      <c r="G172" s="4">
        <f>SUMIF(PND!D:D,Tabela2[[#This Row],[ITENS]],PND!J:J)</f>
        <v>0</v>
      </c>
      <c r="H172" s="45">
        <f>SUMIF(FATURADO!H:H,B172,FATURADO!L:L)</f>
        <v>0</v>
      </c>
      <c r="I172" s="4">
        <f>SUMIF(FATURADO!H:H,Tabela2[[#This Row],[ITENS]],FATURADO!N:N)</f>
        <v>0</v>
      </c>
      <c r="J172" s="45">
        <f>SUMIF(SEPARAÇÃO!I:I,B172,SEPARAÇÃO!M:M)</f>
        <v>0</v>
      </c>
      <c r="K172" s="4">
        <f>SUMIF(SEPARAÇÃO!I:I,Tabela2[[#This Row],[ITENS]],SEPARAÇÃO!P:P)</f>
        <v>0</v>
      </c>
      <c r="L172" s="45">
        <f t="shared" si="2"/>
        <v>0</v>
      </c>
      <c r="M172" s="4">
        <f t="shared" si="2"/>
        <v>0</v>
      </c>
    </row>
    <row r="173" spans="1:13" x14ac:dyDescent="0.25">
      <c r="A173" s="1"/>
      <c r="B173" s="42">
        <v>4384</v>
      </c>
      <c r="C173" s="42" t="s">
        <v>179</v>
      </c>
      <c r="D173" s="43">
        <v>7896112103844</v>
      </c>
      <c r="E173" s="44" t="s">
        <v>23</v>
      </c>
      <c r="F173" s="45">
        <f>SUMIF(PND!D:D,B173,PND!H:H)</f>
        <v>0</v>
      </c>
      <c r="G173" s="4">
        <f>SUMIF(PND!D:D,Tabela2[[#This Row],[ITENS]],PND!J:J)</f>
        <v>0</v>
      </c>
      <c r="H173" s="45">
        <f>SUMIF(FATURADO!H:H,B173,FATURADO!L:L)</f>
        <v>0</v>
      </c>
      <c r="I173" s="4">
        <f>SUMIF(FATURADO!H:H,Tabela2[[#This Row],[ITENS]],FATURADO!N:N)</f>
        <v>0</v>
      </c>
      <c r="J173" s="45">
        <f>SUMIF(SEPARAÇÃO!I:I,B173,SEPARAÇÃO!M:M)</f>
        <v>0</v>
      </c>
      <c r="K173" s="4">
        <f>SUMIF(SEPARAÇÃO!I:I,Tabela2[[#This Row],[ITENS]],SEPARAÇÃO!P:P)</f>
        <v>0</v>
      </c>
      <c r="L173" s="45">
        <f t="shared" si="2"/>
        <v>0</v>
      </c>
      <c r="M173" s="4">
        <f t="shared" si="2"/>
        <v>0</v>
      </c>
    </row>
    <row r="174" spans="1:13" x14ac:dyDescent="0.25">
      <c r="A174" s="1"/>
      <c r="B174" s="42">
        <v>4385</v>
      </c>
      <c r="C174" s="42" t="s">
        <v>180</v>
      </c>
      <c r="D174" s="43">
        <v>7896112103851</v>
      </c>
      <c r="E174" s="44" t="s">
        <v>34</v>
      </c>
      <c r="F174" s="45">
        <f>SUMIF(PND!D:D,B174,PND!H:H)</f>
        <v>1000</v>
      </c>
      <c r="G174" s="4">
        <f>SUMIF(PND!D:D,Tabela2[[#This Row],[ITENS]],PND!J:J)</f>
        <v>3170</v>
      </c>
      <c r="H174" s="45">
        <f>SUMIF(FATURADO!H:H,B174,FATURADO!L:L)</f>
        <v>5000</v>
      </c>
      <c r="I174" s="4">
        <f>SUMIF(FATURADO!H:H,Tabela2[[#This Row],[ITENS]],FATURADO!N:N)</f>
        <v>15460</v>
      </c>
      <c r="J174" s="45">
        <f>SUMIF(SEPARAÇÃO!I:I,B174,SEPARAÇÃO!M:M)</f>
        <v>0</v>
      </c>
      <c r="K174" s="4">
        <f>SUMIF(SEPARAÇÃO!I:I,Tabela2[[#This Row],[ITENS]],SEPARAÇÃO!P:P)</f>
        <v>0</v>
      </c>
      <c r="L174" s="45">
        <f t="shared" si="2"/>
        <v>6000</v>
      </c>
      <c r="M174" s="4">
        <f t="shared" si="2"/>
        <v>18630</v>
      </c>
    </row>
    <row r="175" spans="1:13" x14ac:dyDescent="0.25">
      <c r="A175" s="1"/>
      <c r="B175" s="42">
        <v>4399</v>
      </c>
      <c r="C175" s="42" t="s">
        <v>181</v>
      </c>
      <c r="D175" s="43">
        <v>7896112103998</v>
      </c>
      <c r="E175" s="44" t="s">
        <v>34</v>
      </c>
      <c r="F175" s="45">
        <f>SUMIF(PND!D:D,B175,PND!H:H)</f>
        <v>0</v>
      </c>
      <c r="G175" s="4">
        <f>SUMIF(PND!D:D,Tabela2[[#This Row],[ITENS]],PND!J:J)</f>
        <v>0</v>
      </c>
      <c r="H175" s="45">
        <f>SUMIF(FATURADO!H:H,B175,FATURADO!L:L)</f>
        <v>0</v>
      </c>
      <c r="I175" s="4">
        <f>SUMIF(FATURADO!H:H,Tabela2[[#This Row],[ITENS]],FATURADO!N:N)</f>
        <v>0</v>
      </c>
      <c r="J175" s="45">
        <f>SUMIF(SEPARAÇÃO!I:I,B175,SEPARAÇÃO!M:M)</f>
        <v>0</v>
      </c>
      <c r="K175" s="4">
        <f>SUMIF(SEPARAÇÃO!I:I,Tabela2[[#This Row],[ITENS]],SEPARAÇÃO!P:P)</f>
        <v>0</v>
      </c>
      <c r="L175" s="45">
        <f t="shared" si="2"/>
        <v>0</v>
      </c>
      <c r="M175" s="4">
        <f t="shared" si="2"/>
        <v>0</v>
      </c>
    </row>
    <row r="176" spans="1:13" x14ac:dyDescent="0.25">
      <c r="A176" s="1"/>
      <c r="B176" s="42">
        <v>4400</v>
      </c>
      <c r="C176" s="42" t="s">
        <v>182</v>
      </c>
      <c r="D176" s="43">
        <v>7896112104001</v>
      </c>
      <c r="E176" s="44" t="s">
        <v>34</v>
      </c>
      <c r="F176" s="45">
        <f>SUMIF(PND!D:D,B176,PND!H:H)</f>
        <v>0</v>
      </c>
      <c r="G176" s="4">
        <f>SUMIF(PND!D:D,Tabela2[[#This Row],[ITENS]],PND!J:J)</f>
        <v>0</v>
      </c>
      <c r="H176" s="45">
        <f>SUMIF(FATURADO!H:H,B176,FATURADO!L:L)</f>
        <v>300</v>
      </c>
      <c r="I176" s="4">
        <f>SUMIF(FATURADO!H:H,Tabela2[[#This Row],[ITENS]],FATURADO!N:N)</f>
        <v>2826</v>
      </c>
      <c r="J176" s="45">
        <f>SUMIF(SEPARAÇÃO!I:I,B176,SEPARAÇÃO!M:M)</f>
        <v>0</v>
      </c>
      <c r="K176" s="4">
        <f>SUMIF(SEPARAÇÃO!I:I,Tabela2[[#This Row],[ITENS]],SEPARAÇÃO!P:P)</f>
        <v>0</v>
      </c>
      <c r="L176" s="45">
        <f t="shared" si="2"/>
        <v>300</v>
      </c>
      <c r="M176" s="4">
        <f t="shared" si="2"/>
        <v>2826</v>
      </c>
    </row>
    <row r="177" spans="1:13" x14ac:dyDescent="0.25">
      <c r="A177" s="1"/>
      <c r="B177" s="42">
        <v>4407</v>
      </c>
      <c r="C177" s="42" t="s">
        <v>183</v>
      </c>
      <c r="D177" s="43">
        <v>7896112104070</v>
      </c>
      <c r="E177" s="44" t="s">
        <v>23</v>
      </c>
      <c r="F177" s="45">
        <f>SUMIF(PND!D:D,B177,PND!H:H)</f>
        <v>0</v>
      </c>
      <c r="G177" s="4">
        <f>SUMIF(PND!D:D,Tabela2[[#This Row],[ITENS]],PND!J:J)</f>
        <v>0</v>
      </c>
      <c r="H177" s="45">
        <f>SUMIF(FATURADO!H:H,B177,FATURADO!L:L)</f>
        <v>750</v>
      </c>
      <c r="I177" s="4">
        <f>SUMIF(FATURADO!H:H,Tabela2[[#This Row],[ITENS]],FATURADO!N:N)</f>
        <v>35377.5</v>
      </c>
      <c r="J177" s="45">
        <f>SUMIF(SEPARAÇÃO!I:I,B177,SEPARAÇÃO!M:M)</f>
        <v>0</v>
      </c>
      <c r="K177" s="4">
        <f>SUMIF(SEPARAÇÃO!I:I,Tabela2[[#This Row],[ITENS]],SEPARAÇÃO!P:P)</f>
        <v>0</v>
      </c>
      <c r="L177" s="45">
        <f t="shared" si="2"/>
        <v>750</v>
      </c>
      <c r="M177" s="4">
        <f t="shared" si="2"/>
        <v>35377.5</v>
      </c>
    </row>
    <row r="178" spans="1:13" x14ac:dyDescent="0.25">
      <c r="A178" s="1"/>
      <c r="B178" s="42">
        <v>4416</v>
      </c>
      <c r="C178" s="42" t="s">
        <v>184</v>
      </c>
      <c r="D178" s="43">
        <v>7896112104162</v>
      </c>
      <c r="E178" s="44" t="s">
        <v>23</v>
      </c>
      <c r="F178" s="45">
        <f>SUMIF(PND!D:D,B178,PND!H:H)</f>
        <v>0</v>
      </c>
      <c r="G178" s="4">
        <f>SUMIF(PND!D:D,Tabela2[[#This Row],[ITENS]],PND!J:J)</f>
        <v>0</v>
      </c>
      <c r="H178" s="45">
        <f>SUMIF(FATURADO!H:H,B178,FATURADO!L:L)</f>
        <v>112</v>
      </c>
      <c r="I178" s="4">
        <f>SUMIF(FATURADO!H:H,Tabela2[[#This Row],[ITENS]],FATURADO!N:N)</f>
        <v>1236.48</v>
      </c>
      <c r="J178" s="45">
        <f>SUMIF(SEPARAÇÃO!I:I,B178,SEPARAÇÃO!M:M)</f>
        <v>0</v>
      </c>
      <c r="K178" s="4">
        <f>SUMIF(SEPARAÇÃO!I:I,Tabela2[[#This Row],[ITENS]],SEPARAÇÃO!P:P)</f>
        <v>0</v>
      </c>
      <c r="L178" s="45">
        <f t="shared" si="2"/>
        <v>112</v>
      </c>
      <c r="M178" s="4">
        <f t="shared" si="2"/>
        <v>1236.48</v>
      </c>
    </row>
    <row r="179" spans="1:13" x14ac:dyDescent="0.25">
      <c r="A179" s="1"/>
      <c r="B179" s="42">
        <v>4427</v>
      </c>
      <c r="C179" s="42" t="s">
        <v>185</v>
      </c>
      <c r="D179" s="43">
        <v>7896112104278</v>
      </c>
      <c r="E179" s="44" t="s">
        <v>23</v>
      </c>
      <c r="F179" s="45">
        <f>SUMIF(PND!D:D,B179,PND!H:H)</f>
        <v>0</v>
      </c>
      <c r="G179" s="4">
        <f>SUMIF(PND!D:D,Tabela2[[#This Row],[ITENS]],PND!J:J)</f>
        <v>0</v>
      </c>
      <c r="H179" s="45">
        <f>SUMIF(FATURADO!H:H,B179,FATURADO!L:L)</f>
        <v>2400</v>
      </c>
      <c r="I179" s="4">
        <f>SUMIF(FATURADO!H:H,Tabela2[[#This Row],[ITENS]],FATURADO!N:N)</f>
        <v>13980</v>
      </c>
      <c r="J179" s="45">
        <f>SUMIF(SEPARAÇÃO!I:I,B179,SEPARAÇÃO!M:M)</f>
        <v>0</v>
      </c>
      <c r="K179" s="4">
        <f>SUMIF(SEPARAÇÃO!I:I,Tabela2[[#This Row],[ITENS]],SEPARAÇÃO!P:P)</f>
        <v>0</v>
      </c>
      <c r="L179" s="45">
        <f t="shared" si="2"/>
        <v>2400</v>
      </c>
      <c r="M179" s="4">
        <f t="shared" si="2"/>
        <v>13980</v>
      </c>
    </row>
    <row r="180" spans="1:13" x14ac:dyDescent="0.25">
      <c r="A180" s="1"/>
      <c r="B180" s="42">
        <v>4436</v>
      </c>
      <c r="C180" s="42" t="s">
        <v>186</v>
      </c>
      <c r="D180" s="43">
        <v>7896112104360</v>
      </c>
      <c r="E180" s="44" t="s">
        <v>34</v>
      </c>
      <c r="F180" s="45">
        <f>SUMIF(PND!D:D,B180,PND!H:H)</f>
        <v>0</v>
      </c>
      <c r="G180" s="4">
        <f>SUMIF(PND!D:D,Tabela2[[#This Row],[ITENS]],PND!J:J)</f>
        <v>0</v>
      </c>
      <c r="H180" s="45">
        <f>SUMIF(FATURADO!H:H,B180,FATURADO!L:L)</f>
        <v>800</v>
      </c>
      <c r="I180" s="4">
        <f>SUMIF(FATURADO!H:H,Tabela2[[#This Row],[ITENS]],FATURADO!N:N)</f>
        <v>3864</v>
      </c>
      <c r="J180" s="45">
        <f>SUMIF(SEPARAÇÃO!I:I,B180,SEPARAÇÃO!M:M)</f>
        <v>0</v>
      </c>
      <c r="K180" s="4">
        <f>SUMIF(SEPARAÇÃO!I:I,Tabela2[[#This Row],[ITENS]],SEPARAÇÃO!P:P)</f>
        <v>0</v>
      </c>
      <c r="L180" s="45">
        <f t="shared" si="2"/>
        <v>800</v>
      </c>
      <c r="M180" s="4">
        <f t="shared" si="2"/>
        <v>3864</v>
      </c>
    </row>
    <row r="181" spans="1:13" x14ac:dyDescent="0.25">
      <c r="A181" s="1"/>
      <c r="B181" s="42">
        <v>4440</v>
      </c>
      <c r="C181" s="42" t="s">
        <v>187</v>
      </c>
      <c r="D181" s="43">
        <v>7896112104407</v>
      </c>
      <c r="E181" s="44" t="s">
        <v>34</v>
      </c>
      <c r="F181" s="45">
        <f>SUMIF(PND!D:D,B181,PND!H:H)</f>
        <v>0</v>
      </c>
      <c r="G181" s="4">
        <f>SUMIF(PND!D:D,Tabela2[[#This Row],[ITENS]],PND!J:J)</f>
        <v>0</v>
      </c>
      <c r="H181" s="45">
        <f>SUMIF(FATURADO!H:H,B181,FATURADO!L:L)</f>
        <v>2800</v>
      </c>
      <c r="I181" s="4">
        <f>SUMIF(FATURADO!H:H,Tabela2[[#This Row],[ITENS]],FATURADO!N:N)</f>
        <v>16016</v>
      </c>
      <c r="J181" s="45">
        <f>SUMIF(SEPARAÇÃO!I:I,B181,SEPARAÇÃO!M:M)</f>
        <v>0</v>
      </c>
      <c r="K181" s="4">
        <f>SUMIF(SEPARAÇÃO!I:I,Tabela2[[#This Row],[ITENS]],SEPARAÇÃO!P:P)</f>
        <v>0</v>
      </c>
      <c r="L181" s="45">
        <f t="shared" si="2"/>
        <v>2800</v>
      </c>
      <c r="M181" s="4">
        <f t="shared" si="2"/>
        <v>16016</v>
      </c>
    </row>
    <row r="182" spans="1:13" x14ac:dyDescent="0.25">
      <c r="A182" s="1"/>
      <c r="B182" s="42">
        <v>4453</v>
      </c>
      <c r="C182" s="42" t="s">
        <v>188</v>
      </c>
      <c r="D182" s="43">
        <v>7896112104537</v>
      </c>
      <c r="E182" s="44" t="s">
        <v>34</v>
      </c>
      <c r="F182" s="45">
        <f>SUMIF(PND!D:D,B182,PND!H:H)</f>
        <v>0</v>
      </c>
      <c r="G182" s="4">
        <f>SUMIF(PND!D:D,Tabela2[[#This Row],[ITENS]],PND!J:J)</f>
        <v>0</v>
      </c>
      <c r="H182" s="45">
        <f>SUMIF(FATURADO!H:H,B182,FATURADO!L:L)</f>
        <v>500</v>
      </c>
      <c r="I182" s="4">
        <f>SUMIF(FATURADO!H:H,Tabela2[[#This Row],[ITENS]],FATURADO!N:N)</f>
        <v>4595</v>
      </c>
      <c r="J182" s="45">
        <f>SUMIF(SEPARAÇÃO!I:I,B182,SEPARAÇÃO!M:M)</f>
        <v>0</v>
      </c>
      <c r="K182" s="4">
        <f>SUMIF(SEPARAÇÃO!I:I,Tabela2[[#This Row],[ITENS]],SEPARAÇÃO!P:P)</f>
        <v>0</v>
      </c>
      <c r="L182" s="45">
        <f t="shared" si="2"/>
        <v>500</v>
      </c>
      <c r="M182" s="4">
        <f t="shared" si="2"/>
        <v>4595</v>
      </c>
    </row>
    <row r="183" spans="1:13" x14ac:dyDescent="0.25">
      <c r="A183" s="1"/>
      <c r="B183" s="42">
        <v>4456</v>
      </c>
      <c r="C183" s="42" t="s">
        <v>189</v>
      </c>
      <c r="D183" s="43">
        <v>7896112104568</v>
      </c>
      <c r="E183" s="44" t="s">
        <v>34</v>
      </c>
      <c r="F183" s="45">
        <f>SUMIF(PND!D:D,B183,PND!H:H)</f>
        <v>0</v>
      </c>
      <c r="G183" s="4">
        <f>SUMIF(PND!D:D,Tabela2[[#This Row],[ITENS]],PND!J:J)</f>
        <v>0</v>
      </c>
      <c r="H183" s="45">
        <f>SUMIF(FATURADO!H:H,B183,FATURADO!L:L)</f>
        <v>0</v>
      </c>
      <c r="I183" s="4">
        <f>SUMIF(FATURADO!H:H,Tabela2[[#This Row],[ITENS]],FATURADO!N:N)</f>
        <v>0</v>
      </c>
      <c r="J183" s="45">
        <f>SUMIF(SEPARAÇÃO!I:I,B183,SEPARAÇÃO!M:M)</f>
        <v>0</v>
      </c>
      <c r="K183" s="4">
        <f>SUMIF(SEPARAÇÃO!I:I,Tabela2[[#This Row],[ITENS]],SEPARAÇÃO!P:P)</f>
        <v>0</v>
      </c>
      <c r="L183" s="45">
        <f t="shared" si="2"/>
        <v>0</v>
      </c>
      <c r="M183" s="4">
        <f t="shared" si="2"/>
        <v>0</v>
      </c>
    </row>
    <row r="184" spans="1:13" x14ac:dyDescent="0.25">
      <c r="A184" s="1"/>
      <c r="B184" s="42">
        <v>4457</v>
      </c>
      <c r="C184" s="42" t="s">
        <v>190</v>
      </c>
      <c r="D184" s="43">
        <v>7896112104575</v>
      </c>
      <c r="E184" s="44" t="s">
        <v>34</v>
      </c>
      <c r="F184" s="45">
        <f>SUMIF(PND!D:D,B184,PND!H:H)</f>
        <v>0</v>
      </c>
      <c r="G184" s="4">
        <f>SUMIF(PND!D:D,Tabela2[[#This Row],[ITENS]],PND!J:J)</f>
        <v>0</v>
      </c>
      <c r="H184" s="45">
        <f>SUMIF(FATURADO!H:H,B184,FATURADO!L:L)</f>
        <v>650</v>
      </c>
      <c r="I184" s="4">
        <f>SUMIF(FATURADO!H:H,Tabela2[[#This Row],[ITENS]],FATURADO!N:N)</f>
        <v>2918</v>
      </c>
      <c r="J184" s="45">
        <f>SUMIF(SEPARAÇÃO!I:I,B184,SEPARAÇÃO!M:M)</f>
        <v>0</v>
      </c>
      <c r="K184" s="4">
        <f>SUMIF(SEPARAÇÃO!I:I,Tabela2[[#This Row],[ITENS]],SEPARAÇÃO!P:P)</f>
        <v>0</v>
      </c>
      <c r="L184" s="45">
        <f t="shared" si="2"/>
        <v>650</v>
      </c>
      <c r="M184" s="4">
        <f t="shared" si="2"/>
        <v>2918</v>
      </c>
    </row>
    <row r="185" spans="1:13" x14ac:dyDescent="0.25">
      <c r="A185" s="1"/>
      <c r="B185" s="42">
        <v>4458</v>
      </c>
      <c r="C185" s="42" t="s">
        <v>191</v>
      </c>
      <c r="D185" s="43">
        <v>7896112104582</v>
      </c>
      <c r="E185" s="44" t="s">
        <v>34</v>
      </c>
      <c r="F185" s="45">
        <f>SUMIF(PND!D:D,B185,PND!H:H)</f>
        <v>0</v>
      </c>
      <c r="G185" s="4">
        <f>SUMIF(PND!D:D,Tabela2[[#This Row],[ITENS]],PND!J:J)</f>
        <v>0</v>
      </c>
      <c r="H185" s="45">
        <f>SUMIF(FATURADO!H:H,B185,FATURADO!L:L)</f>
        <v>4000</v>
      </c>
      <c r="I185" s="4">
        <f>SUMIF(FATURADO!H:H,Tabela2[[#This Row],[ITENS]],FATURADO!N:N)</f>
        <v>4200</v>
      </c>
      <c r="J185" s="45">
        <f>SUMIF(SEPARAÇÃO!I:I,B185,SEPARAÇÃO!M:M)</f>
        <v>0</v>
      </c>
      <c r="K185" s="4">
        <f>SUMIF(SEPARAÇÃO!I:I,Tabela2[[#This Row],[ITENS]],SEPARAÇÃO!P:P)</f>
        <v>0</v>
      </c>
      <c r="L185" s="45">
        <f t="shared" si="2"/>
        <v>4000</v>
      </c>
      <c r="M185" s="4">
        <f t="shared" si="2"/>
        <v>4200</v>
      </c>
    </row>
    <row r="186" spans="1:13" x14ac:dyDescent="0.25">
      <c r="A186" s="1"/>
      <c r="B186" s="42">
        <v>4462</v>
      </c>
      <c r="C186" s="42" t="s">
        <v>192</v>
      </c>
      <c r="D186" s="43">
        <v>7896112104629</v>
      </c>
      <c r="E186" s="44" t="s">
        <v>34</v>
      </c>
      <c r="F186" s="45">
        <f>SUMIF(PND!D:D,B186,PND!H:H)</f>
        <v>0</v>
      </c>
      <c r="G186" s="4">
        <f>SUMIF(PND!D:D,Tabela2[[#This Row],[ITENS]],PND!J:J)</f>
        <v>0</v>
      </c>
      <c r="H186" s="45">
        <f>SUMIF(FATURADO!H:H,B186,FATURADO!L:L)</f>
        <v>0</v>
      </c>
      <c r="I186" s="4">
        <f>SUMIF(FATURADO!H:H,Tabela2[[#This Row],[ITENS]],FATURADO!N:N)</f>
        <v>0</v>
      </c>
      <c r="J186" s="45">
        <f>SUMIF(SEPARAÇÃO!I:I,B186,SEPARAÇÃO!M:M)</f>
        <v>0</v>
      </c>
      <c r="K186" s="4">
        <f>SUMIF(SEPARAÇÃO!I:I,Tabela2[[#This Row],[ITENS]],SEPARAÇÃO!P:P)</f>
        <v>0</v>
      </c>
      <c r="L186" s="45">
        <f t="shared" si="2"/>
        <v>0</v>
      </c>
      <c r="M186" s="4">
        <f t="shared" si="2"/>
        <v>0</v>
      </c>
    </row>
    <row r="187" spans="1:13" x14ac:dyDescent="0.25">
      <c r="A187" s="1"/>
      <c r="B187" s="42">
        <v>4485</v>
      </c>
      <c r="C187" s="42" t="s">
        <v>193</v>
      </c>
      <c r="D187" s="43">
        <v>7896112104858</v>
      </c>
      <c r="E187" s="44" t="s">
        <v>23</v>
      </c>
      <c r="F187" s="45">
        <f>SUMIF(PND!D:D,B187,PND!H:H)</f>
        <v>0</v>
      </c>
      <c r="G187" s="4">
        <f>SUMIF(PND!D:D,Tabela2[[#This Row],[ITENS]],PND!J:J)</f>
        <v>0</v>
      </c>
      <c r="H187" s="45">
        <f>SUMIF(FATURADO!H:H,B187,FATURADO!L:L)</f>
        <v>0</v>
      </c>
      <c r="I187" s="4">
        <f>SUMIF(FATURADO!H:H,Tabela2[[#This Row],[ITENS]],FATURADO!N:N)</f>
        <v>0</v>
      </c>
      <c r="J187" s="45">
        <f>SUMIF(SEPARAÇÃO!I:I,B187,SEPARAÇÃO!M:M)</f>
        <v>0</v>
      </c>
      <c r="K187" s="4">
        <f>SUMIF(SEPARAÇÃO!I:I,Tabela2[[#This Row],[ITENS]],SEPARAÇÃO!P:P)</f>
        <v>0</v>
      </c>
      <c r="L187" s="45">
        <f t="shared" si="2"/>
        <v>0</v>
      </c>
      <c r="M187" s="4">
        <f t="shared" si="2"/>
        <v>0</v>
      </c>
    </row>
    <row r="188" spans="1:13" x14ac:dyDescent="0.25">
      <c r="A188" s="1"/>
      <c r="B188" s="42">
        <v>4529</v>
      </c>
      <c r="C188" s="42" t="s">
        <v>194</v>
      </c>
      <c r="D188" s="43">
        <v>7896112105299</v>
      </c>
      <c r="E188" s="44" t="s">
        <v>34</v>
      </c>
      <c r="F188" s="45">
        <f>SUMIF(PND!D:D,B188,PND!H:H)</f>
        <v>0</v>
      </c>
      <c r="G188" s="4">
        <f>SUMIF(PND!D:D,Tabela2[[#This Row],[ITENS]],PND!J:J)</f>
        <v>0</v>
      </c>
      <c r="H188" s="45">
        <f>SUMIF(FATURADO!H:H,B188,FATURADO!L:L)</f>
        <v>0</v>
      </c>
      <c r="I188" s="4">
        <f>SUMIF(FATURADO!H:H,Tabela2[[#This Row],[ITENS]],FATURADO!N:N)</f>
        <v>0</v>
      </c>
      <c r="J188" s="45">
        <f>SUMIF(SEPARAÇÃO!I:I,B188,SEPARAÇÃO!M:M)</f>
        <v>0</v>
      </c>
      <c r="K188" s="4">
        <f>SUMIF(SEPARAÇÃO!I:I,Tabela2[[#This Row],[ITENS]],SEPARAÇÃO!P:P)</f>
        <v>0</v>
      </c>
      <c r="L188" s="45">
        <f t="shared" si="2"/>
        <v>0</v>
      </c>
      <c r="M188" s="4">
        <f t="shared" si="2"/>
        <v>0</v>
      </c>
    </row>
    <row r="189" spans="1:13" x14ac:dyDescent="0.25">
      <c r="A189" s="1"/>
      <c r="B189" s="42">
        <v>4530</v>
      </c>
      <c r="C189" s="42" t="s">
        <v>195</v>
      </c>
      <c r="D189" s="43">
        <v>7896112105305</v>
      </c>
      <c r="E189" s="44" t="s">
        <v>34</v>
      </c>
      <c r="F189" s="45">
        <f>SUMIF(PND!D:D,B189,PND!H:H)</f>
        <v>0</v>
      </c>
      <c r="G189" s="4">
        <f>SUMIF(PND!D:D,Tabela2[[#This Row],[ITENS]],PND!J:J)</f>
        <v>0</v>
      </c>
      <c r="H189" s="45">
        <f>SUMIF(FATURADO!H:H,B189,FATURADO!L:L)</f>
        <v>240</v>
      </c>
      <c r="I189" s="4">
        <f>SUMIF(FATURADO!H:H,Tabela2[[#This Row],[ITENS]],FATURADO!N:N)</f>
        <v>3674.4</v>
      </c>
      <c r="J189" s="45">
        <f>SUMIF(SEPARAÇÃO!I:I,B189,SEPARAÇÃO!M:M)</f>
        <v>0</v>
      </c>
      <c r="K189" s="4">
        <f>SUMIF(SEPARAÇÃO!I:I,Tabela2[[#This Row],[ITENS]],SEPARAÇÃO!P:P)</f>
        <v>0</v>
      </c>
      <c r="L189" s="45">
        <f t="shared" si="2"/>
        <v>240</v>
      </c>
      <c r="M189" s="4">
        <f t="shared" si="2"/>
        <v>3674.4</v>
      </c>
    </row>
    <row r="190" spans="1:13" x14ac:dyDescent="0.25">
      <c r="A190" s="1"/>
      <c r="B190" s="42">
        <v>4549</v>
      </c>
      <c r="C190" s="42" t="s">
        <v>196</v>
      </c>
      <c r="D190" s="43">
        <v>7896112105497</v>
      </c>
      <c r="E190" s="44" t="s">
        <v>34</v>
      </c>
      <c r="F190" s="45">
        <f>SUMIF(PND!D:D,B190,PND!H:H)</f>
        <v>0</v>
      </c>
      <c r="G190" s="4">
        <f>SUMIF(PND!D:D,Tabela2[[#This Row],[ITENS]],PND!J:J)</f>
        <v>0</v>
      </c>
      <c r="H190" s="45">
        <f>SUMIF(FATURADO!H:H,B190,FATURADO!L:L)</f>
        <v>0</v>
      </c>
      <c r="I190" s="4">
        <f>SUMIF(FATURADO!H:H,Tabela2[[#This Row],[ITENS]],FATURADO!N:N)</f>
        <v>0</v>
      </c>
      <c r="J190" s="45">
        <f>SUMIF(SEPARAÇÃO!I:I,B190,SEPARAÇÃO!M:M)</f>
        <v>0</v>
      </c>
      <c r="K190" s="4">
        <f>SUMIF(SEPARAÇÃO!I:I,Tabela2[[#This Row],[ITENS]],SEPARAÇÃO!P:P)</f>
        <v>0</v>
      </c>
      <c r="L190" s="45">
        <f t="shared" si="2"/>
        <v>0</v>
      </c>
      <c r="M190" s="4">
        <f t="shared" si="2"/>
        <v>0</v>
      </c>
    </row>
    <row r="191" spans="1:13" x14ac:dyDescent="0.25">
      <c r="A191" s="1"/>
      <c r="B191" s="42">
        <v>4559</v>
      </c>
      <c r="C191" s="42" t="s">
        <v>197</v>
      </c>
      <c r="D191" s="43">
        <v>7896112105596</v>
      </c>
      <c r="E191" s="44" t="s">
        <v>23</v>
      </c>
      <c r="F191" s="45">
        <f>SUMIF(PND!D:D,B191,PND!H:H)</f>
        <v>0</v>
      </c>
      <c r="G191" s="4">
        <f>SUMIF(PND!D:D,Tabela2[[#This Row],[ITENS]],PND!J:J)</f>
        <v>0</v>
      </c>
      <c r="H191" s="45">
        <f>SUMIF(FATURADO!H:H,B191,FATURADO!L:L)</f>
        <v>500</v>
      </c>
      <c r="I191" s="4">
        <f>SUMIF(FATURADO!H:H,Tabela2[[#This Row],[ITENS]],FATURADO!N:N)</f>
        <v>2129</v>
      </c>
      <c r="J191" s="45">
        <f>SUMIF(SEPARAÇÃO!I:I,B191,SEPARAÇÃO!M:M)</f>
        <v>0</v>
      </c>
      <c r="K191" s="4">
        <f>SUMIF(SEPARAÇÃO!I:I,Tabela2[[#This Row],[ITENS]],SEPARAÇÃO!P:P)</f>
        <v>0</v>
      </c>
      <c r="L191" s="45">
        <f t="shared" si="2"/>
        <v>500</v>
      </c>
      <c r="M191" s="4">
        <f t="shared" si="2"/>
        <v>2129</v>
      </c>
    </row>
    <row r="192" spans="1:13" x14ac:dyDescent="0.25">
      <c r="A192" s="1"/>
      <c r="B192" s="42">
        <v>4561</v>
      </c>
      <c r="C192" s="42" t="s">
        <v>198</v>
      </c>
      <c r="D192" s="43">
        <v>7896112105619</v>
      </c>
      <c r="E192" s="44" t="s">
        <v>34</v>
      </c>
      <c r="F192" s="45">
        <f>SUMIF(PND!D:D,B192,PND!H:H)</f>
        <v>200</v>
      </c>
      <c r="G192" s="4">
        <f>SUMIF(PND!D:D,Tabela2[[#This Row],[ITENS]],PND!J:J)</f>
        <v>836</v>
      </c>
      <c r="H192" s="45">
        <f>SUMIF(FATURADO!H:H,B192,FATURADO!L:L)</f>
        <v>0</v>
      </c>
      <c r="I192" s="4">
        <f>SUMIF(FATURADO!H:H,Tabela2[[#This Row],[ITENS]],FATURADO!N:N)</f>
        <v>0</v>
      </c>
      <c r="J192" s="45">
        <f>SUMIF(SEPARAÇÃO!I:I,B192,SEPARAÇÃO!M:M)</f>
        <v>0</v>
      </c>
      <c r="K192" s="4">
        <f>SUMIF(SEPARAÇÃO!I:I,Tabela2[[#This Row],[ITENS]],SEPARAÇÃO!P:P)</f>
        <v>0</v>
      </c>
      <c r="L192" s="45">
        <f t="shared" si="2"/>
        <v>200</v>
      </c>
      <c r="M192" s="4">
        <f t="shared" si="2"/>
        <v>836</v>
      </c>
    </row>
    <row r="193" spans="1:13" x14ac:dyDescent="0.25">
      <c r="A193" s="1"/>
      <c r="B193" s="42">
        <v>4642</v>
      </c>
      <c r="C193" s="42" t="s">
        <v>199</v>
      </c>
      <c r="D193" s="43">
        <v>7896112106425</v>
      </c>
      <c r="E193" s="44" t="s">
        <v>34</v>
      </c>
      <c r="F193" s="45">
        <f>SUMIF(PND!D:D,B193,PND!H:H)</f>
        <v>600</v>
      </c>
      <c r="G193" s="4">
        <f>SUMIF(PND!D:D,Tabela2[[#This Row],[ITENS]],PND!J:J)</f>
        <v>3882</v>
      </c>
      <c r="H193" s="45">
        <f>SUMIF(FATURADO!H:H,B193,FATURADO!L:L)</f>
        <v>1500</v>
      </c>
      <c r="I193" s="4">
        <f>SUMIF(FATURADO!H:H,Tabela2[[#This Row],[ITENS]],FATURADO!N:N)</f>
        <v>8550</v>
      </c>
      <c r="J193" s="45">
        <f>SUMIF(SEPARAÇÃO!I:I,B193,SEPARAÇÃO!M:M)</f>
        <v>0</v>
      </c>
      <c r="K193" s="4">
        <f>SUMIF(SEPARAÇÃO!I:I,Tabela2[[#This Row],[ITENS]],SEPARAÇÃO!P:P)</f>
        <v>0</v>
      </c>
      <c r="L193" s="45">
        <f t="shared" si="2"/>
        <v>2100</v>
      </c>
      <c r="M193" s="4">
        <f t="shared" si="2"/>
        <v>12432</v>
      </c>
    </row>
    <row r="194" spans="1:13" x14ac:dyDescent="0.25">
      <c r="A194" s="1"/>
      <c r="B194" s="42">
        <v>4647</v>
      </c>
      <c r="C194" s="42" t="s">
        <v>200</v>
      </c>
      <c r="D194" s="43">
        <v>7896112106470</v>
      </c>
      <c r="E194" s="44" t="s">
        <v>34</v>
      </c>
      <c r="F194" s="45">
        <f>SUMIF(PND!D:D,B194,PND!H:H)</f>
        <v>0</v>
      </c>
      <c r="G194" s="4">
        <f>SUMIF(PND!D:D,Tabela2[[#This Row],[ITENS]],PND!J:J)</f>
        <v>0</v>
      </c>
      <c r="H194" s="45">
        <f>SUMIF(FATURADO!H:H,B194,FATURADO!L:L)</f>
        <v>2000</v>
      </c>
      <c r="I194" s="4">
        <f>SUMIF(FATURADO!H:H,Tabela2[[#This Row],[ITENS]],FATURADO!N:N)</f>
        <v>7800</v>
      </c>
      <c r="J194" s="45">
        <f>SUMIF(SEPARAÇÃO!I:I,B194,SEPARAÇÃO!M:M)</f>
        <v>0</v>
      </c>
      <c r="K194" s="4">
        <f>SUMIF(SEPARAÇÃO!I:I,Tabela2[[#This Row],[ITENS]],SEPARAÇÃO!P:P)</f>
        <v>0</v>
      </c>
      <c r="L194" s="45">
        <f t="shared" si="2"/>
        <v>2000</v>
      </c>
      <c r="M194" s="4">
        <f t="shared" si="2"/>
        <v>7800</v>
      </c>
    </row>
    <row r="195" spans="1:13" x14ac:dyDescent="0.25">
      <c r="A195" s="1"/>
      <c r="B195" s="42">
        <v>4706</v>
      </c>
      <c r="C195" s="42" t="s">
        <v>201</v>
      </c>
      <c r="D195" s="43">
        <v>7896112107064</v>
      </c>
      <c r="E195" s="44" t="s">
        <v>23</v>
      </c>
      <c r="F195" s="45">
        <f>SUMIF(PND!D:D,B195,PND!H:H)</f>
        <v>0</v>
      </c>
      <c r="G195" s="4">
        <f>SUMIF(PND!D:D,Tabela2[[#This Row],[ITENS]],PND!J:J)</f>
        <v>0</v>
      </c>
      <c r="H195" s="45">
        <f>SUMIF(FATURADO!H:H,B195,FATURADO!L:L)</f>
        <v>1400</v>
      </c>
      <c r="I195" s="4">
        <f>SUMIF(FATURADO!H:H,Tabela2[[#This Row],[ITENS]],FATURADO!N:N)</f>
        <v>6454</v>
      </c>
      <c r="J195" s="45">
        <f>SUMIF(SEPARAÇÃO!I:I,B195,SEPARAÇÃO!M:M)</f>
        <v>0</v>
      </c>
      <c r="K195" s="4">
        <f>SUMIF(SEPARAÇÃO!I:I,Tabela2[[#This Row],[ITENS]],SEPARAÇÃO!P:P)</f>
        <v>0</v>
      </c>
      <c r="L195" s="45">
        <f t="shared" si="2"/>
        <v>1400</v>
      </c>
      <c r="M195" s="4">
        <f t="shared" si="2"/>
        <v>6454</v>
      </c>
    </row>
    <row r="196" spans="1:13" x14ac:dyDescent="0.25">
      <c r="A196" s="1"/>
      <c r="B196" s="42">
        <v>4743</v>
      </c>
      <c r="C196" s="42" t="s">
        <v>202</v>
      </c>
      <c r="D196" s="43">
        <v>7896112107439</v>
      </c>
      <c r="E196" s="44" t="s">
        <v>34</v>
      </c>
      <c r="F196" s="45">
        <f>SUMIF(PND!D:D,B196,PND!H:H)</f>
        <v>0</v>
      </c>
      <c r="G196" s="4">
        <f>SUMIF(PND!D:D,Tabela2[[#This Row],[ITENS]],PND!J:J)</f>
        <v>0</v>
      </c>
      <c r="H196" s="45">
        <f>SUMIF(FATURADO!H:H,B196,FATURADO!L:L)</f>
        <v>2800</v>
      </c>
      <c r="I196" s="4">
        <f>SUMIF(FATURADO!H:H,Tabela2[[#This Row],[ITENS]],FATURADO!N:N)</f>
        <v>6916</v>
      </c>
      <c r="J196" s="45">
        <f>SUMIF(SEPARAÇÃO!I:I,B196,SEPARAÇÃO!M:M)</f>
        <v>0</v>
      </c>
      <c r="K196" s="4">
        <f>SUMIF(SEPARAÇÃO!I:I,Tabela2[[#This Row],[ITENS]],SEPARAÇÃO!P:P)</f>
        <v>0</v>
      </c>
      <c r="L196" s="45">
        <f t="shared" si="2"/>
        <v>2800</v>
      </c>
      <c r="M196" s="4">
        <f t="shared" si="2"/>
        <v>6916</v>
      </c>
    </row>
    <row r="197" spans="1:13" x14ac:dyDescent="0.25">
      <c r="A197" s="1"/>
      <c r="B197" s="42">
        <v>4745</v>
      </c>
      <c r="C197" s="42" t="s">
        <v>203</v>
      </c>
      <c r="D197" s="43">
        <v>7896112107453</v>
      </c>
      <c r="E197" s="44" t="s">
        <v>34</v>
      </c>
      <c r="F197" s="45">
        <f>SUMIF(PND!D:D,B197,PND!H:H)</f>
        <v>0</v>
      </c>
      <c r="G197" s="4">
        <f>SUMIF(PND!D:D,Tabela2[[#This Row],[ITENS]],PND!J:J)</f>
        <v>0</v>
      </c>
      <c r="H197" s="45">
        <f>SUMIF(FATURADO!H:H,B197,FATURADO!L:L)</f>
        <v>0</v>
      </c>
      <c r="I197" s="4">
        <f>SUMIF(FATURADO!H:H,Tabela2[[#This Row],[ITENS]],FATURADO!N:N)</f>
        <v>0</v>
      </c>
      <c r="J197" s="45">
        <f>SUMIF(SEPARAÇÃO!I:I,B197,SEPARAÇÃO!M:M)</f>
        <v>0</v>
      </c>
      <c r="K197" s="4">
        <f>SUMIF(SEPARAÇÃO!I:I,Tabela2[[#This Row],[ITENS]],SEPARAÇÃO!P:P)</f>
        <v>0</v>
      </c>
      <c r="L197" s="45">
        <f t="shared" si="2"/>
        <v>0</v>
      </c>
      <c r="M197" s="4">
        <f t="shared" si="2"/>
        <v>0</v>
      </c>
    </row>
    <row r="198" spans="1:13" x14ac:dyDescent="0.25">
      <c r="A198" s="1"/>
      <c r="B198" s="42">
        <v>4746</v>
      </c>
      <c r="C198" s="42" t="s">
        <v>204</v>
      </c>
      <c r="D198" s="43">
        <v>7896112107460</v>
      </c>
      <c r="E198" s="44" t="s">
        <v>34</v>
      </c>
      <c r="F198" s="45">
        <f>SUMIF(PND!D:D,B198,PND!H:H)</f>
        <v>640</v>
      </c>
      <c r="G198" s="4">
        <f>SUMIF(PND!D:D,Tabela2[[#This Row],[ITENS]],PND!J:J)</f>
        <v>14201.599999999999</v>
      </c>
      <c r="H198" s="45">
        <f>SUMIF(FATURADO!H:H,B198,FATURADO!L:L)</f>
        <v>0</v>
      </c>
      <c r="I198" s="4">
        <f>SUMIF(FATURADO!H:H,Tabela2[[#This Row],[ITENS]],FATURADO!N:N)</f>
        <v>0</v>
      </c>
      <c r="J198" s="45">
        <f>SUMIF(SEPARAÇÃO!I:I,B198,SEPARAÇÃO!M:M)</f>
        <v>0</v>
      </c>
      <c r="K198" s="4">
        <f>SUMIF(SEPARAÇÃO!I:I,Tabela2[[#This Row],[ITENS]],SEPARAÇÃO!P:P)</f>
        <v>0</v>
      </c>
      <c r="L198" s="45">
        <f t="shared" si="2"/>
        <v>640</v>
      </c>
      <c r="M198" s="4">
        <f t="shared" si="2"/>
        <v>14201.599999999999</v>
      </c>
    </row>
    <row r="199" spans="1:13" x14ac:dyDescent="0.25">
      <c r="A199" s="1"/>
      <c r="B199" s="42">
        <v>4788</v>
      </c>
      <c r="C199" s="42" t="s">
        <v>205</v>
      </c>
      <c r="D199" s="43">
        <v>7896112107880</v>
      </c>
      <c r="E199" s="44" t="s">
        <v>34</v>
      </c>
      <c r="F199" s="45">
        <f>SUMIF(PND!D:D,B199,PND!H:H)</f>
        <v>0</v>
      </c>
      <c r="G199" s="4">
        <f>SUMIF(PND!D:D,Tabela2[[#This Row],[ITENS]],PND!J:J)</f>
        <v>0</v>
      </c>
      <c r="H199" s="45">
        <f>SUMIF(FATURADO!H:H,B199,FATURADO!L:L)</f>
        <v>150</v>
      </c>
      <c r="I199" s="4">
        <f>SUMIF(FATURADO!H:H,Tabela2[[#This Row],[ITENS]],FATURADO!N:N)</f>
        <v>1357.5</v>
      </c>
      <c r="J199" s="45">
        <f>SUMIF(SEPARAÇÃO!I:I,B199,SEPARAÇÃO!M:M)</f>
        <v>0</v>
      </c>
      <c r="K199" s="4">
        <f>SUMIF(SEPARAÇÃO!I:I,Tabela2[[#This Row],[ITENS]],SEPARAÇÃO!P:P)</f>
        <v>0</v>
      </c>
      <c r="L199" s="45">
        <f t="shared" si="2"/>
        <v>150</v>
      </c>
      <c r="M199" s="4">
        <f t="shared" si="2"/>
        <v>1357.5</v>
      </c>
    </row>
    <row r="200" spans="1:13" x14ac:dyDescent="0.25">
      <c r="A200" s="1"/>
      <c r="B200" s="42">
        <v>4796</v>
      </c>
      <c r="C200" s="42" t="s">
        <v>206</v>
      </c>
      <c r="D200" s="43">
        <v>7896112107965</v>
      </c>
      <c r="E200" s="44" t="s">
        <v>23</v>
      </c>
      <c r="F200" s="45">
        <f>SUMIF(PND!D:D,B200,PND!H:H)</f>
        <v>2500</v>
      </c>
      <c r="G200" s="4">
        <f>SUMIF(PND!D:D,Tabela2[[#This Row],[ITENS]],PND!J:J)</f>
        <v>15945</v>
      </c>
      <c r="H200" s="45">
        <f>SUMIF(FATURADO!H:H,B200,FATURADO!L:L)</f>
        <v>2400</v>
      </c>
      <c r="I200" s="4">
        <f>SUMIF(FATURADO!H:H,Tabela2[[#This Row],[ITENS]],FATURADO!N:N)</f>
        <v>13704</v>
      </c>
      <c r="J200" s="45">
        <f>SUMIF(SEPARAÇÃO!I:I,B200,SEPARAÇÃO!M:M)</f>
        <v>0</v>
      </c>
      <c r="K200" s="4">
        <f>SUMIF(SEPARAÇÃO!I:I,Tabela2[[#This Row],[ITENS]],SEPARAÇÃO!P:P)</f>
        <v>0</v>
      </c>
      <c r="L200" s="45">
        <f t="shared" si="2"/>
        <v>4900</v>
      </c>
      <c r="M200" s="4">
        <f t="shared" si="2"/>
        <v>29649</v>
      </c>
    </row>
    <row r="201" spans="1:13" x14ac:dyDescent="0.25">
      <c r="A201" s="1"/>
      <c r="B201" s="42">
        <v>4826</v>
      </c>
      <c r="C201" s="42" t="s">
        <v>207</v>
      </c>
      <c r="D201" s="43">
        <v>7896112108269</v>
      </c>
      <c r="E201" s="44" t="s">
        <v>34</v>
      </c>
      <c r="F201" s="45">
        <f>SUMIF(PND!D:D,B201,PND!H:H)</f>
        <v>0</v>
      </c>
      <c r="G201" s="4">
        <f>SUMIF(PND!D:D,Tabela2[[#This Row],[ITENS]],PND!J:J)</f>
        <v>0</v>
      </c>
      <c r="H201" s="45">
        <f>SUMIF(FATURADO!H:H,B201,FATURADO!L:L)</f>
        <v>0</v>
      </c>
      <c r="I201" s="4">
        <f>SUMIF(FATURADO!H:H,Tabela2[[#This Row],[ITENS]],FATURADO!N:N)</f>
        <v>0</v>
      </c>
      <c r="J201" s="45">
        <f>SUMIF(SEPARAÇÃO!I:I,B201,SEPARAÇÃO!M:M)</f>
        <v>0</v>
      </c>
      <c r="K201" s="4">
        <f>SUMIF(SEPARAÇÃO!I:I,Tabela2[[#This Row],[ITENS]],SEPARAÇÃO!P:P)</f>
        <v>0</v>
      </c>
      <c r="L201" s="45">
        <f t="shared" si="2"/>
        <v>0</v>
      </c>
      <c r="M201" s="4">
        <f t="shared" si="2"/>
        <v>0</v>
      </c>
    </row>
    <row r="202" spans="1:13" x14ac:dyDescent="0.25">
      <c r="A202" s="1"/>
      <c r="B202" s="42">
        <v>4832</v>
      </c>
      <c r="C202" s="42" t="s">
        <v>208</v>
      </c>
      <c r="D202" s="43">
        <v>7896112108320</v>
      </c>
      <c r="E202" s="44" t="s">
        <v>23</v>
      </c>
      <c r="F202" s="45">
        <f>SUMIF(PND!D:D,B202,PND!H:H)</f>
        <v>720</v>
      </c>
      <c r="G202" s="4">
        <f>SUMIF(PND!D:D,Tabela2[[#This Row],[ITENS]],PND!J:J)</f>
        <v>13761.316800000001</v>
      </c>
      <c r="H202" s="45">
        <f>SUMIF(FATURADO!H:H,B202,FATURADO!L:L)</f>
        <v>0</v>
      </c>
      <c r="I202" s="4">
        <f>SUMIF(FATURADO!H:H,Tabela2[[#This Row],[ITENS]],FATURADO!N:N)</f>
        <v>0</v>
      </c>
      <c r="J202" s="45">
        <f>SUMIF(SEPARAÇÃO!I:I,B202,SEPARAÇÃO!M:M)</f>
        <v>0</v>
      </c>
      <c r="K202" s="4">
        <f>SUMIF(SEPARAÇÃO!I:I,Tabela2[[#This Row],[ITENS]],SEPARAÇÃO!P:P)</f>
        <v>0</v>
      </c>
      <c r="L202" s="45">
        <f t="shared" si="2"/>
        <v>720</v>
      </c>
      <c r="M202" s="4">
        <f t="shared" si="2"/>
        <v>13761.316800000001</v>
      </c>
    </row>
    <row r="203" spans="1:13" x14ac:dyDescent="0.25">
      <c r="A203" s="1"/>
      <c r="B203" s="42">
        <v>4836</v>
      </c>
      <c r="C203" s="42" t="s">
        <v>43</v>
      </c>
      <c r="D203" s="43">
        <v>7896112108368</v>
      </c>
      <c r="E203" s="44" t="s">
        <v>34</v>
      </c>
      <c r="F203" s="45">
        <f>SUMIF(PND!D:D,B203,PND!H:H)</f>
        <v>0</v>
      </c>
      <c r="G203" s="4">
        <f>SUMIF(PND!D:D,Tabela2[[#This Row],[ITENS]],PND!J:J)</f>
        <v>0</v>
      </c>
      <c r="H203" s="45">
        <f>SUMIF(FATURADO!H:H,B203,FATURADO!L:L)</f>
        <v>704</v>
      </c>
      <c r="I203" s="4">
        <f>SUMIF(FATURADO!H:H,Tabela2[[#This Row],[ITENS]],FATURADO!N:N)</f>
        <v>10419.200000000001</v>
      </c>
      <c r="J203" s="45">
        <f>SUMIF(SEPARAÇÃO!I:I,B203,SEPARAÇÃO!M:M)</f>
        <v>0</v>
      </c>
      <c r="K203" s="4">
        <f>SUMIF(SEPARAÇÃO!I:I,Tabela2[[#This Row],[ITENS]],SEPARAÇÃO!P:P)</f>
        <v>0</v>
      </c>
      <c r="L203" s="45">
        <f t="shared" si="2"/>
        <v>704</v>
      </c>
      <c r="M203" s="4">
        <f t="shared" si="2"/>
        <v>10419.200000000001</v>
      </c>
    </row>
    <row r="204" spans="1:13" x14ac:dyDescent="0.25">
      <c r="A204" s="1"/>
      <c r="B204" s="42">
        <v>4849</v>
      </c>
      <c r="C204" s="42" t="s">
        <v>209</v>
      </c>
      <c r="D204" s="43">
        <v>7896112148494</v>
      </c>
      <c r="E204" s="44" t="s">
        <v>34</v>
      </c>
      <c r="F204" s="45">
        <f>SUMIF(PND!D:D,B204,PND!H:H)</f>
        <v>4200</v>
      </c>
      <c r="G204" s="4">
        <f>SUMIF(PND!D:D,Tabela2[[#This Row],[ITENS]],PND!J:J)</f>
        <v>28500</v>
      </c>
      <c r="H204" s="45">
        <f>SUMIF(FATURADO!H:H,B204,FATURADO!L:L)</f>
        <v>3000</v>
      </c>
      <c r="I204" s="4">
        <f>SUMIF(FATURADO!H:H,Tabela2[[#This Row],[ITENS]],FATURADO!N:N)</f>
        <v>19092</v>
      </c>
      <c r="J204" s="45">
        <f>SUMIF(SEPARAÇÃO!I:I,B204,SEPARAÇÃO!M:M)</f>
        <v>0</v>
      </c>
      <c r="K204" s="4">
        <f>SUMIF(SEPARAÇÃO!I:I,Tabela2[[#This Row],[ITENS]],SEPARAÇÃO!P:P)</f>
        <v>0</v>
      </c>
      <c r="L204" s="45">
        <f t="shared" si="2"/>
        <v>7200</v>
      </c>
      <c r="M204" s="4">
        <f t="shared" si="2"/>
        <v>47592</v>
      </c>
    </row>
    <row r="205" spans="1:13" x14ac:dyDescent="0.25">
      <c r="A205" s="1"/>
      <c r="B205" s="42">
        <v>4862</v>
      </c>
      <c r="C205" s="42" t="s">
        <v>210</v>
      </c>
      <c r="D205" s="43">
        <v>7896112108627</v>
      </c>
      <c r="E205" s="44" t="s">
        <v>23</v>
      </c>
      <c r="F205" s="45">
        <f>SUMIF(PND!D:D,B205,PND!H:H)</f>
        <v>0</v>
      </c>
      <c r="G205" s="4">
        <f>SUMIF(PND!D:D,Tabela2[[#This Row],[ITENS]],PND!J:J)</f>
        <v>0</v>
      </c>
      <c r="H205" s="45">
        <f>SUMIF(FATURADO!H:H,B205,FATURADO!L:L)</f>
        <v>4000</v>
      </c>
      <c r="I205" s="4">
        <f>SUMIF(FATURADO!H:H,Tabela2[[#This Row],[ITENS]],FATURADO!N:N)</f>
        <v>72000</v>
      </c>
      <c r="J205" s="45">
        <f>SUMIF(SEPARAÇÃO!I:I,B205,SEPARAÇÃO!M:M)</f>
        <v>0</v>
      </c>
      <c r="K205" s="4">
        <f>SUMIF(SEPARAÇÃO!I:I,Tabela2[[#This Row],[ITENS]],SEPARAÇÃO!P:P)</f>
        <v>0</v>
      </c>
      <c r="L205" s="45">
        <f t="shared" si="2"/>
        <v>4000</v>
      </c>
      <c r="M205" s="4">
        <f t="shared" si="2"/>
        <v>72000</v>
      </c>
    </row>
    <row r="206" spans="1:13" x14ac:dyDescent="0.25">
      <c r="A206" s="1"/>
      <c r="B206" s="42">
        <v>5085</v>
      </c>
      <c r="C206" s="42" t="s">
        <v>211</v>
      </c>
      <c r="D206" s="43">
        <v>7896112150855</v>
      </c>
      <c r="E206" s="44" t="s">
        <v>23</v>
      </c>
      <c r="F206" s="45">
        <f>SUMIF(PND!D:D,B206,PND!H:H)</f>
        <v>0</v>
      </c>
      <c r="G206" s="4">
        <f>SUMIF(PND!D:D,Tabela2[[#This Row],[ITENS]],PND!J:J)</f>
        <v>0</v>
      </c>
      <c r="H206" s="45">
        <f>SUMIF(FATURADO!H:H,B206,FATURADO!L:L)</f>
        <v>0</v>
      </c>
      <c r="I206" s="4">
        <f>SUMIF(FATURADO!H:H,Tabela2[[#This Row],[ITENS]],FATURADO!N:N)</f>
        <v>0</v>
      </c>
      <c r="J206" s="45">
        <f>SUMIF(SEPARAÇÃO!I:I,B206,SEPARAÇÃO!M:M)</f>
        <v>0</v>
      </c>
      <c r="K206" s="4">
        <f>SUMIF(SEPARAÇÃO!I:I,Tabela2[[#This Row],[ITENS]],SEPARAÇÃO!P:P)</f>
        <v>0</v>
      </c>
      <c r="L206" s="45">
        <f t="shared" si="2"/>
        <v>0</v>
      </c>
      <c r="M206" s="4">
        <f t="shared" si="2"/>
        <v>0</v>
      </c>
    </row>
    <row r="207" spans="1:13" x14ac:dyDescent="0.25">
      <c r="A207" s="1"/>
      <c r="B207" s="42">
        <v>5086</v>
      </c>
      <c r="C207" s="42" t="s">
        <v>212</v>
      </c>
      <c r="D207" s="43">
        <v>7896112150862</v>
      </c>
      <c r="E207" s="44" t="s">
        <v>23</v>
      </c>
      <c r="F207" s="45">
        <f>SUMIF(PND!D:D,B207,PND!H:H)</f>
        <v>300</v>
      </c>
      <c r="G207" s="4">
        <f>SUMIF(PND!D:D,Tabela2[[#This Row],[ITENS]],PND!J:J)</f>
        <v>1356</v>
      </c>
      <c r="H207" s="45">
        <f>SUMIF(FATURADO!H:H,B207,FATURADO!L:L)</f>
        <v>1200</v>
      </c>
      <c r="I207" s="4">
        <f>SUMIF(FATURADO!H:H,Tabela2[[#This Row],[ITENS]],FATURADO!N:N)</f>
        <v>5055</v>
      </c>
      <c r="J207" s="45">
        <f>SUMIF(SEPARAÇÃO!I:I,B207,SEPARAÇÃO!M:M)</f>
        <v>0</v>
      </c>
      <c r="K207" s="4">
        <f>SUMIF(SEPARAÇÃO!I:I,Tabela2[[#This Row],[ITENS]],SEPARAÇÃO!P:P)</f>
        <v>0</v>
      </c>
      <c r="L207" s="45">
        <f t="shared" si="2"/>
        <v>1500</v>
      </c>
      <c r="M207" s="4">
        <f t="shared" si="2"/>
        <v>6411</v>
      </c>
    </row>
    <row r="208" spans="1:13" x14ac:dyDescent="0.25">
      <c r="A208" s="1"/>
      <c r="B208" s="42">
        <v>5108</v>
      </c>
      <c r="C208" s="42" t="s">
        <v>213</v>
      </c>
      <c r="D208" s="43">
        <v>7896112151081</v>
      </c>
      <c r="E208" s="44" t="s">
        <v>34</v>
      </c>
      <c r="F208" s="45">
        <f>SUMIF(PND!D:D,B208,PND!H:H)</f>
        <v>0</v>
      </c>
      <c r="G208" s="4">
        <f>SUMIF(PND!D:D,Tabela2[[#This Row],[ITENS]],PND!J:J)</f>
        <v>0</v>
      </c>
      <c r="H208" s="45">
        <f>SUMIF(FATURADO!H:H,B208,FATURADO!L:L)</f>
        <v>0</v>
      </c>
      <c r="I208" s="4">
        <f>SUMIF(FATURADO!H:H,Tabela2[[#This Row],[ITENS]],FATURADO!N:N)</f>
        <v>0</v>
      </c>
      <c r="J208" s="45">
        <f>SUMIF(SEPARAÇÃO!I:I,B208,SEPARAÇÃO!M:M)</f>
        <v>0</v>
      </c>
      <c r="K208" s="4">
        <f>SUMIF(SEPARAÇÃO!I:I,Tabela2[[#This Row],[ITENS]],SEPARAÇÃO!P:P)</f>
        <v>0</v>
      </c>
      <c r="L208" s="45">
        <f t="shared" si="2"/>
        <v>0</v>
      </c>
      <c r="M208" s="4">
        <f t="shared" si="2"/>
        <v>0</v>
      </c>
    </row>
    <row r="209" spans="1:13" x14ac:dyDescent="0.25">
      <c r="A209" s="1"/>
      <c r="B209" s="42">
        <v>5118</v>
      </c>
      <c r="C209" s="42" t="s">
        <v>214</v>
      </c>
      <c r="D209" s="43">
        <v>7896112151180</v>
      </c>
      <c r="E209" s="44" t="s">
        <v>34</v>
      </c>
      <c r="F209" s="45">
        <f>SUMIF(PND!D:D,B209,PND!H:H)</f>
        <v>120</v>
      </c>
      <c r="G209" s="4">
        <f>SUMIF(PND!D:D,Tabela2[[#This Row],[ITENS]],PND!J:J)</f>
        <v>5182.8</v>
      </c>
      <c r="H209" s="45">
        <f>SUMIF(FATURADO!H:H,B209,FATURADO!L:L)</f>
        <v>540</v>
      </c>
      <c r="I209" s="4">
        <f>SUMIF(FATURADO!H:H,Tabela2[[#This Row],[ITENS]],FATURADO!N:N)</f>
        <v>22417.8</v>
      </c>
      <c r="J209" s="45">
        <f>SUMIF(SEPARAÇÃO!I:I,B209,SEPARAÇÃO!M:M)</f>
        <v>0</v>
      </c>
      <c r="K209" s="4">
        <f>SUMIF(SEPARAÇÃO!I:I,Tabela2[[#This Row],[ITENS]],SEPARAÇÃO!P:P)</f>
        <v>0</v>
      </c>
      <c r="L209" s="45">
        <f t="shared" si="2"/>
        <v>660</v>
      </c>
      <c r="M209" s="4">
        <f t="shared" si="2"/>
        <v>27600.6</v>
      </c>
    </row>
    <row r="210" spans="1:13" x14ac:dyDescent="0.25">
      <c r="A210" s="1"/>
      <c r="B210" s="42">
        <v>5120</v>
      </c>
      <c r="C210" s="42" t="s">
        <v>215</v>
      </c>
      <c r="D210" s="43">
        <v>7896112151203</v>
      </c>
      <c r="E210" s="44" t="s">
        <v>34</v>
      </c>
      <c r="F210" s="45">
        <f>SUMIF(PND!D:D,B210,PND!H:H)</f>
        <v>0</v>
      </c>
      <c r="G210" s="4">
        <f>SUMIF(PND!D:D,Tabela2[[#This Row],[ITENS]],PND!J:J)</f>
        <v>0</v>
      </c>
      <c r="H210" s="45">
        <f>SUMIF(FATURADO!H:H,B210,FATURADO!L:L)</f>
        <v>0</v>
      </c>
      <c r="I210" s="4">
        <f>SUMIF(FATURADO!H:H,Tabela2[[#This Row],[ITENS]],FATURADO!N:N)</f>
        <v>0</v>
      </c>
      <c r="J210" s="45">
        <f>SUMIF(SEPARAÇÃO!I:I,B210,SEPARAÇÃO!M:M)</f>
        <v>0</v>
      </c>
      <c r="K210" s="4">
        <f>SUMIF(SEPARAÇÃO!I:I,Tabela2[[#This Row],[ITENS]],SEPARAÇÃO!P:P)</f>
        <v>0</v>
      </c>
      <c r="L210" s="45">
        <f t="shared" ref="L210:M273" si="3">F210+H210+J210</f>
        <v>0</v>
      </c>
      <c r="M210" s="4">
        <f t="shared" si="3"/>
        <v>0</v>
      </c>
    </row>
    <row r="211" spans="1:13" x14ac:dyDescent="0.25">
      <c r="A211" s="1"/>
      <c r="B211" s="42">
        <v>5327</v>
      </c>
      <c r="C211" s="42" t="s">
        <v>216</v>
      </c>
      <c r="D211" s="43">
        <v>7896112153276</v>
      </c>
      <c r="E211" s="44" t="s">
        <v>34</v>
      </c>
      <c r="F211" s="45">
        <f>SUMIF(PND!D:D,B211,PND!H:H)</f>
        <v>0</v>
      </c>
      <c r="G211" s="4">
        <f>SUMIF(PND!D:D,Tabela2[[#This Row],[ITENS]],PND!J:J)</f>
        <v>0</v>
      </c>
      <c r="H211" s="45">
        <f>SUMIF(FATURADO!H:H,B211,FATURADO!L:L)</f>
        <v>0</v>
      </c>
      <c r="I211" s="4">
        <f>SUMIF(FATURADO!H:H,Tabela2[[#This Row],[ITENS]],FATURADO!N:N)</f>
        <v>0</v>
      </c>
      <c r="J211" s="45">
        <f>SUMIF(SEPARAÇÃO!I:I,B211,SEPARAÇÃO!M:M)</f>
        <v>0</v>
      </c>
      <c r="K211" s="4">
        <f>SUMIF(SEPARAÇÃO!I:I,Tabela2[[#This Row],[ITENS]],SEPARAÇÃO!P:P)</f>
        <v>0</v>
      </c>
      <c r="L211" s="45">
        <f t="shared" si="3"/>
        <v>0</v>
      </c>
      <c r="M211" s="4">
        <f t="shared" si="3"/>
        <v>0</v>
      </c>
    </row>
    <row r="212" spans="1:13" x14ac:dyDescent="0.25">
      <c r="A212" s="1"/>
      <c r="B212" s="42">
        <v>5343</v>
      </c>
      <c r="C212" s="42" t="s">
        <v>217</v>
      </c>
      <c r="D212" s="43">
        <v>7896112153436</v>
      </c>
      <c r="E212" s="44" t="s">
        <v>34</v>
      </c>
      <c r="F212" s="45">
        <f>SUMIF(PND!D:D,B212,PND!H:H)</f>
        <v>0</v>
      </c>
      <c r="G212" s="4">
        <f>SUMIF(PND!D:D,Tabela2[[#This Row],[ITENS]],PND!J:J)</f>
        <v>0</v>
      </c>
      <c r="H212" s="45">
        <f>SUMIF(FATURADO!H:H,B212,FATURADO!L:L)</f>
        <v>1800</v>
      </c>
      <c r="I212" s="4">
        <f>SUMIF(FATURADO!H:H,Tabela2[[#This Row],[ITENS]],FATURADO!N:N)</f>
        <v>44676</v>
      </c>
      <c r="J212" s="45">
        <f>SUMIF(SEPARAÇÃO!I:I,B212,SEPARAÇÃO!M:M)</f>
        <v>0</v>
      </c>
      <c r="K212" s="4">
        <f>SUMIF(SEPARAÇÃO!I:I,Tabela2[[#This Row],[ITENS]],SEPARAÇÃO!P:P)</f>
        <v>0</v>
      </c>
      <c r="L212" s="45">
        <f t="shared" si="3"/>
        <v>1800</v>
      </c>
      <c r="M212" s="4">
        <f t="shared" si="3"/>
        <v>44676</v>
      </c>
    </row>
    <row r="213" spans="1:13" x14ac:dyDescent="0.25">
      <c r="A213" s="1"/>
      <c r="B213" s="42">
        <v>5364</v>
      </c>
      <c r="C213" s="42" t="s">
        <v>218</v>
      </c>
      <c r="D213" s="43">
        <v>7896112153641</v>
      </c>
      <c r="E213" s="44" t="s">
        <v>23</v>
      </c>
      <c r="F213" s="45">
        <f>SUMIF(PND!D:D,B213,PND!H:H)</f>
        <v>200</v>
      </c>
      <c r="G213" s="4">
        <f>SUMIF(PND!D:D,Tabela2[[#This Row],[ITENS]],PND!J:J)</f>
        <v>3142</v>
      </c>
      <c r="H213" s="45">
        <f>SUMIF(FATURADO!H:H,B213,FATURADO!L:L)</f>
        <v>300</v>
      </c>
      <c r="I213" s="4">
        <f>SUMIF(FATURADO!H:H,Tabela2[[#This Row],[ITENS]],FATURADO!N:N)</f>
        <v>4530</v>
      </c>
      <c r="J213" s="45">
        <f>SUMIF(SEPARAÇÃO!I:I,B213,SEPARAÇÃO!M:M)</f>
        <v>0</v>
      </c>
      <c r="K213" s="4">
        <f>SUMIF(SEPARAÇÃO!I:I,Tabela2[[#This Row],[ITENS]],SEPARAÇÃO!P:P)</f>
        <v>0</v>
      </c>
      <c r="L213" s="45">
        <f t="shared" si="3"/>
        <v>500</v>
      </c>
      <c r="M213" s="4">
        <f t="shared" si="3"/>
        <v>7672</v>
      </c>
    </row>
    <row r="214" spans="1:13" x14ac:dyDescent="0.25">
      <c r="A214" s="1"/>
      <c r="B214" s="42">
        <v>5462</v>
      </c>
      <c r="C214" s="42" t="s">
        <v>219</v>
      </c>
      <c r="D214" s="43">
        <v>7896112154624</v>
      </c>
      <c r="E214" s="44" t="s">
        <v>23</v>
      </c>
      <c r="F214" s="45">
        <f>SUMIF(PND!D:D,B214,PND!H:H)</f>
        <v>0</v>
      </c>
      <c r="G214" s="4">
        <f>SUMIF(PND!D:D,Tabela2[[#This Row],[ITENS]],PND!J:J)</f>
        <v>0</v>
      </c>
      <c r="H214" s="45">
        <f>SUMIF(FATURADO!H:H,B214,FATURADO!L:L)</f>
        <v>200</v>
      </c>
      <c r="I214" s="4">
        <f>SUMIF(FATURADO!H:H,Tabela2[[#This Row],[ITENS]],FATURADO!N:N)</f>
        <v>952</v>
      </c>
      <c r="J214" s="45">
        <f>SUMIF(SEPARAÇÃO!I:I,B214,SEPARAÇÃO!M:M)</f>
        <v>0</v>
      </c>
      <c r="K214" s="4">
        <f>SUMIF(SEPARAÇÃO!I:I,Tabela2[[#This Row],[ITENS]],SEPARAÇÃO!P:P)</f>
        <v>0</v>
      </c>
      <c r="L214" s="45">
        <f t="shared" si="3"/>
        <v>200</v>
      </c>
      <c r="M214" s="4">
        <f t="shared" si="3"/>
        <v>952</v>
      </c>
    </row>
    <row r="215" spans="1:13" x14ac:dyDescent="0.25">
      <c r="A215" s="1"/>
      <c r="B215" s="42">
        <v>5625</v>
      </c>
      <c r="C215" s="42" t="s">
        <v>220</v>
      </c>
      <c r="D215" s="43">
        <v>7896112156253</v>
      </c>
      <c r="E215" s="44" t="s">
        <v>34</v>
      </c>
      <c r="F215" s="45">
        <f>SUMIF(PND!D:D,B215,PND!H:H)</f>
        <v>0</v>
      </c>
      <c r="G215" s="4">
        <f>SUMIF(PND!D:D,Tabela2[[#This Row],[ITENS]],PND!J:J)</f>
        <v>0</v>
      </c>
      <c r="H215" s="45">
        <f>SUMIF(FATURADO!H:H,B215,FATURADO!L:L)</f>
        <v>200</v>
      </c>
      <c r="I215" s="4">
        <f>SUMIF(FATURADO!H:H,Tabela2[[#This Row],[ITENS]],FATURADO!N:N)</f>
        <v>2071</v>
      </c>
      <c r="J215" s="45">
        <f>SUMIF(SEPARAÇÃO!I:I,B215,SEPARAÇÃO!M:M)</f>
        <v>0</v>
      </c>
      <c r="K215" s="4">
        <f>SUMIF(SEPARAÇÃO!I:I,Tabela2[[#This Row],[ITENS]],SEPARAÇÃO!P:P)</f>
        <v>0</v>
      </c>
      <c r="L215" s="45">
        <f t="shared" si="3"/>
        <v>200</v>
      </c>
      <c r="M215" s="4">
        <f t="shared" si="3"/>
        <v>2071</v>
      </c>
    </row>
    <row r="216" spans="1:13" x14ac:dyDescent="0.25">
      <c r="A216" s="1"/>
      <c r="B216" s="42">
        <v>5648</v>
      </c>
      <c r="C216" s="42" t="s">
        <v>221</v>
      </c>
      <c r="D216" s="43">
        <v>7896112156482</v>
      </c>
      <c r="E216" s="44" t="s">
        <v>23</v>
      </c>
      <c r="F216" s="45">
        <f>SUMIF(PND!D:D,B216,PND!H:H)</f>
        <v>0</v>
      </c>
      <c r="G216" s="4">
        <f>SUMIF(PND!D:D,Tabela2[[#This Row],[ITENS]],PND!J:J)</f>
        <v>0</v>
      </c>
      <c r="H216" s="45">
        <f>SUMIF(FATURADO!H:H,B216,FATURADO!L:L)</f>
        <v>0</v>
      </c>
      <c r="I216" s="4">
        <f>SUMIF(FATURADO!H:H,Tabela2[[#This Row],[ITENS]],FATURADO!N:N)</f>
        <v>0</v>
      </c>
      <c r="J216" s="45">
        <f>SUMIF(SEPARAÇÃO!I:I,B216,SEPARAÇÃO!M:M)</f>
        <v>0</v>
      </c>
      <c r="K216" s="4">
        <f>SUMIF(SEPARAÇÃO!I:I,Tabela2[[#This Row],[ITENS]],SEPARAÇÃO!P:P)</f>
        <v>0</v>
      </c>
      <c r="L216" s="45">
        <f t="shared" si="3"/>
        <v>0</v>
      </c>
      <c r="M216" s="4">
        <f t="shared" si="3"/>
        <v>0</v>
      </c>
    </row>
    <row r="217" spans="1:13" x14ac:dyDescent="0.25">
      <c r="A217" s="1"/>
      <c r="B217" s="42">
        <v>5836</v>
      </c>
      <c r="C217" s="42" t="s">
        <v>222</v>
      </c>
      <c r="D217" s="43">
        <v>7896112158363</v>
      </c>
      <c r="E217" s="44" t="s">
        <v>23</v>
      </c>
      <c r="F217" s="45">
        <f>SUMIF(PND!D:D,B217,PND!H:H)</f>
        <v>0</v>
      </c>
      <c r="G217" s="4">
        <f>SUMIF(PND!D:D,Tabela2[[#This Row],[ITENS]],PND!J:J)</f>
        <v>0</v>
      </c>
      <c r="H217" s="45">
        <f>SUMIF(FATURADO!H:H,B217,FATURADO!L:L)</f>
        <v>6000</v>
      </c>
      <c r="I217" s="4">
        <f>SUMIF(FATURADO!H:H,Tabela2[[#This Row],[ITENS]],FATURADO!N:N)</f>
        <v>17040</v>
      </c>
      <c r="J217" s="45">
        <f>SUMIF(SEPARAÇÃO!I:I,B217,SEPARAÇÃO!M:M)</f>
        <v>0</v>
      </c>
      <c r="K217" s="4">
        <f>SUMIF(SEPARAÇÃO!I:I,Tabela2[[#This Row],[ITENS]],SEPARAÇÃO!P:P)</f>
        <v>0</v>
      </c>
      <c r="L217" s="45">
        <f t="shared" si="3"/>
        <v>6000</v>
      </c>
      <c r="M217" s="4">
        <f t="shared" si="3"/>
        <v>17040</v>
      </c>
    </row>
    <row r="218" spans="1:13" x14ac:dyDescent="0.25">
      <c r="A218" s="1"/>
      <c r="B218" s="42">
        <v>5949</v>
      </c>
      <c r="C218" s="42" t="s">
        <v>223</v>
      </c>
      <c r="D218" s="43">
        <v>7896112159490</v>
      </c>
      <c r="E218" s="44" t="s">
        <v>34</v>
      </c>
      <c r="F218" s="45">
        <f>SUMIF(PND!D:D,B218,PND!H:H)</f>
        <v>0</v>
      </c>
      <c r="G218" s="4">
        <f>SUMIF(PND!D:D,Tabela2[[#This Row],[ITENS]],PND!J:J)</f>
        <v>0</v>
      </c>
      <c r="H218" s="45">
        <f>SUMIF(FATURADO!H:H,B218,FATURADO!L:L)</f>
        <v>600</v>
      </c>
      <c r="I218" s="4">
        <f>SUMIF(FATURADO!H:H,Tabela2[[#This Row],[ITENS]],FATURADO!N:N)</f>
        <v>2802</v>
      </c>
      <c r="J218" s="45">
        <f>SUMIF(SEPARAÇÃO!I:I,B218,SEPARAÇÃO!M:M)</f>
        <v>0</v>
      </c>
      <c r="K218" s="4">
        <f>SUMIF(SEPARAÇÃO!I:I,Tabela2[[#This Row],[ITENS]],SEPARAÇÃO!P:P)</f>
        <v>0</v>
      </c>
      <c r="L218" s="45">
        <f t="shared" si="3"/>
        <v>600</v>
      </c>
      <c r="M218" s="4">
        <f t="shared" si="3"/>
        <v>2802</v>
      </c>
    </row>
    <row r="219" spans="1:13" x14ac:dyDescent="0.25">
      <c r="A219" s="1"/>
      <c r="B219" s="42">
        <v>5959</v>
      </c>
      <c r="C219" s="42" t="s">
        <v>224</v>
      </c>
      <c r="D219" s="43">
        <v>7896112159599</v>
      </c>
      <c r="E219" s="44" t="s">
        <v>34</v>
      </c>
      <c r="F219" s="45">
        <f>SUMIF(PND!D:D,B219,PND!H:H)</f>
        <v>0</v>
      </c>
      <c r="G219" s="4">
        <f>SUMIF(PND!D:D,Tabela2[[#This Row],[ITENS]],PND!J:J)</f>
        <v>0</v>
      </c>
      <c r="H219" s="45">
        <f>SUMIF(FATURADO!H:H,B219,FATURADO!L:L)</f>
        <v>2600</v>
      </c>
      <c r="I219" s="4">
        <f>SUMIF(FATURADO!H:H,Tabela2[[#This Row],[ITENS]],FATURADO!N:N)</f>
        <v>19764</v>
      </c>
      <c r="J219" s="45">
        <f>SUMIF(SEPARAÇÃO!I:I,B219,SEPARAÇÃO!M:M)</f>
        <v>0</v>
      </c>
      <c r="K219" s="4">
        <f>SUMIF(SEPARAÇÃO!I:I,Tabela2[[#This Row],[ITENS]],SEPARAÇÃO!P:P)</f>
        <v>0</v>
      </c>
      <c r="L219" s="45">
        <f t="shared" si="3"/>
        <v>2600</v>
      </c>
      <c r="M219" s="4">
        <f t="shared" si="3"/>
        <v>19764</v>
      </c>
    </row>
    <row r="220" spans="1:13" x14ac:dyDescent="0.25">
      <c r="A220" s="1"/>
      <c r="B220" s="42">
        <v>6028</v>
      </c>
      <c r="C220" s="42" t="s">
        <v>225</v>
      </c>
      <c r="D220" s="43">
        <v>7896112160281</v>
      </c>
      <c r="E220" s="44" t="s">
        <v>23</v>
      </c>
      <c r="F220" s="45">
        <f>SUMIF(PND!D:D,B220,PND!H:H)</f>
        <v>0</v>
      </c>
      <c r="G220" s="4">
        <f>SUMIF(PND!D:D,Tabela2[[#This Row],[ITENS]],PND!J:J)</f>
        <v>0</v>
      </c>
      <c r="H220" s="45">
        <f>SUMIF(FATURADO!H:H,B220,FATURADO!L:L)</f>
        <v>0</v>
      </c>
      <c r="I220" s="4">
        <f>SUMIF(FATURADO!H:H,Tabela2[[#This Row],[ITENS]],FATURADO!N:N)</f>
        <v>0</v>
      </c>
      <c r="J220" s="45">
        <f>SUMIF(SEPARAÇÃO!I:I,B220,SEPARAÇÃO!M:M)</f>
        <v>0</v>
      </c>
      <c r="K220" s="4">
        <f>SUMIF(SEPARAÇÃO!I:I,Tabela2[[#This Row],[ITENS]],SEPARAÇÃO!P:P)</f>
        <v>0</v>
      </c>
      <c r="L220" s="45">
        <f t="shared" si="3"/>
        <v>0</v>
      </c>
      <c r="M220" s="4">
        <f t="shared" si="3"/>
        <v>0</v>
      </c>
    </row>
    <row r="221" spans="1:13" x14ac:dyDescent="0.25">
      <c r="A221" s="1"/>
      <c r="B221" s="42">
        <v>6029</v>
      </c>
      <c r="C221" s="42" t="s">
        <v>226</v>
      </c>
      <c r="D221" s="43">
        <v>7896112160298</v>
      </c>
      <c r="E221" s="44" t="s">
        <v>23</v>
      </c>
      <c r="F221" s="45">
        <f>SUMIF(PND!D:D,B221,PND!H:H)</f>
        <v>0</v>
      </c>
      <c r="G221" s="4">
        <f>SUMIF(PND!D:D,Tabela2[[#This Row],[ITENS]],PND!J:J)</f>
        <v>0</v>
      </c>
      <c r="H221" s="45">
        <f>SUMIF(FATURADO!H:H,B221,FATURADO!L:L)</f>
        <v>500</v>
      </c>
      <c r="I221" s="4">
        <f>SUMIF(FATURADO!H:H,Tabela2[[#This Row],[ITENS]],FATURADO!N:N)</f>
        <v>1820</v>
      </c>
      <c r="J221" s="45">
        <f>SUMIF(SEPARAÇÃO!I:I,B221,SEPARAÇÃO!M:M)</f>
        <v>0</v>
      </c>
      <c r="K221" s="4">
        <f>SUMIF(SEPARAÇÃO!I:I,Tabela2[[#This Row],[ITENS]],SEPARAÇÃO!P:P)</f>
        <v>0</v>
      </c>
      <c r="L221" s="45">
        <f t="shared" si="3"/>
        <v>500</v>
      </c>
      <c r="M221" s="4">
        <f t="shared" si="3"/>
        <v>1820</v>
      </c>
    </row>
    <row r="222" spans="1:13" x14ac:dyDescent="0.25">
      <c r="A222" s="1"/>
      <c r="B222" s="42">
        <v>6031</v>
      </c>
      <c r="C222" s="42" t="s">
        <v>227</v>
      </c>
      <c r="D222" s="43">
        <v>7896112160311</v>
      </c>
      <c r="E222" s="44" t="s">
        <v>23</v>
      </c>
      <c r="F222" s="45">
        <f>SUMIF(PND!D:D,B222,PND!H:H)</f>
        <v>0</v>
      </c>
      <c r="G222" s="4">
        <f>SUMIF(PND!D:D,Tabela2[[#This Row],[ITENS]],PND!J:J)</f>
        <v>0</v>
      </c>
      <c r="H222" s="45">
        <f>SUMIF(FATURADO!H:H,B222,FATURADO!L:L)</f>
        <v>0</v>
      </c>
      <c r="I222" s="4">
        <f>SUMIF(FATURADO!H:H,Tabela2[[#This Row],[ITENS]],FATURADO!N:N)</f>
        <v>0</v>
      </c>
      <c r="J222" s="45">
        <f>SUMIF(SEPARAÇÃO!I:I,B222,SEPARAÇÃO!M:M)</f>
        <v>0</v>
      </c>
      <c r="K222" s="4">
        <f>SUMIF(SEPARAÇÃO!I:I,Tabela2[[#This Row],[ITENS]],SEPARAÇÃO!P:P)</f>
        <v>0</v>
      </c>
      <c r="L222" s="45">
        <f t="shared" si="3"/>
        <v>0</v>
      </c>
      <c r="M222" s="4">
        <f t="shared" si="3"/>
        <v>0</v>
      </c>
    </row>
    <row r="223" spans="1:13" x14ac:dyDescent="0.25">
      <c r="A223" s="1"/>
      <c r="B223" s="42">
        <v>6036</v>
      </c>
      <c r="C223" s="42" t="s">
        <v>228</v>
      </c>
      <c r="D223" s="43">
        <v>7896112160366</v>
      </c>
      <c r="E223" s="44" t="s">
        <v>34</v>
      </c>
      <c r="F223" s="45">
        <f>SUMIF(PND!D:D,B223,PND!H:H)</f>
        <v>0</v>
      </c>
      <c r="G223" s="4">
        <f>SUMIF(PND!D:D,Tabela2[[#This Row],[ITENS]],PND!J:J)</f>
        <v>0</v>
      </c>
      <c r="H223" s="45">
        <f>SUMIF(FATURADO!H:H,B223,FATURADO!L:L)</f>
        <v>0</v>
      </c>
      <c r="I223" s="4">
        <f>SUMIF(FATURADO!H:H,Tabela2[[#This Row],[ITENS]],FATURADO!N:N)</f>
        <v>0</v>
      </c>
      <c r="J223" s="45">
        <f>SUMIF(SEPARAÇÃO!I:I,B223,SEPARAÇÃO!M:M)</f>
        <v>0</v>
      </c>
      <c r="K223" s="4">
        <f>SUMIF(SEPARAÇÃO!I:I,Tabela2[[#This Row],[ITENS]],SEPARAÇÃO!P:P)</f>
        <v>0</v>
      </c>
      <c r="L223" s="45">
        <f t="shared" si="3"/>
        <v>0</v>
      </c>
      <c r="M223" s="4">
        <f t="shared" si="3"/>
        <v>0</v>
      </c>
    </row>
    <row r="224" spans="1:13" x14ac:dyDescent="0.25">
      <c r="A224" s="1"/>
      <c r="B224" s="42">
        <v>6051</v>
      </c>
      <c r="C224" s="42" t="s">
        <v>229</v>
      </c>
      <c r="D224" s="43">
        <v>7896112160519</v>
      </c>
      <c r="E224" s="44" t="s">
        <v>34</v>
      </c>
      <c r="F224" s="45">
        <f>SUMIF(PND!D:D,B224,PND!H:H)</f>
        <v>0</v>
      </c>
      <c r="G224" s="4">
        <f>SUMIF(PND!D:D,Tabela2[[#This Row],[ITENS]],PND!J:J)</f>
        <v>0</v>
      </c>
      <c r="H224" s="45">
        <f>SUMIF(FATURADO!H:H,B224,FATURADO!L:L)</f>
        <v>0</v>
      </c>
      <c r="I224" s="4">
        <f>SUMIF(FATURADO!H:H,Tabela2[[#This Row],[ITENS]],FATURADO!N:N)</f>
        <v>0</v>
      </c>
      <c r="J224" s="45">
        <f>SUMIF(SEPARAÇÃO!I:I,B224,SEPARAÇÃO!M:M)</f>
        <v>0</v>
      </c>
      <c r="K224" s="4">
        <f>SUMIF(SEPARAÇÃO!I:I,Tabela2[[#This Row],[ITENS]],SEPARAÇÃO!P:P)</f>
        <v>0</v>
      </c>
      <c r="L224" s="45">
        <f t="shared" si="3"/>
        <v>0</v>
      </c>
      <c r="M224" s="4">
        <f t="shared" si="3"/>
        <v>0</v>
      </c>
    </row>
    <row r="225" spans="1:13" x14ac:dyDescent="0.25">
      <c r="A225" s="1"/>
      <c r="B225" s="42">
        <v>6052</v>
      </c>
      <c r="C225" s="42" t="s">
        <v>230</v>
      </c>
      <c r="D225" s="43">
        <v>7896112160526</v>
      </c>
      <c r="E225" s="44" t="s">
        <v>34</v>
      </c>
      <c r="F225" s="45">
        <f>SUMIF(PND!D:D,B225,PND!H:H)</f>
        <v>0</v>
      </c>
      <c r="G225" s="4">
        <f>SUMIF(PND!D:D,Tabela2[[#This Row],[ITENS]],PND!J:J)</f>
        <v>0</v>
      </c>
      <c r="H225" s="45">
        <f>SUMIF(FATURADO!H:H,B225,FATURADO!L:L)</f>
        <v>0</v>
      </c>
      <c r="I225" s="4">
        <f>SUMIF(FATURADO!H:H,Tabela2[[#This Row],[ITENS]],FATURADO!N:N)</f>
        <v>0</v>
      </c>
      <c r="J225" s="45">
        <f>SUMIF(SEPARAÇÃO!I:I,B225,SEPARAÇÃO!M:M)</f>
        <v>0</v>
      </c>
      <c r="K225" s="4">
        <f>SUMIF(SEPARAÇÃO!I:I,Tabela2[[#This Row],[ITENS]],SEPARAÇÃO!P:P)</f>
        <v>0</v>
      </c>
      <c r="L225" s="45">
        <f t="shared" si="3"/>
        <v>0</v>
      </c>
      <c r="M225" s="4">
        <f t="shared" si="3"/>
        <v>0</v>
      </c>
    </row>
    <row r="226" spans="1:13" x14ac:dyDescent="0.25">
      <c r="A226" s="1"/>
      <c r="B226" s="42">
        <v>6115</v>
      </c>
      <c r="C226" s="42" t="s">
        <v>231</v>
      </c>
      <c r="D226" s="43">
        <v>7896112161158</v>
      </c>
      <c r="E226" s="44" t="s">
        <v>23</v>
      </c>
      <c r="F226" s="45">
        <f>SUMIF(PND!D:D,B226,PND!H:H)</f>
        <v>0</v>
      </c>
      <c r="G226" s="4">
        <f>SUMIF(PND!D:D,Tabela2[[#This Row],[ITENS]],PND!J:J)</f>
        <v>0</v>
      </c>
      <c r="H226" s="45">
        <f>SUMIF(FATURADO!H:H,B226,FATURADO!L:L)</f>
        <v>3000</v>
      </c>
      <c r="I226" s="4">
        <f>SUMIF(FATURADO!H:H,Tabela2[[#This Row],[ITENS]],FATURADO!N:N)</f>
        <v>18060</v>
      </c>
      <c r="J226" s="45">
        <f>SUMIF(SEPARAÇÃO!I:I,B226,SEPARAÇÃO!M:M)</f>
        <v>0</v>
      </c>
      <c r="K226" s="4">
        <f>SUMIF(SEPARAÇÃO!I:I,Tabela2[[#This Row],[ITENS]],SEPARAÇÃO!P:P)</f>
        <v>0</v>
      </c>
      <c r="L226" s="45">
        <f t="shared" si="3"/>
        <v>3000</v>
      </c>
      <c r="M226" s="4">
        <f t="shared" si="3"/>
        <v>18060</v>
      </c>
    </row>
    <row r="227" spans="1:13" x14ac:dyDescent="0.25">
      <c r="A227" s="1"/>
      <c r="B227" s="42">
        <v>6232</v>
      </c>
      <c r="C227" s="42" t="s">
        <v>232</v>
      </c>
      <c r="D227" s="43">
        <v>7896112162322</v>
      </c>
      <c r="E227" s="44" t="s">
        <v>34</v>
      </c>
      <c r="F227" s="45">
        <f>SUMIF(PND!D:D,B227,PND!H:H)</f>
        <v>0</v>
      </c>
      <c r="G227" s="4">
        <f>SUMIF(PND!D:D,Tabela2[[#This Row],[ITENS]],PND!J:J)</f>
        <v>0</v>
      </c>
      <c r="H227" s="45">
        <f>SUMIF(FATURADO!H:H,B227,FATURADO!L:L)</f>
        <v>700</v>
      </c>
      <c r="I227" s="4">
        <f>SUMIF(FATURADO!H:H,Tabela2[[#This Row],[ITENS]],FATURADO!N:N)</f>
        <v>1344</v>
      </c>
      <c r="J227" s="45">
        <f>SUMIF(SEPARAÇÃO!I:I,B227,SEPARAÇÃO!M:M)</f>
        <v>0</v>
      </c>
      <c r="K227" s="4">
        <f>SUMIF(SEPARAÇÃO!I:I,Tabela2[[#This Row],[ITENS]],SEPARAÇÃO!P:P)</f>
        <v>0</v>
      </c>
      <c r="L227" s="45">
        <f t="shared" si="3"/>
        <v>700</v>
      </c>
      <c r="M227" s="4">
        <f t="shared" si="3"/>
        <v>1344</v>
      </c>
    </row>
    <row r="228" spans="1:13" x14ac:dyDescent="0.25">
      <c r="A228" s="1"/>
      <c r="B228" s="42">
        <v>6340</v>
      </c>
      <c r="C228" s="42" t="s">
        <v>233</v>
      </c>
      <c r="D228" s="43">
        <v>7896112163404</v>
      </c>
      <c r="E228" s="44" t="s">
        <v>34</v>
      </c>
      <c r="F228" s="45">
        <f>SUMIF(PND!D:D,B228,PND!H:H)</f>
        <v>40</v>
      </c>
      <c r="G228" s="4">
        <f>SUMIF(PND!D:D,Tabela2[[#This Row],[ITENS]],PND!J:J)</f>
        <v>1530</v>
      </c>
      <c r="H228" s="45">
        <f>SUMIF(FATURADO!H:H,B228,FATURADO!L:L)</f>
        <v>40</v>
      </c>
      <c r="I228" s="4">
        <f>SUMIF(FATURADO!H:H,Tabela2[[#This Row],[ITENS]],FATURADO!N:N)</f>
        <v>1500</v>
      </c>
      <c r="J228" s="45">
        <f>SUMIF(SEPARAÇÃO!I:I,B228,SEPARAÇÃO!M:M)</f>
        <v>0</v>
      </c>
      <c r="K228" s="4">
        <f>SUMIF(SEPARAÇÃO!I:I,Tabela2[[#This Row],[ITENS]],SEPARAÇÃO!P:P)</f>
        <v>0</v>
      </c>
      <c r="L228" s="45">
        <f t="shared" si="3"/>
        <v>80</v>
      </c>
      <c r="M228" s="4">
        <f t="shared" si="3"/>
        <v>3030</v>
      </c>
    </row>
    <row r="229" spans="1:13" x14ac:dyDescent="0.25">
      <c r="A229" s="1"/>
      <c r="B229" s="42">
        <v>6553</v>
      </c>
      <c r="C229" s="42" t="s">
        <v>234</v>
      </c>
      <c r="D229" s="43">
        <v>7896112165538</v>
      </c>
      <c r="E229" s="44" t="s">
        <v>23</v>
      </c>
      <c r="F229" s="45">
        <f>SUMIF(PND!D:D,B229,PND!H:H)</f>
        <v>0</v>
      </c>
      <c r="G229" s="4">
        <f>SUMIF(PND!D:D,Tabela2[[#This Row],[ITENS]],PND!J:J)</f>
        <v>0</v>
      </c>
      <c r="H229" s="45">
        <f>SUMIF(FATURADO!H:H,B229,FATURADO!L:L)</f>
        <v>300</v>
      </c>
      <c r="I229" s="4">
        <f>SUMIF(FATURADO!H:H,Tabela2[[#This Row],[ITENS]],FATURADO!N:N)</f>
        <v>7323</v>
      </c>
      <c r="J229" s="45">
        <f>SUMIF(SEPARAÇÃO!I:I,B229,SEPARAÇÃO!M:M)</f>
        <v>0</v>
      </c>
      <c r="K229" s="4">
        <f>SUMIF(SEPARAÇÃO!I:I,Tabela2[[#This Row],[ITENS]],SEPARAÇÃO!P:P)</f>
        <v>0</v>
      </c>
      <c r="L229" s="45">
        <f t="shared" si="3"/>
        <v>300</v>
      </c>
      <c r="M229" s="4">
        <f t="shared" si="3"/>
        <v>7323</v>
      </c>
    </row>
    <row r="230" spans="1:13" x14ac:dyDescent="0.25">
      <c r="A230" s="1"/>
      <c r="B230" s="42">
        <v>6565</v>
      </c>
      <c r="C230" s="42" t="s">
        <v>235</v>
      </c>
      <c r="D230" s="43">
        <v>7896112165651</v>
      </c>
      <c r="E230" s="44" t="s">
        <v>34</v>
      </c>
      <c r="F230" s="45">
        <f>SUMIF(PND!D:D,B230,PND!H:H)</f>
        <v>0</v>
      </c>
      <c r="G230" s="4">
        <f>SUMIF(PND!D:D,Tabela2[[#This Row],[ITENS]],PND!J:J)</f>
        <v>0</v>
      </c>
      <c r="H230" s="45">
        <f>SUMIF(FATURADO!H:H,B230,FATURADO!L:L)</f>
        <v>7000</v>
      </c>
      <c r="I230" s="4">
        <f>SUMIF(FATURADO!H:H,Tabela2[[#This Row],[ITENS]],FATURADO!N:N)</f>
        <v>6740</v>
      </c>
      <c r="J230" s="45">
        <f>SUMIF(SEPARAÇÃO!I:I,B230,SEPARAÇÃO!M:M)</f>
        <v>0</v>
      </c>
      <c r="K230" s="4">
        <f>SUMIF(SEPARAÇÃO!I:I,Tabela2[[#This Row],[ITENS]],SEPARAÇÃO!P:P)</f>
        <v>0</v>
      </c>
      <c r="L230" s="45">
        <f t="shared" si="3"/>
        <v>7000</v>
      </c>
      <c r="M230" s="4">
        <f t="shared" si="3"/>
        <v>6740</v>
      </c>
    </row>
    <row r="231" spans="1:13" x14ac:dyDescent="0.25">
      <c r="A231" s="1"/>
      <c r="B231" s="42">
        <v>6622</v>
      </c>
      <c r="C231" s="42" t="s">
        <v>236</v>
      </c>
      <c r="D231" s="43">
        <v>7896112166221</v>
      </c>
      <c r="E231" s="44" t="s">
        <v>34</v>
      </c>
      <c r="F231" s="45">
        <f>SUMIF(PND!D:D,B231,PND!H:H)</f>
        <v>0</v>
      </c>
      <c r="G231" s="4">
        <f>SUMIF(PND!D:D,Tabela2[[#This Row],[ITENS]],PND!J:J)</f>
        <v>0</v>
      </c>
      <c r="H231" s="45">
        <f>SUMIF(FATURADO!H:H,B231,FATURADO!L:L)</f>
        <v>14000</v>
      </c>
      <c r="I231" s="4">
        <f>SUMIF(FATURADO!H:H,Tabela2[[#This Row],[ITENS]],FATURADO!N:N)</f>
        <v>73170</v>
      </c>
      <c r="J231" s="45">
        <f>SUMIF(SEPARAÇÃO!I:I,B231,SEPARAÇÃO!M:M)</f>
        <v>0</v>
      </c>
      <c r="K231" s="4">
        <f>SUMIF(SEPARAÇÃO!I:I,Tabela2[[#This Row],[ITENS]],SEPARAÇÃO!P:P)</f>
        <v>0</v>
      </c>
      <c r="L231" s="45">
        <f t="shared" si="3"/>
        <v>14000</v>
      </c>
      <c r="M231" s="4">
        <f t="shared" si="3"/>
        <v>73170</v>
      </c>
    </row>
    <row r="232" spans="1:13" x14ac:dyDescent="0.25">
      <c r="A232" s="1"/>
      <c r="B232" s="42">
        <v>6688</v>
      </c>
      <c r="C232" s="42" t="s">
        <v>237</v>
      </c>
      <c r="D232" s="43">
        <v>7896112166887</v>
      </c>
      <c r="E232" s="44" t="s">
        <v>34</v>
      </c>
      <c r="F232" s="45">
        <f>SUMIF(PND!D:D,B232,PND!H:H)</f>
        <v>0</v>
      </c>
      <c r="G232" s="4">
        <f>SUMIF(PND!D:D,Tabela2[[#This Row],[ITENS]],PND!J:J)</f>
        <v>0</v>
      </c>
      <c r="H232" s="45">
        <f>SUMIF(FATURADO!H:H,B232,FATURADO!L:L)</f>
        <v>100</v>
      </c>
      <c r="I232" s="4">
        <f>SUMIF(FATURADO!H:H,Tabela2[[#This Row],[ITENS]],FATURADO!N:N)</f>
        <v>832</v>
      </c>
      <c r="J232" s="45">
        <f>SUMIF(SEPARAÇÃO!I:I,B232,SEPARAÇÃO!M:M)</f>
        <v>0</v>
      </c>
      <c r="K232" s="4">
        <f>SUMIF(SEPARAÇÃO!I:I,Tabela2[[#This Row],[ITENS]],SEPARAÇÃO!P:P)</f>
        <v>0</v>
      </c>
      <c r="L232" s="45">
        <f t="shared" si="3"/>
        <v>100</v>
      </c>
      <c r="M232" s="4">
        <f t="shared" si="3"/>
        <v>832</v>
      </c>
    </row>
    <row r="233" spans="1:13" x14ac:dyDescent="0.25">
      <c r="A233" s="1"/>
      <c r="B233" s="42">
        <v>6719</v>
      </c>
      <c r="C233" s="42" t="s">
        <v>238</v>
      </c>
      <c r="D233" s="43">
        <v>7896112167198</v>
      </c>
      <c r="E233" s="44" t="s">
        <v>34</v>
      </c>
      <c r="F233" s="45">
        <f>SUMIF(PND!D:D,B233,PND!H:H)</f>
        <v>0</v>
      </c>
      <c r="G233" s="4">
        <f>SUMIF(PND!D:D,Tabela2[[#This Row],[ITENS]],PND!J:J)</f>
        <v>0</v>
      </c>
      <c r="H233" s="45">
        <f>SUMIF(FATURADO!H:H,B233,FATURADO!L:L)</f>
        <v>300</v>
      </c>
      <c r="I233" s="4">
        <f>SUMIF(FATURADO!H:H,Tabela2[[#This Row],[ITENS]],FATURADO!N:N)</f>
        <v>1752</v>
      </c>
      <c r="J233" s="45">
        <f>SUMIF(SEPARAÇÃO!I:I,B233,SEPARAÇÃO!M:M)</f>
        <v>0</v>
      </c>
      <c r="K233" s="4">
        <f>SUMIF(SEPARAÇÃO!I:I,Tabela2[[#This Row],[ITENS]],SEPARAÇÃO!P:P)</f>
        <v>0</v>
      </c>
      <c r="L233" s="45">
        <f t="shared" si="3"/>
        <v>300</v>
      </c>
      <c r="M233" s="4">
        <f t="shared" si="3"/>
        <v>1752</v>
      </c>
    </row>
    <row r="234" spans="1:13" x14ac:dyDescent="0.25">
      <c r="A234" s="1"/>
      <c r="B234" s="42">
        <v>6721</v>
      </c>
      <c r="C234" s="42" t="s">
        <v>239</v>
      </c>
      <c r="D234" s="43">
        <v>7896112167211</v>
      </c>
      <c r="E234" s="44" t="s">
        <v>34</v>
      </c>
      <c r="F234" s="45">
        <f>SUMIF(PND!D:D,B234,PND!H:H)</f>
        <v>120</v>
      </c>
      <c r="G234" s="4">
        <f>SUMIF(PND!D:D,Tabela2[[#This Row],[ITENS]],PND!J:J)</f>
        <v>1195.2</v>
      </c>
      <c r="H234" s="45">
        <f>SUMIF(FATURADO!H:H,B234,FATURADO!L:L)</f>
        <v>0</v>
      </c>
      <c r="I234" s="4">
        <f>SUMIF(FATURADO!H:H,Tabela2[[#This Row],[ITENS]],FATURADO!N:N)</f>
        <v>0</v>
      </c>
      <c r="J234" s="45">
        <f>SUMIF(SEPARAÇÃO!I:I,B234,SEPARAÇÃO!M:M)</f>
        <v>0</v>
      </c>
      <c r="K234" s="4">
        <f>SUMIF(SEPARAÇÃO!I:I,Tabela2[[#This Row],[ITENS]],SEPARAÇÃO!P:P)</f>
        <v>0</v>
      </c>
      <c r="L234" s="45">
        <f t="shared" si="3"/>
        <v>120</v>
      </c>
      <c r="M234" s="4">
        <f t="shared" si="3"/>
        <v>1195.2</v>
      </c>
    </row>
    <row r="235" spans="1:13" x14ac:dyDescent="0.25">
      <c r="A235" s="1"/>
      <c r="B235" s="42">
        <v>6833</v>
      </c>
      <c r="C235" s="42" t="s">
        <v>240</v>
      </c>
      <c r="D235" s="43">
        <v>7896112168331</v>
      </c>
      <c r="E235" s="44" t="s">
        <v>34</v>
      </c>
      <c r="F235" s="45">
        <f>SUMIF(PND!D:D,B235,PND!H:H)</f>
        <v>1000</v>
      </c>
      <c r="G235" s="4">
        <f>SUMIF(PND!D:D,Tabela2[[#This Row],[ITENS]],PND!J:J)</f>
        <v>4290</v>
      </c>
      <c r="H235" s="45">
        <f>SUMIF(FATURADO!H:H,B235,FATURADO!L:L)</f>
        <v>1800</v>
      </c>
      <c r="I235" s="4">
        <f>SUMIF(FATURADO!H:H,Tabela2[[#This Row],[ITENS]],FATURADO!N:N)</f>
        <v>7845</v>
      </c>
      <c r="J235" s="45">
        <f>SUMIF(SEPARAÇÃO!I:I,B235,SEPARAÇÃO!M:M)</f>
        <v>0</v>
      </c>
      <c r="K235" s="4">
        <f>SUMIF(SEPARAÇÃO!I:I,Tabela2[[#This Row],[ITENS]],SEPARAÇÃO!P:P)</f>
        <v>0</v>
      </c>
      <c r="L235" s="45">
        <f t="shared" si="3"/>
        <v>2800</v>
      </c>
      <c r="M235" s="4">
        <f t="shared" si="3"/>
        <v>12135</v>
      </c>
    </row>
    <row r="236" spans="1:13" x14ac:dyDescent="0.25">
      <c r="A236" s="1"/>
      <c r="B236" s="42">
        <v>6834</v>
      </c>
      <c r="C236" s="42" t="s">
        <v>241</v>
      </c>
      <c r="D236" s="43">
        <v>7896112168348</v>
      </c>
      <c r="E236" s="44" t="s">
        <v>34</v>
      </c>
      <c r="F236" s="45">
        <f>SUMIF(PND!D:D,B236,PND!H:H)</f>
        <v>700</v>
      </c>
      <c r="G236" s="4">
        <f>SUMIF(PND!D:D,Tabela2[[#This Row],[ITENS]],PND!J:J)</f>
        <v>3703</v>
      </c>
      <c r="H236" s="45">
        <f>SUMIF(FATURADO!H:H,B236,FATURADO!L:L)</f>
        <v>500</v>
      </c>
      <c r="I236" s="4">
        <f>SUMIF(FATURADO!H:H,Tabela2[[#This Row],[ITENS]],FATURADO!N:N)</f>
        <v>2700</v>
      </c>
      <c r="J236" s="45">
        <f>SUMIF(SEPARAÇÃO!I:I,B236,SEPARAÇÃO!M:M)</f>
        <v>0</v>
      </c>
      <c r="K236" s="4">
        <f>SUMIF(SEPARAÇÃO!I:I,Tabela2[[#This Row],[ITENS]],SEPARAÇÃO!P:P)</f>
        <v>0</v>
      </c>
      <c r="L236" s="45">
        <f t="shared" si="3"/>
        <v>1200</v>
      </c>
      <c r="M236" s="4">
        <f t="shared" si="3"/>
        <v>6403</v>
      </c>
    </row>
    <row r="237" spans="1:13" x14ac:dyDescent="0.25">
      <c r="A237" s="1"/>
      <c r="B237" s="42">
        <v>7027</v>
      </c>
      <c r="C237" s="42" t="s">
        <v>242</v>
      </c>
      <c r="D237" s="43">
        <v>7896112170273</v>
      </c>
      <c r="E237" s="44" t="s">
        <v>23</v>
      </c>
      <c r="F237" s="45">
        <f>SUMIF(PND!D:D,B237,PND!H:H)</f>
        <v>0</v>
      </c>
      <c r="G237" s="4">
        <f>SUMIF(PND!D:D,Tabela2[[#This Row],[ITENS]],PND!J:J)</f>
        <v>0</v>
      </c>
      <c r="H237" s="45">
        <f>SUMIF(FATURADO!H:H,B237,FATURADO!L:L)</f>
        <v>600</v>
      </c>
      <c r="I237" s="4">
        <f>SUMIF(FATURADO!H:H,Tabela2[[#This Row],[ITENS]],FATURADO!N:N)</f>
        <v>2016</v>
      </c>
      <c r="J237" s="45">
        <f>SUMIF(SEPARAÇÃO!I:I,B237,SEPARAÇÃO!M:M)</f>
        <v>0</v>
      </c>
      <c r="K237" s="4">
        <f>SUMIF(SEPARAÇÃO!I:I,Tabela2[[#This Row],[ITENS]],SEPARAÇÃO!P:P)</f>
        <v>0</v>
      </c>
      <c r="L237" s="45">
        <f t="shared" si="3"/>
        <v>600</v>
      </c>
      <c r="M237" s="4">
        <f t="shared" si="3"/>
        <v>2016</v>
      </c>
    </row>
    <row r="238" spans="1:13" x14ac:dyDescent="0.25">
      <c r="A238" s="1"/>
      <c r="B238" s="42">
        <v>7031</v>
      </c>
      <c r="C238" s="42" t="s">
        <v>243</v>
      </c>
      <c r="D238" s="43">
        <v>7896112170310</v>
      </c>
      <c r="E238" s="44" t="s">
        <v>34</v>
      </c>
      <c r="F238" s="45">
        <f>SUMIF(PND!D:D,B238,PND!H:H)</f>
        <v>0</v>
      </c>
      <c r="G238" s="4">
        <f>SUMIF(PND!D:D,Tabela2[[#This Row],[ITENS]],PND!J:J)</f>
        <v>0</v>
      </c>
      <c r="H238" s="45">
        <f>SUMIF(FATURADO!H:H,B238,FATURADO!L:L)</f>
        <v>1000</v>
      </c>
      <c r="I238" s="4">
        <f>SUMIF(FATURADO!H:H,Tabela2[[#This Row],[ITENS]],FATURADO!N:N)</f>
        <v>1720</v>
      </c>
      <c r="J238" s="45">
        <f>SUMIF(SEPARAÇÃO!I:I,B238,SEPARAÇÃO!M:M)</f>
        <v>0</v>
      </c>
      <c r="K238" s="4">
        <f>SUMIF(SEPARAÇÃO!I:I,Tabela2[[#This Row],[ITENS]],SEPARAÇÃO!P:P)</f>
        <v>0</v>
      </c>
      <c r="L238" s="45">
        <f t="shared" si="3"/>
        <v>1000</v>
      </c>
      <c r="M238" s="4">
        <f t="shared" si="3"/>
        <v>1720</v>
      </c>
    </row>
    <row r="239" spans="1:13" x14ac:dyDescent="0.25">
      <c r="A239" s="1"/>
      <c r="B239" s="42">
        <v>7135</v>
      </c>
      <c r="C239" s="42" t="s">
        <v>244</v>
      </c>
      <c r="D239" s="43">
        <v>7896112171355</v>
      </c>
      <c r="E239" s="44" t="s">
        <v>34</v>
      </c>
      <c r="F239" s="45">
        <f>SUMIF(PND!D:D,B239,PND!H:H)</f>
        <v>216</v>
      </c>
      <c r="G239" s="4">
        <f>SUMIF(PND!D:D,Tabela2[[#This Row],[ITENS]],PND!J:J)</f>
        <v>864</v>
      </c>
      <c r="H239" s="45">
        <f>SUMIF(FATURADO!H:H,B239,FATURADO!L:L)</f>
        <v>216</v>
      </c>
      <c r="I239" s="4">
        <f>SUMIF(FATURADO!H:H,Tabela2[[#This Row],[ITENS]],FATURADO!N:N)</f>
        <v>829.43999999999994</v>
      </c>
      <c r="J239" s="45">
        <f>SUMIF(SEPARAÇÃO!I:I,B239,SEPARAÇÃO!M:M)</f>
        <v>0</v>
      </c>
      <c r="K239" s="4">
        <f>SUMIF(SEPARAÇÃO!I:I,Tabela2[[#This Row],[ITENS]],SEPARAÇÃO!P:P)</f>
        <v>0</v>
      </c>
      <c r="L239" s="45">
        <f t="shared" si="3"/>
        <v>432</v>
      </c>
      <c r="M239" s="4">
        <f t="shared" si="3"/>
        <v>1693.44</v>
      </c>
    </row>
    <row r="240" spans="1:13" x14ac:dyDescent="0.25">
      <c r="A240" s="1"/>
      <c r="B240" s="42">
        <v>7141</v>
      </c>
      <c r="C240" s="42" t="s">
        <v>245</v>
      </c>
      <c r="D240" s="43">
        <v>7896112171416</v>
      </c>
      <c r="E240" s="44" t="s">
        <v>34</v>
      </c>
      <c r="F240" s="45">
        <f>SUMIF(PND!D:D,B240,PND!H:H)</f>
        <v>0</v>
      </c>
      <c r="G240" s="4">
        <f>SUMIF(PND!D:D,Tabela2[[#This Row],[ITENS]],PND!J:J)</f>
        <v>0</v>
      </c>
      <c r="H240" s="45">
        <f>SUMIF(FATURADO!H:H,B240,FATURADO!L:L)</f>
        <v>2376</v>
      </c>
      <c r="I240" s="4">
        <f>SUMIF(FATURADO!H:H,Tabela2[[#This Row],[ITENS]],FATURADO!N:N)</f>
        <v>10737.359999999999</v>
      </c>
      <c r="J240" s="45">
        <f>SUMIF(SEPARAÇÃO!I:I,B240,SEPARAÇÃO!M:M)</f>
        <v>0</v>
      </c>
      <c r="K240" s="4">
        <f>SUMIF(SEPARAÇÃO!I:I,Tabela2[[#This Row],[ITENS]],SEPARAÇÃO!P:P)</f>
        <v>0</v>
      </c>
      <c r="L240" s="45">
        <f t="shared" si="3"/>
        <v>2376</v>
      </c>
      <c r="M240" s="4">
        <f t="shared" si="3"/>
        <v>10737.359999999999</v>
      </c>
    </row>
    <row r="241" spans="1:13" x14ac:dyDescent="0.25">
      <c r="A241" s="1"/>
      <c r="B241" s="42">
        <v>7147</v>
      </c>
      <c r="C241" s="42" t="s">
        <v>246</v>
      </c>
      <c r="D241" s="43">
        <v>7896112171478</v>
      </c>
      <c r="E241" s="44" t="s">
        <v>34</v>
      </c>
      <c r="F241" s="45">
        <f>SUMIF(PND!D:D,B241,PND!H:H)</f>
        <v>0</v>
      </c>
      <c r="G241" s="4">
        <f>SUMIF(PND!D:D,Tabela2[[#This Row],[ITENS]],PND!J:J)</f>
        <v>0</v>
      </c>
      <c r="H241" s="45">
        <f>SUMIF(FATURADO!H:H,B241,FATURADO!L:L)</f>
        <v>324</v>
      </c>
      <c r="I241" s="4">
        <f>SUMIF(FATURADO!H:H,Tabela2[[#This Row],[ITENS]],FATURADO!N:N)</f>
        <v>1764.7199999999998</v>
      </c>
      <c r="J241" s="45">
        <f>SUMIF(SEPARAÇÃO!I:I,B241,SEPARAÇÃO!M:M)</f>
        <v>0</v>
      </c>
      <c r="K241" s="4">
        <f>SUMIF(SEPARAÇÃO!I:I,Tabela2[[#This Row],[ITENS]],SEPARAÇÃO!P:P)</f>
        <v>0</v>
      </c>
      <c r="L241" s="45">
        <f t="shared" si="3"/>
        <v>324</v>
      </c>
      <c r="M241" s="4">
        <f t="shared" si="3"/>
        <v>1764.7199999999998</v>
      </c>
    </row>
    <row r="242" spans="1:13" x14ac:dyDescent="0.25">
      <c r="A242" s="1"/>
      <c r="B242" s="42">
        <v>7186</v>
      </c>
      <c r="C242" s="42" t="s">
        <v>247</v>
      </c>
      <c r="D242" s="43">
        <v>7896112171867</v>
      </c>
      <c r="E242" s="44" t="s">
        <v>34</v>
      </c>
      <c r="F242" s="45">
        <f>SUMIF(PND!D:D,B242,PND!H:H)</f>
        <v>0</v>
      </c>
      <c r="G242" s="4">
        <f>SUMIF(PND!D:D,Tabela2[[#This Row],[ITENS]],PND!J:J)</f>
        <v>0</v>
      </c>
      <c r="H242" s="45">
        <f>SUMIF(FATURADO!H:H,B242,FATURADO!L:L)</f>
        <v>0</v>
      </c>
      <c r="I242" s="4">
        <f>SUMIF(FATURADO!H:H,Tabela2[[#This Row],[ITENS]],FATURADO!N:N)</f>
        <v>0</v>
      </c>
      <c r="J242" s="45">
        <f>SUMIF(SEPARAÇÃO!I:I,B242,SEPARAÇÃO!M:M)</f>
        <v>0</v>
      </c>
      <c r="K242" s="4">
        <f>SUMIF(SEPARAÇÃO!I:I,Tabela2[[#This Row],[ITENS]],SEPARAÇÃO!P:P)</f>
        <v>0</v>
      </c>
      <c r="L242" s="45">
        <f t="shared" si="3"/>
        <v>0</v>
      </c>
      <c r="M242" s="4">
        <f t="shared" si="3"/>
        <v>0</v>
      </c>
    </row>
    <row r="243" spans="1:13" x14ac:dyDescent="0.25">
      <c r="A243" s="1"/>
      <c r="B243" s="42">
        <v>7191</v>
      </c>
      <c r="C243" s="42" t="s">
        <v>248</v>
      </c>
      <c r="D243" s="43">
        <v>7896112171911</v>
      </c>
      <c r="E243" s="44" t="s">
        <v>34</v>
      </c>
      <c r="F243" s="45">
        <f>SUMIF(PND!D:D,B243,PND!H:H)</f>
        <v>0</v>
      </c>
      <c r="G243" s="4">
        <f>SUMIF(PND!D:D,Tabela2[[#This Row],[ITENS]],PND!J:J)</f>
        <v>0</v>
      </c>
      <c r="H243" s="45">
        <f>SUMIF(FATURADO!H:H,B243,FATURADO!L:L)</f>
        <v>0</v>
      </c>
      <c r="I243" s="4">
        <f>SUMIF(FATURADO!H:H,Tabela2[[#This Row],[ITENS]],FATURADO!N:N)</f>
        <v>0</v>
      </c>
      <c r="J243" s="45">
        <f>SUMIF(SEPARAÇÃO!I:I,B243,SEPARAÇÃO!M:M)</f>
        <v>0</v>
      </c>
      <c r="K243" s="4">
        <f>SUMIF(SEPARAÇÃO!I:I,Tabela2[[#This Row],[ITENS]],SEPARAÇÃO!P:P)</f>
        <v>0</v>
      </c>
      <c r="L243" s="45">
        <f t="shared" si="3"/>
        <v>0</v>
      </c>
      <c r="M243" s="4">
        <f t="shared" si="3"/>
        <v>0</v>
      </c>
    </row>
    <row r="244" spans="1:13" x14ac:dyDescent="0.25">
      <c r="A244" s="1"/>
      <c r="B244" s="42">
        <v>7213</v>
      </c>
      <c r="C244" s="42" t="s">
        <v>249</v>
      </c>
      <c r="D244" s="43">
        <v>7896112172130</v>
      </c>
      <c r="E244" s="44" t="s">
        <v>34</v>
      </c>
      <c r="F244" s="45">
        <f>SUMIF(PND!D:D,B244,PND!H:H)</f>
        <v>0</v>
      </c>
      <c r="G244" s="4">
        <f>SUMIF(PND!D:D,Tabela2[[#This Row],[ITENS]],PND!J:J)</f>
        <v>0</v>
      </c>
      <c r="H244" s="45">
        <f>SUMIF(FATURADO!H:H,B244,FATURADO!L:L)</f>
        <v>6000</v>
      </c>
      <c r="I244" s="4">
        <f>SUMIF(FATURADO!H:H,Tabela2[[#This Row],[ITENS]],FATURADO!N:N)</f>
        <v>29500</v>
      </c>
      <c r="J244" s="45">
        <f>SUMIF(SEPARAÇÃO!I:I,B244,SEPARAÇÃO!M:M)</f>
        <v>0</v>
      </c>
      <c r="K244" s="4">
        <f>SUMIF(SEPARAÇÃO!I:I,Tabela2[[#This Row],[ITENS]],SEPARAÇÃO!P:P)</f>
        <v>0</v>
      </c>
      <c r="L244" s="45">
        <f t="shared" si="3"/>
        <v>6000</v>
      </c>
      <c r="M244" s="4">
        <f t="shared" si="3"/>
        <v>29500</v>
      </c>
    </row>
    <row r="245" spans="1:13" x14ac:dyDescent="0.25">
      <c r="A245" s="1"/>
      <c r="B245" s="42">
        <v>7220</v>
      </c>
      <c r="C245" s="42" t="s">
        <v>250</v>
      </c>
      <c r="D245" s="43">
        <v>7896112172208</v>
      </c>
      <c r="E245" s="44" t="s">
        <v>34</v>
      </c>
      <c r="F245" s="45">
        <f>SUMIF(PND!D:D,B245,PND!H:H)</f>
        <v>0</v>
      </c>
      <c r="G245" s="4">
        <f>SUMIF(PND!D:D,Tabela2[[#This Row],[ITENS]],PND!J:J)</f>
        <v>0</v>
      </c>
      <c r="H245" s="45">
        <f>SUMIF(FATURADO!H:H,B245,FATURADO!L:L)</f>
        <v>500</v>
      </c>
      <c r="I245" s="4">
        <f>SUMIF(FATURADO!H:H,Tabela2[[#This Row],[ITENS]],FATURADO!N:N)</f>
        <v>3475</v>
      </c>
      <c r="J245" s="45">
        <f>SUMIF(SEPARAÇÃO!I:I,B245,SEPARAÇÃO!M:M)</f>
        <v>0</v>
      </c>
      <c r="K245" s="4">
        <f>SUMIF(SEPARAÇÃO!I:I,Tabela2[[#This Row],[ITENS]],SEPARAÇÃO!P:P)</f>
        <v>0</v>
      </c>
      <c r="L245" s="45">
        <f t="shared" si="3"/>
        <v>500</v>
      </c>
      <c r="M245" s="4">
        <f t="shared" si="3"/>
        <v>3475</v>
      </c>
    </row>
    <row r="246" spans="1:13" x14ac:dyDescent="0.25">
      <c r="A246" s="1"/>
      <c r="B246" s="42">
        <v>7266</v>
      </c>
      <c r="C246" s="42" t="s">
        <v>251</v>
      </c>
      <c r="D246" s="43">
        <v>7896112172666</v>
      </c>
      <c r="E246" s="44" t="s">
        <v>34</v>
      </c>
      <c r="F246" s="45">
        <f>SUMIF(PND!D:D,B246,PND!H:H)</f>
        <v>0</v>
      </c>
      <c r="G246" s="4">
        <f>SUMIF(PND!D:D,Tabela2[[#This Row],[ITENS]],PND!J:J)</f>
        <v>0</v>
      </c>
      <c r="H246" s="45">
        <f>SUMIF(FATURADO!H:H,B246,FATURADO!L:L)</f>
        <v>1600</v>
      </c>
      <c r="I246" s="4">
        <f>SUMIF(FATURADO!H:H,Tabela2[[#This Row],[ITENS]],FATURADO!N:N)</f>
        <v>5662</v>
      </c>
      <c r="J246" s="45">
        <f>SUMIF(SEPARAÇÃO!I:I,B246,SEPARAÇÃO!M:M)</f>
        <v>0</v>
      </c>
      <c r="K246" s="4">
        <f>SUMIF(SEPARAÇÃO!I:I,Tabela2[[#This Row],[ITENS]],SEPARAÇÃO!P:P)</f>
        <v>0</v>
      </c>
      <c r="L246" s="45">
        <f t="shared" si="3"/>
        <v>1600</v>
      </c>
      <c r="M246" s="4">
        <f t="shared" si="3"/>
        <v>5662</v>
      </c>
    </row>
    <row r="247" spans="1:13" x14ac:dyDescent="0.25">
      <c r="A247" s="1"/>
      <c r="B247" s="42">
        <v>7340</v>
      </c>
      <c r="C247" s="42" t="s">
        <v>252</v>
      </c>
      <c r="D247" s="43">
        <v>7896112173403</v>
      </c>
      <c r="E247" s="44" t="s">
        <v>23</v>
      </c>
      <c r="F247" s="45">
        <f>SUMIF(PND!D:D,B247,PND!H:H)</f>
        <v>0</v>
      </c>
      <c r="G247" s="4">
        <f>SUMIF(PND!D:D,Tabela2[[#This Row],[ITENS]],PND!J:J)</f>
        <v>0</v>
      </c>
      <c r="H247" s="45">
        <f>SUMIF(FATURADO!H:H,B247,FATURADO!L:L)</f>
        <v>500</v>
      </c>
      <c r="I247" s="4">
        <f>SUMIF(FATURADO!H:H,Tabela2[[#This Row],[ITENS]],FATURADO!N:N)</f>
        <v>1700</v>
      </c>
      <c r="J247" s="45">
        <f>SUMIF(SEPARAÇÃO!I:I,B247,SEPARAÇÃO!M:M)</f>
        <v>0</v>
      </c>
      <c r="K247" s="4">
        <f>SUMIF(SEPARAÇÃO!I:I,Tabela2[[#This Row],[ITENS]],SEPARAÇÃO!P:P)</f>
        <v>0</v>
      </c>
      <c r="L247" s="45">
        <f t="shared" si="3"/>
        <v>500</v>
      </c>
      <c r="M247" s="4">
        <f t="shared" si="3"/>
        <v>1700</v>
      </c>
    </row>
    <row r="248" spans="1:13" x14ac:dyDescent="0.25">
      <c r="A248" s="1"/>
      <c r="B248" s="42">
        <v>7371</v>
      </c>
      <c r="C248" s="42" t="s">
        <v>253</v>
      </c>
      <c r="D248" s="43">
        <v>7896112173717</v>
      </c>
      <c r="E248" s="44" t="s">
        <v>34</v>
      </c>
      <c r="F248" s="45">
        <f>SUMIF(PND!D:D,B248,PND!H:H)</f>
        <v>0</v>
      </c>
      <c r="G248" s="4">
        <f>SUMIF(PND!D:D,Tabela2[[#This Row],[ITENS]],PND!J:J)</f>
        <v>0</v>
      </c>
      <c r="H248" s="45">
        <f>SUMIF(FATURADO!H:H,B248,FATURADO!L:L)</f>
        <v>0</v>
      </c>
      <c r="I248" s="4">
        <f>SUMIF(FATURADO!H:H,Tabela2[[#This Row],[ITENS]],FATURADO!N:N)</f>
        <v>0</v>
      </c>
      <c r="J248" s="45">
        <f>SUMIF(SEPARAÇÃO!I:I,B248,SEPARAÇÃO!M:M)</f>
        <v>0</v>
      </c>
      <c r="K248" s="4">
        <f>SUMIF(SEPARAÇÃO!I:I,Tabela2[[#This Row],[ITENS]],SEPARAÇÃO!P:P)</f>
        <v>0</v>
      </c>
      <c r="L248" s="45">
        <f t="shared" si="3"/>
        <v>0</v>
      </c>
      <c r="M248" s="4">
        <f t="shared" si="3"/>
        <v>0</v>
      </c>
    </row>
    <row r="249" spans="1:13" x14ac:dyDescent="0.25">
      <c r="A249" s="1"/>
      <c r="B249" s="42">
        <v>7584</v>
      </c>
      <c r="C249" s="42" t="s">
        <v>254</v>
      </c>
      <c r="D249" s="43">
        <v>7896112175841</v>
      </c>
      <c r="E249" s="44" t="s">
        <v>23</v>
      </c>
      <c r="F249" s="45">
        <f>SUMIF(PND!D:D,B249,PND!H:H)</f>
        <v>0</v>
      </c>
      <c r="G249" s="4">
        <f>SUMIF(PND!D:D,Tabela2[[#This Row],[ITENS]],PND!J:J)</f>
        <v>0</v>
      </c>
      <c r="H249" s="45">
        <f>SUMIF(FATURADO!H:H,B249,FATURADO!L:L)</f>
        <v>0</v>
      </c>
      <c r="I249" s="4">
        <f>SUMIF(FATURADO!H:H,Tabela2[[#This Row],[ITENS]],FATURADO!N:N)</f>
        <v>0</v>
      </c>
      <c r="J249" s="45">
        <f>SUMIF(SEPARAÇÃO!I:I,B249,SEPARAÇÃO!M:M)</f>
        <v>0</v>
      </c>
      <c r="K249" s="4">
        <f>SUMIF(SEPARAÇÃO!I:I,Tabela2[[#This Row],[ITENS]],SEPARAÇÃO!P:P)</f>
        <v>0</v>
      </c>
      <c r="L249" s="45">
        <f t="shared" si="3"/>
        <v>0</v>
      </c>
      <c r="M249" s="4">
        <f t="shared" si="3"/>
        <v>0</v>
      </c>
    </row>
    <row r="250" spans="1:13" x14ac:dyDescent="0.25">
      <c r="A250" s="1"/>
      <c r="B250" s="42">
        <v>7585</v>
      </c>
      <c r="C250" s="42" t="s">
        <v>255</v>
      </c>
      <c r="D250" s="43">
        <v>7896112175858</v>
      </c>
      <c r="E250" s="44" t="s">
        <v>34</v>
      </c>
      <c r="F250" s="45">
        <f>SUMIF(PND!D:D,B250,PND!H:H)</f>
        <v>0</v>
      </c>
      <c r="G250" s="4">
        <f>SUMIF(PND!D:D,Tabela2[[#This Row],[ITENS]],PND!J:J)</f>
        <v>0</v>
      </c>
      <c r="H250" s="45">
        <f>SUMIF(FATURADO!H:H,B250,FATURADO!L:L)</f>
        <v>500</v>
      </c>
      <c r="I250" s="4">
        <f>SUMIF(FATURADO!H:H,Tabela2[[#This Row],[ITENS]],FATURADO!N:N)</f>
        <v>1482</v>
      </c>
      <c r="J250" s="45">
        <f>SUMIF(SEPARAÇÃO!I:I,B250,SEPARAÇÃO!M:M)</f>
        <v>0</v>
      </c>
      <c r="K250" s="4">
        <f>SUMIF(SEPARAÇÃO!I:I,Tabela2[[#This Row],[ITENS]],SEPARAÇÃO!P:P)</f>
        <v>0</v>
      </c>
      <c r="L250" s="45">
        <f t="shared" si="3"/>
        <v>500</v>
      </c>
      <c r="M250" s="4">
        <f t="shared" si="3"/>
        <v>1482</v>
      </c>
    </row>
    <row r="251" spans="1:13" x14ac:dyDescent="0.25">
      <c r="A251" s="1"/>
      <c r="B251" s="42">
        <v>7590</v>
      </c>
      <c r="C251" s="42" t="s">
        <v>256</v>
      </c>
      <c r="D251" s="43">
        <v>7896112175902</v>
      </c>
      <c r="E251" s="44" t="s">
        <v>34</v>
      </c>
      <c r="F251" s="45">
        <f>SUMIF(PND!D:D,B251,PND!H:H)</f>
        <v>0</v>
      </c>
      <c r="G251" s="4">
        <f>SUMIF(PND!D:D,Tabela2[[#This Row],[ITENS]],PND!J:J)</f>
        <v>0</v>
      </c>
      <c r="H251" s="45">
        <f>SUMIF(FATURADO!H:H,B251,FATURADO!L:L)</f>
        <v>100</v>
      </c>
      <c r="I251" s="4">
        <f>SUMIF(FATURADO!H:H,Tabela2[[#This Row],[ITENS]],FATURADO!N:N)</f>
        <v>740</v>
      </c>
      <c r="J251" s="45">
        <f>SUMIF(SEPARAÇÃO!I:I,B251,SEPARAÇÃO!M:M)</f>
        <v>0</v>
      </c>
      <c r="K251" s="4">
        <f>SUMIF(SEPARAÇÃO!I:I,Tabela2[[#This Row],[ITENS]],SEPARAÇÃO!P:P)</f>
        <v>0</v>
      </c>
      <c r="L251" s="45">
        <f t="shared" si="3"/>
        <v>100</v>
      </c>
      <c r="M251" s="4">
        <f t="shared" si="3"/>
        <v>740</v>
      </c>
    </row>
    <row r="252" spans="1:13" x14ac:dyDescent="0.25">
      <c r="A252" s="1"/>
      <c r="B252" s="42">
        <v>8061</v>
      </c>
      <c r="C252" s="42" t="s">
        <v>257</v>
      </c>
      <c r="D252" s="43">
        <v>7896112180616</v>
      </c>
      <c r="E252" s="44" t="s">
        <v>23</v>
      </c>
      <c r="F252" s="45">
        <f>SUMIF(PND!D:D,B252,PND!H:H)</f>
        <v>0</v>
      </c>
      <c r="G252" s="4">
        <f>SUMIF(PND!D:D,Tabela2[[#This Row],[ITENS]],PND!J:J)</f>
        <v>0</v>
      </c>
      <c r="H252" s="45">
        <f>SUMIF(FATURADO!H:H,B252,FATURADO!L:L)</f>
        <v>1800</v>
      </c>
      <c r="I252" s="4">
        <f>SUMIF(FATURADO!H:H,Tabela2[[#This Row],[ITENS]],FATURADO!N:N)</f>
        <v>11898</v>
      </c>
      <c r="J252" s="45">
        <f>SUMIF(SEPARAÇÃO!I:I,B252,SEPARAÇÃO!M:M)</f>
        <v>0</v>
      </c>
      <c r="K252" s="4">
        <f>SUMIF(SEPARAÇÃO!I:I,Tabela2[[#This Row],[ITENS]],SEPARAÇÃO!P:P)</f>
        <v>0</v>
      </c>
      <c r="L252" s="45">
        <f t="shared" si="3"/>
        <v>1800</v>
      </c>
      <c r="M252" s="4">
        <f t="shared" si="3"/>
        <v>11898</v>
      </c>
    </row>
    <row r="253" spans="1:13" x14ac:dyDescent="0.25">
      <c r="A253" s="1"/>
      <c r="B253" s="42">
        <v>8100</v>
      </c>
      <c r="C253" s="42" t="s">
        <v>258</v>
      </c>
      <c r="D253" s="43">
        <v>7896112181002</v>
      </c>
      <c r="E253" s="44" t="s">
        <v>34</v>
      </c>
      <c r="F253" s="45">
        <f>SUMIF(PND!D:D,B253,PND!H:H)</f>
        <v>360</v>
      </c>
      <c r="G253" s="4">
        <f>SUMIF(PND!D:D,Tabela2[[#This Row],[ITENS]],PND!J:J)</f>
        <v>2998.8</v>
      </c>
      <c r="H253" s="45">
        <f>SUMIF(FATURADO!H:H,B253,FATURADO!L:L)</f>
        <v>1710</v>
      </c>
      <c r="I253" s="4">
        <f>SUMIF(FATURADO!H:H,Tabela2[[#This Row],[ITENS]],FATURADO!N:N)</f>
        <v>12522.6</v>
      </c>
      <c r="J253" s="45">
        <f>SUMIF(SEPARAÇÃO!I:I,B253,SEPARAÇÃO!M:M)</f>
        <v>0</v>
      </c>
      <c r="K253" s="4">
        <f>SUMIF(SEPARAÇÃO!I:I,Tabela2[[#This Row],[ITENS]],SEPARAÇÃO!P:P)</f>
        <v>0</v>
      </c>
      <c r="L253" s="45">
        <f t="shared" si="3"/>
        <v>2070</v>
      </c>
      <c r="M253" s="4">
        <f t="shared" si="3"/>
        <v>15521.400000000001</v>
      </c>
    </row>
    <row r="254" spans="1:13" x14ac:dyDescent="0.25">
      <c r="A254" s="1"/>
      <c r="B254" s="42">
        <v>8169</v>
      </c>
      <c r="C254" s="42" t="s">
        <v>259</v>
      </c>
      <c r="D254" s="43">
        <v>7896112181699</v>
      </c>
      <c r="E254" s="44" t="s">
        <v>34</v>
      </c>
      <c r="F254" s="45">
        <f>SUMIF(PND!D:D,B254,PND!H:H)</f>
        <v>0</v>
      </c>
      <c r="G254" s="4">
        <f>SUMIF(PND!D:D,Tabela2[[#This Row],[ITENS]],PND!J:J)</f>
        <v>0</v>
      </c>
      <c r="H254" s="45">
        <f>SUMIF(FATURADO!H:H,B254,FATURADO!L:L)</f>
        <v>0</v>
      </c>
      <c r="I254" s="4">
        <f>SUMIF(FATURADO!H:H,Tabela2[[#This Row],[ITENS]],FATURADO!N:N)</f>
        <v>0</v>
      </c>
      <c r="J254" s="45">
        <f>SUMIF(SEPARAÇÃO!I:I,B254,SEPARAÇÃO!M:M)</f>
        <v>0</v>
      </c>
      <c r="K254" s="4">
        <f>SUMIF(SEPARAÇÃO!I:I,Tabela2[[#This Row],[ITENS]],SEPARAÇÃO!P:P)</f>
        <v>0</v>
      </c>
      <c r="L254" s="45">
        <f t="shared" si="3"/>
        <v>0</v>
      </c>
      <c r="M254" s="4">
        <f t="shared" si="3"/>
        <v>0</v>
      </c>
    </row>
    <row r="255" spans="1:13" x14ac:dyDescent="0.25">
      <c r="A255" s="1"/>
      <c r="B255" s="42">
        <v>8172</v>
      </c>
      <c r="C255" s="42" t="s">
        <v>260</v>
      </c>
      <c r="D255" s="43">
        <v>7896112181729</v>
      </c>
      <c r="E255" s="44" t="s">
        <v>34</v>
      </c>
      <c r="F255" s="45">
        <f>SUMIF(PND!D:D,B255,PND!H:H)</f>
        <v>0</v>
      </c>
      <c r="G255" s="4">
        <f>SUMIF(PND!D:D,Tabela2[[#This Row],[ITENS]],PND!J:J)</f>
        <v>0</v>
      </c>
      <c r="H255" s="45">
        <f>SUMIF(FATURADO!H:H,B255,FATURADO!L:L)</f>
        <v>500</v>
      </c>
      <c r="I255" s="4">
        <f>SUMIF(FATURADO!H:H,Tabela2[[#This Row],[ITENS]],FATURADO!N:N)</f>
        <v>1870</v>
      </c>
      <c r="J255" s="45">
        <f>SUMIF(SEPARAÇÃO!I:I,B255,SEPARAÇÃO!M:M)</f>
        <v>0</v>
      </c>
      <c r="K255" s="4">
        <f>SUMIF(SEPARAÇÃO!I:I,Tabela2[[#This Row],[ITENS]],SEPARAÇÃO!P:P)</f>
        <v>0</v>
      </c>
      <c r="L255" s="45">
        <f t="shared" si="3"/>
        <v>500</v>
      </c>
      <c r="M255" s="4">
        <f t="shared" si="3"/>
        <v>1870</v>
      </c>
    </row>
    <row r="256" spans="1:13" x14ac:dyDescent="0.25">
      <c r="A256" s="1"/>
      <c r="B256" s="42">
        <v>8176</v>
      </c>
      <c r="C256" s="42" t="s">
        <v>261</v>
      </c>
      <c r="D256" s="43">
        <v>7896112181767</v>
      </c>
      <c r="E256" s="44" t="s">
        <v>23</v>
      </c>
      <c r="F256" s="45">
        <f>SUMIF(PND!D:D,B256,PND!H:H)</f>
        <v>0</v>
      </c>
      <c r="G256" s="4">
        <f>SUMIF(PND!D:D,Tabela2[[#This Row],[ITENS]],PND!J:J)</f>
        <v>0</v>
      </c>
      <c r="H256" s="45">
        <f>SUMIF(FATURADO!H:H,B256,FATURADO!L:L)</f>
        <v>0</v>
      </c>
      <c r="I256" s="4">
        <f>SUMIF(FATURADO!H:H,Tabela2[[#This Row],[ITENS]],FATURADO!N:N)</f>
        <v>0</v>
      </c>
      <c r="J256" s="45">
        <f>SUMIF(SEPARAÇÃO!I:I,B256,SEPARAÇÃO!M:M)</f>
        <v>0</v>
      </c>
      <c r="K256" s="4">
        <f>SUMIF(SEPARAÇÃO!I:I,Tabela2[[#This Row],[ITENS]],SEPARAÇÃO!P:P)</f>
        <v>0</v>
      </c>
      <c r="L256" s="45">
        <f t="shared" si="3"/>
        <v>0</v>
      </c>
      <c r="M256" s="4">
        <f t="shared" si="3"/>
        <v>0</v>
      </c>
    </row>
    <row r="257" spans="1:13" x14ac:dyDescent="0.25">
      <c r="A257" s="1"/>
      <c r="B257" s="42">
        <v>8299</v>
      </c>
      <c r="C257" s="42" t="s">
        <v>262</v>
      </c>
      <c r="D257" s="43">
        <v>7896112182993</v>
      </c>
      <c r="E257" s="44" t="s">
        <v>23</v>
      </c>
      <c r="F257" s="45">
        <f>SUMIF(PND!D:D,B257,PND!H:H)</f>
        <v>0</v>
      </c>
      <c r="G257" s="4">
        <f>SUMIF(PND!D:D,Tabela2[[#This Row],[ITENS]],PND!J:J)</f>
        <v>0</v>
      </c>
      <c r="H257" s="45">
        <f>SUMIF(FATURADO!H:H,B257,FATURADO!L:L)</f>
        <v>300</v>
      </c>
      <c r="I257" s="4">
        <f>SUMIF(FATURADO!H:H,Tabela2[[#This Row],[ITENS]],FATURADO!N:N)</f>
        <v>1425</v>
      </c>
      <c r="J257" s="45">
        <f>SUMIF(SEPARAÇÃO!I:I,B257,SEPARAÇÃO!M:M)</f>
        <v>0</v>
      </c>
      <c r="K257" s="4">
        <f>SUMIF(SEPARAÇÃO!I:I,Tabela2[[#This Row],[ITENS]],SEPARAÇÃO!P:P)</f>
        <v>0</v>
      </c>
      <c r="L257" s="45">
        <f t="shared" si="3"/>
        <v>300</v>
      </c>
      <c r="M257" s="4">
        <f t="shared" si="3"/>
        <v>1425</v>
      </c>
    </row>
    <row r="258" spans="1:13" x14ac:dyDescent="0.25">
      <c r="A258" s="1"/>
      <c r="B258" s="42">
        <v>8910</v>
      </c>
      <c r="C258" s="42" t="s">
        <v>263</v>
      </c>
      <c r="D258" s="43">
        <v>7896112189107</v>
      </c>
      <c r="E258" s="44" t="s">
        <v>34</v>
      </c>
      <c r="F258" s="45">
        <f>SUMIF(PND!D:D,B258,PND!H:H)</f>
        <v>500</v>
      </c>
      <c r="G258" s="4">
        <f>SUMIF(PND!D:D,Tabela2[[#This Row],[ITENS]],PND!J:J)</f>
        <v>4130</v>
      </c>
      <c r="H258" s="45">
        <f>SUMIF(FATURADO!H:H,B258,FATURADO!L:L)</f>
        <v>1000</v>
      </c>
      <c r="I258" s="4">
        <f>SUMIF(FATURADO!H:H,Tabela2[[#This Row],[ITENS]],FATURADO!N:N)</f>
        <v>7190</v>
      </c>
      <c r="J258" s="45">
        <f>SUMIF(SEPARAÇÃO!I:I,B258,SEPARAÇÃO!M:M)</f>
        <v>0</v>
      </c>
      <c r="K258" s="4">
        <f>SUMIF(SEPARAÇÃO!I:I,Tabela2[[#This Row],[ITENS]],SEPARAÇÃO!P:P)</f>
        <v>0</v>
      </c>
      <c r="L258" s="45">
        <f t="shared" si="3"/>
        <v>1500</v>
      </c>
      <c r="M258" s="4">
        <f t="shared" si="3"/>
        <v>11320</v>
      </c>
    </row>
    <row r="259" spans="1:13" x14ac:dyDescent="0.25">
      <c r="A259" s="1"/>
      <c r="B259" s="42">
        <v>8911</v>
      </c>
      <c r="C259" s="42" t="s">
        <v>264</v>
      </c>
      <c r="D259" s="43">
        <v>7896112189114</v>
      </c>
      <c r="E259" s="44" t="s">
        <v>34</v>
      </c>
      <c r="F259" s="45">
        <f>SUMIF(PND!D:D,B259,PND!H:H)</f>
        <v>0</v>
      </c>
      <c r="G259" s="4">
        <f>SUMIF(PND!D:D,Tabela2[[#This Row],[ITENS]],PND!J:J)</f>
        <v>0</v>
      </c>
      <c r="H259" s="45">
        <f>SUMIF(FATURADO!H:H,B259,FATURADO!L:L)</f>
        <v>0</v>
      </c>
      <c r="I259" s="4">
        <f>SUMIF(FATURADO!H:H,Tabela2[[#This Row],[ITENS]],FATURADO!N:N)</f>
        <v>0</v>
      </c>
      <c r="J259" s="45">
        <f>SUMIF(SEPARAÇÃO!I:I,B259,SEPARAÇÃO!M:M)</f>
        <v>0</v>
      </c>
      <c r="K259" s="4">
        <f>SUMIF(SEPARAÇÃO!I:I,Tabela2[[#This Row],[ITENS]],SEPARAÇÃO!P:P)</f>
        <v>0</v>
      </c>
      <c r="L259" s="45">
        <f t="shared" si="3"/>
        <v>0</v>
      </c>
      <c r="M259" s="4">
        <f t="shared" si="3"/>
        <v>0</v>
      </c>
    </row>
    <row r="260" spans="1:13" x14ac:dyDescent="0.25">
      <c r="A260" s="1"/>
      <c r="B260" s="42">
        <v>8912</v>
      </c>
      <c r="C260" s="42" t="s">
        <v>265</v>
      </c>
      <c r="D260" s="43">
        <v>7896112189121</v>
      </c>
      <c r="E260" s="44" t="s">
        <v>23</v>
      </c>
      <c r="F260" s="45">
        <f>SUMIF(PND!D:D,B260,PND!H:H)</f>
        <v>0</v>
      </c>
      <c r="G260" s="4">
        <f>SUMIF(PND!D:D,Tabela2[[#This Row],[ITENS]],PND!J:J)</f>
        <v>0</v>
      </c>
      <c r="H260" s="45">
        <f>SUMIF(FATURADO!H:H,B260,FATURADO!L:L)</f>
        <v>0</v>
      </c>
      <c r="I260" s="4">
        <f>SUMIF(FATURADO!H:H,Tabela2[[#This Row],[ITENS]],FATURADO!N:N)</f>
        <v>0</v>
      </c>
      <c r="J260" s="45">
        <f>SUMIF(SEPARAÇÃO!I:I,B260,SEPARAÇÃO!M:M)</f>
        <v>0</v>
      </c>
      <c r="K260" s="4">
        <f>SUMIF(SEPARAÇÃO!I:I,Tabela2[[#This Row],[ITENS]],SEPARAÇÃO!P:P)</f>
        <v>0</v>
      </c>
      <c r="L260" s="45">
        <f t="shared" si="3"/>
        <v>0</v>
      </c>
      <c r="M260" s="4">
        <f t="shared" si="3"/>
        <v>0</v>
      </c>
    </row>
    <row r="261" spans="1:13" x14ac:dyDescent="0.25">
      <c r="A261" s="1"/>
      <c r="B261" s="42">
        <v>8992</v>
      </c>
      <c r="C261" s="42" t="s">
        <v>266</v>
      </c>
      <c r="D261" s="43">
        <v>7896112189923</v>
      </c>
      <c r="E261" s="44" t="s">
        <v>23</v>
      </c>
      <c r="F261" s="45">
        <f>SUMIF(PND!D:D,B261,PND!H:H)</f>
        <v>0</v>
      </c>
      <c r="G261" s="4">
        <f>SUMIF(PND!D:D,Tabela2[[#This Row],[ITENS]],PND!J:J)</f>
        <v>0</v>
      </c>
      <c r="H261" s="45">
        <f>SUMIF(FATURADO!H:H,B261,FATURADO!L:L)</f>
        <v>1100</v>
      </c>
      <c r="I261" s="4">
        <f>SUMIF(FATURADO!H:H,Tabela2[[#This Row],[ITENS]],FATURADO!N:N)</f>
        <v>11671</v>
      </c>
      <c r="J261" s="45">
        <f>SUMIF(SEPARAÇÃO!I:I,B261,SEPARAÇÃO!M:M)</f>
        <v>0</v>
      </c>
      <c r="K261" s="4">
        <f>SUMIF(SEPARAÇÃO!I:I,Tabela2[[#This Row],[ITENS]],SEPARAÇÃO!P:P)</f>
        <v>0</v>
      </c>
      <c r="L261" s="45">
        <f t="shared" si="3"/>
        <v>1100</v>
      </c>
      <c r="M261" s="4">
        <f t="shared" si="3"/>
        <v>11671</v>
      </c>
    </row>
    <row r="262" spans="1:13" x14ac:dyDescent="0.25">
      <c r="A262" s="1"/>
      <c r="B262" s="42">
        <v>9084</v>
      </c>
      <c r="C262" s="42" t="s">
        <v>267</v>
      </c>
      <c r="D262" s="43">
        <v>7896112190844</v>
      </c>
      <c r="E262" s="44" t="s">
        <v>34</v>
      </c>
      <c r="F262" s="45">
        <f>SUMIF(PND!D:D,B262,PND!H:H)</f>
        <v>0</v>
      </c>
      <c r="G262" s="4">
        <f>SUMIF(PND!D:D,Tabela2[[#This Row],[ITENS]],PND!J:J)</f>
        <v>0</v>
      </c>
      <c r="H262" s="45">
        <f>SUMIF(FATURADO!H:H,B262,FATURADO!L:L)</f>
        <v>0</v>
      </c>
      <c r="I262" s="4">
        <f>SUMIF(FATURADO!H:H,Tabela2[[#This Row],[ITENS]],FATURADO!N:N)</f>
        <v>0</v>
      </c>
      <c r="J262" s="45">
        <f>SUMIF(SEPARAÇÃO!I:I,B262,SEPARAÇÃO!M:M)</f>
        <v>0</v>
      </c>
      <c r="K262" s="4">
        <f>SUMIF(SEPARAÇÃO!I:I,Tabela2[[#This Row],[ITENS]],SEPARAÇÃO!P:P)</f>
        <v>0</v>
      </c>
      <c r="L262" s="45">
        <f t="shared" si="3"/>
        <v>0</v>
      </c>
      <c r="M262" s="4">
        <f t="shared" si="3"/>
        <v>0</v>
      </c>
    </row>
    <row r="263" spans="1:13" x14ac:dyDescent="0.25">
      <c r="A263" s="1"/>
      <c r="B263" s="42">
        <v>9115</v>
      </c>
      <c r="C263" s="42" t="s">
        <v>268</v>
      </c>
      <c r="D263" s="43">
        <v>7896112191155</v>
      </c>
      <c r="E263" s="44" t="s">
        <v>23</v>
      </c>
      <c r="F263" s="45">
        <f>SUMIF(PND!D:D,B263,PND!H:H)</f>
        <v>0</v>
      </c>
      <c r="G263" s="4">
        <f>SUMIF(PND!D:D,Tabela2[[#This Row],[ITENS]],PND!J:J)</f>
        <v>0</v>
      </c>
      <c r="H263" s="45">
        <f>SUMIF(FATURADO!H:H,B263,FATURADO!L:L)</f>
        <v>2500</v>
      </c>
      <c r="I263" s="4">
        <f>SUMIF(FATURADO!H:H,Tabela2[[#This Row],[ITENS]],FATURADO!N:N)</f>
        <v>12415</v>
      </c>
      <c r="J263" s="45">
        <f>SUMIF(SEPARAÇÃO!I:I,B263,SEPARAÇÃO!M:M)</f>
        <v>0</v>
      </c>
      <c r="K263" s="4">
        <f>SUMIF(SEPARAÇÃO!I:I,Tabela2[[#This Row],[ITENS]],SEPARAÇÃO!P:P)</f>
        <v>0</v>
      </c>
      <c r="L263" s="45">
        <f t="shared" si="3"/>
        <v>2500</v>
      </c>
      <c r="M263" s="4">
        <f t="shared" si="3"/>
        <v>12415</v>
      </c>
    </row>
    <row r="264" spans="1:13" x14ac:dyDescent="0.25">
      <c r="A264" s="1"/>
      <c r="B264" s="42">
        <v>9153</v>
      </c>
      <c r="C264" s="42" t="s">
        <v>269</v>
      </c>
      <c r="D264" s="43">
        <v>7896112191537</v>
      </c>
      <c r="E264" s="44" t="s">
        <v>34</v>
      </c>
      <c r="F264" s="45">
        <f>SUMIF(PND!D:D,B264,PND!H:H)</f>
        <v>0</v>
      </c>
      <c r="G264" s="4">
        <f>SUMIF(PND!D:D,Tabela2[[#This Row],[ITENS]],PND!J:J)</f>
        <v>0</v>
      </c>
      <c r="H264" s="45">
        <f>SUMIF(FATURADO!H:H,B264,FATURADO!L:L)</f>
        <v>0</v>
      </c>
      <c r="I264" s="4">
        <f>SUMIF(FATURADO!H:H,Tabela2[[#This Row],[ITENS]],FATURADO!N:N)</f>
        <v>0</v>
      </c>
      <c r="J264" s="45">
        <f>SUMIF(SEPARAÇÃO!I:I,B264,SEPARAÇÃO!M:M)</f>
        <v>0</v>
      </c>
      <c r="K264" s="4">
        <f>SUMIF(SEPARAÇÃO!I:I,Tabela2[[#This Row],[ITENS]],SEPARAÇÃO!P:P)</f>
        <v>0</v>
      </c>
      <c r="L264" s="45">
        <f t="shared" si="3"/>
        <v>0</v>
      </c>
      <c r="M264" s="4">
        <f t="shared" si="3"/>
        <v>0</v>
      </c>
    </row>
    <row r="265" spans="1:13" x14ac:dyDescent="0.25">
      <c r="A265" s="1"/>
      <c r="B265" s="42">
        <v>9182</v>
      </c>
      <c r="C265" s="42" t="s">
        <v>270</v>
      </c>
      <c r="D265" s="43">
        <v>7896112191827</v>
      </c>
      <c r="E265" s="44" t="s">
        <v>34</v>
      </c>
      <c r="F265" s="45">
        <f>SUMIF(PND!D:D,B265,PND!H:H)</f>
        <v>0</v>
      </c>
      <c r="G265" s="4">
        <f>SUMIF(PND!D:D,Tabela2[[#This Row],[ITENS]],PND!J:J)</f>
        <v>0</v>
      </c>
      <c r="H265" s="45">
        <f>SUMIF(FATURADO!H:H,B265,FATURADO!L:L)</f>
        <v>2000</v>
      </c>
      <c r="I265" s="4">
        <f>SUMIF(FATURADO!H:H,Tabela2[[#This Row],[ITENS]],FATURADO!N:N)</f>
        <v>15490</v>
      </c>
      <c r="J265" s="45">
        <f>SUMIF(SEPARAÇÃO!I:I,B265,SEPARAÇÃO!M:M)</f>
        <v>0</v>
      </c>
      <c r="K265" s="4">
        <f>SUMIF(SEPARAÇÃO!I:I,Tabela2[[#This Row],[ITENS]],SEPARAÇÃO!P:P)</f>
        <v>0</v>
      </c>
      <c r="L265" s="45">
        <f t="shared" si="3"/>
        <v>2000</v>
      </c>
      <c r="M265" s="4">
        <f t="shared" si="3"/>
        <v>15490</v>
      </c>
    </row>
    <row r="266" spans="1:13" x14ac:dyDescent="0.25">
      <c r="A266" s="1"/>
      <c r="B266" s="42">
        <v>9190</v>
      </c>
      <c r="C266" s="42" t="s">
        <v>271</v>
      </c>
      <c r="D266" s="43">
        <v>7896112191902</v>
      </c>
      <c r="E266" s="44" t="s">
        <v>23</v>
      </c>
      <c r="F266" s="45">
        <f>SUMIF(PND!D:D,B266,PND!H:H)</f>
        <v>0</v>
      </c>
      <c r="G266" s="4">
        <f>SUMIF(PND!D:D,Tabela2[[#This Row],[ITENS]],PND!J:J)</f>
        <v>0</v>
      </c>
      <c r="H266" s="45">
        <f>SUMIF(FATURADO!H:H,B266,FATURADO!L:L)</f>
        <v>0</v>
      </c>
      <c r="I266" s="4">
        <f>SUMIF(FATURADO!H:H,Tabela2[[#This Row],[ITENS]],FATURADO!N:N)</f>
        <v>0</v>
      </c>
      <c r="J266" s="45">
        <f>SUMIF(SEPARAÇÃO!I:I,B266,SEPARAÇÃO!M:M)</f>
        <v>0</v>
      </c>
      <c r="K266" s="4">
        <f>SUMIF(SEPARAÇÃO!I:I,Tabela2[[#This Row],[ITENS]],SEPARAÇÃO!P:P)</f>
        <v>0</v>
      </c>
      <c r="L266" s="45">
        <f t="shared" si="3"/>
        <v>0</v>
      </c>
      <c r="M266" s="4">
        <f t="shared" si="3"/>
        <v>0</v>
      </c>
    </row>
    <row r="267" spans="1:13" x14ac:dyDescent="0.25">
      <c r="A267" s="1"/>
      <c r="B267" s="42">
        <v>9192</v>
      </c>
      <c r="C267" s="42" t="s">
        <v>272</v>
      </c>
      <c r="D267" s="43">
        <v>7896112191926</v>
      </c>
      <c r="E267" s="44" t="s">
        <v>23</v>
      </c>
      <c r="F267" s="45">
        <f>SUMIF(PND!D:D,B267,PND!H:H)</f>
        <v>0</v>
      </c>
      <c r="G267" s="4">
        <f>SUMIF(PND!D:D,Tabela2[[#This Row],[ITENS]],PND!J:J)</f>
        <v>0</v>
      </c>
      <c r="H267" s="45">
        <f>SUMIF(FATURADO!H:H,B267,FATURADO!L:L)</f>
        <v>450</v>
      </c>
      <c r="I267" s="4">
        <f>SUMIF(FATURADO!H:H,Tabela2[[#This Row],[ITENS]],FATURADO!N:N)</f>
        <v>2392</v>
      </c>
      <c r="J267" s="45">
        <f>SUMIF(SEPARAÇÃO!I:I,B267,SEPARAÇÃO!M:M)</f>
        <v>0</v>
      </c>
      <c r="K267" s="4">
        <f>SUMIF(SEPARAÇÃO!I:I,Tabela2[[#This Row],[ITENS]],SEPARAÇÃO!P:P)</f>
        <v>0</v>
      </c>
      <c r="L267" s="45">
        <f t="shared" si="3"/>
        <v>450</v>
      </c>
      <c r="M267" s="4">
        <f t="shared" si="3"/>
        <v>2392</v>
      </c>
    </row>
    <row r="268" spans="1:13" x14ac:dyDescent="0.25">
      <c r="A268" s="1"/>
      <c r="B268" s="42">
        <v>9201</v>
      </c>
      <c r="C268" s="42" t="s">
        <v>273</v>
      </c>
      <c r="D268" s="43">
        <v>7896112192015</v>
      </c>
      <c r="E268" s="44" t="s">
        <v>34</v>
      </c>
      <c r="F268" s="45">
        <f>SUMIF(PND!D:D,B268,PND!H:H)</f>
        <v>0</v>
      </c>
      <c r="G268" s="4">
        <f>SUMIF(PND!D:D,Tabela2[[#This Row],[ITENS]],PND!J:J)</f>
        <v>0</v>
      </c>
      <c r="H268" s="45">
        <f>SUMIF(FATURADO!H:H,B268,FATURADO!L:L)</f>
        <v>4000</v>
      </c>
      <c r="I268" s="4">
        <f>SUMIF(FATURADO!H:H,Tabela2[[#This Row],[ITENS]],FATURADO!N:N)</f>
        <v>22410</v>
      </c>
      <c r="J268" s="45">
        <f>SUMIF(SEPARAÇÃO!I:I,B268,SEPARAÇÃO!M:M)</f>
        <v>0</v>
      </c>
      <c r="K268" s="4">
        <f>SUMIF(SEPARAÇÃO!I:I,Tabela2[[#This Row],[ITENS]],SEPARAÇÃO!P:P)</f>
        <v>0</v>
      </c>
      <c r="L268" s="45">
        <f t="shared" si="3"/>
        <v>4000</v>
      </c>
      <c r="M268" s="4">
        <f t="shared" si="3"/>
        <v>22410</v>
      </c>
    </row>
    <row r="269" spans="1:13" x14ac:dyDescent="0.25">
      <c r="A269" s="1"/>
      <c r="B269" s="42">
        <v>9208</v>
      </c>
      <c r="C269" s="42" t="s">
        <v>274</v>
      </c>
      <c r="D269" s="43">
        <v>7896112192084</v>
      </c>
      <c r="E269" s="44" t="s">
        <v>23</v>
      </c>
      <c r="F269" s="45">
        <f>SUMIF(PND!D:D,B269,PND!H:H)</f>
        <v>0</v>
      </c>
      <c r="G269" s="4">
        <f>SUMIF(PND!D:D,Tabela2[[#This Row],[ITENS]],PND!J:J)</f>
        <v>0</v>
      </c>
      <c r="H269" s="45">
        <f>SUMIF(FATURADO!H:H,B269,FATURADO!L:L)</f>
        <v>0</v>
      </c>
      <c r="I269" s="4">
        <f>SUMIF(FATURADO!H:H,Tabela2[[#This Row],[ITENS]],FATURADO!N:N)</f>
        <v>0</v>
      </c>
      <c r="J269" s="45">
        <f>SUMIF(SEPARAÇÃO!I:I,B269,SEPARAÇÃO!M:M)</f>
        <v>0</v>
      </c>
      <c r="K269" s="4">
        <f>SUMIF(SEPARAÇÃO!I:I,Tabela2[[#This Row],[ITENS]],SEPARAÇÃO!P:P)</f>
        <v>0</v>
      </c>
      <c r="L269" s="45">
        <f t="shared" si="3"/>
        <v>0</v>
      </c>
      <c r="M269" s="4">
        <f t="shared" si="3"/>
        <v>0</v>
      </c>
    </row>
    <row r="270" spans="1:13" x14ac:dyDescent="0.25">
      <c r="A270" s="1"/>
      <c r="B270" s="42">
        <v>9246</v>
      </c>
      <c r="C270" s="42" t="s">
        <v>275</v>
      </c>
      <c r="D270" s="43">
        <v>7896112192466</v>
      </c>
      <c r="E270" s="44" t="s">
        <v>34</v>
      </c>
      <c r="F270" s="45">
        <f>SUMIF(PND!D:D,B270,PND!H:H)</f>
        <v>0</v>
      </c>
      <c r="G270" s="4">
        <f>SUMIF(PND!D:D,Tabela2[[#This Row],[ITENS]],PND!J:J)</f>
        <v>0</v>
      </c>
      <c r="H270" s="45">
        <f>SUMIF(FATURADO!H:H,B270,FATURADO!L:L)</f>
        <v>0</v>
      </c>
      <c r="I270" s="4">
        <f>SUMIF(FATURADO!H:H,Tabela2[[#This Row],[ITENS]],FATURADO!N:N)</f>
        <v>0</v>
      </c>
      <c r="J270" s="45">
        <f>SUMIF(SEPARAÇÃO!I:I,B270,SEPARAÇÃO!M:M)</f>
        <v>0</v>
      </c>
      <c r="K270" s="4">
        <f>SUMIF(SEPARAÇÃO!I:I,Tabela2[[#This Row],[ITENS]],SEPARAÇÃO!P:P)</f>
        <v>0</v>
      </c>
      <c r="L270" s="45">
        <f t="shared" si="3"/>
        <v>0</v>
      </c>
      <c r="M270" s="4">
        <f t="shared" si="3"/>
        <v>0</v>
      </c>
    </row>
    <row r="271" spans="1:13" x14ac:dyDescent="0.25">
      <c r="A271" s="1"/>
      <c r="B271" s="42">
        <v>9262</v>
      </c>
      <c r="C271" s="42" t="s">
        <v>276</v>
      </c>
      <c r="D271" s="43">
        <v>7896112192626</v>
      </c>
      <c r="E271" s="44" t="s">
        <v>34</v>
      </c>
      <c r="F271" s="45">
        <f>SUMIF(PND!D:D,B271,PND!H:H)</f>
        <v>0</v>
      </c>
      <c r="G271" s="4">
        <f>SUMIF(PND!D:D,Tabela2[[#This Row],[ITENS]],PND!J:J)</f>
        <v>0</v>
      </c>
      <c r="H271" s="45">
        <f>SUMIF(FATURADO!H:H,B271,FATURADO!L:L)</f>
        <v>400</v>
      </c>
      <c r="I271" s="4">
        <f>SUMIF(FATURADO!H:H,Tabela2[[#This Row],[ITENS]],FATURADO!N:N)</f>
        <v>4352</v>
      </c>
      <c r="J271" s="45">
        <f>SUMIF(SEPARAÇÃO!I:I,B271,SEPARAÇÃO!M:M)</f>
        <v>0</v>
      </c>
      <c r="K271" s="4">
        <f>SUMIF(SEPARAÇÃO!I:I,Tabela2[[#This Row],[ITENS]],SEPARAÇÃO!P:P)</f>
        <v>0</v>
      </c>
      <c r="L271" s="45">
        <f t="shared" si="3"/>
        <v>400</v>
      </c>
      <c r="M271" s="4">
        <f t="shared" si="3"/>
        <v>4352</v>
      </c>
    </row>
    <row r="272" spans="1:13" x14ac:dyDescent="0.25">
      <c r="A272" s="1"/>
      <c r="B272" s="42">
        <v>9457</v>
      </c>
      <c r="C272" s="42" t="s">
        <v>277</v>
      </c>
      <c r="D272" s="43">
        <v>7896112194576</v>
      </c>
      <c r="E272" s="44" t="s">
        <v>34</v>
      </c>
      <c r="F272" s="45">
        <f>SUMIF(PND!D:D,B272,PND!H:H)</f>
        <v>0</v>
      </c>
      <c r="G272" s="4">
        <f>SUMIF(PND!D:D,Tabela2[[#This Row],[ITENS]],PND!J:J)</f>
        <v>0</v>
      </c>
      <c r="H272" s="45">
        <f>SUMIF(FATURADO!H:H,B272,FATURADO!L:L)</f>
        <v>5500</v>
      </c>
      <c r="I272" s="4">
        <f>SUMIF(FATURADO!H:H,Tabela2[[#This Row],[ITENS]],FATURADO!N:N)</f>
        <v>11550</v>
      </c>
      <c r="J272" s="45">
        <f>SUMIF(SEPARAÇÃO!I:I,B272,SEPARAÇÃO!M:M)</f>
        <v>0</v>
      </c>
      <c r="K272" s="4">
        <f>SUMIF(SEPARAÇÃO!I:I,Tabela2[[#This Row],[ITENS]],SEPARAÇÃO!P:P)</f>
        <v>0</v>
      </c>
      <c r="L272" s="45">
        <f t="shared" si="3"/>
        <v>5500</v>
      </c>
      <c r="M272" s="4">
        <f t="shared" si="3"/>
        <v>11550</v>
      </c>
    </row>
    <row r="273" spans="1:13" x14ac:dyDescent="0.25">
      <c r="A273" s="1"/>
      <c r="B273" s="42">
        <v>9465</v>
      </c>
      <c r="C273" s="42" t="s">
        <v>278</v>
      </c>
      <c r="D273" s="43">
        <v>7896112194651</v>
      </c>
      <c r="E273" s="44" t="s">
        <v>23</v>
      </c>
      <c r="F273" s="45">
        <f>SUMIF(PND!D:D,B273,PND!H:H)</f>
        <v>2000</v>
      </c>
      <c r="G273" s="4">
        <f>SUMIF(PND!D:D,Tabela2[[#This Row],[ITENS]],PND!J:J)</f>
        <v>4020</v>
      </c>
      <c r="H273" s="45">
        <f>SUMIF(FATURADO!H:H,B273,FATURADO!L:L)</f>
        <v>3400</v>
      </c>
      <c r="I273" s="4">
        <f>SUMIF(FATURADO!H:H,Tabela2[[#This Row],[ITENS]],FATURADO!N:N)</f>
        <v>6726</v>
      </c>
      <c r="J273" s="45">
        <f>SUMIF(SEPARAÇÃO!I:I,B273,SEPARAÇÃO!M:M)</f>
        <v>0</v>
      </c>
      <c r="K273" s="4">
        <f>SUMIF(SEPARAÇÃO!I:I,Tabela2[[#This Row],[ITENS]],SEPARAÇÃO!P:P)</f>
        <v>0</v>
      </c>
      <c r="L273" s="45">
        <f t="shared" si="3"/>
        <v>5400</v>
      </c>
      <c r="M273" s="4">
        <f t="shared" si="3"/>
        <v>10746</v>
      </c>
    </row>
    <row r="274" spans="1:13" x14ac:dyDescent="0.25">
      <c r="A274" s="1"/>
      <c r="B274" s="42">
        <v>9608</v>
      </c>
      <c r="C274" s="42" t="s">
        <v>279</v>
      </c>
      <c r="D274" s="43">
        <v>7896112196082</v>
      </c>
      <c r="E274" s="44" t="s">
        <v>34</v>
      </c>
      <c r="F274" s="45">
        <f>SUMIF(PND!D:D,B274,PND!H:H)</f>
        <v>1500</v>
      </c>
      <c r="G274" s="4">
        <f>SUMIF(PND!D:D,Tabela2[[#This Row],[ITENS]],PND!J:J)</f>
        <v>13845</v>
      </c>
      <c r="H274" s="45">
        <f>SUMIF(FATURADO!H:H,B274,FATURADO!L:L)</f>
        <v>500</v>
      </c>
      <c r="I274" s="4">
        <f>SUMIF(FATURADO!H:H,Tabela2[[#This Row],[ITENS]],FATURADO!N:N)</f>
        <v>4380</v>
      </c>
      <c r="J274" s="45">
        <f>SUMIF(SEPARAÇÃO!I:I,B274,SEPARAÇÃO!M:M)</f>
        <v>0</v>
      </c>
      <c r="K274" s="4">
        <f>SUMIF(SEPARAÇÃO!I:I,Tabela2[[#This Row],[ITENS]],SEPARAÇÃO!P:P)</f>
        <v>0</v>
      </c>
      <c r="L274" s="45">
        <f t="shared" ref="L274:M286" si="4">F274+H274+J274</f>
        <v>2000</v>
      </c>
      <c r="M274" s="4">
        <f t="shared" si="4"/>
        <v>18225</v>
      </c>
    </row>
    <row r="275" spans="1:13" x14ac:dyDescent="0.25">
      <c r="A275" s="1"/>
      <c r="B275" s="42">
        <v>9618</v>
      </c>
      <c r="C275" s="42" t="s">
        <v>280</v>
      </c>
      <c r="D275" s="43">
        <v>7896112196181</v>
      </c>
      <c r="E275" s="44" t="s">
        <v>34</v>
      </c>
      <c r="F275" s="45">
        <f>SUMIF(PND!D:D,B275,PND!H:H)</f>
        <v>0</v>
      </c>
      <c r="G275" s="4">
        <f>SUMIF(PND!D:D,Tabela2[[#This Row],[ITENS]],PND!J:J)</f>
        <v>0</v>
      </c>
      <c r="H275" s="45">
        <f>SUMIF(FATURADO!H:H,B275,FATURADO!L:L)</f>
        <v>0</v>
      </c>
      <c r="I275" s="4">
        <f>SUMIF(FATURADO!H:H,Tabela2[[#This Row],[ITENS]],FATURADO!N:N)</f>
        <v>0</v>
      </c>
      <c r="J275" s="45">
        <f>SUMIF(SEPARAÇÃO!I:I,B275,SEPARAÇÃO!M:M)</f>
        <v>0</v>
      </c>
      <c r="K275" s="4">
        <f>SUMIF(SEPARAÇÃO!I:I,Tabela2[[#This Row],[ITENS]],SEPARAÇÃO!P:P)</f>
        <v>0</v>
      </c>
      <c r="L275" s="45">
        <f t="shared" si="4"/>
        <v>0</v>
      </c>
      <c r="M275" s="4">
        <f t="shared" si="4"/>
        <v>0</v>
      </c>
    </row>
    <row r="276" spans="1:13" x14ac:dyDescent="0.25">
      <c r="A276" s="1"/>
      <c r="B276" s="42">
        <v>9684</v>
      </c>
      <c r="C276" s="42" t="s">
        <v>281</v>
      </c>
      <c r="D276" s="43">
        <v>7896112196846</v>
      </c>
      <c r="E276" s="44" t="s">
        <v>23</v>
      </c>
      <c r="F276" s="45">
        <f>SUMIF(PND!D:D,B276,PND!H:H)</f>
        <v>0</v>
      </c>
      <c r="G276" s="4">
        <f>SUMIF(PND!D:D,Tabela2[[#This Row],[ITENS]],PND!J:J)</f>
        <v>0</v>
      </c>
      <c r="H276" s="45">
        <f>SUMIF(FATURADO!H:H,B276,FATURADO!L:L)</f>
        <v>0</v>
      </c>
      <c r="I276" s="4">
        <f>SUMIF(FATURADO!H:H,Tabela2[[#This Row],[ITENS]],FATURADO!N:N)</f>
        <v>0</v>
      </c>
      <c r="J276" s="45">
        <f>SUMIF(SEPARAÇÃO!I:I,B276,SEPARAÇÃO!M:M)</f>
        <v>0</v>
      </c>
      <c r="K276" s="4">
        <f>SUMIF(SEPARAÇÃO!I:I,Tabela2[[#This Row],[ITENS]],SEPARAÇÃO!P:P)</f>
        <v>0</v>
      </c>
      <c r="L276" s="45">
        <f t="shared" si="4"/>
        <v>0</v>
      </c>
      <c r="M276" s="4">
        <f t="shared" si="4"/>
        <v>0</v>
      </c>
    </row>
    <row r="277" spans="1:13" x14ac:dyDescent="0.25">
      <c r="A277" s="1"/>
      <c r="B277" s="42">
        <v>9712</v>
      </c>
      <c r="C277" s="42" t="s">
        <v>282</v>
      </c>
      <c r="D277" s="43">
        <v>7896112197126</v>
      </c>
      <c r="E277" s="44" t="s">
        <v>23</v>
      </c>
      <c r="F277" s="45">
        <f>SUMIF(PND!D:D,B277,PND!H:H)</f>
        <v>0</v>
      </c>
      <c r="G277" s="4">
        <f>SUMIF(PND!D:D,Tabela2[[#This Row],[ITENS]],PND!J:J)</f>
        <v>0</v>
      </c>
      <c r="H277" s="45">
        <f>SUMIF(FATURADO!H:H,B277,FATURADO!L:L)</f>
        <v>0</v>
      </c>
      <c r="I277" s="4">
        <f>SUMIF(FATURADO!H:H,Tabela2[[#This Row],[ITENS]],FATURADO!N:N)</f>
        <v>0</v>
      </c>
      <c r="J277" s="45">
        <f>SUMIF(SEPARAÇÃO!I:I,B277,SEPARAÇÃO!M:M)</f>
        <v>0</v>
      </c>
      <c r="K277" s="4">
        <f>SUMIF(SEPARAÇÃO!I:I,Tabela2[[#This Row],[ITENS]],SEPARAÇÃO!P:P)</f>
        <v>0</v>
      </c>
      <c r="L277" s="45">
        <f t="shared" si="4"/>
        <v>0</v>
      </c>
      <c r="M277" s="4">
        <f t="shared" si="4"/>
        <v>0</v>
      </c>
    </row>
    <row r="278" spans="1:13" x14ac:dyDescent="0.25">
      <c r="A278" s="1"/>
      <c r="B278" s="42">
        <v>9721</v>
      </c>
      <c r="C278" s="42" t="s">
        <v>283</v>
      </c>
      <c r="D278" s="43">
        <v>7896112197218</v>
      </c>
      <c r="E278" s="44" t="s">
        <v>23</v>
      </c>
      <c r="F278" s="45">
        <f>SUMIF(PND!D:D,B278,PND!H:H)</f>
        <v>0</v>
      </c>
      <c r="G278" s="4">
        <f>SUMIF(PND!D:D,Tabela2[[#This Row],[ITENS]],PND!J:J)</f>
        <v>0</v>
      </c>
      <c r="H278" s="45">
        <f>SUMIF(FATURADO!H:H,B278,FATURADO!L:L)</f>
        <v>500</v>
      </c>
      <c r="I278" s="4">
        <f>SUMIF(FATURADO!H:H,Tabela2[[#This Row],[ITENS]],FATURADO!N:N)</f>
        <v>1900</v>
      </c>
      <c r="J278" s="45">
        <f>SUMIF(SEPARAÇÃO!I:I,B278,SEPARAÇÃO!M:M)</f>
        <v>0</v>
      </c>
      <c r="K278" s="4">
        <f>SUMIF(SEPARAÇÃO!I:I,Tabela2[[#This Row],[ITENS]],SEPARAÇÃO!P:P)</f>
        <v>0</v>
      </c>
      <c r="L278" s="45">
        <f t="shared" si="4"/>
        <v>500</v>
      </c>
      <c r="M278" s="4">
        <f t="shared" si="4"/>
        <v>1900</v>
      </c>
    </row>
    <row r="279" spans="1:13" x14ac:dyDescent="0.25">
      <c r="A279" s="1"/>
      <c r="B279" s="42">
        <v>9739</v>
      </c>
      <c r="C279" s="42" t="s">
        <v>284</v>
      </c>
      <c r="D279" s="43">
        <v>7896112197393</v>
      </c>
      <c r="E279" s="44" t="s">
        <v>23</v>
      </c>
      <c r="F279" s="45">
        <f>SUMIF(PND!D:D,B279,PND!H:H)</f>
        <v>0</v>
      </c>
      <c r="G279" s="4">
        <f>SUMIF(PND!D:D,Tabela2[[#This Row],[ITENS]],PND!J:J)</f>
        <v>0</v>
      </c>
      <c r="H279" s="45">
        <f>SUMIF(FATURADO!H:H,B279,FATURADO!L:L)</f>
        <v>200</v>
      </c>
      <c r="I279" s="4">
        <f>SUMIF(FATURADO!H:H,Tabela2[[#This Row],[ITENS]],FATURADO!N:N)</f>
        <v>506</v>
      </c>
      <c r="J279" s="45">
        <f>SUMIF(SEPARAÇÃO!I:I,B279,SEPARAÇÃO!M:M)</f>
        <v>0</v>
      </c>
      <c r="K279" s="4">
        <f>SUMIF(SEPARAÇÃO!I:I,Tabela2[[#This Row],[ITENS]],SEPARAÇÃO!P:P)</f>
        <v>0</v>
      </c>
      <c r="L279" s="45">
        <f t="shared" si="4"/>
        <v>200</v>
      </c>
      <c r="M279" s="4">
        <f t="shared" si="4"/>
        <v>506</v>
      </c>
    </row>
    <row r="280" spans="1:13" x14ac:dyDescent="0.25">
      <c r="A280" s="1"/>
      <c r="B280" s="42">
        <v>9801</v>
      </c>
      <c r="C280" s="42" t="s">
        <v>285</v>
      </c>
      <c r="D280" s="43">
        <v>7896112198017</v>
      </c>
      <c r="E280" s="44" t="s">
        <v>23</v>
      </c>
      <c r="F280" s="45">
        <f>SUMIF(PND!D:D,B280,PND!H:H)</f>
        <v>0</v>
      </c>
      <c r="G280" s="4">
        <f>SUMIF(PND!D:D,Tabela2[[#This Row],[ITENS]],PND!J:J)</f>
        <v>0</v>
      </c>
      <c r="H280" s="45">
        <f>SUMIF(FATURADO!H:H,B280,FATURADO!L:L)</f>
        <v>0</v>
      </c>
      <c r="I280" s="4">
        <f>SUMIF(FATURADO!H:H,Tabela2[[#This Row],[ITENS]],FATURADO!N:N)</f>
        <v>0</v>
      </c>
      <c r="J280" s="45">
        <f>SUMIF(SEPARAÇÃO!I:I,B280,SEPARAÇÃO!M:M)</f>
        <v>0</v>
      </c>
      <c r="K280" s="4">
        <f>SUMIF(SEPARAÇÃO!I:I,Tabela2[[#This Row],[ITENS]],SEPARAÇÃO!P:P)</f>
        <v>0</v>
      </c>
      <c r="L280" s="45">
        <f t="shared" si="4"/>
        <v>0</v>
      </c>
      <c r="M280" s="4">
        <f t="shared" si="4"/>
        <v>0</v>
      </c>
    </row>
    <row r="281" spans="1:13" x14ac:dyDescent="0.25">
      <c r="A281" s="1"/>
      <c r="B281" s="42">
        <v>9824</v>
      </c>
      <c r="C281" s="42" t="s">
        <v>286</v>
      </c>
      <c r="D281" s="43">
        <v>7896112198246</v>
      </c>
      <c r="E281" s="44" t="s">
        <v>23</v>
      </c>
      <c r="F281" s="45">
        <f>SUMIF(PND!D:D,B281,PND!H:H)</f>
        <v>500</v>
      </c>
      <c r="G281" s="4">
        <f>SUMIF(PND!D:D,Tabela2[[#This Row],[ITENS]],PND!J:J)</f>
        <v>1370</v>
      </c>
      <c r="H281" s="45">
        <f>SUMIF(FATURADO!H:H,B281,FATURADO!L:L)</f>
        <v>2300</v>
      </c>
      <c r="I281" s="4">
        <f>SUMIF(FATURADO!H:H,Tabela2[[#This Row],[ITENS]],FATURADO!N:N)</f>
        <v>6417</v>
      </c>
      <c r="J281" s="45">
        <f>SUMIF(SEPARAÇÃO!I:I,B281,SEPARAÇÃO!M:M)</f>
        <v>0</v>
      </c>
      <c r="K281" s="4">
        <f>SUMIF(SEPARAÇÃO!I:I,Tabela2[[#This Row],[ITENS]],SEPARAÇÃO!P:P)</f>
        <v>0</v>
      </c>
      <c r="L281" s="45">
        <f t="shared" si="4"/>
        <v>2800</v>
      </c>
      <c r="M281" s="4">
        <f t="shared" si="4"/>
        <v>7787</v>
      </c>
    </row>
    <row r="282" spans="1:13" x14ac:dyDescent="0.25">
      <c r="A282" s="1"/>
      <c r="B282" s="42">
        <v>9833</v>
      </c>
      <c r="C282" s="42" t="s">
        <v>287</v>
      </c>
      <c r="D282" s="43">
        <v>7896112198338</v>
      </c>
      <c r="E282" s="44" t="s">
        <v>23</v>
      </c>
      <c r="F282" s="45">
        <f>SUMIF(PND!D:D,B282,PND!H:H)</f>
        <v>0</v>
      </c>
      <c r="G282" s="4">
        <f>SUMIF(PND!D:D,Tabela2[[#This Row],[ITENS]],PND!J:J)</f>
        <v>0</v>
      </c>
      <c r="H282" s="45">
        <f>SUMIF(FATURADO!H:H,B282,FATURADO!L:L)</f>
        <v>300</v>
      </c>
      <c r="I282" s="4">
        <f>SUMIF(FATURADO!H:H,Tabela2[[#This Row],[ITENS]],FATURADO!N:N)</f>
        <v>5293</v>
      </c>
      <c r="J282" s="45">
        <f>SUMIF(SEPARAÇÃO!I:I,B282,SEPARAÇÃO!M:M)</f>
        <v>0</v>
      </c>
      <c r="K282" s="4">
        <f>SUMIF(SEPARAÇÃO!I:I,Tabela2[[#This Row],[ITENS]],SEPARAÇÃO!P:P)</f>
        <v>0</v>
      </c>
      <c r="L282" s="45">
        <f t="shared" si="4"/>
        <v>300</v>
      </c>
      <c r="M282" s="4">
        <f t="shared" si="4"/>
        <v>5293</v>
      </c>
    </row>
    <row r="283" spans="1:13" x14ac:dyDescent="0.25">
      <c r="A283" s="1"/>
      <c r="B283" s="42">
        <v>9894</v>
      </c>
      <c r="C283" s="42" t="s">
        <v>288</v>
      </c>
      <c r="D283" s="43">
        <v>7896112198949</v>
      </c>
      <c r="E283" s="44" t="s">
        <v>23</v>
      </c>
      <c r="F283" s="45">
        <f>SUMIF(PND!D:D,B283,PND!H:H)</f>
        <v>0</v>
      </c>
      <c r="G283" s="4">
        <f>SUMIF(PND!D:D,Tabela2[[#This Row],[ITENS]],PND!J:J)</f>
        <v>0</v>
      </c>
      <c r="H283" s="45">
        <f>SUMIF(FATURADO!H:H,B283,FATURADO!L:L)</f>
        <v>0</v>
      </c>
      <c r="I283" s="4">
        <f>SUMIF(FATURADO!H:H,Tabela2[[#This Row],[ITENS]],FATURADO!N:N)</f>
        <v>0</v>
      </c>
      <c r="J283" s="45">
        <f>SUMIF(SEPARAÇÃO!I:I,B283,SEPARAÇÃO!M:M)</f>
        <v>0</v>
      </c>
      <c r="K283" s="4">
        <f>SUMIF(SEPARAÇÃO!I:I,Tabela2[[#This Row],[ITENS]],SEPARAÇÃO!P:P)</f>
        <v>0</v>
      </c>
      <c r="L283" s="45">
        <f t="shared" si="4"/>
        <v>0</v>
      </c>
      <c r="M283" s="4">
        <f t="shared" si="4"/>
        <v>0</v>
      </c>
    </row>
    <row r="284" spans="1:13" x14ac:dyDescent="0.25">
      <c r="A284" s="1"/>
      <c r="B284" s="42">
        <v>9935</v>
      </c>
      <c r="C284" s="42" t="s">
        <v>289</v>
      </c>
      <c r="D284" s="43">
        <v>7896112199359</v>
      </c>
      <c r="E284" s="44" t="s">
        <v>34</v>
      </c>
      <c r="F284" s="45">
        <f>SUMIF(PND!D:D,B284,PND!H:H)</f>
        <v>0</v>
      </c>
      <c r="G284" s="4">
        <f>SUMIF(PND!D:D,Tabela2[[#This Row],[ITENS]],PND!J:J)</f>
        <v>0</v>
      </c>
      <c r="H284" s="45">
        <f>SUMIF(FATURADO!H:H,B284,FATURADO!L:L)</f>
        <v>0</v>
      </c>
      <c r="I284" s="4">
        <f>SUMIF(FATURADO!H:H,Tabela2[[#This Row],[ITENS]],FATURADO!N:N)</f>
        <v>0</v>
      </c>
      <c r="J284" s="45">
        <f>SUMIF(SEPARAÇÃO!I:I,B284,SEPARAÇÃO!M:M)</f>
        <v>0</v>
      </c>
      <c r="K284" s="4">
        <f>SUMIF(SEPARAÇÃO!I:I,Tabela2[[#This Row],[ITENS]],SEPARAÇÃO!P:P)</f>
        <v>0</v>
      </c>
      <c r="L284" s="45">
        <f t="shared" si="4"/>
        <v>0</v>
      </c>
      <c r="M284" s="4">
        <f t="shared" si="4"/>
        <v>0</v>
      </c>
    </row>
    <row r="285" spans="1:13" x14ac:dyDescent="0.25">
      <c r="A285" s="1"/>
      <c r="B285" s="42">
        <v>9937</v>
      </c>
      <c r="C285" s="42" t="s">
        <v>290</v>
      </c>
      <c r="D285" s="43">
        <v>7896112199373</v>
      </c>
      <c r="E285" s="44" t="s">
        <v>34</v>
      </c>
      <c r="F285" s="45">
        <f>SUMIF(PND!D:D,B285,PND!H:H)</f>
        <v>0</v>
      </c>
      <c r="G285" s="4">
        <f>SUMIF(PND!D:D,Tabela2[[#This Row],[ITENS]],PND!J:J)</f>
        <v>0</v>
      </c>
      <c r="H285" s="45">
        <f>SUMIF(FATURADO!H:H,B285,FATURADO!L:L)</f>
        <v>160</v>
      </c>
      <c r="I285" s="4">
        <f>SUMIF(FATURADO!H:H,Tabela2[[#This Row],[ITENS]],FATURADO!N:N)</f>
        <v>3616</v>
      </c>
      <c r="J285" s="45">
        <f>SUMIF(SEPARAÇÃO!I:I,B285,SEPARAÇÃO!M:M)</f>
        <v>0</v>
      </c>
      <c r="K285" s="4">
        <f>SUMIF(SEPARAÇÃO!I:I,Tabela2[[#This Row],[ITENS]],SEPARAÇÃO!P:P)</f>
        <v>0</v>
      </c>
      <c r="L285" s="45">
        <f t="shared" si="4"/>
        <v>160</v>
      </c>
      <c r="M285" s="4">
        <f t="shared" si="4"/>
        <v>3616</v>
      </c>
    </row>
    <row r="286" spans="1:13" x14ac:dyDescent="0.25">
      <c r="A286" s="1"/>
      <c r="B286" s="42">
        <v>9994</v>
      </c>
      <c r="C286" s="42" t="s">
        <v>291</v>
      </c>
      <c r="D286" s="43">
        <v>7896112199946</v>
      </c>
      <c r="E286" s="44" t="s">
        <v>34</v>
      </c>
      <c r="F286" s="45">
        <f>SUMIF(PND!D:D,B286,PND!H:H)</f>
        <v>200</v>
      </c>
      <c r="G286" s="4">
        <f>SUMIF(PND!D:D,Tabela2[[#This Row],[ITENS]],PND!J:J)</f>
        <v>1676</v>
      </c>
      <c r="H286" s="45">
        <f>SUMIF(FATURADO!H:H,B286,FATURADO!L:L)</f>
        <v>0</v>
      </c>
      <c r="I286" s="4">
        <f>SUMIF(FATURADO!H:H,Tabela2[[#This Row],[ITENS]],FATURADO!N:N)</f>
        <v>0</v>
      </c>
      <c r="J286" s="45">
        <f>SUMIF(SEPARAÇÃO!I:I,B286,SEPARAÇÃO!M:M)</f>
        <v>0</v>
      </c>
      <c r="K286" s="4">
        <f>SUMIF(SEPARAÇÃO!I:I,Tabela2[[#This Row],[ITENS]],SEPARAÇÃO!P:P)</f>
        <v>0</v>
      </c>
      <c r="L286" s="45">
        <f t="shared" si="4"/>
        <v>200</v>
      </c>
      <c r="M286" s="4">
        <f t="shared" si="4"/>
        <v>1676</v>
      </c>
    </row>
    <row r="287" spans="1:13" x14ac:dyDescent="0.25">
      <c r="B287" s="42">
        <v>9626</v>
      </c>
      <c r="C287" s="46" t="s">
        <v>209</v>
      </c>
      <c r="D287" s="43" t="s">
        <v>292</v>
      </c>
      <c r="E287" s="44" t="s">
        <v>34</v>
      </c>
      <c r="F287" s="45">
        <f>SUMIF(PND!D:D,B287,PND!H:H)</f>
        <v>0</v>
      </c>
      <c r="G287" s="4">
        <f>SUMIF(PND!D:D,Tabela2[[#This Row],[ITENS]],PND!J:J)</f>
        <v>0</v>
      </c>
      <c r="H287" s="45">
        <f>SUMIF(FATURADO!H:H,B287,FATURADO!L:L)</f>
        <v>0</v>
      </c>
      <c r="I287" s="4">
        <f>SUMIF(FATURADO!H:H,Tabela2[[#This Row],[ITENS]],FATURADO!N:N)</f>
        <v>0</v>
      </c>
      <c r="J287" s="45">
        <f>SUMIF(SEPARAÇÃO!I:I,B287,SEPARAÇÃO!M:M)</f>
        <v>0</v>
      </c>
      <c r="K287" s="4">
        <f>SUMIF(SEPARAÇÃO!I:I,Tabela2[[#This Row],[ITENS]],SEPARAÇÃO!P:P)</f>
        <v>0</v>
      </c>
      <c r="L287" s="45">
        <f>F287+H287+J287</f>
        <v>0</v>
      </c>
      <c r="M287" s="4">
        <f>G287+I287+K287</f>
        <v>0</v>
      </c>
    </row>
    <row r="288" spans="1:13" x14ac:dyDescent="0.25">
      <c r="B288" s="42">
        <v>9149</v>
      </c>
      <c r="C288" s="42" t="s">
        <v>293</v>
      </c>
      <c r="D288" s="43">
        <v>7896112191490</v>
      </c>
      <c r="E288" s="44" t="s">
        <v>34</v>
      </c>
      <c r="F288" s="45">
        <f>SUMIF(PND!D:D,B288,PND!H:H)</f>
        <v>150</v>
      </c>
      <c r="G288" s="4">
        <f>SUMIF(PND!D:D,Tabela2[[#This Row],[ITENS]],PND!J:J)</f>
        <v>772.5</v>
      </c>
      <c r="H288" s="45">
        <f>SUMIF(FATURADO!H:H,B288,FATURADO!L:L)</f>
        <v>200</v>
      </c>
      <c r="I288" s="4">
        <f>SUMIF(FATURADO!H:H,Tabela2[[#This Row],[ITENS]],FATURADO!N:N)</f>
        <v>1010</v>
      </c>
      <c r="J288" s="45">
        <f>SUMIF(SEPARAÇÃO!I:I,B288,SEPARAÇÃO!M:M)</f>
        <v>0</v>
      </c>
      <c r="K288" s="4">
        <f>SUMIF(SEPARAÇÃO!I:I,Tabela2[[#This Row],[ITENS]],SEPARAÇÃO!P:P)</f>
        <v>0</v>
      </c>
      <c r="L288" s="45">
        <f t="shared" ref="L288:M319" si="5">F288+H288+J288</f>
        <v>350</v>
      </c>
      <c r="M288" s="4">
        <f t="shared" si="5"/>
        <v>1782.5</v>
      </c>
    </row>
    <row r="289" spans="2:13" x14ac:dyDescent="0.25">
      <c r="B289" s="42">
        <v>9747</v>
      </c>
      <c r="C289" s="42" t="s">
        <v>294</v>
      </c>
      <c r="D289" s="43">
        <v>7896112197478</v>
      </c>
      <c r="E289" s="44" t="s">
        <v>23</v>
      </c>
      <c r="F289" s="45">
        <f>SUMIF(PND!D:D,B289,PND!H:H)</f>
        <v>0</v>
      </c>
      <c r="G289" s="4">
        <f>SUMIF(PND!D:D,Tabela2[[#This Row],[ITENS]],PND!J:J)</f>
        <v>0</v>
      </c>
      <c r="H289" s="45">
        <f>SUMIF(FATURADO!H:H,B289,FATURADO!L:L)</f>
        <v>0</v>
      </c>
      <c r="I289" s="4">
        <f>SUMIF(FATURADO!H:H,Tabela2[[#This Row],[ITENS]],FATURADO!N:N)</f>
        <v>0</v>
      </c>
      <c r="J289" s="45">
        <f>SUMIF(SEPARAÇÃO!I:I,B289,SEPARAÇÃO!M:M)</f>
        <v>0</v>
      </c>
      <c r="K289" s="4">
        <f>SUMIF(SEPARAÇÃO!I:I,Tabela2[[#This Row],[ITENS]],SEPARAÇÃO!P:P)</f>
        <v>0</v>
      </c>
      <c r="L289" s="45">
        <f t="shared" si="5"/>
        <v>0</v>
      </c>
      <c r="M289" s="4">
        <f t="shared" si="5"/>
        <v>0</v>
      </c>
    </row>
    <row r="290" spans="2:13" x14ac:dyDescent="0.25">
      <c r="B290" s="42">
        <v>2739</v>
      </c>
      <c r="C290" s="42" t="s">
        <v>295</v>
      </c>
      <c r="D290" s="43">
        <v>7896112127390</v>
      </c>
      <c r="E290" s="44" t="s">
        <v>34</v>
      </c>
      <c r="F290" s="45">
        <f>SUMIF(PND!D:D,B290,PND!H:H)</f>
        <v>0</v>
      </c>
      <c r="G290" s="4">
        <f>SUMIF(PND!D:D,Tabela2[[#This Row],[ITENS]],PND!J:J)</f>
        <v>0</v>
      </c>
      <c r="H290" s="45">
        <f>SUMIF(FATURADO!H:H,B290,FATURADO!L:L)</f>
        <v>0</v>
      </c>
      <c r="I290" s="4">
        <f>SUMIF(FATURADO!H:H,Tabela2[[#This Row],[ITENS]],FATURADO!N:N)</f>
        <v>0</v>
      </c>
      <c r="J290" s="45">
        <f>SUMIF(SEPARAÇÃO!I:I,B290,SEPARAÇÃO!M:M)</f>
        <v>0</v>
      </c>
      <c r="K290" s="4">
        <f>SUMIF(SEPARAÇÃO!I:I,Tabela2[[#This Row],[ITENS]],SEPARAÇÃO!P:P)</f>
        <v>0</v>
      </c>
      <c r="L290" s="45">
        <f t="shared" si="5"/>
        <v>0</v>
      </c>
      <c r="M290" s="4">
        <f t="shared" si="5"/>
        <v>0</v>
      </c>
    </row>
    <row r="291" spans="2:13" x14ac:dyDescent="0.25">
      <c r="B291" s="42">
        <v>4171</v>
      </c>
      <c r="C291" s="42" t="s">
        <v>296</v>
      </c>
      <c r="D291" s="43">
        <v>7896112101710</v>
      </c>
      <c r="E291" s="44" t="s">
        <v>34</v>
      </c>
      <c r="F291" s="45">
        <f>SUMIF(PND!D:D,B291,PND!H:H)</f>
        <v>0</v>
      </c>
      <c r="G291" s="4">
        <f>SUMIF(PND!D:D,Tabela2[[#This Row],[ITENS]],PND!J:J)</f>
        <v>0</v>
      </c>
      <c r="H291" s="45">
        <f>SUMIF(FATURADO!H:H,B291,FATURADO!L:L)</f>
        <v>315</v>
      </c>
      <c r="I291" s="4">
        <f>SUMIF(FATURADO!H:H,Tabela2[[#This Row],[ITENS]],FATURADO!N:N)</f>
        <v>9418.5</v>
      </c>
      <c r="J291" s="45">
        <f>SUMIF(SEPARAÇÃO!I:I,B291,SEPARAÇÃO!M:M)</f>
        <v>0</v>
      </c>
      <c r="K291" s="4">
        <f>SUMIF(SEPARAÇÃO!I:I,Tabela2[[#This Row],[ITENS]],SEPARAÇÃO!P:P)</f>
        <v>0</v>
      </c>
      <c r="L291" s="45">
        <f t="shared" si="5"/>
        <v>315</v>
      </c>
      <c r="M291" s="4">
        <f t="shared" si="5"/>
        <v>9418.5</v>
      </c>
    </row>
    <row r="292" spans="2:13" x14ac:dyDescent="0.25">
      <c r="B292" s="42">
        <v>946</v>
      </c>
      <c r="C292" s="42" t="s">
        <v>71</v>
      </c>
      <c r="D292" s="43">
        <v>7896112149460</v>
      </c>
      <c r="E292" s="44" t="s">
        <v>34</v>
      </c>
      <c r="F292" s="45">
        <f>SUMIF(PND!D:D,B292,PND!H:H)</f>
        <v>0</v>
      </c>
      <c r="G292" s="4">
        <f>SUMIF(PND!D:D,Tabela2[[#This Row],[ITENS]],PND!J:J)</f>
        <v>0</v>
      </c>
      <c r="H292" s="45">
        <f>SUMIF(FATURADO!H:H,B292,FATURADO!L:L)</f>
        <v>0</v>
      </c>
      <c r="I292" s="4">
        <f>SUMIF(FATURADO!H:H,Tabela2[[#This Row],[ITENS]],FATURADO!N:N)</f>
        <v>0</v>
      </c>
      <c r="J292" s="45">
        <f>SUMIF(SEPARAÇÃO!I:I,B292,SEPARAÇÃO!M:M)</f>
        <v>0</v>
      </c>
      <c r="K292" s="4">
        <f>SUMIF(SEPARAÇÃO!I:I,Tabela2[[#This Row],[ITENS]],SEPARAÇÃO!P:P)</f>
        <v>0</v>
      </c>
      <c r="L292" s="45">
        <f t="shared" si="5"/>
        <v>0</v>
      </c>
      <c r="M292" s="4">
        <f t="shared" si="5"/>
        <v>0</v>
      </c>
    </row>
    <row r="293" spans="2:13" x14ac:dyDescent="0.25">
      <c r="B293" s="42">
        <v>7643</v>
      </c>
      <c r="C293" s="42" t="s">
        <v>297</v>
      </c>
      <c r="D293" s="43">
        <v>7896112176435</v>
      </c>
      <c r="E293" s="44" t="s">
        <v>34</v>
      </c>
      <c r="F293" s="45">
        <f>SUMIF(PND!D:D,B293,PND!H:H)</f>
        <v>0</v>
      </c>
      <c r="G293" s="4">
        <f>SUMIF(PND!D:D,Tabela2[[#This Row],[ITENS]],PND!J:J)</f>
        <v>0</v>
      </c>
      <c r="H293" s="45">
        <f>SUMIF(FATURADO!H:H,B293,FATURADO!L:L)</f>
        <v>0</v>
      </c>
      <c r="I293" s="4">
        <f>SUMIF(FATURADO!H:H,Tabela2[[#This Row],[ITENS]],FATURADO!N:N)</f>
        <v>0</v>
      </c>
      <c r="J293" s="45">
        <f>SUMIF(SEPARAÇÃO!I:I,B293,SEPARAÇÃO!M:M)</f>
        <v>0</v>
      </c>
      <c r="K293" s="4">
        <f>SUMIF(SEPARAÇÃO!I:I,Tabela2[[#This Row],[ITENS]],SEPARAÇÃO!P:P)</f>
        <v>0</v>
      </c>
      <c r="L293" s="45">
        <f t="shared" si="5"/>
        <v>0</v>
      </c>
      <c r="M293" s="4">
        <f t="shared" si="5"/>
        <v>0</v>
      </c>
    </row>
    <row r="294" spans="2:13" x14ac:dyDescent="0.25">
      <c r="B294" s="42">
        <v>415</v>
      </c>
      <c r="C294" s="42" t="s">
        <v>298</v>
      </c>
      <c r="D294" s="43">
        <v>7896112144151</v>
      </c>
      <c r="E294" s="44" t="s">
        <v>23</v>
      </c>
      <c r="F294" s="45">
        <f>SUMIF(PND!D:D,B294,PND!H:H)</f>
        <v>0</v>
      </c>
      <c r="G294" s="4">
        <f>SUMIF(PND!D:D,Tabela2[[#This Row],[ITENS]],PND!J:J)</f>
        <v>0</v>
      </c>
      <c r="H294" s="45">
        <f>SUMIF(FATURADO!H:H,B294,FATURADO!L:L)</f>
        <v>0</v>
      </c>
      <c r="I294" s="4">
        <f>SUMIF(FATURADO!H:H,Tabela2[[#This Row],[ITENS]],FATURADO!N:N)</f>
        <v>0</v>
      </c>
      <c r="J294" s="45">
        <f>SUMIF(SEPARAÇÃO!I:I,B294,SEPARAÇÃO!M:M)</f>
        <v>0</v>
      </c>
      <c r="K294" s="4">
        <f>SUMIF(SEPARAÇÃO!I:I,Tabela2[[#This Row],[ITENS]],SEPARAÇÃO!P:P)</f>
        <v>0</v>
      </c>
      <c r="L294" s="45">
        <f t="shared" si="5"/>
        <v>0</v>
      </c>
      <c r="M294" s="4">
        <f t="shared" si="5"/>
        <v>0</v>
      </c>
    </row>
    <row r="295" spans="2:13" x14ac:dyDescent="0.25">
      <c r="B295" s="42">
        <v>4469</v>
      </c>
      <c r="C295" s="42" t="s">
        <v>299</v>
      </c>
      <c r="D295" s="43">
        <v>7896112104698</v>
      </c>
      <c r="E295" s="44" t="s">
        <v>34</v>
      </c>
      <c r="F295" s="45">
        <f>SUMIF(PND!D:D,B295,PND!H:H)</f>
        <v>0</v>
      </c>
      <c r="G295" s="4">
        <f>SUMIF(PND!D:D,Tabela2[[#This Row],[ITENS]],PND!J:J)</f>
        <v>0</v>
      </c>
      <c r="H295" s="45">
        <f>SUMIF(FATURADO!H:H,B295,FATURADO!L:L)</f>
        <v>0</v>
      </c>
      <c r="I295" s="4">
        <f>SUMIF(FATURADO!H:H,Tabela2[[#This Row],[ITENS]],FATURADO!N:N)</f>
        <v>0</v>
      </c>
      <c r="J295" s="45">
        <f>SUMIF(SEPARAÇÃO!I:I,B295,SEPARAÇÃO!M:M)</f>
        <v>0</v>
      </c>
      <c r="K295" s="4">
        <f>SUMIF(SEPARAÇÃO!I:I,Tabela2[[#This Row],[ITENS]],SEPARAÇÃO!P:P)</f>
        <v>0</v>
      </c>
      <c r="L295" s="45">
        <f t="shared" si="5"/>
        <v>0</v>
      </c>
      <c r="M295" s="4">
        <f t="shared" si="5"/>
        <v>0</v>
      </c>
    </row>
    <row r="296" spans="2:13" x14ac:dyDescent="0.25">
      <c r="B296" s="42">
        <v>4468</v>
      </c>
      <c r="C296" s="42" t="s">
        <v>300</v>
      </c>
      <c r="D296" s="43">
        <v>7896112104681</v>
      </c>
      <c r="E296" s="44" t="s">
        <v>34</v>
      </c>
      <c r="F296" s="45">
        <f>SUMIF(PND!D:D,B296,PND!H:H)</f>
        <v>0</v>
      </c>
      <c r="G296" s="4">
        <f>SUMIF(PND!D:D,Tabela2[[#This Row],[ITENS]],PND!J:J)</f>
        <v>0</v>
      </c>
      <c r="H296" s="45">
        <f>SUMIF(FATURADO!H:H,B296,FATURADO!L:L)</f>
        <v>0</v>
      </c>
      <c r="I296" s="4">
        <f>SUMIF(FATURADO!H:H,Tabela2[[#This Row],[ITENS]],FATURADO!N:N)</f>
        <v>0</v>
      </c>
      <c r="J296" s="45">
        <f>SUMIF(SEPARAÇÃO!I:I,B296,SEPARAÇÃO!M:M)</f>
        <v>0</v>
      </c>
      <c r="K296" s="4">
        <f>SUMIF(SEPARAÇÃO!I:I,Tabela2[[#This Row],[ITENS]],SEPARAÇÃO!P:P)</f>
        <v>0</v>
      </c>
      <c r="L296" s="45">
        <f t="shared" si="5"/>
        <v>0</v>
      </c>
      <c r="M296" s="4">
        <f t="shared" si="5"/>
        <v>0</v>
      </c>
    </row>
    <row r="297" spans="2:13" x14ac:dyDescent="0.25">
      <c r="B297" s="42">
        <v>7647</v>
      </c>
      <c r="C297" s="42" t="s">
        <v>301</v>
      </c>
      <c r="D297" s="43">
        <v>7896112176473</v>
      </c>
      <c r="E297" s="44" t="s">
        <v>34</v>
      </c>
      <c r="F297" s="45">
        <f>SUMIF(PND!D:D,B297,PND!H:H)</f>
        <v>0</v>
      </c>
      <c r="G297" s="4">
        <f>SUMIF(PND!D:D,Tabela2[[#This Row],[ITENS]],PND!J:J)</f>
        <v>0</v>
      </c>
      <c r="H297" s="45">
        <f>SUMIF(FATURADO!H:H,B297,FATURADO!L:L)</f>
        <v>0</v>
      </c>
      <c r="I297" s="4">
        <f>SUMIF(FATURADO!H:H,Tabela2[[#This Row],[ITENS]],FATURADO!N:N)</f>
        <v>0</v>
      </c>
      <c r="J297" s="45">
        <f>SUMIF(SEPARAÇÃO!I:I,B297,SEPARAÇÃO!M:M)</f>
        <v>0</v>
      </c>
      <c r="K297" s="4">
        <f>SUMIF(SEPARAÇÃO!I:I,Tabela2[[#This Row],[ITENS]],SEPARAÇÃO!P:P)</f>
        <v>0</v>
      </c>
      <c r="L297" s="45">
        <f t="shared" si="5"/>
        <v>0</v>
      </c>
      <c r="M297" s="4">
        <f t="shared" si="5"/>
        <v>0</v>
      </c>
    </row>
    <row r="298" spans="2:13" x14ac:dyDescent="0.25">
      <c r="B298" s="42">
        <v>3615</v>
      </c>
      <c r="C298" s="42" t="s">
        <v>302</v>
      </c>
      <c r="D298" s="43">
        <v>7896112136156</v>
      </c>
      <c r="E298" s="44" t="s">
        <v>34</v>
      </c>
      <c r="F298" s="45">
        <f>SUMIF(PND!D:D,B298,PND!H:H)</f>
        <v>0</v>
      </c>
      <c r="G298" s="4">
        <f>SUMIF(PND!D:D,Tabela2[[#This Row],[ITENS]],PND!J:J)</f>
        <v>0</v>
      </c>
      <c r="H298" s="45">
        <f>SUMIF(FATURADO!H:H,B298,FATURADO!L:L)</f>
        <v>0</v>
      </c>
      <c r="I298" s="4">
        <f>SUMIF(FATURADO!H:H,Tabela2[[#This Row],[ITENS]],FATURADO!N:N)</f>
        <v>0</v>
      </c>
      <c r="J298" s="45">
        <f>SUMIF(SEPARAÇÃO!I:I,B298,SEPARAÇÃO!M:M)</f>
        <v>0</v>
      </c>
      <c r="K298" s="4">
        <f>SUMIF(SEPARAÇÃO!I:I,Tabela2[[#This Row],[ITENS]],SEPARAÇÃO!P:P)</f>
        <v>0</v>
      </c>
      <c r="L298" s="45">
        <f t="shared" si="5"/>
        <v>0</v>
      </c>
      <c r="M298" s="4">
        <f t="shared" si="5"/>
        <v>0</v>
      </c>
    </row>
    <row r="299" spans="2:13" x14ac:dyDescent="0.25">
      <c r="B299" s="42">
        <v>2338</v>
      </c>
      <c r="C299" s="42" t="s">
        <v>303</v>
      </c>
      <c r="D299" s="43">
        <v>7896112123385</v>
      </c>
      <c r="E299" s="44" t="s">
        <v>34</v>
      </c>
      <c r="F299" s="45">
        <f>SUMIF(PND!D:D,B299,PND!H:H)</f>
        <v>0</v>
      </c>
      <c r="G299" s="4">
        <f>SUMIF(PND!D:D,Tabela2[[#This Row],[ITENS]],PND!J:J)</f>
        <v>0</v>
      </c>
      <c r="H299" s="45">
        <f>SUMIF(FATURADO!H:H,B299,FATURADO!L:L)</f>
        <v>0</v>
      </c>
      <c r="I299" s="4">
        <f>SUMIF(FATURADO!H:H,Tabela2[[#This Row],[ITENS]],FATURADO!N:N)</f>
        <v>0</v>
      </c>
      <c r="J299" s="45">
        <f>SUMIF(SEPARAÇÃO!I:I,B299,SEPARAÇÃO!M:M)</f>
        <v>0</v>
      </c>
      <c r="K299" s="4">
        <f>SUMIF(SEPARAÇÃO!I:I,Tabela2[[#This Row],[ITENS]],SEPARAÇÃO!P:P)</f>
        <v>0</v>
      </c>
      <c r="L299" s="45">
        <f t="shared" si="5"/>
        <v>0</v>
      </c>
      <c r="M299" s="4">
        <f t="shared" si="5"/>
        <v>0</v>
      </c>
    </row>
    <row r="300" spans="2:13" x14ac:dyDescent="0.25">
      <c r="B300" s="42">
        <v>2337</v>
      </c>
      <c r="C300" s="42" t="s">
        <v>304</v>
      </c>
      <c r="D300" s="43">
        <v>7896112123378</v>
      </c>
      <c r="E300" s="44" t="s">
        <v>34</v>
      </c>
      <c r="F300" s="45">
        <f>SUMIF(PND!D:D,B300,PND!H:H)</f>
        <v>0</v>
      </c>
      <c r="G300" s="4">
        <f>SUMIF(PND!D:D,Tabela2[[#This Row],[ITENS]],PND!J:J)</f>
        <v>0</v>
      </c>
      <c r="H300" s="45">
        <f>SUMIF(FATURADO!H:H,B300,FATURADO!L:L)</f>
        <v>0</v>
      </c>
      <c r="I300" s="4">
        <f>SUMIF(FATURADO!H:H,Tabela2[[#This Row],[ITENS]],FATURADO!N:N)</f>
        <v>0</v>
      </c>
      <c r="J300" s="45">
        <f>SUMIF(SEPARAÇÃO!I:I,B300,SEPARAÇÃO!M:M)</f>
        <v>0</v>
      </c>
      <c r="K300" s="4">
        <f>SUMIF(SEPARAÇÃO!I:I,Tabela2[[#This Row],[ITENS]],SEPARAÇÃO!P:P)</f>
        <v>0</v>
      </c>
      <c r="L300" s="45">
        <f t="shared" si="5"/>
        <v>0</v>
      </c>
      <c r="M300" s="4">
        <f t="shared" si="5"/>
        <v>0</v>
      </c>
    </row>
    <row r="301" spans="2:13" x14ac:dyDescent="0.25">
      <c r="B301" s="42">
        <v>1392</v>
      </c>
      <c r="C301" s="42" t="s">
        <v>305</v>
      </c>
      <c r="D301" s="43">
        <v>7896112113928</v>
      </c>
      <c r="E301" s="44" t="s">
        <v>23</v>
      </c>
      <c r="F301" s="45">
        <f>SUMIF(PND!D:D,B301,PND!H:H)</f>
        <v>0</v>
      </c>
      <c r="G301" s="4">
        <f>SUMIF(PND!D:D,Tabela2[[#This Row],[ITENS]],PND!J:J)</f>
        <v>0</v>
      </c>
      <c r="H301" s="45">
        <f>SUMIF(FATURADO!H:H,B301,FATURADO!L:L)</f>
        <v>0</v>
      </c>
      <c r="I301" s="4">
        <f>SUMIF(FATURADO!H:H,Tabela2[[#This Row],[ITENS]],FATURADO!N:N)</f>
        <v>0</v>
      </c>
      <c r="J301" s="45">
        <f>SUMIF(SEPARAÇÃO!I:I,B301,SEPARAÇÃO!M:M)</f>
        <v>0</v>
      </c>
      <c r="K301" s="4">
        <f>SUMIF(SEPARAÇÃO!I:I,Tabela2[[#This Row],[ITENS]],SEPARAÇÃO!P:P)</f>
        <v>0</v>
      </c>
      <c r="L301" s="45">
        <f t="shared" si="5"/>
        <v>0</v>
      </c>
      <c r="M301" s="4">
        <f t="shared" si="5"/>
        <v>0</v>
      </c>
    </row>
    <row r="302" spans="2:13" x14ac:dyDescent="0.25">
      <c r="B302" s="42">
        <v>9682</v>
      </c>
      <c r="C302" s="42" t="s">
        <v>306</v>
      </c>
      <c r="D302" s="43">
        <v>7896112196822</v>
      </c>
      <c r="E302" s="44" t="s">
        <v>23</v>
      </c>
      <c r="F302" s="45">
        <f>SUMIF(PND!D:D,B302,PND!H:H)</f>
        <v>0</v>
      </c>
      <c r="G302" s="4">
        <f>SUMIF(PND!D:D,Tabela2[[#This Row],[ITENS]],PND!J:J)</f>
        <v>0</v>
      </c>
      <c r="H302" s="45">
        <f>SUMIF(FATURADO!H:H,B302,FATURADO!L:L)</f>
        <v>0</v>
      </c>
      <c r="I302" s="4">
        <f>SUMIF(FATURADO!H:H,Tabela2[[#This Row],[ITENS]],FATURADO!N:N)</f>
        <v>0</v>
      </c>
      <c r="J302" s="45">
        <f>SUMIF(SEPARAÇÃO!I:I,B302,SEPARAÇÃO!M:M)</f>
        <v>0</v>
      </c>
      <c r="K302" s="4">
        <f>SUMIF(SEPARAÇÃO!I:I,Tabela2[[#This Row],[ITENS]],SEPARAÇÃO!P:P)</f>
        <v>0</v>
      </c>
      <c r="L302" s="45">
        <f t="shared" si="5"/>
        <v>0</v>
      </c>
      <c r="M302" s="4">
        <f t="shared" si="5"/>
        <v>0</v>
      </c>
    </row>
    <row r="303" spans="2:13" x14ac:dyDescent="0.25">
      <c r="B303" s="42">
        <v>3646</v>
      </c>
      <c r="C303" s="42" t="s">
        <v>307</v>
      </c>
      <c r="D303" s="43">
        <v>7896112136460</v>
      </c>
      <c r="E303" s="44" t="s">
        <v>34</v>
      </c>
      <c r="F303" s="45">
        <f>SUMIF(PND!D:D,B303,PND!H:H)</f>
        <v>0</v>
      </c>
      <c r="G303" s="4">
        <f>SUMIF(PND!D:D,Tabela2[[#This Row],[ITENS]],PND!J:J)</f>
        <v>0</v>
      </c>
      <c r="H303" s="45">
        <f>SUMIF(FATURADO!H:H,B303,FATURADO!L:L)</f>
        <v>0</v>
      </c>
      <c r="I303" s="4">
        <f>SUMIF(FATURADO!H:H,Tabela2[[#This Row],[ITENS]],FATURADO!N:N)</f>
        <v>0</v>
      </c>
      <c r="J303" s="45">
        <f>SUMIF(SEPARAÇÃO!I:I,B303,SEPARAÇÃO!M:M)</f>
        <v>0</v>
      </c>
      <c r="K303" s="4">
        <f>SUMIF(SEPARAÇÃO!I:I,Tabela2[[#This Row],[ITENS]],SEPARAÇÃO!P:P)</f>
        <v>0</v>
      </c>
      <c r="L303" s="45">
        <f t="shared" si="5"/>
        <v>0</v>
      </c>
      <c r="M303" s="4">
        <f t="shared" si="5"/>
        <v>0</v>
      </c>
    </row>
    <row r="304" spans="2:13" x14ac:dyDescent="0.25">
      <c r="B304" s="42">
        <v>325</v>
      </c>
      <c r="C304" s="42" t="s">
        <v>308</v>
      </c>
      <c r="D304" s="43">
        <v>7896112143253</v>
      </c>
      <c r="E304" s="44" t="s">
        <v>23</v>
      </c>
      <c r="F304" s="45">
        <f>SUMIF(PND!D:D,B304,PND!H:H)</f>
        <v>0</v>
      </c>
      <c r="G304" s="4">
        <f>SUMIF(PND!D:D,Tabela2[[#This Row],[ITENS]],PND!J:J)</f>
        <v>0</v>
      </c>
      <c r="H304" s="45">
        <f>SUMIF(FATURADO!H:H,B304,FATURADO!L:L)</f>
        <v>0</v>
      </c>
      <c r="I304" s="4">
        <f>SUMIF(FATURADO!H:H,Tabela2[[#This Row],[ITENS]],FATURADO!N:N)</f>
        <v>0</v>
      </c>
      <c r="J304" s="45">
        <f>SUMIF(SEPARAÇÃO!I:I,B304,SEPARAÇÃO!M:M)</f>
        <v>0</v>
      </c>
      <c r="K304" s="4">
        <f>SUMIF(SEPARAÇÃO!I:I,Tabela2[[#This Row],[ITENS]],SEPARAÇÃO!P:P)</f>
        <v>0</v>
      </c>
      <c r="L304" s="45">
        <f t="shared" si="5"/>
        <v>0</v>
      </c>
      <c r="M304" s="4">
        <f t="shared" si="5"/>
        <v>0</v>
      </c>
    </row>
    <row r="305" spans="2:13" x14ac:dyDescent="0.25">
      <c r="B305" s="42">
        <v>2617</v>
      </c>
      <c r="C305" s="42" t="s">
        <v>309</v>
      </c>
      <c r="D305" s="43">
        <v>7896112126171</v>
      </c>
      <c r="E305" s="44" t="s">
        <v>34</v>
      </c>
      <c r="F305" s="45">
        <f>SUMIF(PND!D:D,B305,PND!H:H)</f>
        <v>0</v>
      </c>
      <c r="G305" s="4">
        <f>SUMIF(PND!D:D,Tabela2[[#This Row],[ITENS]],PND!J:J)</f>
        <v>0</v>
      </c>
      <c r="H305" s="45">
        <f>SUMIF(FATURADO!H:H,B305,FATURADO!L:L)</f>
        <v>0</v>
      </c>
      <c r="I305" s="4">
        <f>SUMIF(FATURADO!H:H,Tabela2[[#This Row],[ITENS]],FATURADO!N:N)</f>
        <v>0</v>
      </c>
      <c r="J305" s="45">
        <f>SUMIF(SEPARAÇÃO!I:I,B305,SEPARAÇÃO!M:M)</f>
        <v>0</v>
      </c>
      <c r="K305" s="4">
        <f>SUMIF(SEPARAÇÃO!I:I,Tabela2[[#This Row],[ITENS]],SEPARAÇÃO!P:P)</f>
        <v>0</v>
      </c>
      <c r="L305" s="45">
        <f t="shared" si="5"/>
        <v>0</v>
      </c>
      <c r="M305" s="4">
        <f t="shared" si="5"/>
        <v>0</v>
      </c>
    </row>
    <row r="306" spans="2:13" x14ac:dyDescent="0.25">
      <c r="B306" s="42">
        <v>7484</v>
      </c>
      <c r="C306" s="42" t="s">
        <v>310</v>
      </c>
      <c r="D306" s="43">
        <v>7896112174844</v>
      </c>
      <c r="E306" s="44" t="s">
        <v>23</v>
      </c>
      <c r="F306" s="45">
        <f>SUMIF(PND!D:D,B306,PND!H:H)</f>
        <v>0</v>
      </c>
      <c r="G306" s="4">
        <f>SUMIF(PND!D:D,Tabela2[[#This Row],[ITENS]],PND!J:J)</f>
        <v>0</v>
      </c>
      <c r="H306" s="45">
        <f>SUMIF(FATURADO!H:H,B306,FATURADO!L:L)</f>
        <v>0</v>
      </c>
      <c r="I306" s="4">
        <f>SUMIF(FATURADO!H:H,Tabela2[[#This Row],[ITENS]],FATURADO!N:N)</f>
        <v>0</v>
      </c>
      <c r="J306" s="45">
        <f>SUMIF(SEPARAÇÃO!I:I,B306,SEPARAÇÃO!M:M)</f>
        <v>0</v>
      </c>
      <c r="K306" s="4">
        <f>SUMIF(SEPARAÇÃO!I:I,Tabela2[[#This Row],[ITENS]],SEPARAÇÃO!P:P)</f>
        <v>0</v>
      </c>
      <c r="L306" s="45">
        <f t="shared" si="5"/>
        <v>0</v>
      </c>
      <c r="M306" s="4">
        <f t="shared" si="5"/>
        <v>0</v>
      </c>
    </row>
    <row r="307" spans="2:13" x14ac:dyDescent="0.25">
      <c r="B307" s="42">
        <v>2249</v>
      </c>
      <c r="C307" s="42" t="s">
        <v>311</v>
      </c>
      <c r="D307" s="43">
        <v>7896112122494</v>
      </c>
      <c r="E307" s="44" t="s">
        <v>23</v>
      </c>
      <c r="F307" s="45">
        <f>SUMIF(PND!D:D,B307,PND!H:H)</f>
        <v>0</v>
      </c>
      <c r="G307" s="4">
        <f>SUMIF(PND!D:D,Tabela2[[#This Row],[ITENS]],PND!J:J)</f>
        <v>0</v>
      </c>
      <c r="H307" s="45">
        <f>SUMIF(FATURADO!H:H,B307,FATURADO!L:L)</f>
        <v>0</v>
      </c>
      <c r="I307" s="4">
        <f>SUMIF(FATURADO!H:H,Tabela2[[#This Row],[ITENS]],FATURADO!N:N)</f>
        <v>0</v>
      </c>
      <c r="J307" s="45">
        <f>SUMIF(SEPARAÇÃO!I:I,B307,SEPARAÇÃO!M:M)</f>
        <v>0</v>
      </c>
      <c r="K307" s="4">
        <f>SUMIF(SEPARAÇÃO!I:I,Tabela2[[#This Row],[ITENS]],SEPARAÇÃO!P:P)</f>
        <v>0</v>
      </c>
      <c r="L307" s="45">
        <f t="shared" si="5"/>
        <v>0</v>
      </c>
      <c r="M307" s="4">
        <f t="shared" si="5"/>
        <v>0</v>
      </c>
    </row>
    <row r="308" spans="2:13" x14ac:dyDescent="0.25">
      <c r="B308" s="42">
        <v>4166</v>
      </c>
      <c r="C308" s="42" t="s">
        <v>312</v>
      </c>
      <c r="D308" s="43">
        <v>7896112101666</v>
      </c>
      <c r="E308" s="44" t="s">
        <v>23</v>
      </c>
      <c r="F308" s="45">
        <f>SUMIF(PND!D:D,B308,PND!H:H)</f>
        <v>0</v>
      </c>
      <c r="G308" s="4">
        <f>SUMIF(PND!D:D,Tabela2[[#This Row],[ITENS]],PND!J:J)</f>
        <v>0</v>
      </c>
      <c r="H308" s="45">
        <f>SUMIF(FATURADO!H:H,B308,FATURADO!L:L)</f>
        <v>0</v>
      </c>
      <c r="I308" s="4">
        <f>SUMIF(FATURADO!H:H,Tabela2[[#This Row],[ITENS]],FATURADO!N:N)</f>
        <v>0</v>
      </c>
      <c r="J308" s="45">
        <f>SUMIF(SEPARAÇÃO!I:I,B308,SEPARAÇÃO!M:M)</f>
        <v>0</v>
      </c>
      <c r="K308" s="4">
        <f>SUMIF(SEPARAÇÃO!I:I,Tabela2[[#This Row],[ITENS]],SEPARAÇÃO!P:P)</f>
        <v>0</v>
      </c>
      <c r="L308" s="45">
        <f t="shared" si="5"/>
        <v>0</v>
      </c>
      <c r="M308" s="4">
        <f t="shared" si="5"/>
        <v>0</v>
      </c>
    </row>
    <row r="309" spans="2:13" x14ac:dyDescent="0.25">
      <c r="B309" s="42">
        <v>862</v>
      </c>
      <c r="C309" s="42" t="s">
        <v>313</v>
      </c>
      <c r="D309" s="43">
        <v>7896112148623</v>
      </c>
      <c r="E309" s="44" t="s">
        <v>34</v>
      </c>
      <c r="F309" s="45">
        <f>SUMIF(PND!D:D,B309,PND!H:H)</f>
        <v>0</v>
      </c>
      <c r="G309" s="4">
        <f>SUMIF(PND!D:D,Tabela2[[#This Row],[ITENS]],PND!J:J)</f>
        <v>0</v>
      </c>
      <c r="H309" s="45">
        <f>SUMIF(FATURADO!H:H,B309,FATURADO!L:L)</f>
        <v>0</v>
      </c>
      <c r="I309" s="4">
        <f>SUMIF(FATURADO!H:H,Tabela2[[#This Row],[ITENS]],FATURADO!N:N)</f>
        <v>0</v>
      </c>
      <c r="J309" s="45">
        <f>SUMIF(SEPARAÇÃO!I:I,B309,SEPARAÇÃO!M:M)</f>
        <v>0</v>
      </c>
      <c r="K309" s="4">
        <f>SUMIF(SEPARAÇÃO!I:I,Tabela2[[#This Row],[ITENS]],SEPARAÇÃO!P:P)</f>
        <v>0</v>
      </c>
      <c r="L309" s="45">
        <f t="shared" si="5"/>
        <v>0</v>
      </c>
      <c r="M309" s="4">
        <f t="shared" si="5"/>
        <v>0</v>
      </c>
    </row>
    <row r="310" spans="2:13" x14ac:dyDescent="0.25">
      <c r="B310" s="42">
        <v>6041</v>
      </c>
      <c r="C310" s="42" t="s">
        <v>314</v>
      </c>
      <c r="D310" s="43">
        <v>7896112160410</v>
      </c>
      <c r="E310" s="44" t="s">
        <v>23</v>
      </c>
      <c r="F310" s="45">
        <f>SUMIF(PND!D:D,B310,PND!H:H)</f>
        <v>0</v>
      </c>
      <c r="G310" s="4">
        <f>SUMIF(PND!D:D,Tabela2[[#This Row],[ITENS]],PND!J:J)</f>
        <v>0</v>
      </c>
      <c r="H310" s="45">
        <f>SUMIF(FATURADO!H:H,B310,FATURADO!L:L)</f>
        <v>0</v>
      </c>
      <c r="I310" s="4">
        <f>SUMIF(FATURADO!H:H,Tabela2[[#This Row],[ITENS]],FATURADO!N:N)</f>
        <v>0</v>
      </c>
      <c r="J310" s="45">
        <f>SUMIF(SEPARAÇÃO!I:I,B310,SEPARAÇÃO!M:M)</f>
        <v>0</v>
      </c>
      <c r="K310" s="4">
        <f>SUMIF(SEPARAÇÃO!I:I,Tabela2[[#This Row],[ITENS]],SEPARAÇÃO!P:P)</f>
        <v>0</v>
      </c>
      <c r="L310" s="45">
        <f t="shared" si="5"/>
        <v>0</v>
      </c>
      <c r="M310" s="4">
        <f t="shared" si="5"/>
        <v>0</v>
      </c>
    </row>
    <row r="311" spans="2:13" x14ac:dyDescent="0.25">
      <c r="B311" s="42">
        <v>5114</v>
      </c>
      <c r="C311" s="42" t="s">
        <v>315</v>
      </c>
      <c r="D311" s="43">
        <v>7896112151142</v>
      </c>
      <c r="E311" s="44" t="s">
        <v>34</v>
      </c>
      <c r="F311" s="45">
        <f>SUMIF(PND!D:D,B311,PND!H:H)</f>
        <v>0</v>
      </c>
      <c r="G311" s="4">
        <f>SUMIF(PND!D:D,Tabela2[[#This Row],[ITENS]],PND!J:J)</f>
        <v>0</v>
      </c>
      <c r="H311" s="45">
        <f>SUMIF(FATURADO!H:H,B311,FATURADO!L:L)</f>
        <v>0</v>
      </c>
      <c r="I311" s="4">
        <f>SUMIF(FATURADO!H:H,Tabela2[[#This Row],[ITENS]],FATURADO!N:N)</f>
        <v>0</v>
      </c>
      <c r="J311" s="45">
        <f>SUMIF(SEPARAÇÃO!I:I,B311,SEPARAÇÃO!M:M)</f>
        <v>0</v>
      </c>
      <c r="K311" s="4">
        <f>SUMIF(SEPARAÇÃO!I:I,Tabela2[[#This Row],[ITENS]],SEPARAÇÃO!P:P)</f>
        <v>0</v>
      </c>
      <c r="L311" s="45">
        <f t="shared" si="5"/>
        <v>0</v>
      </c>
      <c r="M311" s="4">
        <f t="shared" si="5"/>
        <v>0</v>
      </c>
    </row>
    <row r="312" spans="2:13" x14ac:dyDescent="0.25">
      <c r="B312" s="42">
        <v>9731</v>
      </c>
      <c r="C312" s="42" t="s">
        <v>316</v>
      </c>
      <c r="D312" s="43">
        <v>7896112197317</v>
      </c>
      <c r="E312" s="44" t="s">
        <v>23</v>
      </c>
      <c r="F312" s="45">
        <f>SUMIF(PND!D:D,B312,PND!H:H)</f>
        <v>0</v>
      </c>
      <c r="G312" s="4">
        <f>SUMIF(PND!D:D,Tabela2[[#This Row],[ITENS]],PND!J:J)</f>
        <v>0</v>
      </c>
      <c r="H312" s="45">
        <f>SUMIF(FATURADO!H:H,B312,FATURADO!L:L)</f>
        <v>0</v>
      </c>
      <c r="I312" s="4">
        <f>SUMIF(FATURADO!H:H,Tabela2[[#This Row],[ITENS]],FATURADO!N:N)</f>
        <v>0</v>
      </c>
      <c r="J312" s="45">
        <f>SUMIF(SEPARAÇÃO!I:I,B312,SEPARAÇÃO!M:M)</f>
        <v>0</v>
      </c>
      <c r="K312" s="4">
        <f>SUMIF(SEPARAÇÃO!I:I,Tabela2[[#This Row],[ITENS]],SEPARAÇÃO!P:P)</f>
        <v>0</v>
      </c>
      <c r="L312" s="45">
        <f t="shared" si="5"/>
        <v>0</v>
      </c>
      <c r="M312" s="4">
        <f t="shared" si="5"/>
        <v>0</v>
      </c>
    </row>
    <row r="313" spans="2:13" x14ac:dyDescent="0.25">
      <c r="B313" s="42">
        <v>779</v>
      </c>
      <c r="C313" s="42" t="s">
        <v>317</v>
      </c>
      <c r="D313" s="43">
        <v>7896112147794</v>
      </c>
      <c r="E313" s="44" t="s">
        <v>23</v>
      </c>
      <c r="F313" s="45">
        <f>SUMIF(PND!D:D,B313,PND!H:H)</f>
        <v>0</v>
      </c>
      <c r="G313" s="4">
        <f>SUMIF(PND!D:D,Tabela2[[#This Row],[ITENS]],PND!J:J)</f>
        <v>0</v>
      </c>
      <c r="H313" s="45">
        <f>SUMIF(FATURADO!H:H,B313,FATURADO!L:L)</f>
        <v>0</v>
      </c>
      <c r="I313" s="4">
        <f>SUMIF(FATURADO!H:H,Tabela2[[#This Row],[ITENS]],FATURADO!N:N)</f>
        <v>0</v>
      </c>
      <c r="J313" s="45">
        <f>SUMIF(SEPARAÇÃO!I:I,B313,SEPARAÇÃO!M:M)</f>
        <v>0</v>
      </c>
      <c r="K313" s="4">
        <f>SUMIF(SEPARAÇÃO!I:I,Tabela2[[#This Row],[ITENS]],SEPARAÇÃO!P:P)</f>
        <v>0</v>
      </c>
      <c r="L313" s="45">
        <f t="shared" si="5"/>
        <v>0</v>
      </c>
      <c r="M313" s="4">
        <f t="shared" si="5"/>
        <v>0</v>
      </c>
    </row>
    <row r="314" spans="2:13" x14ac:dyDescent="0.25">
      <c r="B314" s="42">
        <v>6301</v>
      </c>
      <c r="C314" s="42" t="s">
        <v>318</v>
      </c>
      <c r="D314" s="43">
        <v>7896112163015</v>
      </c>
      <c r="E314" s="44" t="s">
        <v>23</v>
      </c>
      <c r="F314" s="45">
        <f>SUMIF(PND!D:D,B314,PND!H:H)</f>
        <v>0</v>
      </c>
      <c r="G314" s="4">
        <f>SUMIF(PND!D:D,Tabela2[[#This Row],[ITENS]],PND!J:J)</f>
        <v>0</v>
      </c>
      <c r="H314" s="45">
        <f>SUMIF(FATURADO!H:H,B314,FATURADO!L:L)</f>
        <v>0</v>
      </c>
      <c r="I314" s="4">
        <f>SUMIF(FATURADO!H:H,Tabela2[[#This Row],[ITENS]],FATURADO!N:N)</f>
        <v>0</v>
      </c>
      <c r="J314" s="45">
        <f>SUMIF(SEPARAÇÃO!I:I,B314,SEPARAÇÃO!M:M)</f>
        <v>0</v>
      </c>
      <c r="K314" s="4">
        <f>SUMIF(SEPARAÇÃO!I:I,Tabela2[[#This Row],[ITENS]],SEPARAÇÃO!P:P)</f>
        <v>0</v>
      </c>
      <c r="L314" s="45">
        <f t="shared" si="5"/>
        <v>0</v>
      </c>
      <c r="M314" s="4">
        <f t="shared" si="5"/>
        <v>0</v>
      </c>
    </row>
    <row r="315" spans="2:13" x14ac:dyDescent="0.25">
      <c r="B315" s="42">
        <v>4151</v>
      </c>
      <c r="C315" s="42" t="s">
        <v>319</v>
      </c>
      <c r="D315" s="43">
        <v>7896112101512</v>
      </c>
      <c r="E315" s="44" t="s">
        <v>34</v>
      </c>
      <c r="F315" s="45">
        <f>SUMIF(PND!D:D,B315,PND!H:H)</f>
        <v>0</v>
      </c>
      <c r="G315" s="4">
        <f>SUMIF(PND!D:D,Tabela2[[#This Row],[ITENS]],PND!J:J)</f>
        <v>0</v>
      </c>
      <c r="H315" s="45">
        <f>SUMIF(FATURADO!H:H,B315,FATURADO!L:L)</f>
        <v>0</v>
      </c>
      <c r="I315" s="4">
        <f>SUMIF(FATURADO!H:H,Tabela2[[#This Row],[ITENS]],FATURADO!N:N)</f>
        <v>0</v>
      </c>
      <c r="J315" s="45">
        <f>SUMIF(SEPARAÇÃO!I:I,B315,SEPARAÇÃO!M:M)</f>
        <v>0</v>
      </c>
      <c r="K315" s="4">
        <f>SUMIF(SEPARAÇÃO!I:I,Tabela2[[#This Row],[ITENS]],SEPARAÇÃO!P:P)</f>
        <v>0</v>
      </c>
      <c r="L315" s="45">
        <f t="shared" si="5"/>
        <v>0</v>
      </c>
      <c r="M315" s="4">
        <f t="shared" si="5"/>
        <v>0</v>
      </c>
    </row>
    <row r="316" spans="2:13" x14ac:dyDescent="0.25">
      <c r="B316" s="42">
        <v>6843</v>
      </c>
      <c r="C316" s="42" t="s">
        <v>320</v>
      </c>
      <c r="D316" s="43">
        <v>7896112168430</v>
      </c>
      <c r="E316" s="44" t="s">
        <v>34</v>
      </c>
      <c r="F316" s="45">
        <f>SUMIF(PND!D:D,B316,PND!H:H)</f>
        <v>0</v>
      </c>
      <c r="G316" s="4">
        <f>SUMIF(PND!D:D,Tabela2[[#This Row],[ITENS]],PND!J:J)</f>
        <v>0</v>
      </c>
      <c r="H316" s="45">
        <f>SUMIF(FATURADO!H:H,B316,FATURADO!L:L)</f>
        <v>0</v>
      </c>
      <c r="I316" s="4">
        <f>SUMIF(FATURADO!H:H,Tabela2[[#This Row],[ITENS]],FATURADO!N:N)</f>
        <v>0</v>
      </c>
      <c r="J316" s="45">
        <f>SUMIF(SEPARAÇÃO!I:I,B316,SEPARAÇÃO!M:M)</f>
        <v>0</v>
      </c>
      <c r="K316" s="4">
        <f>SUMIF(SEPARAÇÃO!I:I,Tabela2[[#This Row],[ITENS]],SEPARAÇÃO!P:P)</f>
        <v>0</v>
      </c>
      <c r="L316" s="45">
        <f t="shared" si="5"/>
        <v>0</v>
      </c>
      <c r="M316" s="4">
        <f t="shared" si="5"/>
        <v>0</v>
      </c>
    </row>
    <row r="317" spans="2:13" x14ac:dyDescent="0.25">
      <c r="B317" s="42">
        <v>6844</v>
      </c>
      <c r="C317" s="42" t="s">
        <v>321</v>
      </c>
      <c r="D317" s="43">
        <v>7896112168447</v>
      </c>
      <c r="E317" s="44" t="s">
        <v>34</v>
      </c>
      <c r="F317" s="45">
        <f>SUMIF(PND!D:D,B317,PND!H:H)</f>
        <v>0</v>
      </c>
      <c r="G317" s="4">
        <f>SUMIF(PND!D:D,Tabela2[[#This Row],[ITENS]],PND!J:J)</f>
        <v>0</v>
      </c>
      <c r="H317" s="45">
        <f>SUMIF(FATURADO!H:H,B317,FATURADO!L:L)</f>
        <v>0</v>
      </c>
      <c r="I317" s="4">
        <f>SUMIF(FATURADO!H:H,Tabela2[[#This Row],[ITENS]],FATURADO!N:N)</f>
        <v>0</v>
      </c>
      <c r="J317" s="45">
        <f>SUMIF(SEPARAÇÃO!I:I,B317,SEPARAÇÃO!M:M)</f>
        <v>0</v>
      </c>
      <c r="K317" s="4">
        <f>SUMIF(SEPARAÇÃO!I:I,Tabela2[[#This Row],[ITENS]],SEPARAÇÃO!P:P)</f>
        <v>0</v>
      </c>
      <c r="L317" s="45">
        <f t="shared" si="5"/>
        <v>0</v>
      </c>
      <c r="M317" s="4">
        <f t="shared" si="5"/>
        <v>0</v>
      </c>
    </row>
    <row r="318" spans="2:13" x14ac:dyDescent="0.25">
      <c r="B318" s="42">
        <v>742</v>
      </c>
      <c r="C318" s="42" t="s">
        <v>322</v>
      </c>
      <c r="D318" s="43">
        <v>7896112147428</v>
      </c>
      <c r="E318" s="44" t="s">
        <v>23</v>
      </c>
      <c r="F318" s="45">
        <f>SUMIF(PND!D:D,B318,PND!H:H)</f>
        <v>0</v>
      </c>
      <c r="G318" s="4">
        <f>SUMIF(PND!D:D,Tabela2[[#This Row],[ITENS]],PND!J:J)</f>
        <v>0</v>
      </c>
      <c r="H318" s="45">
        <f>SUMIF(FATURADO!H:H,B318,FATURADO!L:L)</f>
        <v>0</v>
      </c>
      <c r="I318" s="4">
        <f>SUMIF(FATURADO!H:H,Tabela2[[#This Row],[ITENS]],FATURADO!N:N)</f>
        <v>0</v>
      </c>
      <c r="J318" s="45">
        <f>SUMIF(SEPARAÇÃO!I:I,B318,SEPARAÇÃO!M:M)</f>
        <v>0</v>
      </c>
      <c r="K318" s="4">
        <f>SUMIF(SEPARAÇÃO!I:I,Tabela2[[#This Row],[ITENS]],SEPARAÇÃO!P:P)</f>
        <v>0</v>
      </c>
      <c r="L318" s="45">
        <f t="shared" si="5"/>
        <v>0</v>
      </c>
      <c r="M318" s="4">
        <f t="shared" si="5"/>
        <v>0</v>
      </c>
    </row>
    <row r="319" spans="2:13" x14ac:dyDescent="0.25">
      <c r="B319" s="42">
        <v>2263</v>
      </c>
      <c r="C319" s="42" t="s">
        <v>323</v>
      </c>
      <c r="D319" s="43">
        <v>7896112122630</v>
      </c>
      <c r="E319" s="44" t="s">
        <v>23</v>
      </c>
      <c r="F319" s="45">
        <f>SUMIF(PND!D:D,B319,PND!H:H)</f>
        <v>0</v>
      </c>
      <c r="G319" s="4">
        <f>SUMIF(PND!D:D,Tabela2[[#This Row],[ITENS]],PND!J:J)</f>
        <v>0</v>
      </c>
      <c r="H319" s="45">
        <f>SUMIF(FATURADO!H:H,B319,FATURADO!L:L)</f>
        <v>0</v>
      </c>
      <c r="I319" s="4">
        <f>SUMIF(FATURADO!H:H,Tabela2[[#This Row],[ITENS]],FATURADO!N:N)</f>
        <v>0</v>
      </c>
      <c r="J319" s="45">
        <f>SUMIF(SEPARAÇÃO!I:I,B319,SEPARAÇÃO!M:M)</f>
        <v>0</v>
      </c>
      <c r="K319" s="4">
        <f>SUMIF(SEPARAÇÃO!I:I,Tabela2[[#This Row],[ITENS]],SEPARAÇÃO!P:P)</f>
        <v>0</v>
      </c>
      <c r="L319" s="45">
        <f t="shared" si="5"/>
        <v>0</v>
      </c>
      <c r="M319" s="4">
        <f t="shared" si="5"/>
        <v>0</v>
      </c>
    </row>
    <row r="320" spans="2:13" x14ac:dyDescent="0.25">
      <c r="B320" s="42">
        <v>844</v>
      </c>
      <c r="C320" s="42" t="s">
        <v>324</v>
      </c>
      <c r="D320" s="43">
        <v>7896112108443</v>
      </c>
      <c r="E320" s="44" t="s">
        <v>34</v>
      </c>
      <c r="F320" s="45">
        <f>SUMIF(PND!D:D,B320,PND!H:H)</f>
        <v>0</v>
      </c>
      <c r="G320" s="4">
        <f>SUMIF(PND!D:D,Tabela2[[#This Row],[ITENS]],PND!J:J)</f>
        <v>0</v>
      </c>
      <c r="H320" s="45">
        <f>SUMIF(FATURADO!H:H,B320,FATURADO!L:L)</f>
        <v>5000</v>
      </c>
      <c r="I320" s="4">
        <f>SUMIF(FATURADO!H:H,Tabela2[[#This Row],[ITENS]],FATURADO!N:N)</f>
        <v>56150</v>
      </c>
      <c r="J320" s="45">
        <f>SUMIF(SEPARAÇÃO!I:I,B320,SEPARAÇÃO!M:M)</f>
        <v>0</v>
      </c>
      <c r="K320" s="4">
        <f>SUMIF(SEPARAÇÃO!I:I,Tabela2[[#This Row],[ITENS]],SEPARAÇÃO!P:P)</f>
        <v>0</v>
      </c>
      <c r="L320" s="45">
        <f t="shared" ref="L320:M348" si="6">F320+H320+J320</f>
        <v>5000</v>
      </c>
      <c r="M320" s="4">
        <f t="shared" si="6"/>
        <v>56150</v>
      </c>
    </row>
    <row r="321" spans="2:13" x14ac:dyDescent="0.25">
      <c r="B321" s="42">
        <v>2117</v>
      </c>
      <c r="C321" s="42" t="s">
        <v>325</v>
      </c>
      <c r="D321" s="43">
        <v>7896112121176</v>
      </c>
      <c r="E321" s="44" t="s">
        <v>34</v>
      </c>
      <c r="F321" s="45">
        <f>SUMIF(PND!D:D,B321,PND!H:H)</f>
        <v>0</v>
      </c>
      <c r="G321" s="4">
        <f>SUMIF(PND!D:D,Tabela2[[#This Row],[ITENS]],PND!J:J)</f>
        <v>0</v>
      </c>
      <c r="H321" s="45">
        <f>SUMIF(FATURADO!H:H,B321,FATURADO!L:L)</f>
        <v>0</v>
      </c>
      <c r="I321" s="4">
        <f>SUMIF(FATURADO!H:H,Tabela2[[#This Row],[ITENS]],FATURADO!N:N)</f>
        <v>0</v>
      </c>
      <c r="J321" s="45">
        <f>SUMIF(SEPARAÇÃO!I:I,B321,SEPARAÇÃO!M:M)</f>
        <v>0</v>
      </c>
      <c r="K321" s="4">
        <f>SUMIF(SEPARAÇÃO!I:I,Tabela2[[#This Row],[ITENS]],SEPARAÇÃO!P:P)</f>
        <v>0</v>
      </c>
      <c r="L321" s="45">
        <f t="shared" si="6"/>
        <v>0</v>
      </c>
      <c r="M321" s="4">
        <f t="shared" si="6"/>
        <v>0</v>
      </c>
    </row>
    <row r="322" spans="2:13" x14ac:dyDescent="0.25">
      <c r="B322" s="42">
        <v>2118</v>
      </c>
      <c r="C322" s="42" t="s">
        <v>326</v>
      </c>
      <c r="D322" s="43">
        <v>7896112121183</v>
      </c>
      <c r="E322" s="44" t="s">
        <v>34</v>
      </c>
      <c r="F322" s="45">
        <f>SUMIF(PND!D:D,B322,PND!H:H)</f>
        <v>0</v>
      </c>
      <c r="G322" s="4">
        <f>SUMIF(PND!D:D,Tabela2[[#This Row],[ITENS]],PND!J:J)</f>
        <v>0</v>
      </c>
      <c r="H322" s="45">
        <f>SUMIF(FATURADO!H:H,B322,FATURADO!L:L)</f>
        <v>0</v>
      </c>
      <c r="I322" s="4">
        <f>SUMIF(FATURADO!H:H,Tabela2[[#This Row],[ITENS]],FATURADO!N:N)</f>
        <v>0</v>
      </c>
      <c r="J322" s="45">
        <f>SUMIF(SEPARAÇÃO!I:I,B322,SEPARAÇÃO!M:M)</f>
        <v>0</v>
      </c>
      <c r="K322" s="4">
        <f>SUMIF(SEPARAÇÃO!I:I,Tabela2[[#This Row],[ITENS]],SEPARAÇÃO!P:P)</f>
        <v>0</v>
      </c>
      <c r="L322" s="45">
        <f t="shared" si="6"/>
        <v>0</v>
      </c>
      <c r="M322" s="4">
        <f t="shared" si="6"/>
        <v>0</v>
      </c>
    </row>
    <row r="323" spans="2:13" x14ac:dyDescent="0.25">
      <c r="B323" s="42">
        <v>9831</v>
      </c>
      <c r="C323" s="42" t="s">
        <v>327</v>
      </c>
      <c r="D323" s="43">
        <v>7896112198314</v>
      </c>
      <c r="E323" s="44" t="s">
        <v>23</v>
      </c>
      <c r="F323" s="45">
        <f>SUMIF(PND!D:D,B323,PND!H:H)</f>
        <v>0</v>
      </c>
      <c r="G323" s="4">
        <f>SUMIF(PND!D:D,Tabela2[[#This Row],[ITENS]],PND!J:J)</f>
        <v>0</v>
      </c>
      <c r="H323" s="45">
        <f>SUMIF(FATURADO!H:H,B323,FATURADO!L:L)</f>
        <v>0</v>
      </c>
      <c r="I323" s="4">
        <f>SUMIF(FATURADO!H:H,Tabela2[[#This Row],[ITENS]],FATURADO!N:N)</f>
        <v>0</v>
      </c>
      <c r="J323" s="45">
        <f>SUMIF(SEPARAÇÃO!I:I,B323,SEPARAÇÃO!M:M)</f>
        <v>0</v>
      </c>
      <c r="K323" s="4">
        <f>SUMIF(SEPARAÇÃO!I:I,Tabela2[[#This Row],[ITENS]],SEPARAÇÃO!P:P)</f>
        <v>0</v>
      </c>
      <c r="L323" s="45">
        <f t="shared" si="6"/>
        <v>0</v>
      </c>
      <c r="M323" s="4">
        <f t="shared" si="6"/>
        <v>0</v>
      </c>
    </row>
    <row r="324" spans="2:13" x14ac:dyDescent="0.25">
      <c r="B324" s="42">
        <v>9832</v>
      </c>
      <c r="C324" s="42" t="s">
        <v>328</v>
      </c>
      <c r="D324" s="43">
        <v>7896112198321</v>
      </c>
      <c r="E324" s="44" t="s">
        <v>23</v>
      </c>
      <c r="F324" s="45">
        <f>SUMIF(PND!D:D,B324,PND!H:H)</f>
        <v>0</v>
      </c>
      <c r="G324" s="4">
        <f>SUMIF(PND!D:D,Tabela2[[#This Row],[ITENS]],PND!J:J)</f>
        <v>0</v>
      </c>
      <c r="H324" s="45">
        <f>SUMIF(FATURADO!H:H,B324,FATURADO!L:L)</f>
        <v>0</v>
      </c>
      <c r="I324" s="4">
        <f>SUMIF(FATURADO!H:H,Tabela2[[#This Row],[ITENS]],FATURADO!N:N)</f>
        <v>0</v>
      </c>
      <c r="J324" s="45">
        <f>SUMIF(SEPARAÇÃO!I:I,B324,SEPARAÇÃO!M:M)</f>
        <v>0</v>
      </c>
      <c r="K324" s="4">
        <f>SUMIF(SEPARAÇÃO!I:I,Tabela2[[#This Row],[ITENS]],SEPARAÇÃO!P:P)</f>
        <v>0</v>
      </c>
      <c r="L324" s="45">
        <f t="shared" si="6"/>
        <v>0</v>
      </c>
      <c r="M324" s="4">
        <f t="shared" si="6"/>
        <v>0</v>
      </c>
    </row>
    <row r="325" spans="2:13" x14ac:dyDescent="0.25">
      <c r="B325" s="42">
        <v>9834</v>
      </c>
      <c r="C325" s="42" t="s">
        <v>329</v>
      </c>
      <c r="D325" s="43">
        <v>7896112198345</v>
      </c>
      <c r="E325" s="44" t="s">
        <v>23</v>
      </c>
      <c r="F325" s="45">
        <f>SUMIF(PND!D:D,B325,PND!H:H)</f>
        <v>0</v>
      </c>
      <c r="G325" s="4">
        <f>SUMIF(PND!D:D,Tabela2[[#This Row],[ITENS]],PND!J:J)</f>
        <v>0</v>
      </c>
      <c r="H325" s="45">
        <f>SUMIF(FATURADO!H:H,B325,FATURADO!L:L)</f>
        <v>0</v>
      </c>
      <c r="I325" s="4">
        <f>SUMIF(FATURADO!H:H,Tabela2[[#This Row],[ITENS]],FATURADO!N:N)</f>
        <v>0</v>
      </c>
      <c r="J325" s="45">
        <f>SUMIF(SEPARAÇÃO!I:I,B325,SEPARAÇÃO!M:M)</f>
        <v>0</v>
      </c>
      <c r="K325" s="4">
        <f>SUMIF(SEPARAÇÃO!I:I,Tabela2[[#This Row],[ITENS]],SEPARAÇÃO!P:P)</f>
        <v>0</v>
      </c>
      <c r="L325" s="45">
        <f t="shared" si="6"/>
        <v>0</v>
      </c>
      <c r="M325" s="4">
        <f t="shared" si="6"/>
        <v>0</v>
      </c>
    </row>
    <row r="326" spans="2:13" x14ac:dyDescent="0.25">
      <c r="B326" s="42">
        <v>6404</v>
      </c>
      <c r="C326" s="42" t="s">
        <v>330</v>
      </c>
      <c r="D326" s="43">
        <v>7896112164043</v>
      </c>
      <c r="E326" s="44" t="s">
        <v>34</v>
      </c>
      <c r="F326" s="45">
        <f>SUMIF(PND!D:D,B326,PND!H:H)</f>
        <v>0</v>
      </c>
      <c r="G326" s="4">
        <f>SUMIF(PND!D:D,Tabela2[[#This Row],[ITENS]],PND!J:J)</f>
        <v>0</v>
      </c>
      <c r="H326" s="45">
        <f>SUMIF(FATURADO!H:H,B326,FATURADO!L:L)</f>
        <v>0</v>
      </c>
      <c r="I326" s="4">
        <f>SUMIF(FATURADO!H:H,Tabela2[[#This Row],[ITENS]],FATURADO!N:N)</f>
        <v>0</v>
      </c>
      <c r="J326" s="45">
        <f>SUMIF(SEPARAÇÃO!I:I,B326,SEPARAÇÃO!M:M)</f>
        <v>0</v>
      </c>
      <c r="K326" s="4">
        <f>SUMIF(SEPARAÇÃO!I:I,Tabela2[[#This Row],[ITENS]],SEPARAÇÃO!P:P)</f>
        <v>0</v>
      </c>
      <c r="L326" s="45">
        <f t="shared" si="6"/>
        <v>0</v>
      </c>
      <c r="M326" s="4">
        <f t="shared" si="6"/>
        <v>0</v>
      </c>
    </row>
    <row r="327" spans="2:13" x14ac:dyDescent="0.25">
      <c r="B327" s="42">
        <v>3281</v>
      </c>
      <c r="C327" s="42" t="s">
        <v>331</v>
      </c>
      <c r="D327" s="43">
        <v>7896112132813</v>
      </c>
      <c r="E327" s="44" t="s">
        <v>34</v>
      </c>
      <c r="F327" s="45">
        <f>SUMIF(PND!D:D,B327,PND!H:H)</f>
        <v>0</v>
      </c>
      <c r="G327" s="4">
        <f>SUMIF(PND!D:D,Tabela2[[#This Row],[ITENS]],PND!J:J)</f>
        <v>0</v>
      </c>
      <c r="H327" s="45">
        <f>SUMIF(FATURADO!H:H,B327,FATURADO!L:L)</f>
        <v>0</v>
      </c>
      <c r="I327" s="4">
        <f>SUMIF(FATURADO!H:H,Tabela2[[#This Row],[ITENS]],FATURADO!N:N)</f>
        <v>0</v>
      </c>
      <c r="J327" s="45">
        <f>SUMIF(SEPARAÇÃO!I:I,B327,SEPARAÇÃO!M:M)</f>
        <v>0</v>
      </c>
      <c r="K327" s="4">
        <f>SUMIF(SEPARAÇÃO!I:I,Tabela2[[#This Row],[ITENS]],SEPARAÇÃO!P:P)</f>
        <v>0</v>
      </c>
      <c r="L327" s="45">
        <f t="shared" si="6"/>
        <v>0</v>
      </c>
      <c r="M327" s="4">
        <f t="shared" si="6"/>
        <v>0</v>
      </c>
    </row>
    <row r="328" spans="2:13" x14ac:dyDescent="0.25">
      <c r="B328" s="42">
        <v>5913</v>
      </c>
      <c r="C328" s="42" t="s">
        <v>332</v>
      </c>
      <c r="D328" s="43">
        <v>7896112159131</v>
      </c>
      <c r="E328" s="44" t="s">
        <v>34</v>
      </c>
      <c r="F328" s="45">
        <f>SUMIF(PND!D:D,B328,PND!H:H)</f>
        <v>0</v>
      </c>
      <c r="G328" s="4">
        <f>SUMIF(PND!D:D,Tabela2[[#This Row],[ITENS]],PND!J:J)</f>
        <v>0</v>
      </c>
      <c r="H328" s="45">
        <f>SUMIF(FATURADO!H:H,B328,FATURADO!L:L)</f>
        <v>0</v>
      </c>
      <c r="I328" s="4">
        <f>SUMIF(FATURADO!H:H,Tabela2[[#This Row],[ITENS]],FATURADO!N:N)</f>
        <v>0</v>
      </c>
      <c r="J328" s="45">
        <f>SUMIF(SEPARAÇÃO!I:I,B328,SEPARAÇÃO!M:M)</f>
        <v>0</v>
      </c>
      <c r="K328" s="4">
        <f>SUMIF(SEPARAÇÃO!I:I,Tabela2[[#This Row],[ITENS]],SEPARAÇÃO!P:P)</f>
        <v>0</v>
      </c>
      <c r="L328" s="45">
        <f t="shared" si="6"/>
        <v>0</v>
      </c>
      <c r="M328" s="4">
        <f t="shared" si="6"/>
        <v>0</v>
      </c>
    </row>
    <row r="329" spans="2:13" x14ac:dyDescent="0.25">
      <c r="B329" s="42">
        <v>6489</v>
      </c>
      <c r="C329" s="42" t="s">
        <v>333</v>
      </c>
      <c r="D329" s="43">
        <v>7896112164890</v>
      </c>
      <c r="E329" s="44" t="s">
        <v>23</v>
      </c>
      <c r="F329" s="45">
        <f>SUMIF(PND!D:D,B329,PND!H:H)</f>
        <v>0</v>
      </c>
      <c r="G329" s="4">
        <f>SUMIF(PND!D:D,Tabela2[[#This Row],[ITENS]],PND!J:J)</f>
        <v>0</v>
      </c>
      <c r="H329" s="45">
        <f>SUMIF(FATURADO!H:H,B329,FATURADO!L:L)</f>
        <v>0</v>
      </c>
      <c r="I329" s="4">
        <f>SUMIF(FATURADO!H:H,Tabela2[[#This Row],[ITENS]],FATURADO!N:N)</f>
        <v>0</v>
      </c>
      <c r="J329" s="45">
        <f>SUMIF(SEPARAÇÃO!I:I,B329,SEPARAÇÃO!M:M)</f>
        <v>0</v>
      </c>
      <c r="K329" s="4">
        <f>SUMIF(SEPARAÇÃO!I:I,Tabela2[[#This Row],[ITENS]],SEPARAÇÃO!P:P)</f>
        <v>0</v>
      </c>
      <c r="L329" s="45">
        <f t="shared" si="6"/>
        <v>0</v>
      </c>
      <c r="M329" s="4">
        <f t="shared" si="6"/>
        <v>0</v>
      </c>
    </row>
    <row r="330" spans="2:13" x14ac:dyDescent="0.25">
      <c r="B330" s="42">
        <v>9865</v>
      </c>
      <c r="C330" s="42" t="s">
        <v>334</v>
      </c>
      <c r="D330" s="43">
        <v>7896112198659</v>
      </c>
      <c r="E330" s="44" t="s">
        <v>23</v>
      </c>
      <c r="F330" s="45">
        <f>SUMIF(PND!D:D,B330,PND!H:H)</f>
        <v>0</v>
      </c>
      <c r="G330" s="4">
        <f>SUMIF(PND!D:D,Tabela2[[#This Row],[ITENS]],PND!J:J)</f>
        <v>0</v>
      </c>
      <c r="H330" s="45">
        <f>SUMIF(FATURADO!H:H,B330,FATURADO!L:L)</f>
        <v>0</v>
      </c>
      <c r="I330" s="4">
        <f>SUMIF(FATURADO!H:H,Tabela2[[#This Row],[ITENS]],FATURADO!N:N)</f>
        <v>0</v>
      </c>
      <c r="J330" s="45">
        <f>SUMIF(SEPARAÇÃO!I:I,B330,SEPARAÇÃO!M:M)</f>
        <v>0</v>
      </c>
      <c r="K330" s="4">
        <f>SUMIF(SEPARAÇÃO!I:I,Tabela2[[#This Row],[ITENS]],SEPARAÇÃO!P:P)</f>
        <v>0</v>
      </c>
      <c r="L330" s="45">
        <f t="shared" si="6"/>
        <v>0</v>
      </c>
      <c r="M330" s="4">
        <f t="shared" si="6"/>
        <v>0</v>
      </c>
    </row>
    <row r="331" spans="2:13" x14ac:dyDescent="0.25">
      <c r="B331" s="42">
        <v>1769</v>
      </c>
      <c r="C331" s="42" t="s">
        <v>70</v>
      </c>
      <c r="D331" s="43">
        <v>7896112117698</v>
      </c>
      <c r="E331" s="44" t="s">
        <v>23</v>
      </c>
      <c r="F331" s="45">
        <f>SUMIF(PND!D:D,B331,PND!H:H)</f>
        <v>0</v>
      </c>
      <c r="G331" s="4">
        <f>SUMIF(PND!D:D,Tabela2[[#This Row],[ITENS]],PND!J:J)</f>
        <v>0</v>
      </c>
      <c r="H331" s="45">
        <f>SUMIF(FATURADO!H:H,B331,FATURADO!L:L)</f>
        <v>1000</v>
      </c>
      <c r="I331" s="4">
        <f>SUMIF(FATURADO!H:H,Tabela2[[#This Row],[ITENS]],FATURADO!N:N)</f>
        <v>9893</v>
      </c>
      <c r="J331" s="45">
        <f>SUMIF(SEPARAÇÃO!I:I,B331,SEPARAÇÃO!M:M)</f>
        <v>0</v>
      </c>
      <c r="K331" s="4">
        <f>SUMIF(SEPARAÇÃO!I:I,Tabela2[[#This Row],[ITENS]],SEPARAÇÃO!P:P)</f>
        <v>0</v>
      </c>
      <c r="L331" s="45">
        <f t="shared" si="6"/>
        <v>1000</v>
      </c>
      <c r="M331" s="4">
        <f t="shared" si="6"/>
        <v>9893</v>
      </c>
    </row>
    <row r="332" spans="2:13" x14ac:dyDescent="0.25">
      <c r="B332" s="42">
        <v>2729</v>
      </c>
      <c r="C332" s="42" t="s">
        <v>335</v>
      </c>
      <c r="D332" s="43">
        <v>7896112127291</v>
      </c>
      <c r="E332" s="44" t="s">
        <v>34</v>
      </c>
      <c r="F332" s="45">
        <f>SUMIF(PND!D:D,B332,PND!H:H)</f>
        <v>0</v>
      </c>
      <c r="G332" s="4">
        <f>SUMIF(PND!D:D,Tabela2[[#This Row],[ITENS]],PND!J:J)</f>
        <v>0</v>
      </c>
      <c r="H332" s="45">
        <f>SUMIF(FATURADO!H:H,B332,FATURADO!L:L)</f>
        <v>0</v>
      </c>
      <c r="I332" s="4">
        <f>SUMIF(FATURADO!H:H,Tabela2[[#This Row],[ITENS]],FATURADO!N:N)</f>
        <v>0</v>
      </c>
      <c r="J332" s="45">
        <f>SUMIF(SEPARAÇÃO!I:I,B332,SEPARAÇÃO!M:M)</f>
        <v>0</v>
      </c>
      <c r="K332" s="4">
        <f>SUMIF(SEPARAÇÃO!I:I,Tabela2[[#This Row],[ITENS]],SEPARAÇÃO!P:P)</f>
        <v>0</v>
      </c>
      <c r="L332" s="45">
        <f t="shared" si="6"/>
        <v>0</v>
      </c>
      <c r="M332" s="4">
        <f t="shared" si="6"/>
        <v>0</v>
      </c>
    </row>
    <row r="333" spans="2:13" x14ac:dyDescent="0.25">
      <c r="B333" s="42">
        <v>5170</v>
      </c>
      <c r="C333" s="42" t="s">
        <v>336</v>
      </c>
      <c r="D333" s="43">
        <v>7896112151708</v>
      </c>
      <c r="E333" s="44" t="s">
        <v>34</v>
      </c>
      <c r="F333" s="45">
        <f>SUMIF(PND!D:D,B333,PND!H:H)</f>
        <v>0</v>
      </c>
      <c r="G333" s="4">
        <f>SUMIF(PND!D:D,Tabela2[[#This Row],[ITENS]],PND!J:J)</f>
        <v>0</v>
      </c>
      <c r="H333" s="45">
        <f>SUMIF(FATURADO!H:H,B333,FATURADO!L:L)</f>
        <v>0</v>
      </c>
      <c r="I333" s="4">
        <f>SUMIF(FATURADO!H:H,Tabela2[[#This Row],[ITENS]],FATURADO!N:N)</f>
        <v>0</v>
      </c>
      <c r="J333" s="45">
        <f>SUMIF(SEPARAÇÃO!I:I,B333,SEPARAÇÃO!M:M)</f>
        <v>0</v>
      </c>
      <c r="K333" s="4">
        <f>SUMIF(SEPARAÇÃO!I:I,Tabela2[[#This Row],[ITENS]],SEPARAÇÃO!P:P)</f>
        <v>0</v>
      </c>
      <c r="L333" s="45">
        <f t="shared" si="6"/>
        <v>0</v>
      </c>
      <c r="M333" s="4">
        <f t="shared" si="6"/>
        <v>0</v>
      </c>
    </row>
    <row r="334" spans="2:13" x14ac:dyDescent="0.25">
      <c r="B334" s="42">
        <v>4483</v>
      </c>
      <c r="C334" s="42" t="s">
        <v>337</v>
      </c>
      <c r="D334" s="43">
        <v>7896112104834</v>
      </c>
      <c r="E334" s="44" t="s">
        <v>23</v>
      </c>
      <c r="F334" s="45">
        <f>SUMIF(PND!D:D,B334,PND!H:H)</f>
        <v>0</v>
      </c>
      <c r="G334" s="4">
        <f>SUMIF(PND!D:D,Tabela2[[#This Row],[ITENS]],PND!J:J)</f>
        <v>0</v>
      </c>
      <c r="H334" s="45">
        <f>SUMIF(FATURADO!H:H,B334,FATURADO!L:L)</f>
        <v>0</v>
      </c>
      <c r="I334" s="4">
        <f>SUMIF(FATURADO!H:H,Tabela2[[#This Row],[ITENS]],FATURADO!N:N)</f>
        <v>0</v>
      </c>
      <c r="J334" s="45">
        <f>SUMIF(SEPARAÇÃO!I:I,B334,SEPARAÇÃO!M:M)</f>
        <v>0</v>
      </c>
      <c r="K334" s="4">
        <f>SUMIF(SEPARAÇÃO!I:I,Tabela2[[#This Row],[ITENS]],SEPARAÇÃO!P:P)</f>
        <v>0</v>
      </c>
      <c r="L334" s="45">
        <f t="shared" si="6"/>
        <v>0</v>
      </c>
      <c r="M334" s="4">
        <f t="shared" si="6"/>
        <v>0</v>
      </c>
    </row>
    <row r="335" spans="2:13" x14ac:dyDescent="0.25">
      <c r="B335" s="42">
        <v>1383</v>
      </c>
      <c r="C335" s="42" t="s">
        <v>338</v>
      </c>
      <c r="D335" s="43">
        <v>7896112113836</v>
      </c>
      <c r="E335" s="44" t="s">
        <v>23</v>
      </c>
      <c r="F335" s="45">
        <f>SUMIF(PND!D:D,B335,PND!H:H)</f>
        <v>600</v>
      </c>
      <c r="G335" s="4">
        <f>SUMIF(PND!D:D,Tabela2[[#This Row],[ITENS]],PND!J:J)</f>
        <v>3648</v>
      </c>
      <c r="H335" s="45">
        <f>SUMIF(FATURADO!H:H,B335,FATURADO!L:L)</f>
        <v>2800</v>
      </c>
      <c r="I335" s="4">
        <f>SUMIF(FATURADO!H:H,Tabela2[[#This Row],[ITENS]],FATURADO!N:N)</f>
        <v>16688</v>
      </c>
      <c r="J335" s="45">
        <f>SUMIF(SEPARAÇÃO!I:I,B335,SEPARAÇÃO!M:M)</f>
        <v>0</v>
      </c>
      <c r="K335" s="4">
        <f>SUMIF(SEPARAÇÃO!I:I,Tabela2[[#This Row],[ITENS]],SEPARAÇÃO!P:P)</f>
        <v>0</v>
      </c>
      <c r="L335" s="45">
        <f t="shared" si="6"/>
        <v>3400</v>
      </c>
      <c r="M335" s="4">
        <f t="shared" si="6"/>
        <v>20336</v>
      </c>
    </row>
    <row r="336" spans="2:13" x14ac:dyDescent="0.25">
      <c r="B336" s="42">
        <v>3515</v>
      </c>
      <c r="C336" s="42" t="s">
        <v>339</v>
      </c>
      <c r="D336" s="43">
        <v>7896112135159</v>
      </c>
      <c r="E336" s="44" t="s">
        <v>23</v>
      </c>
      <c r="F336" s="45">
        <f>SUMIF(PND!D:D,B336,PND!H:H)</f>
        <v>0</v>
      </c>
      <c r="G336" s="4">
        <f>SUMIF(PND!D:D,Tabela2[[#This Row],[ITENS]],PND!J:J)</f>
        <v>0</v>
      </c>
      <c r="H336" s="45">
        <f>SUMIF(FATURADO!H:H,B336,FATURADO!L:L)</f>
        <v>2400</v>
      </c>
      <c r="I336" s="4">
        <f>SUMIF(FATURADO!H:H,Tabela2[[#This Row],[ITENS]],FATURADO!N:N)</f>
        <v>21588</v>
      </c>
      <c r="J336" s="45">
        <f>SUMIF(SEPARAÇÃO!I:I,B336,SEPARAÇÃO!M:M)</f>
        <v>0</v>
      </c>
      <c r="K336" s="4">
        <f>SUMIF(SEPARAÇÃO!I:I,Tabela2[[#This Row],[ITENS]],SEPARAÇÃO!P:P)</f>
        <v>0</v>
      </c>
      <c r="L336" s="45">
        <f t="shared" si="6"/>
        <v>2400</v>
      </c>
      <c r="M336" s="4">
        <f t="shared" si="6"/>
        <v>21588</v>
      </c>
    </row>
    <row r="337" spans="2:13" x14ac:dyDescent="0.25">
      <c r="B337" s="42">
        <v>1382</v>
      </c>
      <c r="C337" s="42" t="s">
        <v>340</v>
      </c>
      <c r="D337" s="43">
        <v>7896112113829</v>
      </c>
      <c r="E337" s="44" t="s">
        <v>23</v>
      </c>
      <c r="F337" s="45">
        <f>SUMIF(PND!D:D,B337,PND!H:H)</f>
        <v>500</v>
      </c>
      <c r="G337" s="4">
        <f>SUMIF(PND!D:D,Tabela2[[#This Row],[ITENS]],PND!J:J)</f>
        <v>3135</v>
      </c>
      <c r="H337" s="45">
        <f>SUMIF(FATURADO!H:H,B337,FATURADO!L:L)</f>
        <v>2000</v>
      </c>
      <c r="I337" s="4">
        <f>SUMIF(FATURADO!H:H,Tabela2[[#This Row],[ITENS]],FATURADO!N:N)</f>
        <v>12120</v>
      </c>
      <c r="J337" s="45">
        <f>SUMIF(SEPARAÇÃO!I:I,B337,SEPARAÇÃO!M:M)</f>
        <v>0</v>
      </c>
      <c r="K337" s="4">
        <f>SUMIF(SEPARAÇÃO!I:I,Tabela2[[#This Row],[ITENS]],SEPARAÇÃO!P:P)</f>
        <v>0</v>
      </c>
      <c r="L337" s="45">
        <f t="shared" si="6"/>
        <v>2500</v>
      </c>
      <c r="M337" s="4">
        <f t="shared" si="6"/>
        <v>15255</v>
      </c>
    </row>
    <row r="338" spans="2:13" x14ac:dyDescent="0.25">
      <c r="B338" s="42">
        <v>139</v>
      </c>
      <c r="C338" s="42" t="s">
        <v>341</v>
      </c>
      <c r="D338" s="43">
        <v>7896112141396</v>
      </c>
      <c r="E338" s="44" t="s">
        <v>23</v>
      </c>
      <c r="F338" s="45">
        <f>SUMIF(PND!D:D,B338,PND!H:H)</f>
        <v>0</v>
      </c>
      <c r="G338" s="4">
        <f>SUMIF(PND!D:D,Tabela2[[#This Row],[ITENS]],PND!J:J)</f>
        <v>0</v>
      </c>
      <c r="H338" s="45">
        <f>SUMIF(FATURADO!H:H,B338,FATURADO!L:L)</f>
        <v>0</v>
      </c>
      <c r="I338" s="4">
        <f>SUMIF(FATURADO!H:H,Tabela2[[#This Row],[ITENS]],FATURADO!N:N)</f>
        <v>0</v>
      </c>
      <c r="J338" s="45">
        <f>SUMIF(SEPARAÇÃO!I:I,B338,SEPARAÇÃO!M:M)</f>
        <v>0</v>
      </c>
      <c r="K338" s="4">
        <f>SUMIF(SEPARAÇÃO!I:I,Tabela2[[#This Row],[ITENS]],SEPARAÇÃO!P:P)</f>
        <v>0</v>
      </c>
      <c r="L338" s="45">
        <f t="shared" si="6"/>
        <v>0</v>
      </c>
      <c r="M338" s="4">
        <f t="shared" si="6"/>
        <v>0</v>
      </c>
    </row>
    <row r="339" spans="2:13" x14ac:dyDescent="0.25">
      <c r="B339" s="42">
        <v>5474</v>
      </c>
      <c r="C339" s="42" t="s">
        <v>342</v>
      </c>
      <c r="D339" s="43">
        <v>7896112154747</v>
      </c>
      <c r="E339" s="44" t="s">
        <v>34</v>
      </c>
      <c r="F339" s="45">
        <f>SUMIF(PND!D:D,B339,PND!H:H)</f>
        <v>0</v>
      </c>
      <c r="G339" s="4">
        <f>SUMIF(PND!D:D,Tabela2[[#This Row],[ITENS]],PND!J:J)</f>
        <v>0</v>
      </c>
      <c r="H339" s="45">
        <f>SUMIF(FATURADO!H:H,B339,FATURADO!L:L)</f>
        <v>0</v>
      </c>
      <c r="I339" s="4">
        <f>SUMIF(FATURADO!H:H,Tabela2[[#This Row],[ITENS]],FATURADO!N:N)</f>
        <v>0</v>
      </c>
      <c r="J339" s="45">
        <f>SUMIF(SEPARAÇÃO!I:I,B339,SEPARAÇÃO!M:M)</f>
        <v>0</v>
      </c>
      <c r="K339" s="4">
        <f>SUMIF(SEPARAÇÃO!I:I,Tabela2[[#This Row],[ITENS]],SEPARAÇÃO!P:P)</f>
        <v>0</v>
      </c>
      <c r="L339" s="45">
        <f t="shared" si="6"/>
        <v>0</v>
      </c>
      <c r="M339" s="4">
        <f t="shared" si="6"/>
        <v>0</v>
      </c>
    </row>
    <row r="340" spans="2:13" x14ac:dyDescent="0.25">
      <c r="B340" s="42">
        <v>1515</v>
      </c>
      <c r="C340" s="42" t="s">
        <v>105</v>
      </c>
      <c r="D340" s="43">
        <v>7896112115151</v>
      </c>
      <c r="E340" s="44" t="s">
        <v>23</v>
      </c>
      <c r="F340" s="45">
        <f>SUMIF(PND!D:D,B340,PND!H:H)</f>
        <v>0</v>
      </c>
      <c r="G340" s="4">
        <f>SUMIF(PND!D:D,Tabela2[[#This Row],[ITENS]],PND!J:J)</f>
        <v>0</v>
      </c>
      <c r="H340" s="45">
        <f>SUMIF(FATURADO!H:H,B340,FATURADO!L:L)</f>
        <v>0</v>
      </c>
      <c r="I340" s="4">
        <f>SUMIF(FATURADO!H:H,Tabela2[[#This Row],[ITENS]],FATURADO!N:N)</f>
        <v>0</v>
      </c>
      <c r="J340" s="45">
        <f>SUMIF(SEPARAÇÃO!I:I,B340,SEPARAÇÃO!M:M)</f>
        <v>0</v>
      </c>
      <c r="K340" s="4">
        <f>SUMIF(SEPARAÇÃO!I:I,Tabela2[[#This Row],[ITENS]],SEPARAÇÃO!P:P)</f>
        <v>0</v>
      </c>
      <c r="L340" s="45">
        <f t="shared" si="6"/>
        <v>0</v>
      </c>
      <c r="M340" s="4">
        <f t="shared" si="6"/>
        <v>0</v>
      </c>
    </row>
    <row r="341" spans="2:13" x14ac:dyDescent="0.25">
      <c r="B341" s="42">
        <v>1655</v>
      </c>
      <c r="C341" s="42" t="s">
        <v>343</v>
      </c>
      <c r="D341" s="43">
        <v>7896112116554</v>
      </c>
      <c r="E341" s="44" t="s">
        <v>23</v>
      </c>
      <c r="F341" s="45">
        <f>SUMIF(PND!D:D,B341,PND!H:H)</f>
        <v>0</v>
      </c>
      <c r="G341" s="4">
        <f>SUMIF(PND!D:D,Tabela2[[#This Row],[ITENS]],PND!J:J)</f>
        <v>0</v>
      </c>
      <c r="H341" s="45">
        <f>SUMIF(FATURADO!H:H,B341,FATURADO!L:L)</f>
        <v>0</v>
      </c>
      <c r="I341" s="4">
        <f>SUMIF(FATURADO!H:H,Tabela2[[#This Row],[ITENS]],FATURADO!N:N)</f>
        <v>0</v>
      </c>
      <c r="J341" s="45">
        <f>SUMIF(SEPARAÇÃO!I:I,B341,SEPARAÇÃO!M:M)</f>
        <v>0</v>
      </c>
      <c r="K341" s="4">
        <f>SUMIF(SEPARAÇÃO!I:I,Tabela2[[#This Row],[ITENS]],SEPARAÇÃO!P:P)</f>
        <v>0</v>
      </c>
      <c r="L341" s="45">
        <f t="shared" si="6"/>
        <v>0</v>
      </c>
      <c r="M341" s="4">
        <f t="shared" si="6"/>
        <v>0</v>
      </c>
    </row>
    <row r="342" spans="2:13" x14ac:dyDescent="0.25">
      <c r="B342" s="42">
        <v>6035</v>
      </c>
      <c r="C342" s="42" t="s">
        <v>344</v>
      </c>
      <c r="D342" s="43">
        <v>7896112160359</v>
      </c>
      <c r="E342" s="44" t="s">
        <v>34</v>
      </c>
      <c r="F342" s="45">
        <f>SUMIF(PND!D:D,B342,PND!H:H)</f>
        <v>0</v>
      </c>
      <c r="G342" s="4">
        <f>SUMIF(PND!D:D,Tabela2[[#This Row],[ITENS]],PND!J:J)</f>
        <v>0</v>
      </c>
      <c r="H342" s="45">
        <f>SUMIF(FATURADO!H:H,B342,FATURADO!L:L)</f>
        <v>0</v>
      </c>
      <c r="I342" s="4">
        <f>SUMIF(FATURADO!H:H,Tabela2[[#This Row],[ITENS]],FATURADO!N:N)</f>
        <v>0</v>
      </c>
      <c r="J342" s="45">
        <f>SUMIF(SEPARAÇÃO!I:I,B342,SEPARAÇÃO!M:M)</f>
        <v>0</v>
      </c>
      <c r="K342" s="4">
        <f>SUMIF(SEPARAÇÃO!I:I,Tabela2[[#This Row],[ITENS]],SEPARAÇÃO!P:P)</f>
        <v>0</v>
      </c>
      <c r="L342" s="45">
        <f t="shared" si="6"/>
        <v>0</v>
      </c>
      <c r="M342" s="4">
        <f t="shared" si="6"/>
        <v>0</v>
      </c>
    </row>
    <row r="343" spans="2:13" x14ac:dyDescent="0.25">
      <c r="B343" s="42">
        <v>845</v>
      </c>
      <c r="C343" s="42" t="s">
        <v>345</v>
      </c>
      <c r="D343" s="43">
        <v>7896112108450</v>
      </c>
      <c r="E343" s="44" t="s">
        <v>23</v>
      </c>
      <c r="F343" s="45">
        <f>SUMIF(PND!D:D,B343,PND!H:H)</f>
        <v>0</v>
      </c>
      <c r="G343" s="4">
        <f>SUMIF(PND!D:D,Tabela2[[#This Row],[ITENS]],PND!J:J)</f>
        <v>0</v>
      </c>
      <c r="H343" s="45">
        <f>SUMIF(FATURADO!H:H,B343,FATURADO!L:L)</f>
        <v>0</v>
      </c>
      <c r="I343" s="4">
        <f>SUMIF(FATURADO!H:H,Tabela2[[#This Row],[ITENS]],FATURADO!N:N)</f>
        <v>0</v>
      </c>
      <c r="J343" s="45">
        <f>SUMIF(SEPARAÇÃO!I:I,B343,SEPARAÇÃO!M:M)</f>
        <v>0</v>
      </c>
      <c r="K343" s="4">
        <f>SUMIF(SEPARAÇÃO!I:I,Tabela2[[#This Row],[ITENS]],SEPARAÇÃO!P:P)</f>
        <v>0</v>
      </c>
      <c r="L343" s="45">
        <f t="shared" si="6"/>
        <v>0</v>
      </c>
      <c r="M343" s="4">
        <f t="shared" si="6"/>
        <v>0</v>
      </c>
    </row>
    <row r="344" spans="2:13" x14ac:dyDescent="0.25">
      <c r="B344" s="42">
        <v>5281</v>
      </c>
      <c r="C344" s="42" t="s">
        <v>346</v>
      </c>
      <c r="D344" s="43">
        <v>7896112152811</v>
      </c>
      <c r="E344" s="44" t="s">
        <v>23</v>
      </c>
      <c r="F344" s="45">
        <f>SUMIF(PND!D:D,B344,PND!H:H)</f>
        <v>0</v>
      </c>
      <c r="G344" s="4">
        <f>SUMIF(PND!D:D,Tabela2[[#This Row],[ITENS]],PND!J:J)</f>
        <v>0</v>
      </c>
      <c r="H344" s="45">
        <f>SUMIF(FATURADO!H:H,B344,FATURADO!L:L)</f>
        <v>0</v>
      </c>
      <c r="I344" s="4">
        <f>SUMIF(FATURADO!H:H,Tabela2[[#This Row],[ITENS]],FATURADO!N:N)</f>
        <v>0</v>
      </c>
      <c r="J344" s="45">
        <f>SUMIF(SEPARAÇÃO!I:I,B344,SEPARAÇÃO!M:M)</f>
        <v>0</v>
      </c>
      <c r="K344" s="4">
        <f>SUMIF(SEPARAÇÃO!I:I,Tabela2[[#This Row],[ITENS]],SEPARAÇÃO!P:P)</f>
        <v>0</v>
      </c>
      <c r="L344" s="45">
        <f t="shared" si="6"/>
        <v>0</v>
      </c>
      <c r="M344" s="4">
        <f t="shared" si="6"/>
        <v>0</v>
      </c>
    </row>
    <row r="345" spans="2:13" x14ac:dyDescent="0.25">
      <c r="B345" s="42">
        <v>5548</v>
      </c>
      <c r="C345" s="42" t="s">
        <v>347</v>
      </c>
      <c r="D345" s="43">
        <v>7896112155485</v>
      </c>
      <c r="E345" s="44" t="s">
        <v>23</v>
      </c>
      <c r="F345" s="45">
        <f>SUMIF(PND!D:D,B345,PND!H:H)</f>
        <v>0</v>
      </c>
      <c r="G345" s="4">
        <f>SUMIF(PND!D:D,Tabela2[[#This Row],[ITENS]],PND!J:J)</f>
        <v>0</v>
      </c>
      <c r="H345" s="45">
        <f>SUMIF(FATURADO!H:H,B345,FATURADO!L:L)</f>
        <v>800</v>
      </c>
      <c r="I345" s="4">
        <f>SUMIF(FATURADO!H:H,Tabela2[[#This Row],[ITENS]],FATURADO!N:N)</f>
        <v>2832</v>
      </c>
      <c r="J345" s="45">
        <f>SUMIF(SEPARAÇÃO!I:I,B345,SEPARAÇÃO!M:M)</f>
        <v>0</v>
      </c>
      <c r="K345" s="4">
        <f>SUMIF(SEPARAÇÃO!I:I,Tabela2[[#This Row],[ITENS]],SEPARAÇÃO!P:P)</f>
        <v>0</v>
      </c>
      <c r="L345" s="45">
        <f t="shared" si="6"/>
        <v>800</v>
      </c>
      <c r="M345" s="4">
        <f t="shared" si="6"/>
        <v>2832</v>
      </c>
    </row>
    <row r="346" spans="2:13" x14ac:dyDescent="0.25">
      <c r="B346" s="42">
        <v>849</v>
      </c>
      <c r="C346" s="42" t="s">
        <v>348</v>
      </c>
      <c r="D346" s="43">
        <v>7896112108498</v>
      </c>
      <c r="E346" s="44" t="s">
        <v>34</v>
      </c>
      <c r="F346" s="45">
        <f>SUMIF(PND!D:D,B346,PND!H:H)</f>
        <v>0</v>
      </c>
      <c r="G346" s="4">
        <f>SUMIF(PND!D:D,Tabela2[[#This Row],[ITENS]],PND!J:J)</f>
        <v>0</v>
      </c>
      <c r="H346" s="45">
        <f>SUMIF(FATURADO!H:H,B346,FATURADO!L:L)</f>
        <v>0</v>
      </c>
      <c r="I346" s="4">
        <f>SUMIF(FATURADO!H:H,Tabela2[[#This Row],[ITENS]],FATURADO!N:N)</f>
        <v>0</v>
      </c>
      <c r="J346" s="45">
        <f>SUMIF(SEPARAÇÃO!I:I,B346,SEPARAÇÃO!M:M)</f>
        <v>0</v>
      </c>
      <c r="K346" s="4">
        <f>SUMIF(SEPARAÇÃO!I:I,Tabela2[[#This Row],[ITENS]],SEPARAÇÃO!P:P)</f>
        <v>0</v>
      </c>
      <c r="L346" s="45">
        <f t="shared" si="6"/>
        <v>0</v>
      </c>
      <c r="M346" s="4">
        <f t="shared" si="6"/>
        <v>0</v>
      </c>
    </row>
    <row r="347" spans="2:13" x14ac:dyDescent="0.25">
      <c r="B347" s="42">
        <v>1439</v>
      </c>
      <c r="C347" s="42" t="s">
        <v>349</v>
      </c>
      <c r="D347" s="43">
        <v>7896112114390</v>
      </c>
      <c r="E347" s="44" t="s">
        <v>34</v>
      </c>
      <c r="F347" s="45">
        <f>SUMIF(PND!D:D,B347,PND!H:H)</f>
        <v>0</v>
      </c>
      <c r="G347" s="4">
        <f>SUMIF(PND!D:D,Tabela2[[#This Row],[ITENS]],PND!J:J)</f>
        <v>0</v>
      </c>
      <c r="H347" s="45">
        <f>SUMIF(FATURADO!H:H,B347,FATURADO!L:L)</f>
        <v>0</v>
      </c>
      <c r="I347" s="4">
        <f>SUMIF(FATURADO!H:H,Tabela2[[#This Row],[ITENS]],FATURADO!N:N)</f>
        <v>0</v>
      </c>
      <c r="J347" s="45">
        <f>SUMIF(SEPARAÇÃO!I:I,B347,SEPARAÇÃO!M:M)</f>
        <v>0</v>
      </c>
      <c r="K347" s="4">
        <f>SUMIF(SEPARAÇÃO!I:I,Tabela2[[#This Row],[ITENS]],SEPARAÇÃO!P:P)</f>
        <v>0</v>
      </c>
      <c r="L347" s="45">
        <f t="shared" si="6"/>
        <v>0</v>
      </c>
      <c r="M347" s="4">
        <f t="shared" si="6"/>
        <v>0</v>
      </c>
    </row>
    <row r="348" spans="2:13" x14ac:dyDescent="0.25">
      <c r="B348" s="42">
        <v>1438</v>
      </c>
      <c r="C348" s="42" t="s">
        <v>350</v>
      </c>
      <c r="D348" s="43">
        <v>7896112114383</v>
      </c>
      <c r="E348" s="44" t="s">
        <v>34</v>
      </c>
      <c r="F348" s="45">
        <f>SUMIF(PND!D:D,B348,PND!H:H)</f>
        <v>0</v>
      </c>
      <c r="G348" s="4">
        <f>SUMIF(PND!D:D,Tabela2[[#This Row],[ITENS]],PND!J:J)</f>
        <v>0</v>
      </c>
      <c r="H348" s="45">
        <f>SUMIF(FATURADO!H:H,B348,FATURADO!L:L)</f>
        <v>0</v>
      </c>
      <c r="I348" s="4">
        <f>SUMIF(FATURADO!H:H,Tabela2[[#This Row],[ITENS]],FATURADO!N:N)</f>
        <v>0</v>
      </c>
      <c r="J348" s="45">
        <f>SUMIF(SEPARAÇÃO!I:I,B348,SEPARAÇÃO!M:M)</f>
        <v>0</v>
      </c>
      <c r="K348" s="4">
        <f>SUMIF(SEPARAÇÃO!I:I,Tabela2[[#This Row],[ITENS]],SEPARAÇÃO!P:P)</f>
        <v>0</v>
      </c>
      <c r="L348" s="45">
        <f t="shared" si="6"/>
        <v>0</v>
      </c>
      <c r="M348" s="4">
        <f t="shared" si="6"/>
        <v>0</v>
      </c>
    </row>
  </sheetData>
  <autoFilter ref="A2:M2" xr:uid="{F837E0FB-9958-4113-A6E6-1FD3BD160B20}"/>
  <mergeCells count="3">
    <mergeCell ref="B4:D4"/>
    <mergeCell ref="C5:D5"/>
    <mergeCell ref="C7:D7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E2217-F057-4564-A2EE-AC06ADBEBE15}">
  <sheetPr>
    <tabColor rgb="FFC00000"/>
  </sheetPr>
  <dimension ref="A1:R13"/>
  <sheetViews>
    <sheetView workbookViewId="0">
      <selection activeCell="B6" sqref="B6"/>
    </sheetView>
  </sheetViews>
  <sheetFormatPr defaultRowHeight="15" x14ac:dyDescent="0.25"/>
  <cols>
    <col min="1" max="1" width="27.85546875" customWidth="1"/>
    <col min="2" max="2" width="23.7109375" bestFit="1" customWidth="1"/>
    <col min="3" max="3" width="7.85546875" bestFit="1" customWidth="1"/>
    <col min="4" max="4" width="12.7109375" bestFit="1" customWidth="1"/>
    <col min="5" max="5" width="14.140625" style="50" bestFit="1" customWidth="1"/>
    <col min="6" max="6" width="18.28515625" bestFit="1" customWidth="1"/>
    <col min="7" max="7" width="11.140625" bestFit="1" customWidth="1"/>
    <col min="8" max="8" width="14.28515625" style="51" bestFit="1" customWidth="1"/>
    <col min="9" max="9" width="17.42578125" style="63" bestFit="1" customWidth="1"/>
    <col min="10" max="10" width="17" style="63" bestFit="1" customWidth="1"/>
    <col min="11" max="11" width="11.85546875" bestFit="1" customWidth="1"/>
    <col min="12" max="12" width="14.42578125" bestFit="1" customWidth="1"/>
    <col min="13" max="13" width="14.42578125" customWidth="1"/>
    <col min="14" max="14" width="22.140625" bestFit="1" customWidth="1"/>
    <col min="15" max="15" width="32.85546875" bestFit="1" customWidth="1"/>
    <col min="16" max="16" width="35.5703125" bestFit="1" customWidth="1"/>
    <col min="17" max="17" width="23.140625" bestFit="1" customWidth="1"/>
    <col min="18" max="18" width="151.5703125" bestFit="1" customWidth="1"/>
  </cols>
  <sheetData>
    <row r="1" spans="1:18" x14ac:dyDescent="0.25">
      <c r="A1" s="49" t="s">
        <v>351</v>
      </c>
      <c r="I1" s="52"/>
      <c r="J1" s="53">
        <f>SUBTOTAL(9,J2:J1048576)</f>
        <v>30034.54</v>
      </c>
    </row>
    <row r="2" spans="1:18" x14ac:dyDescent="0.25">
      <c r="A2" s="54" t="s">
        <v>352</v>
      </c>
      <c r="B2" s="54" t="s">
        <v>353</v>
      </c>
      <c r="C2" s="54" t="s">
        <v>354</v>
      </c>
      <c r="D2" s="54" t="s">
        <v>355</v>
      </c>
      <c r="E2" s="55" t="s">
        <v>3</v>
      </c>
      <c r="F2" s="54" t="s">
        <v>356</v>
      </c>
      <c r="G2" s="54" t="s">
        <v>5</v>
      </c>
      <c r="H2" s="56" t="s">
        <v>357</v>
      </c>
      <c r="I2" s="57" t="s">
        <v>358</v>
      </c>
      <c r="J2" s="58" t="s">
        <v>359</v>
      </c>
      <c r="K2" s="54" t="s">
        <v>360</v>
      </c>
      <c r="L2" s="54" t="s">
        <v>361</v>
      </c>
      <c r="M2" s="54" t="s">
        <v>361</v>
      </c>
      <c r="N2" s="54" t="s">
        <v>362</v>
      </c>
      <c r="O2" s="54" t="s">
        <v>363</v>
      </c>
      <c r="P2" s="54" t="s">
        <v>364</v>
      </c>
      <c r="Q2" s="54" t="s">
        <v>365</v>
      </c>
      <c r="R2" s="54" t="s">
        <v>366</v>
      </c>
    </row>
    <row r="3" spans="1:18" x14ac:dyDescent="0.25">
      <c r="A3" s="59">
        <v>108342</v>
      </c>
      <c r="B3" s="59" t="s">
        <v>376</v>
      </c>
      <c r="C3" s="59" t="s">
        <v>372</v>
      </c>
      <c r="D3" s="59">
        <v>1358</v>
      </c>
      <c r="E3" s="60">
        <v>7896112113584</v>
      </c>
      <c r="F3" s="59" t="s">
        <v>375</v>
      </c>
      <c r="G3" s="61" t="s">
        <v>34</v>
      </c>
      <c r="H3" s="61">
        <v>450</v>
      </c>
      <c r="I3" s="59">
        <v>3.74</v>
      </c>
      <c r="J3" s="62">
        <v>1683</v>
      </c>
      <c r="K3" s="61">
        <v>4469173</v>
      </c>
      <c r="L3" s="59" t="s">
        <v>367</v>
      </c>
      <c r="M3" s="59" t="s">
        <v>368</v>
      </c>
      <c r="N3" s="59" t="s">
        <v>373</v>
      </c>
      <c r="O3" s="59" t="s">
        <v>377</v>
      </c>
      <c r="P3" s="59" t="s">
        <v>378</v>
      </c>
      <c r="Q3" s="59" t="s">
        <v>369</v>
      </c>
      <c r="R3" s="59" t="s">
        <v>379</v>
      </c>
    </row>
    <row r="4" spans="1:18" x14ac:dyDescent="0.25">
      <c r="A4" s="59">
        <v>108342</v>
      </c>
      <c r="B4" s="59" t="s">
        <v>376</v>
      </c>
      <c r="C4" s="59" t="s">
        <v>372</v>
      </c>
      <c r="D4" s="59">
        <v>1438</v>
      </c>
      <c r="E4" s="60">
        <v>7896112114383</v>
      </c>
      <c r="F4" s="59" t="s">
        <v>381</v>
      </c>
      <c r="G4" s="61" t="s">
        <v>34</v>
      </c>
      <c r="H4" s="61">
        <v>100</v>
      </c>
      <c r="I4" s="59">
        <v>6.05</v>
      </c>
      <c r="J4" s="62">
        <v>605</v>
      </c>
      <c r="K4" s="61">
        <v>4455652</v>
      </c>
      <c r="L4" s="59" t="s">
        <v>367</v>
      </c>
      <c r="M4" s="59" t="s">
        <v>368</v>
      </c>
      <c r="N4" s="59" t="s">
        <v>373</v>
      </c>
      <c r="O4" s="59" t="s">
        <v>382</v>
      </c>
      <c r="P4" s="59" t="s">
        <v>383</v>
      </c>
      <c r="Q4" s="59" t="s">
        <v>384</v>
      </c>
      <c r="R4" s="59" t="s">
        <v>385</v>
      </c>
    </row>
    <row r="5" spans="1:18" x14ac:dyDescent="0.25">
      <c r="A5" s="59">
        <v>108342</v>
      </c>
      <c r="B5" s="59" t="s">
        <v>376</v>
      </c>
      <c r="C5" s="59" t="s">
        <v>372</v>
      </c>
      <c r="D5" s="59">
        <v>1438</v>
      </c>
      <c r="E5" s="60">
        <v>7896112114383</v>
      </c>
      <c r="F5" s="59" t="s">
        <v>381</v>
      </c>
      <c r="G5" s="61" t="s">
        <v>34</v>
      </c>
      <c r="H5" s="61">
        <v>100</v>
      </c>
      <c r="I5" s="59">
        <v>6.05</v>
      </c>
      <c r="J5" s="62">
        <v>605</v>
      </c>
      <c r="K5" s="61">
        <v>4469071</v>
      </c>
      <c r="L5" s="59" t="s">
        <v>367</v>
      </c>
      <c r="M5" s="59" t="s">
        <v>368</v>
      </c>
      <c r="N5" s="59" t="s">
        <v>373</v>
      </c>
      <c r="O5" s="59" t="s">
        <v>377</v>
      </c>
      <c r="P5" s="59" t="s">
        <v>378</v>
      </c>
      <c r="Q5" s="59" t="s">
        <v>369</v>
      </c>
      <c r="R5" s="59" t="s">
        <v>379</v>
      </c>
    </row>
    <row r="6" spans="1:18" x14ac:dyDescent="0.25">
      <c r="A6" s="59">
        <v>108342</v>
      </c>
      <c r="B6" s="59" t="s">
        <v>376</v>
      </c>
      <c r="C6" s="59" t="s">
        <v>372</v>
      </c>
      <c r="D6" s="59">
        <v>2261</v>
      </c>
      <c r="E6" s="60">
        <v>7896112122616</v>
      </c>
      <c r="F6" s="59" t="s">
        <v>391</v>
      </c>
      <c r="G6" s="61" t="s">
        <v>23</v>
      </c>
      <c r="H6" s="61">
        <v>200</v>
      </c>
      <c r="I6" s="59">
        <v>9.0299999999999994</v>
      </c>
      <c r="J6" s="62">
        <v>1806</v>
      </c>
      <c r="K6" s="61">
        <v>4469071</v>
      </c>
      <c r="L6" s="59" t="s">
        <v>367</v>
      </c>
      <c r="M6" s="59" t="s">
        <v>368</v>
      </c>
      <c r="N6" s="59" t="s">
        <v>373</v>
      </c>
      <c r="O6" s="59" t="s">
        <v>377</v>
      </c>
      <c r="P6" s="59" t="s">
        <v>378</v>
      </c>
      <c r="Q6" s="59" t="s">
        <v>369</v>
      </c>
      <c r="R6" s="59" t="s">
        <v>379</v>
      </c>
    </row>
    <row r="7" spans="1:18" x14ac:dyDescent="0.25">
      <c r="A7" s="59">
        <v>108342</v>
      </c>
      <c r="B7" s="59" t="s">
        <v>376</v>
      </c>
      <c r="C7" s="59" t="s">
        <v>372</v>
      </c>
      <c r="D7" s="59">
        <v>4266</v>
      </c>
      <c r="E7" s="60">
        <v>7896112102663</v>
      </c>
      <c r="F7" s="59" t="s">
        <v>404</v>
      </c>
      <c r="G7" s="61" t="s">
        <v>34</v>
      </c>
      <c r="H7" s="61">
        <v>240</v>
      </c>
      <c r="I7" s="59">
        <v>6.65</v>
      </c>
      <c r="J7" s="62">
        <v>1596</v>
      </c>
      <c r="K7" s="61">
        <v>4469173</v>
      </c>
      <c r="L7" s="59" t="s">
        <v>367</v>
      </c>
      <c r="M7" s="59" t="s">
        <v>368</v>
      </c>
      <c r="N7" s="59" t="s">
        <v>373</v>
      </c>
      <c r="O7" s="59" t="s">
        <v>377</v>
      </c>
      <c r="P7" s="59" t="s">
        <v>378</v>
      </c>
      <c r="Q7" s="59" t="s">
        <v>369</v>
      </c>
      <c r="R7" s="59" t="s">
        <v>379</v>
      </c>
    </row>
    <row r="8" spans="1:18" x14ac:dyDescent="0.25">
      <c r="A8" s="59">
        <v>108342</v>
      </c>
      <c r="B8" s="59" t="s">
        <v>376</v>
      </c>
      <c r="C8" s="59" t="s">
        <v>372</v>
      </c>
      <c r="D8" s="59">
        <v>4339</v>
      </c>
      <c r="E8" s="60">
        <v>7896112103394</v>
      </c>
      <c r="F8" s="59" t="s">
        <v>406</v>
      </c>
      <c r="G8" s="61" t="s">
        <v>34</v>
      </c>
      <c r="H8" s="61">
        <v>1680</v>
      </c>
      <c r="I8" s="59">
        <v>8.39</v>
      </c>
      <c r="J8" s="62">
        <v>14095.2</v>
      </c>
      <c r="K8" s="61">
        <v>4465765</v>
      </c>
      <c r="L8" s="59" t="s">
        <v>367</v>
      </c>
      <c r="M8" s="59" t="s">
        <v>368</v>
      </c>
      <c r="N8" s="59" t="s">
        <v>373</v>
      </c>
      <c r="O8" s="59" t="s">
        <v>377</v>
      </c>
      <c r="P8" s="59" t="s">
        <v>378</v>
      </c>
      <c r="Q8" s="59" t="s">
        <v>369</v>
      </c>
      <c r="R8" s="59" t="s">
        <v>379</v>
      </c>
    </row>
    <row r="9" spans="1:18" x14ac:dyDescent="0.25">
      <c r="A9" s="59">
        <v>108342</v>
      </c>
      <c r="B9" s="59" t="s">
        <v>376</v>
      </c>
      <c r="C9" s="59" t="s">
        <v>372</v>
      </c>
      <c r="D9" s="59">
        <v>7147</v>
      </c>
      <c r="E9" s="60">
        <v>7896112171478</v>
      </c>
      <c r="F9" s="59" t="s">
        <v>417</v>
      </c>
      <c r="G9" s="61" t="s">
        <v>34</v>
      </c>
      <c r="H9" s="61">
        <v>216</v>
      </c>
      <c r="I9" s="59">
        <v>5.74</v>
      </c>
      <c r="J9" s="62">
        <v>1239.8399999999999</v>
      </c>
      <c r="K9" s="61">
        <v>4462004</v>
      </c>
      <c r="L9" s="59" t="s">
        <v>367</v>
      </c>
      <c r="M9" s="59" t="s">
        <v>368</v>
      </c>
      <c r="N9" s="59" t="s">
        <v>373</v>
      </c>
      <c r="O9" s="59" t="s">
        <v>377</v>
      </c>
      <c r="P9" s="59" t="s">
        <v>378</v>
      </c>
      <c r="Q9" s="59" t="s">
        <v>369</v>
      </c>
      <c r="R9" s="59" t="s">
        <v>379</v>
      </c>
    </row>
    <row r="10" spans="1:18" x14ac:dyDescent="0.25">
      <c r="A10" s="59">
        <v>108342</v>
      </c>
      <c r="B10" s="59" t="s">
        <v>376</v>
      </c>
      <c r="C10" s="59" t="s">
        <v>372</v>
      </c>
      <c r="D10" s="59">
        <v>8911</v>
      </c>
      <c r="E10" s="60">
        <v>7896112189114</v>
      </c>
      <c r="F10" s="59" t="s">
        <v>421</v>
      </c>
      <c r="G10" s="61" t="s">
        <v>402</v>
      </c>
      <c r="H10" s="61">
        <v>400</v>
      </c>
      <c r="I10" s="59">
        <v>10.57</v>
      </c>
      <c r="J10" s="62">
        <v>4228</v>
      </c>
      <c r="K10" s="61">
        <v>4469173</v>
      </c>
      <c r="L10" s="59" t="s">
        <v>367</v>
      </c>
      <c r="M10" s="59" t="s">
        <v>368</v>
      </c>
      <c r="N10" s="59" t="s">
        <v>373</v>
      </c>
      <c r="O10" s="59" t="s">
        <v>377</v>
      </c>
      <c r="P10" s="59" t="s">
        <v>378</v>
      </c>
      <c r="Q10" s="59" t="s">
        <v>369</v>
      </c>
      <c r="R10" s="59" t="s">
        <v>379</v>
      </c>
    </row>
    <row r="11" spans="1:18" x14ac:dyDescent="0.25">
      <c r="A11" s="59">
        <v>108342</v>
      </c>
      <c r="B11" s="59" t="s">
        <v>376</v>
      </c>
      <c r="C11" s="59" t="s">
        <v>372</v>
      </c>
      <c r="D11" s="59">
        <v>9190</v>
      </c>
      <c r="E11" s="60">
        <v>7896112191902</v>
      </c>
      <c r="F11" s="59" t="s">
        <v>422</v>
      </c>
      <c r="G11" s="61" t="s">
        <v>402</v>
      </c>
      <c r="H11" s="61">
        <v>100</v>
      </c>
      <c r="I11" s="59">
        <v>9.86</v>
      </c>
      <c r="J11" s="62">
        <v>986</v>
      </c>
      <c r="K11" s="61">
        <v>4469173</v>
      </c>
      <c r="L11" s="59" t="s">
        <v>367</v>
      </c>
      <c r="M11" s="59" t="s">
        <v>368</v>
      </c>
      <c r="N11" s="59" t="s">
        <v>373</v>
      </c>
      <c r="O11" s="59" t="s">
        <v>377</v>
      </c>
      <c r="P11" s="59" t="s">
        <v>378</v>
      </c>
      <c r="Q11" s="59" t="s">
        <v>369</v>
      </c>
      <c r="R11" s="59" t="s">
        <v>379</v>
      </c>
    </row>
    <row r="12" spans="1:18" x14ac:dyDescent="0.25">
      <c r="A12" s="59">
        <v>108342</v>
      </c>
      <c r="B12" s="59" t="s">
        <v>376</v>
      </c>
      <c r="C12" s="59" t="s">
        <v>372</v>
      </c>
      <c r="D12" s="59">
        <v>9192</v>
      </c>
      <c r="E12" s="60">
        <v>7896112191926</v>
      </c>
      <c r="F12" s="59" t="s">
        <v>423</v>
      </c>
      <c r="G12" s="61" t="s">
        <v>23</v>
      </c>
      <c r="H12" s="61">
        <v>125</v>
      </c>
      <c r="I12" s="59">
        <v>5.46</v>
      </c>
      <c r="J12" s="62">
        <v>682.5</v>
      </c>
      <c r="K12" s="61">
        <v>4469173</v>
      </c>
      <c r="L12" s="59" t="s">
        <v>367</v>
      </c>
      <c r="M12" s="59" t="s">
        <v>368</v>
      </c>
      <c r="N12" s="59" t="s">
        <v>373</v>
      </c>
      <c r="O12" s="59" t="s">
        <v>377</v>
      </c>
      <c r="P12" s="59" t="s">
        <v>378</v>
      </c>
      <c r="Q12" s="59" t="s">
        <v>369</v>
      </c>
      <c r="R12" s="59" t="s">
        <v>379</v>
      </c>
    </row>
    <row r="13" spans="1:18" x14ac:dyDescent="0.25">
      <c r="A13" s="59">
        <v>108342</v>
      </c>
      <c r="B13" s="59" t="s">
        <v>376</v>
      </c>
      <c r="C13" s="59" t="s">
        <v>372</v>
      </c>
      <c r="D13" s="59">
        <v>9801</v>
      </c>
      <c r="E13" s="60">
        <v>7896112198017</v>
      </c>
      <c r="F13" s="59" t="s">
        <v>426</v>
      </c>
      <c r="G13" s="61" t="s">
        <v>23</v>
      </c>
      <c r="H13" s="61">
        <v>300</v>
      </c>
      <c r="I13" s="59">
        <v>8.36</v>
      </c>
      <c r="J13" s="62">
        <v>2508</v>
      </c>
      <c r="K13" s="61">
        <v>4469173</v>
      </c>
      <c r="L13" s="59" t="s">
        <v>367</v>
      </c>
      <c r="M13" s="59" t="s">
        <v>368</v>
      </c>
      <c r="N13" s="59" t="s">
        <v>373</v>
      </c>
      <c r="O13" s="59" t="s">
        <v>377</v>
      </c>
      <c r="P13" s="59" t="s">
        <v>378</v>
      </c>
      <c r="Q13" s="59" t="s">
        <v>369</v>
      </c>
      <c r="R13" s="59" t="s">
        <v>379</v>
      </c>
    </row>
  </sheetData>
  <autoFilter ref="A2:R2" xr:uid="{D5BE2217-F057-4564-A2EE-AC06ADBEBE1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60D8F-F82B-4F0D-AA58-222CBD050D0A}">
  <sheetPr>
    <tabColor rgb="FF00B0F0"/>
  </sheetPr>
  <dimension ref="A1:R61"/>
  <sheetViews>
    <sheetView showGridLines="0" workbookViewId="0"/>
  </sheetViews>
  <sheetFormatPr defaultRowHeight="15" x14ac:dyDescent="0.25"/>
  <cols>
    <col min="2" max="2" width="24.7109375" customWidth="1"/>
    <col min="3" max="3" width="3.5703125" customWidth="1"/>
    <col min="4" max="4" width="7.5703125" customWidth="1"/>
    <col min="5" max="5" width="14.140625" style="50" customWidth="1"/>
    <col min="6" max="6" width="23.42578125" customWidth="1"/>
    <col min="7" max="7" width="11.42578125" customWidth="1"/>
    <col min="8" max="8" width="9.140625" style="51"/>
    <col min="9" max="9" width="9.5703125" style="68" bestFit="1" customWidth="1"/>
    <col min="10" max="10" width="17" style="68" bestFit="1" customWidth="1"/>
    <col min="12" max="12" width="11.42578125" customWidth="1"/>
    <col min="13" max="13" width="20.5703125" bestFit="1" customWidth="1"/>
    <col min="18" max="18" width="24" bestFit="1" customWidth="1"/>
  </cols>
  <sheetData>
    <row r="1" spans="1:18" x14ac:dyDescent="0.25">
      <c r="A1" s="49" t="s">
        <v>351</v>
      </c>
      <c r="I1" s="64"/>
      <c r="J1" s="65">
        <f>SUBTOTAL(9,J2:J1048576)</f>
        <v>267763.81679999997</v>
      </c>
    </row>
    <row r="2" spans="1:18" x14ac:dyDescent="0.25">
      <c r="A2" s="54" t="s">
        <v>352</v>
      </c>
      <c r="B2" s="54" t="s">
        <v>353</v>
      </c>
      <c r="C2" s="54" t="s">
        <v>354</v>
      </c>
      <c r="D2" s="54" t="s">
        <v>355</v>
      </c>
      <c r="E2" s="55" t="s">
        <v>3</v>
      </c>
      <c r="F2" s="54" t="s">
        <v>356</v>
      </c>
      <c r="G2" s="54" t="s">
        <v>5</v>
      </c>
      <c r="H2" s="56" t="s">
        <v>357</v>
      </c>
      <c r="I2" s="57" t="s">
        <v>358</v>
      </c>
      <c r="J2" s="58" t="s">
        <v>359</v>
      </c>
      <c r="K2" s="54" t="s">
        <v>360</v>
      </c>
      <c r="L2" s="54" t="s">
        <v>429</v>
      </c>
      <c r="M2" s="54" t="s">
        <v>430</v>
      </c>
      <c r="N2" s="54" t="s">
        <v>362</v>
      </c>
      <c r="O2" s="54" t="s">
        <v>363</v>
      </c>
      <c r="P2" s="54" t="s">
        <v>364</v>
      </c>
      <c r="Q2" s="54" t="s">
        <v>365</v>
      </c>
      <c r="R2" s="54" t="s">
        <v>366</v>
      </c>
    </row>
    <row r="3" spans="1:18" x14ac:dyDescent="0.25">
      <c r="A3" s="59">
        <v>108342</v>
      </c>
      <c r="B3" s="59" t="s">
        <v>376</v>
      </c>
      <c r="C3" s="59" t="s">
        <v>372</v>
      </c>
      <c r="D3" s="59">
        <v>4746</v>
      </c>
      <c r="E3" s="60">
        <v>7896112107460</v>
      </c>
      <c r="F3" s="59" t="s">
        <v>408</v>
      </c>
      <c r="G3" s="61" t="s">
        <v>34</v>
      </c>
      <c r="H3" s="66">
        <v>320</v>
      </c>
      <c r="I3" s="67">
        <v>22.71</v>
      </c>
      <c r="J3" s="67">
        <v>7267.2</v>
      </c>
      <c r="K3" s="61">
        <v>4461973</v>
      </c>
      <c r="L3" s="59" t="s">
        <v>431</v>
      </c>
      <c r="M3" s="59" t="s">
        <v>368</v>
      </c>
      <c r="N3" s="59" t="s">
        <v>373</v>
      </c>
      <c r="O3" s="59" t="s">
        <v>377</v>
      </c>
      <c r="P3" s="59" t="s">
        <v>378</v>
      </c>
      <c r="Q3" s="59" t="s">
        <v>369</v>
      </c>
      <c r="R3" s="59">
        <v>9741</v>
      </c>
    </row>
    <row r="4" spans="1:18" x14ac:dyDescent="0.25">
      <c r="A4" s="59">
        <v>108342</v>
      </c>
      <c r="B4" s="59" t="s">
        <v>376</v>
      </c>
      <c r="C4" s="59" t="s">
        <v>372</v>
      </c>
      <c r="D4" s="59">
        <v>4746</v>
      </c>
      <c r="E4" s="60">
        <v>7896112107460</v>
      </c>
      <c r="F4" s="59" t="s">
        <v>408</v>
      </c>
      <c r="G4" s="61" t="s">
        <v>34</v>
      </c>
      <c r="H4" s="66">
        <v>160</v>
      </c>
      <c r="I4" s="67">
        <v>21.67</v>
      </c>
      <c r="J4" s="67">
        <v>3467.2</v>
      </c>
      <c r="K4" s="61">
        <v>4467717</v>
      </c>
      <c r="L4" s="59" t="s">
        <v>432</v>
      </c>
      <c r="M4" s="59" t="s">
        <v>368</v>
      </c>
      <c r="N4" s="59" t="s">
        <v>373</v>
      </c>
      <c r="O4" s="59" t="s">
        <v>386</v>
      </c>
      <c r="P4" s="59" t="s">
        <v>387</v>
      </c>
      <c r="Q4" s="59" t="s">
        <v>419</v>
      </c>
      <c r="R4" s="59">
        <v>9832</v>
      </c>
    </row>
    <row r="5" spans="1:18" x14ac:dyDescent="0.25">
      <c r="A5" s="59">
        <v>108342</v>
      </c>
      <c r="B5" s="59" t="s">
        <v>376</v>
      </c>
      <c r="C5" s="59" t="s">
        <v>372</v>
      </c>
      <c r="D5" s="59">
        <v>7135</v>
      </c>
      <c r="E5" s="60">
        <v>7896112171355</v>
      </c>
      <c r="F5" s="59" t="s">
        <v>416</v>
      </c>
      <c r="G5" s="61" t="s">
        <v>34</v>
      </c>
      <c r="H5" s="66">
        <v>216</v>
      </c>
      <c r="I5" s="67">
        <v>4</v>
      </c>
      <c r="J5" s="67">
        <v>864</v>
      </c>
      <c r="K5" s="61">
        <v>4467739</v>
      </c>
      <c r="L5" s="59" t="s">
        <v>432</v>
      </c>
      <c r="M5" s="59" t="s">
        <v>368</v>
      </c>
      <c r="N5" s="59" t="s">
        <v>373</v>
      </c>
      <c r="O5" s="59" t="s">
        <v>386</v>
      </c>
      <c r="P5" s="59" t="s">
        <v>387</v>
      </c>
      <c r="Q5" s="59" t="s">
        <v>419</v>
      </c>
      <c r="R5" s="59">
        <v>9832</v>
      </c>
    </row>
    <row r="6" spans="1:18" x14ac:dyDescent="0.25">
      <c r="A6" s="59">
        <v>108342</v>
      </c>
      <c r="B6" s="59" t="s">
        <v>376</v>
      </c>
      <c r="C6" s="59" t="s">
        <v>372</v>
      </c>
      <c r="D6" s="59">
        <v>4832</v>
      </c>
      <c r="E6" s="60">
        <v>7896112108320</v>
      </c>
      <c r="F6" s="59" t="s">
        <v>410</v>
      </c>
      <c r="G6" s="61" t="s">
        <v>23</v>
      </c>
      <c r="H6" s="66">
        <v>720</v>
      </c>
      <c r="I6" s="67">
        <v>19.1129</v>
      </c>
      <c r="J6" s="67">
        <v>13761.316800000001</v>
      </c>
      <c r="K6" s="61">
        <v>4467742</v>
      </c>
      <c r="L6" s="59" t="s">
        <v>432</v>
      </c>
      <c r="M6" s="59" t="s">
        <v>368</v>
      </c>
      <c r="N6" s="59" t="s">
        <v>373</v>
      </c>
      <c r="O6" s="59" t="s">
        <v>386</v>
      </c>
      <c r="P6" s="59" t="s">
        <v>387</v>
      </c>
      <c r="Q6" s="59" t="s">
        <v>419</v>
      </c>
      <c r="R6" s="59">
        <v>9832</v>
      </c>
    </row>
    <row r="7" spans="1:18" x14ac:dyDescent="0.25">
      <c r="A7" s="59">
        <v>108342</v>
      </c>
      <c r="B7" s="59" t="s">
        <v>376</v>
      </c>
      <c r="C7" s="59" t="s">
        <v>372</v>
      </c>
      <c r="D7" s="59">
        <v>4156</v>
      </c>
      <c r="E7" s="60">
        <v>7896112101567</v>
      </c>
      <c r="F7" s="59" t="s">
        <v>401</v>
      </c>
      <c r="G7" s="61" t="s">
        <v>34</v>
      </c>
      <c r="H7" s="66">
        <v>1000</v>
      </c>
      <c r="I7" s="67">
        <v>2.89</v>
      </c>
      <c r="J7" s="67">
        <v>2890</v>
      </c>
      <c r="K7" s="61">
        <v>4467887</v>
      </c>
      <c r="L7" s="59" t="s">
        <v>432</v>
      </c>
      <c r="M7" s="59" t="s">
        <v>371</v>
      </c>
      <c r="N7" s="59" t="s">
        <v>373</v>
      </c>
      <c r="O7" s="59" t="s">
        <v>386</v>
      </c>
      <c r="P7" s="59" t="s">
        <v>387</v>
      </c>
      <c r="Q7" s="59" t="s">
        <v>419</v>
      </c>
      <c r="R7" s="59">
        <v>9832</v>
      </c>
    </row>
    <row r="8" spans="1:18" x14ac:dyDescent="0.25">
      <c r="A8" s="59">
        <v>108342</v>
      </c>
      <c r="B8" s="59" t="s">
        <v>376</v>
      </c>
      <c r="C8" s="59" t="s">
        <v>372</v>
      </c>
      <c r="D8" s="59">
        <v>5118</v>
      </c>
      <c r="E8" s="60">
        <v>7896112151180</v>
      </c>
      <c r="F8" s="59" t="s">
        <v>413</v>
      </c>
      <c r="G8" s="61" t="s">
        <v>34</v>
      </c>
      <c r="H8" s="66">
        <v>120</v>
      </c>
      <c r="I8" s="67">
        <v>43.19</v>
      </c>
      <c r="J8" s="67">
        <v>5182.8</v>
      </c>
      <c r="K8" s="61">
        <v>4469177</v>
      </c>
      <c r="L8" s="59" t="s">
        <v>432</v>
      </c>
      <c r="M8" s="59" t="s">
        <v>368</v>
      </c>
      <c r="N8" s="59" t="s">
        <v>373</v>
      </c>
      <c r="O8" s="59" t="s">
        <v>386</v>
      </c>
      <c r="P8" s="59" t="s">
        <v>387</v>
      </c>
      <c r="Q8" s="59" t="s">
        <v>419</v>
      </c>
      <c r="R8" s="59">
        <v>9832</v>
      </c>
    </row>
    <row r="9" spans="1:18" x14ac:dyDescent="0.25">
      <c r="A9" s="59">
        <v>108342</v>
      </c>
      <c r="B9" s="59" t="s">
        <v>376</v>
      </c>
      <c r="C9" s="59" t="s">
        <v>372</v>
      </c>
      <c r="D9" s="59">
        <v>5364</v>
      </c>
      <c r="E9" s="60">
        <v>7896112153641</v>
      </c>
      <c r="F9" s="59" t="s">
        <v>414</v>
      </c>
      <c r="G9" s="61" t="s">
        <v>23</v>
      </c>
      <c r="H9" s="66">
        <v>200</v>
      </c>
      <c r="I9" s="67">
        <v>15.71</v>
      </c>
      <c r="J9" s="67">
        <v>3142</v>
      </c>
      <c r="K9" s="61">
        <v>4469177</v>
      </c>
      <c r="L9" s="59" t="s">
        <v>432</v>
      </c>
      <c r="M9" s="59" t="s">
        <v>368</v>
      </c>
      <c r="N9" s="59" t="s">
        <v>373</v>
      </c>
      <c r="O9" s="59" t="s">
        <v>386</v>
      </c>
      <c r="P9" s="59" t="s">
        <v>387</v>
      </c>
      <c r="Q9" s="59" t="s">
        <v>419</v>
      </c>
      <c r="R9" s="59">
        <v>9832</v>
      </c>
    </row>
    <row r="10" spans="1:18" x14ac:dyDescent="0.25">
      <c r="A10" s="59">
        <v>108342</v>
      </c>
      <c r="B10" s="59" t="s">
        <v>376</v>
      </c>
      <c r="C10" s="59" t="s">
        <v>372</v>
      </c>
      <c r="D10" s="59">
        <v>1876</v>
      </c>
      <c r="E10" s="60">
        <v>7896112118763</v>
      </c>
      <c r="F10" s="59" t="s">
        <v>389</v>
      </c>
      <c r="G10" s="61" t="s">
        <v>23</v>
      </c>
      <c r="H10" s="66">
        <v>300</v>
      </c>
      <c r="I10" s="67">
        <v>41.73</v>
      </c>
      <c r="J10" s="67">
        <v>12519</v>
      </c>
      <c r="K10" s="61">
        <v>4470829</v>
      </c>
      <c r="L10" s="59" t="s">
        <v>432</v>
      </c>
      <c r="M10" s="59" t="s">
        <v>371</v>
      </c>
      <c r="N10" s="59" t="s">
        <v>373</v>
      </c>
      <c r="O10" s="59" t="s">
        <v>386</v>
      </c>
      <c r="P10" s="59" t="s">
        <v>387</v>
      </c>
      <c r="Q10" s="59" t="s">
        <v>419</v>
      </c>
      <c r="R10" s="59">
        <v>9832</v>
      </c>
    </row>
    <row r="11" spans="1:18" x14ac:dyDescent="0.25">
      <c r="A11" s="59">
        <v>108342</v>
      </c>
      <c r="B11" s="59" t="s">
        <v>376</v>
      </c>
      <c r="C11" s="59" t="s">
        <v>372</v>
      </c>
      <c r="D11" s="59">
        <v>2367</v>
      </c>
      <c r="E11" s="60">
        <v>7896112123675</v>
      </c>
      <c r="F11" s="59" t="s">
        <v>392</v>
      </c>
      <c r="G11" s="61" t="s">
        <v>23</v>
      </c>
      <c r="H11" s="66">
        <v>400</v>
      </c>
      <c r="I11" s="67">
        <v>6.8</v>
      </c>
      <c r="J11" s="67">
        <v>2720</v>
      </c>
      <c r="K11" s="61">
        <v>4470829</v>
      </c>
      <c r="L11" s="59" t="s">
        <v>432</v>
      </c>
      <c r="M11" s="59" t="s">
        <v>371</v>
      </c>
      <c r="N11" s="59" t="s">
        <v>373</v>
      </c>
      <c r="O11" s="59" t="s">
        <v>386</v>
      </c>
      <c r="P11" s="59" t="s">
        <v>387</v>
      </c>
      <c r="Q11" s="59" t="s">
        <v>419</v>
      </c>
      <c r="R11" s="59">
        <v>9832</v>
      </c>
    </row>
    <row r="12" spans="1:18" x14ac:dyDescent="0.25">
      <c r="A12" s="59">
        <v>108342</v>
      </c>
      <c r="B12" s="59" t="s">
        <v>376</v>
      </c>
      <c r="C12" s="59" t="s">
        <v>372</v>
      </c>
      <c r="D12" s="59">
        <v>2583</v>
      </c>
      <c r="E12" s="60">
        <v>7896112125839</v>
      </c>
      <c r="F12" s="59" t="s">
        <v>394</v>
      </c>
      <c r="G12" s="61" t="s">
        <v>23</v>
      </c>
      <c r="H12" s="66">
        <v>800</v>
      </c>
      <c r="I12" s="67">
        <v>21.77</v>
      </c>
      <c r="J12" s="67">
        <v>17416</v>
      </c>
      <c r="K12" s="61">
        <v>4470829</v>
      </c>
      <c r="L12" s="59" t="s">
        <v>432</v>
      </c>
      <c r="M12" s="59" t="s">
        <v>371</v>
      </c>
      <c r="N12" s="59" t="s">
        <v>373</v>
      </c>
      <c r="O12" s="59" t="s">
        <v>386</v>
      </c>
      <c r="P12" s="59" t="s">
        <v>387</v>
      </c>
      <c r="Q12" s="59" t="s">
        <v>419</v>
      </c>
      <c r="R12" s="59">
        <v>9832</v>
      </c>
    </row>
    <row r="13" spans="1:18" x14ac:dyDescent="0.25">
      <c r="A13" s="59">
        <v>108342</v>
      </c>
      <c r="B13" s="59" t="s">
        <v>376</v>
      </c>
      <c r="C13" s="59" t="s">
        <v>372</v>
      </c>
      <c r="D13" s="59">
        <v>2876</v>
      </c>
      <c r="E13" s="60">
        <v>7896112128762</v>
      </c>
      <c r="F13" s="59" t="s">
        <v>395</v>
      </c>
      <c r="G13" s="61" t="s">
        <v>34</v>
      </c>
      <c r="H13" s="66">
        <v>200</v>
      </c>
      <c r="I13" s="67">
        <v>5.95</v>
      </c>
      <c r="J13" s="67">
        <v>1190</v>
      </c>
      <c r="K13" s="61">
        <v>4470829</v>
      </c>
      <c r="L13" s="59" t="s">
        <v>432</v>
      </c>
      <c r="M13" s="59" t="s">
        <v>371</v>
      </c>
      <c r="N13" s="59" t="s">
        <v>373</v>
      </c>
      <c r="O13" s="59" t="s">
        <v>386</v>
      </c>
      <c r="P13" s="59" t="s">
        <v>387</v>
      </c>
      <c r="Q13" s="59" t="s">
        <v>419</v>
      </c>
      <c r="R13" s="59">
        <v>9832</v>
      </c>
    </row>
    <row r="14" spans="1:18" x14ac:dyDescent="0.25">
      <c r="A14" s="59">
        <v>108342</v>
      </c>
      <c r="B14" s="59" t="s">
        <v>376</v>
      </c>
      <c r="C14" s="59" t="s">
        <v>372</v>
      </c>
      <c r="D14" s="59">
        <v>2884</v>
      </c>
      <c r="E14" s="60">
        <v>7896112128847</v>
      </c>
      <c r="F14" s="59" t="s">
        <v>396</v>
      </c>
      <c r="G14" s="61" t="s">
        <v>34</v>
      </c>
      <c r="H14" s="66">
        <v>450</v>
      </c>
      <c r="I14" s="67">
        <v>3.46</v>
      </c>
      <c r="J14" s="67">
        <v>1557</v>
      </c>
      <c r="K14" s="61">
        <v>4470829</v>
      </c>
      <c r="L14" s="59" t="s">
        <v>432</v>
      </c>
      <c r="M14" s="59" t="s">
        <v>371</v>
      </c>
      <c r="N14" s="59" t="s">
        <v>373</v>
      </c>
      <c r="O14" s="59" t="s">
        <v>386</v>
      </c>
      <c r="P14" s="59" t="s">
        <v>387</v>
      </c>
      <c r="Q14" s="59" t="s">
        <v>419</v>
      </c>
      <c r="R14" s="59">
        <v>9832</v>
      </c>
    </row>
    <row r="15" spans="1:18" x14ac:dyDescent="0.25">
      <c r="A15" s="59">
        <v>108342</v>
      </c>
      <c r="B15" s="59" t="s">
        <v>376</v>
      </c>
      <c r="C15" s="59" t="s">
        <v>372</v>
      </c>
      <c r="D15" s="59">
        <v>3293</v>
      </c>
      <c r="E15" s="60">
        <v>7896112132936</v>
      </c>
      <c r="F15" s="59" t="s">
        <v>398</v>
      </c>
      <c r="G15" s="61" t="s">
        <v>34</v>
      </c>
      <c r="H15" s="66">
        <v>180</v>
      </c>
      <c r="I15" s="67">
        <v>4.37</v>
      </c>
      <c r="J15" s="67">
        <v>786.6</v>
      </c>
      <c r="K15" s="61">
        <v>4470829</v>
      </c>
      <c r="L15" s="59" t="s">
        <v>432</v>
      </c>
      <c r="M15" s="59" t="s">
        <v>371</v>
      </c>
      <c r="N15" s="59" t="s">
        <v>373</v>
      </c>
      <c r="O15" s="59" t="s">
        <v>386</v>
      </c>
      <c r="P15" s="59" t="s">
        <v>387</v>
      </c>
      <c r="Q15" s="59" t="s">
        <v>419</v>
      </c>
      <c r="R15" s="59">
        <v>9832</v>
      </c>
    </row>
    <row r="16" spans="1:18" x14ac:dyDescent="0.25">
      <c r="A16" s="59">
        <v>108342</v>
      </c>
      <c r="B16" s="59" t="s">
        <v>376</v>
      </c>
      <c r="C16" s="59" t="s">
        <v>372</v>
      </c>
      <c r="D16" s="59">
        <v>4134</v>
      </c>
      <c r="E16" s="60">
        <v>7896112101345</v>
      </c>
      <c r="F16" s="59" t="s">
        <v>400</v>
      </c>
      <c r="G16" s="61" t="s">
        <v>23</v>
      </c>
      <c r="H16" s="66">
        <v>1000</v>
      </c>
      <c r="I16" s="67">
        <v>2.02</v>
      </c>
      <c r="J16" s="67">
        <v>2020</v>
      </c>
      <c r="K16" s="61">
        <v>4470829</v>
      </c>
      <c r="L16" s="59" t="s">
        <v>432</v>
      </c>
      <c r="M16" s="59" t="s">
        <v>371</v>
      </c>
      <c r="N16" s="59" t="s">
        <v>373</v>
      </c>
      <c r="O16" s="59" t="s">
        <v>386</v>
      </c>
      <c r="P16" s="59" t="s">
        <v>387</v>
      </c>
      <c r="Q16" s="59" t="s">
        <v>419</v>
      </c>
      <c r="R16" s="59">
        <v>9832</v>
      </c>
    </row>
    <row r="17" spans="1:18" x14ac:dyDescent="0.25">
      <c r="A17" s="59">
        <v>108342</v>
      </c>
      <c r="B17" s="59" t="s">
        <v>376</v>
      </c>
      <c r="C17" s="59" t="s">
        <v>372</v>
      </c>
      <c r="D17" s="59">
        <v>4266</v>
      </c>
      <c r="E17" s="60">
        <v>7896112102663</v>
      </c>
      <c r="F17" s="59" t="s">
        <v>404</v>
      </c>
      <c r="G17" s="61" t="s">
        <v>34</v>
      </c>
      <c r="H17" s="66">
        <v>400</v>
      </c>
      <c r="I17" s="67">
        <v>6.92</v>
      </c>
      <c r="J17" s="67">
        <v>2768</v>
      </c>
      <c r="K17" s="61">
        <v>4470829</v>
      </c>
      <c r="L17" s="59" t="s">
        <v>432</v>
      </c>
      <c r="M17" s="59" t="s">
        <v>371</v>
      </c>
      <c r="N17" s="59" t="s">
        <v>373</v>
      </c>
      <c r="O17" s="59" t="s">
        <v>386</v>
      </c>
      <c r="P17" s="59" t="s">
        <v>387</v>
      </c>
      <c r="Q17" s="59" t="s">
        <v>419</v>
      </c>
      <c r="R17" s="59">
        <v>9832</v>
      </c>
    </row>
    <row r="18" spans="1:18" x14ac:dyDescent="0.25">
      <c r="A18" s="59">
        <v>108342</v>
      </c>
      <c r="B18" s="59" t="s">
        <v>376</v>
      </c>
      <c r="C18" s="59" t="s">
        <v>372</v>
      </c>
      <c r="D18" s="59">
        <v>4796</v>
      </c>
      <c r="E18" s="60">
        <v>7896112107965</v>
      </c>
      <c r="F18" s="59" t="s">
        <v>409</v>
      </c>
      <c r="G18" s="61" t="s">
        <v>23</v>
      </c>
      <c r="H18" s="66">
        <v>1500</v>
      </c>
      <c r="I18" s="67">
        <v>6.35</v>
      </c>
      <c r="J18" s="67">
        <v>9525</v>
      </c>
      <c r="K18" s="61">
        <v>4470829</v>
      </c>
      <c r="L18" s="59" t="s">
        <v>432</v>
      </c>
      <c r="M18" s="59" t="s">
        <v>371</v>
      </c>
      <c r="N18" s="59" t="s">
        <v>373</v>
      </c>
      <c r="O18" s="59" t="s">
        <v>386</v>
      </c>
      <c r="P18" s="59" t="s">
        <v>387</v>
      </c>
      <c r="Q18" s="59" t="s">
        <v>419</v>
      </c>
      <c r="R18" s="59">
        <v>9832</v>
      </c>
    </row>
    <row r="19" spans="1:18" x14ac:dyDescent="0.25">
      <c r="A19" s="59">
        <v>108342</v>
      </c>
      <c r="B19" s="59" t="s">
        <v>376</v>
      </c>
      <c r="C19" s="59" t="s">
        <v>372</v>
      </c>
      <c r="D19" s="59">
        <v>4849</v>
      </c>
      <c r="E19" s="60">
        <v>7896112148494</v>
      </c>
      <c r="F19" s="59" t="s">
        <v>411</v>
      </c>
      <c r="G19" s="61" t="s">
        <v>34</v>
      </c>
      <c r="H19" s="66">
        <v>1200</v>
      </c>
      <c r="I19" s="67">
        <v>6.65</v>
      </c>
      <c r="J19" s="67">
        <v>7980</v>
      </c>
      <c r="K19" s="61">
        <v>4470829</v>
      </c>
      <c r="L19" s="59" t="s">
        <v>432</v>
      </c>
      <c r="M19" s="59" t="s">
        <v>371</v>
      </c>
      <c r="N19" s="59" t="s">
        <v>373</v>
      </c>
      <c r="O19" s="59" t="s">
        <v>386</v>
      </c>
      <c r="P19" s="59" t="s">
        <v>387</v>
      </c>
      <c r="Q19" s="59" t="s">
        <v>419</v>
      </c>
      <c r="R19" s="59">
        <v>9832</v>
      </c>
    </row>
    <row r="20" spans="1:18" x14ac:dyDescent="0.25">
      <c r="A20" s="59">
        <v>108342</v>
      </c>
      <c r="B20" s="59" t="s">
        <v>376</v>
      </c>
      <c r="C20" s="59" t="s">
        <v>372</v>
      </c>
      <c r="D20" s="59">
        <v>6340</v>
      </c>
      <c r="E20" s="60">
        <v>7896112163404</v>
      </c>
      <c r="F20" s="59" t="s">
        <v>415</v>
      </c>
      <c r="G20" s="61" t="s">
        <v>34</v>
      </c>
      <c r="H20" s="66">
        <v>40</v>
      </c>
      <c r="I20" s="67">
        <v>38.25</v>
      </c>
      <c r="J20" s="67">
        <v>1530</v>
      </c>
      <c r="K20" s="61">
        <v>4470829</v>
      </c>
      <c r="L20" s="59" t="s">
        <v>432</v>
      </c>
      <c r="M20" s="59" t="s">
        <v>371</v>
      </c>
      <c r="N20" s="59" t="s">
        <v>373</v>
      </c>
      <c r="O20" s="59" t="s">
        <v>386</v>
      </c>
      <c r="P20" s="59" t="s">
        <v>387</v>
      </c>
      <c r="Q20" s="59" t="s">
        <v>419</v>
      </c>
      <c r="R20" s="59">
        <v>9832</v>
      </c>
    </row>
    <row r="21" spans="1:18" x14ac:dyDescent="0.25">
      <c r="A21" s="59">
        <v>108342</v>
      </c>
      <c r="B21" s="59" t="s">
        <v>376</v>
      </c>
      <c r="C21" s="59" t="s">
        <v>372</v>
      </c>
      <c r="D21" s="59">
        <v>9608</v>
      </c>
      <c r="E21" s="60">
        <v>7896112196082</v>
      </c>
      <c r="F21" s="59" t="s">
        <v>425</v>
      </c>
      <c r="G21" s="61" t="s">
        <v>34</v>
      </c>
      <c r="H21" s="66">
        <v>1000</v>
      </c>
      <c r="I21" s="67">
        <v>9.2899999999999991</v>
      </c>
      <c r="J21" s="67">
        <v>9290</v>
      </c>
      <c r="K21" s="61">
        <v>4470829</v>
      </c>
      <c r="L21" s="59" t="s">
        <v>432</v>
      </c>
      <c r="M21" s="59" t="s">
        <v>371</v>
      </c>
      <c r="N21" s="59" t="s">
        <v>373</v>
      </c>
      <c r="O21" s="59" t="s">
        <v>386</v>
      </c>
      <c r="P21" s="59" t="s">
        <v>387</v>
      </c>
      <c r="Q21" s="59" t="s">
        <v>419</v>
      </c>
      <c r="R21" s="59">
        <v>9832</v>
      </c>
    </row>
    <row r="22" spans="1:18" x14ac:dyDescent="0.25">
      <c r="A22" s="59">
        <v>108342</v>
      </c>
      <c r="B22" s="59" t="s">
        <v>376</v>
      </c>
      <c r="C22" s="59" t="s">
        <v>372</v>
      </c>
      <c r="D22" s="59">
        <v>1784</v>
      </c>
      <c r="E22" s="60">
        <v>7896112117841</v>
      </c>
      <c r="F22" s="59" t="s">
        <v>388</v>
      </c>
      <c r="G22" s="61" t="s">
        <v>34</v>
      </c>
      <c r="H22" s="66">
        <v>960</v>
      </c>
      <c r="I22" s="67">
        <v>10.63</v>
      </c>
      <c r="J22" s="67">
        <v>10204.799999999999</v>
      </c>
      <c r="K22" s="61">
        <v>4471524</v>
      </c>
      <c r="L22" s="59" t="s">
        <v>432</v>
      </c>
      <c r="M22" s="59" t="s">
        <v>368</v>
      </c>
      <c r="N22" s="59" t="s">
        <v>373</v>
      </c>
      <c r="O22" s="59" t="s">
        <v>445</v>
      </c>
      <c r="P22" s="59" t="s">
        <v>446</v>
      </c>
      <c r="Q22" s="59" t="s">
        <v>438</v>
      </c>
      <c r="R22" s="59">
        <v>9871</v>
      </c>
    </row>
    <row r="23" spans="1:18" x14ac:dyDescent="0.25">
      <c r="A23" s="59">
        <v>108342</v>
      </c>
      <c r="B23" s="59" t="s">
        <v>376</v>
      </c>
      <c r="C23" s="59" t="s">
        <v>372</v>
      </c>
      <c r="D23" s="59">
        <v>1921</v>
      </c>
      <c r="E23" s="60">
        <v>7896112119210</v>
      </c>
      <c r="F23" s="59" t="s">
        <v>442</v>
      </c>
      <c r="G23" s="61" t="s">
        <v>34</v>
      </c>
      <c r="H23" s="66">
        <v>1000</v>
      </c>
      <c r="I23" s="67">
        <v>3.26</v>
      </c>
      <c r="J23" s="67">
        <v>3260</v>
      </c>
      <c r="K23" s="61">
        <v>4471530</v>
      </c>
      <c r="L23" s="59" t="s">
        <v>432</v>
      </c>
      <c r="M23" s="59" t="s">
        <v>368</v>
      </c>
      <c r="N23" s="59" t="s">
        <v>373</v>
      </c>
      <c r="O23" s="59" t="s">
        <v>445</v>
      </c>
      <c r="P23" s="59" t="s">
        <v>446</v>
      </c>
      <c r="Q23" s="59" t="s">
        <v>438</v>
      </c>
      <c r="R23" s="59">
        <v>9871</v>
      </c>
    </row>
    <row r="24" spans="1:18" x14ac:dyDescent="0.25">
      <c r="A24" s="59">
        <v>108342</v>
      </c>
      <c r="B24" s="59" t="s">
        <v>376</v>
      </c>
      <c r="C24" s="59" t="s">
        <v>372</v>
      </c>
      <c r="D24" s="59">
        <v>4746</v>
      </c>
      <c r="E24" s="60">
        <v>7896112107460</v>
      </c>
      <c r="F24" s="59" t="s">
        <v>408</v>
      </c>
      <c r="G24" s="61" t="s">
        <v>34</v>
      </c>
      <c r="H24" s="66">
        <v>160</v>
      </c>
      <c r="I24" s="67">
        <v>21.67</v>
      </c>
      <c r="J24" s="67">
        <v>3467.2</v>
      </c>
      <c r="K24" s="61">
        <v>4471531</v>
      </c>
      <c r="L24" s="59" t="s">
        <v>432</v>
      </c>
      <c r="M24" s="59" t="s">
        <v>368</v>
      </c>
      <c r="N24" s="59" t="s">
        <v>373</v>
      </c>
      <c r="O24" s="59" t="s">
        <v>445</v>
      </c>
      <c r="P24" s="59" t="s">
        <v>446</v>
      </c>
      <c r="Q24" s="59" t="s">
        <v>438</v>
      </c>
      <c r="R24" s="59">
        <v>9871</v>
      </c>
    </row>
    <row r="25" spans="1:18" x14ac:dyDescent="0.25">
      <c r="A25" s="59">
        <v>108342</v>
      </c>
      <c r="B25" s="59" t="s">
        <v>376</v>
      </c>
      <c r="C25" s="59" t="s">
        <v>372</v>
      </c>
      <c r="D25" s="59">
        <v>212</v>
      </c>
      <c r="E25" s="60">
        <v>7896112142126</v>
      </c>
      <c r="F25" s="59" t="s">
        <v>370</v>
      </c>
      <c r="G25" s="61" t="s">
        <v>23</v>
      </c>
      <c r="H25" s="66">
        <v>400</v>
      </c>
      <c r="I25" s="67">
        <v>4.9000000000000004</v>
      </c>
      <c r="J25" s="67">
        <v>1960</v>
      </c>
      <c r="K25" s="61">
        <v>4471548</v>
      </c>
      <c r="L25" s="59" t="s">
        <v>432</v>
      </c>
      <c r="M25" s="59" t="s">
        <v>371</v>
      </c>
      <c r="N25" s="59" t="s">
        <v>373</v>
      </c>
      <c r="O25" s="59" t="s">
        <v>445</v>
      </c>
      <c r="P25" s="59" t="s">
        <v>446</v>
      </c>
      <c r="Q25" s="59" t="s">
        <v>438</v>
      </c>
      <c r="R25" s="59">
        <v>9871</v>
      </c>
    </row>
    <row r="26" spans="1:18" x14ac:dyDescent="0.25">
      <c r="A26" s="59">
        <v>108342</v>
      </c>
      <c r="B26" s="59" t="s">
        <v>376</v>
      </c>
      <c r="C26" s="59" t="s">
        <v>372</v>
      </c>
      <c r="D26" s="59">
        <v>1057</v>
      </c>
      <c r="E26" s="60">
        <v>7896112110576</v>
      </c>
      <c r="F26" s="59" t="s">
        <v>374</v>
      </c>
      <c r="G26" s="61" t="s">
        <v>34</v>
      </c>
      <c r="H26" s="66">
        <v>3000</v>
      </c>
      <c r="I26" s="67">
        <v>1.43</v>
      </c>
      <c r="J26" s="67">
        <v>4290</v>
      </c>
      <c r="K26" s="61">
        <v>4471548</v>
      </c>
      <c r="L26" s="59" t="s">
        <v>432</v>
      </c>
      <c r="M26" s="59" t="s">
        <v>371</v>
      </c>
      <c r="N26" s="59" t="s">
        <v>373</v>
      </c>
      <c r="O26" s="59" t="s">
        <v>445</v>
      </c>
      <c r="P26" s="59" t="s">
        <v>446</v>
      </c>
      <c r="Q26" s="59" t="s">
        <v>438</v>
      </c>
      <c r="R26" s="59">
        <v>9871</v>
      </c>
    </row>
    <row r="27" spans="1:18" x14ac:dyDescent="0.25">
      <c r="A27" s="59">
        <v>108342</v>
      </c>
      <c r="B27" s="59" t="s">
        <v>376</v>
      </c>
      <c r="C27" s="59" t="s">
        <v>372</v>
      </c>
      <c r="D27" s="59">
        <v>2243</v>
      </c>
      <c r="E27" s="60">
        <v>7896112122432</v>
      </c>
      <c r="F27" s="59" t="s">
        <v>436</v>
      </c>
      <c r="G27" s="61" t="s">
        <v>23</v>
      </c>
      <c r="H27" s="66">
        <v>2000</v>
      </c>
      <c r="I27" s="67">
        <v>1</v>
      </c>
      <c r="J27" s="67">
        <v>2000</v>
      </c>
      <c r="K27" s="61">
        <v>4471548</v>
      </c>
      <c r="L27" s="59" t="s">
        <v>432</v>
      </c>
      <c r="M27" s="59" t="s">
        <v>371</v>
      </c>
      <c r="N27" s="59" t="s">
        <v>373</v>
      </c>
      <c r="O27" s="59" t="s">
        <v>445</v>
      </c>
      <c r="P27" s="59" t="s">
        <v>446</v>
      </c>
      <c r="Q27" s="59" t="s">
        <v>438</v>
      </c>
      <c r="R27" s="59">
        <v>9871</v>
      </c>
    </row>
    <row r="28" spans="1:18" x14ac:dyDescent="0.25">
      <c r="A28" s="59">
        <v>108342</v>
      </c>
      <c r="B28" s="59" t="s">
        <v>376</v>
      </c>
      <c r="C28" s="59" t="s">
        <v>372</v>
      </c>
      <c r="D28" s="59">
        <v>2246</v>
      </c>
      <c r="E28" s="60">
        <v>7896112122463</v>
      </c>
      <c r="F28" s="59" t="s">
        <v>390</v>
      </c>
      <c r="G28" s="61" t="s">
        <v>34</v>
      </c>
      <c r="H28" s="66">
        <v>2000</v>
      </c>
      <c r="I28" s="67">
        <v>2.86</v>
      </c>
      <c r="J28" s="67">
        <v>5720</v>
      </c>
      <c r="K28" s="61">
        <v>4471548</v>
      </c>
      <c r="L28" s="59" t="s">
        <v>432</v>
      </c>
      <c r="M28" s="59" t="s">
        <v>371</v>
      </c>
      <c r="N28" s="59" t="s">
        <v>373</v>
      </c>
      <c r="O28" s="59" t="s">
        <v>445</v>
      </c>
      <c r="P28" s="59" t="s">
        <v>446</v>
      </c>
      <c r="Q28" s="59" t="s">
        <v>438</v>
      </c>
      <c r="R28" s="59">
        <v>9871</v>
      </c>
    </row>
    <row r="29" spans="1:18" x14ac:dyDescent="0.25">
      <c r="A29" s="59">
        <v>108342</v>
      </c>
      <c r="B29" s="59" t="s">
        <v>376</v>
      </c>
      <c r="C29" s="59" t="s">
        <v>372</v>
      </c>
      <c r="D29" s="59">
        <v>2583</v>
      </c>
      <c r="E29" s="60">
        <v>7896112125839</v>
      </c>
      <c r="F29" s="59" t="s">
        <v>394</v>
      </c>
      <c r="G29" s="61" t="s">
        <v>23</v>
      </c>
      <c r="H29" s="66">
        <v>480</v>
      </c>
      <c r="I29" s="67">
        <v>21.77</v>
      </c>
      <c r="J29" s="67">
        <v>10449.6</v>
      </c>
      <c r="K29" s="61">
        <v>4471548</v>
      </c>
      <c r="L29" s="59" t="s">
        <v>432</v>
      </c>
      <c r="M29" s="59" t="s">
        <v>371</v>
      </c>
      <c r="N29" s="59" t="s">
        <v>373</v>
      </c>
      <c r="O29" s="59" t="s">
        <v>445</v>
      </c>
      <c r="P29" s="59" t="s">
        <v>446</v>
      </c>
      <c r="Q29" s="59" t="s">
        <v>438</v>
      </c>
      <c r="R29" s="59">
        <v>9871</v>
      </c>
    </row>
    <row r="30" spans="1:18" x14ac:dyDescent="0.25">
      <c r="A30" s="59">
        <v>108342</v>
      </c>
      <c r="B30" s="59" t="s">
        <v>376</v>
      </c>
      <c r="C30" s="59" t="s">
        <v>372</v>
      </c>
      <c r="D30" s="59">
        <v>2876</v>
      </c>
      <c r="E30" s="60">
        <v>7896112128762</v>
      </c>
      <c r="F30" s="59" t="s">
        <v>395</v>
      </c>
      <c r="G30" s="61" t="s">
        <v>34</v>
      </c>
      <c r="H30" s="66">
        <v>250</v>
      </c>
      <c r="I30" s="67">
        <v>5.94</v>
      </c>
      <c r="J30" s="67">
        <v>1485</v>
      </c>
      <c r="K30" s="61">
        <v>4471548</v>
      </c>
      <c r="L30" s="59" t="s">
        <v>432</v>
      </c>
      <c r="M30" s="59" t="s">
        <v>371</v>
      </c>
      <c r="N30" s="59" t="s">
        <v>373</v>
      </c>
      <c r="O30" s="59" t="s">
        <v>445</v>
      </c>
      <c r="P30" s="59" t="s">
        <v>446</v>
      </c>
      <c r="Q30" s="59" t="s">
        <v>438</v>
      </c>
      <c r="R30" s="59">
        <v>9871</v>
      </c>
    </row>
    <row r="31" spans="1:18" x14ac:dyDescent="0.25">
      <c r="A31" s="59">
        <v>108342</v>
      </c>
      <c r="B31" s="59" t="s">
        <v>376</v>
      </c>
      <c r="C31" s="59" t="s">
        <v>372</v>
      </c>
      <c r="D31" s="59">
        <v>2884</v>
      </c>
      <c r="E31" s="60">
        <v>7896112128847</v>
      </c>
      <c r="F31" s="59" t="s">
        <v>396</v>
      </c>
      <c r="G31" s="61" t="s">
        <v>34</v>
      </c>
      <c r="H31" s="66">
        <v>450</v>
      </c>
      <c r="I31" s="67">
        <v>3.45</v>
      </c>
      <c r="J31" s="67">
        <v>1552.5</v>
      </c>
      <c r="K31" s="61">
        <v>4471548</v>
      </c>
      <c r="L31" s="59" t="s">
        <v>432</v>
      </c>
      <c r="M31" s="59" t="s">
        <v>371</v>
      </c>
      <c r="N31" s="59" t="s">
        <v>373</v>
      </c>
      <c r="O31" s="59" t="s">
        <v>445</v>
      </c>
      <c r="P31" s="59" t="s">
        <v>446</v>
      </c>
      <c r="Q31" s="59" t="s">
        <v>438</v>
      </c>
      <c r="R31" s="59">
        <v>9871</v>
      </c>
    </row>
    <row r="32" spans="1:18" x14ac:dyDescent="0.25">
      <c r="A32" s="59">
        <v>108342</v>
      </c>
      <c r="B32" s="59" t="s">
        <v>376</v>
      </c>
      <c r="C32" s="59" t="s">
        <v>372</v>
      </c>
      <c r="D32" s="59">
        <v>4134</v>
      </c>
      <c r="E32" s="60">
        <v>7896112101345</v>
      </c>
      <c r="F32" s="59" t="s">
        <v>400</v>
      </c>
      <c r="G32" s="61" t="s">
        <v>23</v>
      </c>
      <c r="H32" s="66">
        <v>2000</v>
      </c>
      <c r="I32" s="67">
        <v>2.02</v>
      </c>
      <c r="J32" s="67">
        <v>4040</v>
      </c>
      <c r="K32" s="61">
        <v>4471548</v>
      </c>
      <c r="L32" s="59" t="s">
        <v>432</v>
      </c>
      <c r="M32" s="59" t="s">
        <v>371</v>
      </c>
      <c r="N32" s="59" t="s">
        <v>373</v>
      </c>
      <c r="O32" s="59" t="s">
        <v>445</v>
      </c>
      <c r="P32" s="59" t="s">
        <v>446</v>
      </c>
      <c r="Q32" s="59" t="s">
        <v>438</v>
      </c>
      <c r="R32" s="59">
        <v>9871</v>
      </c>
    </row>
    <row r="33" spans="1:18" x14ac:dyDescent="0.25">
      <c r="A33" s="59">
        <v>108342</v>
      </c>
      <c r="B33" s="59" t="s">
        <v>376</v>
      </c>
      <c r="C33" s="59" t="s">
        <v>372</v>
      </c>
      <c r="D33" s="59">
        <v>4156</v>
      </c>
      <c r="E33" s="60">
        <v>7896112101567</v>
      </c>
      <c r="F33" s="59" t="s">
        <v>401</v>
      </c>
      <c r="G33" s="61" t="s">
        <v>34</v>
      </c>
      <c r="H33" s="66">
        <v>5000</v>
      </c>
      <c r="I33" s="67">
        <v>2.83</v>
      </c>
      <c r="J33" s="67">
        <v>14150</v>
      </c>
      <c r="K33" s="61">
        <v>4471548</v>
      </c>
      <c r="L33" s="59" t="s">
        <v>432</v>
      </c>
      <c r="M33" s="59" t="s">
        <v>371</v>
      </c>
      <c r="N33" s="59" t="s">
        <v>373</v>
      </c>
      <c r="O33" s="59" t="s">
        <v>445</v>
      </c>
      <c r="P33" s="59" t="s">
        <v>446</v>
      </c>
      <c r="Q33" s="59" t="s">
        <v>438</v>
      </c>
      <c r="R33" s="59">
        <v>9871</v>
      </c>
    </row>
    <row r="34" spans="1:18" x14ac:dyDescent="0.25">
      <c r="A34" s="59">
        <v>108342</v>
      </c>
      <c r="B34" s="59" t="s">
        <v>376</v>
      </c>
      <c r="C34" s="59" t="s">
        <v>372</v>
      </c>
      <c r="D34" s="59">
        <v>4162</v>
      </c>
      <c r="E34" s="60">
        <v>7896112101628</v>
      </c>
      <c r="F34" s="59" t="s">
        <v>403</v>
      </c>
      <c r="G34" s="61" t="s">
        <v>34</v>
      </c>
      <c r="H34" s="66">
        <v>240</v>
      </c>
      <c r="I34" s="67">
        <v>10.57</v>
      </c>
      <c r="J34" s="67">
        <v>2536.8000000000002</v>
      </c>
      <c r="K34" s="61">
        <v>4471548</v>
      </c>
      <c r="L34" s="59" t="s">
        <v>432</v>
      </c>
      <c r="M34" s="59" t="s">
        <v>371</v>
      </c>
      <c r="N34" s="59" t="s">
        <v>373</v>
      </c>
      <c r="O34" s="59" t="s">
        <v>445</v>
      </c>
      <c r="P34" s="59" t="s">
        <v>446</v>
      </c>
      <c r="Q34" s="59" t="s">
        <v>438</v>
      </c>
      <c r="R34" s="59">
        <v>9871</v>
      </c>
    </row>
    <row r="35" spans="1:18" x14ac:dyDescent="0.25">
      <c r="A35" s="59">
        <v>108342</v>
      </c>
      <c r="B35" s="59" t="s">
        <v>376</v>
      </c>
      <c r="C35" s="59" t="s">
        <v>372</v>
      </c>
      <c r="D35" s="59">
        <v>4266</v>
      </c>
      <c r="E35" s="60">
        <v>7896112102663</v>
      </c>
      <c r="F35" s="59" t="s">
        <v>404</v>
      </c>
      <c r="G35" s="61" t="s">
        <v>34</v>
      </c>
      <c r="H35" s="66">
        <v>400</v>
      </c>
      <c r="I35" s="67">
        <v>6.94</v>
      </c>
      <c r="J35" s="67">
        <v>2776</v>
      </c>
      <c r="K35" s="61">
        <v>4471548</v>
      </c>
      <c r="L35" s="59" t="s">
        <v>432</v>
      </c>
      <c r="M35" s="59" t="s">
        <v>371</v>
      </c>
      <c r="N35" s="59" t="s">
        <v>373</v>
      </c>
      <c r="O35" s="59" t="s">
        <v>445</v>
      </c>
      <c r="P35" s="59" t="s">
        <v>446</v>
      </c>
      <c r="Q35" s="59" t="s">
        <v>438</v>
      </c>
      <c r="R35" s="59">
        <v>9871</v>
      </c>
    </row>
    <row r="36" spans="1:18" x14ac:dyDescent="0.25">
      <c r="A36" s="59">
        <v>108342</v>
      </c>
      <c r="B36" s="59" t="s">
        <v>376</v>
      </c>
      <c r="C36" s="59" t="s">
        <v>372</v>
      </c>
      <c r="D36" s="59">
        <v>4270</v>
      </c>
      <c r="E36" s="60">
        <v>7896112102700</v>
      </c>
      <c r="F36" s="59" t="s">
        <v>405</v>
      </c>
      <c r="G36" s="61" t="s">
        <v>34</v>
      </c>
      <c r="H36" s="66">
        <v>200</v>
      </c>
      <c r="I36" s="67">
        <v>6.45</v>
      </c>
      <c r="J36" s="67">
        <v>1290</v>
      </c>
      <c r="K36" s="61">
        <v>4471548</v>
      </c>
      <c r="L36" s="59" t="s">
        <v>432</v>
      </c>
      <c r="M36" s="59" t="s">
        <v>371</v>
      </c>
      <c r="N36" s="59" t="s">
        <v>373</v>
      </c>
      <c r="O36" s="59" t="s">
        <v>445</v>
      </c>
      <c r="P36" s="59" t="s">
        <v>446</v>
      </c>
      <c r="Q36" s="59" t="s">
        <v>438</v>
      </c>
      <c r="R36" s="59">
        <v>9871</v>
      </c>
    </row>
    <row r="37" spans="1:18" x14ac:dyDescent="0.25">
      <c r="A37" s="59">
        <v>108342</v>
      </c>
      <c r="B37" s="59" t="s">
        <v>376</v>
      </c>
      <c r="C37" s="59" t="s">
        <v>372</v>
      </c>
      <c r="D37" s="59">
        <v>4561</v>
      </c>
      <c r="E37" s="60">
        <v>7896112105619</v>
      </c>
      <c r="F37" s="59" t="s">
        <v>434</v>
      </c>
      <c r="G37" s="61" t="s">
        <v>34</v>
      </c>
      <c r="H37" s="66">
        <v>200</v>
      </c>
      <c r="I37" s="67">
        <v>4.18</v>
      </c>
      <c r="J37" s="67">
        <v>836</v>
      </c>
      <c r="K37" s="61">
        <v>4471548</v>
      </c>
      <c r="L37" s="59" t="s">
        <v>432</v>
      </c>
      <c r="M37" s="59" t="s">
        <v>371</v>
      </c>
      <c r="N37" s="59" t="s">
        <v>373</v>
      </c>
      <c r="O37" s="59" t="s">
        <v>445</v>
      </c>
      <c r="P37" s="59" t="s">
        <v>446</v>
      </c>
      <c r="Q37" s="59" t="s">
        <v>438</v>
      </c>
      <c r="R37" s="59">
        <v>9871</v>
      </c>
    </row>
    <row r="38" spans="1:18" x14ac:dyDescent="0.25">
      <c r="A38" s="59">
        <v>108342</v>
      </c>
      <c r="B38" s="59" t="s">
        <v>376</v>
      </c>
      <c r="C38" s="59" t="s">
        <v>372</v>
      </c>
      <c r="D38" s="59">
        <v>4642</v>
      </c>
      <c r="E38" s="60">
        <v>7896112106425</v>
      </c>
      <c r="F38" s="59" t="s">
        <v>407</v>
      </c>
      <c r="G38" s="61" t="s">
        <v>34</v>
      </c>
      <c r="H38" s="66">
        <v>600</v>
      </c>
      <c r="I38" s="67">
        <v>6.47</v>
      </c>
      <c r="J38" s="67">
        <v>3882</v>
      </c>
      <c r="K38" s="61">
        <v>4471548</v>
      </c>
      <c r="L38" s="59" t="s">
        <v>432</v>
      </c>
      <c r="M38" s="59" t="s">
        <v>371</v>
      </c>
      <c r="N38" s="59" t="s">
        <v>373</v>
      </c>
      <c r="O38" s="59" t="s">
        <v>445</v>
      </c>
      <c r="P38" s="59" t="s">
        <v>446</v>
      </c>
      <c r="Q38" s="59" t="s">
        <v>438</v>
      </c>
      <c r="R38" s="59">
        <v>9871</v>
      </c>
    </row>
    <row r="39" spans="1:18" x14ac:dyDescent="0.25">
      <c r="A39" s="59">
        <v>108342</v>
      </c>
      <c r="B39" s="59" t="s">
        <v>376</v>
      </c>
      <c r="C39" s="59" t="s">
        <v>372</v>
      </c>
      <c r="D39" s="59">
        <v>4796</v>
      </c>
      <c r="E39" s="60">
        <v>7896112107965</v>
      </c>
      <c r="F39" s="59" t="s">
        <v>409</v>
      </c>
      <c r="G39" s="61" t="s">
        <v>23</v>
      </c>
      <c r="H39" s="66">
        <v>1000</v>
      </c>
      <c r="I39" s="67">
        <v>6.42</v>
      </c>
      <c r="J39" s="67">
        <v>6420</v>
      </c>
      <c r="K39" s="61">
        <v>4471548</v>
      </c>
      <c r="L39" s="59" t="s">
        <v>432</v>
      </c>
      <c r="M39" s="59" t="s">
        <v>371</v>
      </c>
      <c r="N39" s="59" t="s">
        <v>373</v>
      </c>
      <c r="O39" s="59" t="s">
        <v>445</v>
      </c>
      <c r="P39" s="59" t="s">
        <v>446</v>
      </c>
      <c r="Q39" s="59" t="s">
        <v>438</v>
      </c>
      <c r="R39" s="59">
        <v>9871</v>
      </c>
    </row>
    <row r="40" spans="1:18" x14ac:dyDescent="0.25">
      <c r="A40" s="59">
        <v>108342</v>
      </c>
      <c r="B40" s="59" t="s">
        <v>376</v>
      </c>
      <c r="C40" s="59" t="s">
        <v>372</v>
      </c>
      <c r="D40" s="59">
        <v>4849</v>
      </c>
      <c r="E40" s="60">
        <v>7896112148494</v>
      </c>
      <c r="F40" s="59" t="s">
        <v>411</v>
      </c>
      <c r="G40" s="61" t="s">
        <v>34</v>
      </c>
      <c r="H40" s="66">
        <v>3000</v>
      </c>
      <c r="I40" s="67">
        <v>6.84</v>
      </c>
      <c r="J40" s="67">
        <v>20520</v>
      </c>
      <c r="K40" s="61">
        <v>4471548</v>
      </c>
      <c r="L40" s="59" t="s">
        <v>432</v>
      </c>
      <c r="M40" s="59" t="s">
        <v>371</v>
      </c>
      <c r="N40" s="59" t="s">
        <v>373</v>
      </c>
      <c r="O40" s="59" t="s">
        <v>445</v>
      </c>
      <c r="P40" s="59" t="s">
        <v>446</v>
      </c>
      <c r="Q40" s="59" t="s">
        <v>438</v>
      </c>
      <c r="R40" s="59">
        <v>9871</v>
      </c>
    </row>
    <row r="41" spans="1:18" x14ac:dyDescent="0.25">
      <c r="A41" s="59">
        <v>108342</v>
      </c>
      <c r="B41" s="59" t="s">
        <v>376</v>
      </c>
      <c r="C41" s="59" t="s">
        <v>372</v>
      </c>
      <c r="D41" s="59">
        <v>5086</v>
      </c>
      <c r="E41" s="60">
        <v>7896112150862</v>
      </c>
      <c r="F41" s="59" t="s">
        <v>412</v>
      </c>
      <c r="G41" s="61" t="s">
        <v>23</v>
      </c>
      <c r="H41" s="66">
        <v>300</v>
      </c>
      <c r="I41" s="67">
        <v>4.5199999999999996</v>
      </c>
      <c r="J41" s="67">
        <v>1356</v>
      </c>
      <c r="K41" s="61">
        <v>4471548</v>
      </c>
      <c r="L41" s="59" t="s">
        <v>432</v>
      </c>
      <c r="M41" s="59" t="s">
        <v>371</v>
      </c>
      <c r="N41" s="59" t="s">
        <v>373</v>
      </c>
      <c r="O41" s="59" t="s">
        <v>445</v>
      </c>
      <c r="P41" s="59" t="s">
        <v>446</v>
      </c>
      <c r="Q41" s="59" t="s">
        <v>438</v>
      </c>
      <c r="R41" s="59">
        <v>9871</v>
      </c>
    </row>
    <row r="42" spans="1:18" x14ac:dyDescent="0.25">
      <c r="A42" s="59">
        <v>108342</v>
      </c>
      <c r="B42" s="59" t="s">
        <v>376</v>
      </c>
      <c r="C42" s="59" t="s">
        <v>372</v>
      </c>
      <c r="D42" s="59">
        <v>6833</v>
      </c>
      <c r="E42" s="60">
        <v>7896112168331</v>
      </c>
      <c r="F42" s="59" t="s">
        <v>439</v>
      </c>
      <c r="G42" s="61" t="s">
        <v>34</v>
      </c>
      <c r="H42" s="66">
        <v>1000</v>
      </c>
      <c r="I42" s="67">
        <v>4.29</v>
      </c>
      <c r="J42" s="67">
        <v>4290</v>
      </c>
      <c r="K42" s="61">
        <v>4471548</v>
      </c>
      <c r="L42" s="59" t="s">
        <v>432</v>
      </c>
      <c r="M42" s="59" t="s">
        <v>371</v>
      </c>
      <c r="N42" s="59" t="s">
        <v>373</v>
      </c>
      <c r="O42" s="59" t="s">
        <v>445</v>
      </c>
      <c r="P42" s="59" t="s">
        <v>446</v>
      </c>
      <c r="Q42" s="59" t="s">
        <v>438</v>
      </c>
      <c r="R42" s="59">
        <v>9871</v>
      </c>
    </row>
    <row r="43" spans="1:18" x14ac:dyDescent="0.25">
      <c r="A43" s="59">
        <v>108342</v>
      </c>
      <c r="B43" s="59" t="s">
        <v>376</v>
      </c>
      <c r="C43" s="59" t="s">
        <v>372</v>
      </c>
      <c r="D43" s="59">
        <v>6834</v>
      </c>
      <c r="E43" s="60">
        <v>7896112168348</v>
      </c>
      <c r="F43" s="59" t="s">
        <v>443</v>
      </c>
      <c r="G43" s="61" t="s">
        <v>34</v>
      </c>
      <c r="H43" s="66">
        <v>700</v>
      </c>
      <c r="I43" s="67">
        <v>5.29</v>
      </c>
      <c r="J43" s="67">
        <v>3703</v>
      </c>
      <c r="K43" s="61">
        <v>4471548</v>
      </c>
      <c r="L43" s="59" t="s">
        <v>432</v>
      </c>
      <c r="M43" s="59" t="s">
        <v>371</v>
      </c>
      <c r="N43" s="59" t="s">
        <v>373</v>
      </c>
      <c r="O43" s="59" t="s">
        <v>445</v>
      </c>
      <c r="P43" s="59" t="s">
        <v>446</v>
      </c>
      <c r="Q43" s="59" t="s">
        <v>438</v>
      </c>
      <c r="R43" s="59">
        <v>9871</v>
      </c>
    </row>
    <row r="44" spans="1:18" x14ac:dyDescent="0.25">
      <c r="A44" s="59">
        <v>108342</v>
      </c>
      <c r="B44" s="59" t="s">
        <v>376</v>
      </c>
      <c r="C44" s="59" t="s">
        <v>372</v>
      </c>
      <c r="D44" s="59">
        <v>8100</v>
      </c>
      <c r="E44" s="60">
        <v>7896112181002</v>
      </c>
      <c r="F44" s="59" t="s">
        <v>418</v>
      </c>
      <c r="G44" s="61" t="s">
        <v>34</v>
      </c>
      <c r="H44" s="66">
        <v>360</v>
      </c>
      <c r="I44" s="67">
        <v>8.33</v>
      </c>
      <c r="J44" s="67">
        <v>2998.8</v>
      </c>
      <c r="K44" s="61">
        <v>4471548</v>
      </c>
      <c r="L44" s="59" t="s">
        <v>432</v>
      </c>
      <c r="M44" s="59" t="s">
        <v>371</v>
      </c>
      <c r="N44" s="59" t="s">
        <v>373</v>
      </c>
      <c r="O44" s="59" t="s">
        <v>445</v>
      </c>
      <c r="P44" s="59" t="s">
        <v>446</v>
      </c>
      <c r="Q44" s="59" t="s">
        <v>438</v>
      </c>
      <c r="R44" s="59">
        <v>9871</v>
      </c>
    </row>
    <row r="45" spans="1:18" x14ac:dyDescent="0.25">
      <c r="A45" s="59">
        <v>108342</v>
      </c>
      <c r="B45" s="59" t="s">
        <v>376</v>
      </c>
      <c r="C45" s="59" t="s">
        <v>372</v>
      </c>
      <c r="D45" s="59">
        <v>8910</v>
      </c>
      <c r="E45" s="60">
        <v>7896112189107</v>
      </c>
      <c r="F45" s="59" t="s">
        <v>420</v>
      </c>
      <c r="G45" s="61" t="s">
        <v>34</v>
      </c>
      <c r="H45" s="66">
        <v>500</v>
      </c>
      <c r="I45" s="67">
        <v>8.26</v>
      </c>
      <c r="J45" s="67">
        <v>4130</v>
      </c>
      <c r="K45" s="61">
        <v>4471548</v>
      </c>
      <c r="L45" s="59" t="s">
        <v>432</v>
      </c>
      <c r="M45" s="59" t="s">
        <v>371</v>
      </c>
      <c r="N45" s="59" t="s">
        <v>373</v>
      </c>
      <c r="O45" s="59" t="s">
        <v>445</v>
      </c>
      <c r="P45" s="59" t="s">
        <v>446</v>
      </c>
      <c r="Q45" s="59" t="s">
        <v>438</v>
      </c>
      <c r="R45" s="59">
        <v>9871</v>
      </c>
    </row>
    <row r="46" spans="1:18" x14ac:dyDescent="0.25">
      <c r="A46" s="59">
        <v>108342</v>
      </c>
      <c r="B46" s="59" t="s">
        <v>376</v>
      </c>
      <c r="C46" s="59" t="s">
        <v>372</v>
      </c>
      <c r="D46" s="59">
        <v>9149</v>
      </c>
      <c r="E46" s="60">
        <v>7896112191490</v>
      </c>
      <c r="F46" s="59" t="s">
        <v>440</v>
      </c>
      <c r="G46" s="61" t="s">
        <v>34</v>
      </c>
      <c r="H46" s="66">
        <v>150</v>
      </c>
      <c r="I46" s="67">
        <v>5.15</v>
      </c>
      <c r="J46" s="67">
        <v>772.5</v>
      </c>
      <c r="K46" s="61">
        <v>4471548</v>
      </c>
      <c r="L46" s="59" t="s">
        <v>432</v>
      </c>
      <c r="M46" s="59" t="s">
        <v>371</v>
      </c>
      <c r="N46" s="59" t="s">
        <v>373</v>
      </c>
      <c r="O46" s="59" t="s">
        <v>445</v>
      </c>
      <c r="P46" s="59" t="s">
        <v>446</v>
      </c>
      <c r="Q46" s="59" t="s">
        <v>438</v>
      </c>
      <c r="R46" s="59">
        <v>9871</v>
      </c>
    </row>
    <row r="47" spans="1:18" x14ac:dyDescent="0.25">
      <c r="A47" s="59">
        <v>108342</v>
      </c>
      <c r="B47" s="59" t="s">
        <v>376</v>
      </c>
      <c r="C47" s="59" t="s">
        <v>372</v>
      </c>
      <c r="D47" s="59">
        <v>9465</v>
      </c>
      <c r="E47" s="60">
        <v>7896112194651</v>
      </c>
      <c r="F47" s="59" t="s">
        <v>424</v>
      </c>
      <c r="G47" s="61" t="s">
        <v>23</v>
      </c>
      <c r="H47" s="66">
        <v>2000</v>
      </c>
      <c r="I47" s="67">
        <v>2.0099999999999998</v>
      </c>
      <c r="J47" s="67">
        <v>4020</v>
      </c>
      <c r="K47" s="61">
        <v>4471548</v>
      </c>
      <c r="L47" s="59" t="s">
        <v>432</v>
      </c>
      <c r="M47" s="59" t="s">
        <v>371</v>
      </c>
      <c r="N47" s="59" t="s">
        <v>373</v>
      </c>
      <c r="O47" s="59" t="s">
        <v>445</v>
      </c>
      <c r="P47" s="59" t="s">
        <v>446</v>
      </c>
      <c r="Q47" s="59" t="s">
        <v>438</v>
      </c>
      <c r="R47" s="59">
        <v>9871</v>
      </c>
    </row>
    <row r="48" spans="1:18" x14ac:dyDescent="0.25">
      <c r="A48" s="59">
        <v>108342</v>
      </c>
      <c r="B48" s="59" t="s">
        <v>376</v>
      </c>
      <c r="C48" s="59" t="s">
        <v>372</v>
      </c>
      <c r="D48" s="59">
        <v>9608</v>
      </c>
      <c r="E48" s="60">
        <v>7896112196082</v>
      </c>
      <c r="F48" s="59" t="s">
        <v>425</v>
      </c>
      <c r="G48" s="61" t="s">
        <v>34</v>
      </c>
      <c r="H48" s="66">
        <v>500</v>
      </c>
      <c r="I48" s="67">
        <v>9.11</v>
      </c>
      <c r="J48" s="67">
        <v>4555</v>
      </c>
      <c r="K48" s="61">
        <v>4471548</v>
      </c>
      <c r="L48" s="59" t="s">
        <v>432</v>
      </c>
      <c r="M48" s="59" t="s">
        <v>371</v>
      </c>
      <c r="N48" s="59" t="s">
        <v>373</v>
      </c>
      <c r="O48" s="59" t="s">
        <v>445</v>
      </c>
      <c r="P48" s="59" t="s">
        <v>446</v>
      </c>
      <c r="Q48" s="59" t="s">
        <v>438</v>
      </c>
      <c r="R48" s="59">
        <v>9871</v>
      </c>
    </row>
    <row r="49" spans="1:18" x14ac:dyDescent="0.25">
      <c r="A49" s="59">
        <v>108342</v>
      </c>
      <c r="B49" s="59" t="s">
        <v>376</v>
      </c>
      <c r="C49" s="59" t="s">
        <v>372</v>
      </c>
      <c r="D49" s="59">
        <v>9824</v>
      </c>
      <c r="E49" s="60">
        <v>7896112198246</v>
      </c>
      <c r="F49" s="59" t="s">
        <v>427</v>
      </c>
      <c r="G49" s="61" t="s">
        <v>23</v>
      </c>
      <c r="H49" s="66">
        <v>500</v>
      </c>
      <c r="I49" s="67">
        <v>2.74</v>
      </c>
      <c r="J49" s="67">
        <v>1370</v>
      </c>
      <c r="K49" s="61">
        <v>4471548</v>
      </c>
      <c r="L49" s="59" t="s">
        <v>432</v>
      </c>
      <c r="M49" s="59" t="s">
        <v>371</v>
      </c>
      <c r="N49" s="59" t="s">
        <v>373</v>
      </c>
      <c r="O49" s="59" t="s">
        <v>445</v>
      </c>
      <c r="P49" s="59" t="s">
        <v>446</v>
      </c>
      <c r="Q49" s="59" t="s">
        <v>438</v>
      </c>
      <c r="R49" s="59">
        <v>9871</v>
      </c>
    </row>
    <row r="50" spans="1:18" x14ac:dyDescent="0.25">
      <c r="A50" s="59">
        <v>108342</v>
      </c>
      <c r="B50" s="59" t="s">
        <v>376</v>
      </c>
      <c r="C50" s="59" t="s">
        <v>372</v>
      </c>
      <c r="D50" s="59">
        <v>9994</v>
      </c>
      <c r="E50" s="60">
        <v>7896112199946</v>
      </c>
      <c r="F50" s="59" t="s">
        <v>428</v>
      </c>
      <c r="G50" s="61" t="s">
        <v>34</v>
      </c>
      <c r="H50" s="66">
        <v>200</v>
      </c>
      <c r="I50" s="67">
        <v>8.3800000000000008</v>
      </c>
      <c r="J50" s="67">
        <v>1676</v>
      </c>
      <c r="K50" s="61">
        <v>4471548</v>
      </c>
      <c r="L50" s="59" t="s">
        <v>432</v>
      </c>
      <c r="M50" s="59" t="s">
        <v>371</v>
      </c>
      <c r="N50" s="59" t="s">
        <v>373</v>
      </c>
      <c r="O50" s="59" t="s">
        <v>445</v>
      </c>
      <c r="P50" s="59" t="s">
        <v>446</v>
      </c>
      <c r="Q50" s="59" t="s">
        <v>438</v>
      </c>
      <c r="R50" s="59">
        <v>9871</v>
      </c>
    </row>
    <row r="51" spans="1:18" x14ac:dyDescent="0.25">
      <c r="A51" s="59">
        <v>108342</v>
      </c>
      <c r="B51" s="59" t="s">
        <v>376</v>
      </c>
      <c r="C51" s="59" t="s">
        <v>372</v>
      </c>
      <c r="D51" s="59">
        <v>2442</v>
      </c>
      <c r="E51" s="60">
        <v>7896112124429</v>
      </c>
      <c r="F51" s="59" t="s">
        <v>435</v>
      </c>
      <c r="G51" s="61" t="s">
        <v>34</v>
      </c>
      <c r="H51" s="66">
        <v>3000</v>
      </c>
      <c r="I51" s="67">
        <v>1.71</v>
      </c>
      <c r="J51" s="67">
        <v>5130</v>
      </c>
      <c r="K51" s="61">
        <v>4471549</v>
      </c>
      <c r="L51" s="59" t="s">
        <v>432</v>
      </c>
      <c r="M51" s="59" t="s">
        <v>371</v>
      </c>
      <c r="N51" s="59" t="s">
        <v>373</v>
      </c>
      <c r="O51" s="59" t="s">
        <v>445</v>
      </c>
      <c r="P51" s="59" t="s">
        <v>446</v>
      </c>
      <c r="Q51" s="59" t="s">
        <v>438</v>
      </c>
      <c r="R51" s="59">
        <v>9871</v>
      </c>
    </row>
    <row r="52" spans="1:18" x14ac:dyDescent="0.25">
      <c r="A52" s="59">
        <v>108342</v>
      </c>
      <c r="B52" s="59" t="s">
        <v>376</v>
      </c>
      <c r="C52" s="59" t="s">
        <v>372</v>
      </c>
      <c r="D52" s="59">
        <v>4385</v>
      </c>
      <c r="E52" s="60">
        <v>7896112103851</v>
      </c>
      <c r="F52" s="59" t="s">
        <v>441</v>
      </c>
      <c r="G52" s="61" t="s">
        <v>34</v>
      </c>
      <c r="H52" s="66">
        <v>1000</v>
      </c>
      <c r="I52" s="67">
        <v>3.17</v>
      </c>
      <c r="J52" s="67">
        <v>3170</v>
      </c>
      <c r="K52" s="61">
        <v>4471549</v>
      </c>
      <c r="L52" s="59" t="s">
        <v>432</v>
      </c>
      <c r="M52" s="59" t="s">
        <v>371</v>
      </c>
      <c r="N52" s="59" t="s">
        <v>373</v>
      </c>
      <c r="O52" s="59" t="s">
        <v>445</v>
      </c>
      <c r="P52" s="59" t="s">
        <v>446</v>
      </c>
      <c r="Q52" s="59" t="s">
        <v>438</v>
      </c>
      <c r="R52" s="59">
        <v>9871</v>
      </c>
    </row>
    <row r="53" spans="1:18" x14ac:dyDescent="0.25">
      <c r="A53" s="59">
        <v>108342</v>
      </c>
      <c r="B53" s="59" t="s">
        <v>376</v>
      </c>
      <c r="C53" s="59" t="s">
        <v>372</v>
      </c>
      <c r="D53" s="59">
        <v>6721</v>
      </c>
      <c r="E53" s="60">
        <v>7896112167211</v>
      </c>
      <c r="F53" s="59" t="s">
        <v>447</v>
      </c>
      <c r="G53" s="61" t="s">
        <v>34</v>
      </c>
      <c r="H53" s="66">
        <v>120</v>
      </c>
      <c r="I53" s="67">
        <v>9.9600000000000009</v>
      </c>
      <c r="J53" s="67">
        <v>1195.2</v>
      </c>
      <c r="K53" s="61">
        <v>4471549</v>
      </c>
      <c r="L53" s="59" t="s">
        <v>432</v>
      </c>
      <c r="M53" s="59" t="s">
        <v>371</v>
      </c>
      <c r="N53" s="59" t="s">
        <v>373</v>
      </c>
      <c r="O53" s="59" t="s">
        <v>445</v>
      </c>
      <c r="P53" s="59" t="s">
        <v>446</v>
      </c>
      <c r="Q53" s="59" t="s">
        <v>438</v>
      </c>
      <c r="R53" s="59">
        <v>9871</v>
      </c>
    </row>
    <row r="54" spans="1:18" x14ac:dyDescent="0.25">
      <c r="A54" s="59">
        <v>108342</v>
      </c>
      <c r="B54" s="59" t="s">
        <v>376</v>
      </c>
      <c r="C54" s="59" t="s">
        <v>372</v>
      </c>
      <c r="D54" s="59">
        <v>1355</v>
      </c>
      <c r="E54" s="60">
        <v>7896112113553</v>
      </c>
      <c r="F54" s="59" t="s">
        <v>433</v>
      </c>
      <c r="G54" s="61" t="s">
        <v>34</v>
      </c>
      <c r="H54" s="66">
        <v>600</v>
      </c>
      <c r="I54" s="67">
        <v>2.59</v>
      </c>
      <c r="J54" s="67">
        <v>1554</v>
      </c>
      <c r="K54" s="61">
        <v>4471550</v>
      </c>
      <c r="L54" s="59" t="s">
        <v>432</v>
      </c>
      <c r="M54" s="59" t="s">
        <v>368</v>
      </c>
      <c r="N54" s="59" t="s">
        <v>373</v>
      </c>
      <c r="O54" s="59" t="s">
        <v>445</v>
      </c>
      <c r="P54" s="59" t="s">
        <v>446</v>
      </c>
      <c r="Q54" s="59" t="s">
        <v>438</v>
      </c>
      <c r="R54" s="59">
        <v>9871</v>
      </c>
    </row>
    <row r="55" spans="1:18" x14ac:dyDescent="0.25">
      <c r="A55" s="59">
        <v>108342</v>
      </c>
      <c r="B55" s="59" t="s">
        <v>376</v>
      </c>
      <c r="C55" s="59" t="s">
        <v>372</v>
      </c>
      <c r="D55" s="59">
        <v>1033</v>
      </c>
      <c r="E55" s="60">
        <v>7896112110330</v>
      </c>
      <c r="F55" s="59" t="s">
        <v>437</v>
      </c>
      <c r="G55" s="61" t="s">
        <v>34</v>
      </c>
      <c r="H55" s="66">
        <v>100</v>
      </c>
      <c r="I55" s="67">
        <v>6.76</v>
      </c>
      <c r="J55" s="67">
        <v>676</v>
      </c>
      <c r="K55" s="61">
        <v>4472023</v>
      </c>
      <c r="L55" s="59" t="s">
        <v>432</v>
      </c>
      <c r="M55" s="59" t="s">
        <v>368</v>
      </c>
      <c r="N55" s="59" t="s">
        <v>373</v>
      </c>
      <c r="O55" s="59" t="s">
        <v>445</v>
      </c>
      <c r="P55" s="59" t="s">
        <v>446</v>
      </c>
      <c r="Q55" s="59" t="s">
        <v>438</v>
      </c>
      <c r="R55" s="59">
        <v>9871</v>
      </c>
    </row>
    <row r="56" spans="1:18" x14ac:dyDescent="0.25">
      <c r="A56" s="59">
        <v>108342</v>
      </c>
      <c r="B56" s="59" t="s">
        <v>376</v>
      </c>
      <c r="C56" s="59" t="s">
        <v>372</v>
      </c>
      <c r="D56" s="59">
        <v>1382</v>
      </c>
      <c r="E56" s="60">
        <v>7896112113829</v>
      </c>
      <c r="F56" s="59" t="s">
        <v>380</v>
      </c>
      <c r="G56" s="61" t="s">
        <v>23</v>
      </c>
      <c r="H56" s="66">
        <v>500</v>
      </c>
      <c r="I56" s="67">
        <v>6.27</v>
      </c>
      <c r="J56" s="67">
        <v>3135</v>
      </c>
      <c r="K56" s="61">
        <v>4472023</v>
      </c>
      <c r="L56" s="59" t="s">
        <v>432</v>
      </c>
      <c r="M56" s="59" t="s">
        <v>368</v>
      </c>
      <c r="N56" s="59" t="s">
        <v>373</v>
      </c>
      <c r="O56" s="59" t="s">
        <v>445</v>
      </c>
      <c r="P56" s="59" t="s">
        <v>446</v>
      </c>
      <c r="Q56" s="59" t="s">
        <v>438</v>
      </c>
      <c r="R56" s="59">
        <v>9871</v>
      </c>
    </row>
    <row r="57" spans="1:18" x14ac:dyDescent="0.25">
      <c r="A57" s="59">
        <v>108342</v>
      </c>
      <c r="B57" s="59" t="s">
        <v>376</v>
      </c>
      <c r="C57" s="59" t="s">
        <v>372</v>
      </c>
      <c r="D57" s="59">
        <v>1383</v>
      </c>
      <c r="E57" s="60">
        <v>7896112113836</v>
      </c>
      <c r="F57" s="59" t="s">
        <v>444</v>
      </c>
      <c r="G57" s="61" t="s">
        <v>23</v>
      </c>
      <c r="H57" s="66">
        <v>600</v>
      </c>
      <c r="I57" s="67">
        <v>6.08</v>
      </c>
      <c r="J57" s="67">
        <v>3648</v>
      </c>
      <c r="K57" s="61">
        <v>4472023</v>
      </c>
      <c r="L57" s="59" t="s">
        <v>432</v>
      </c>
      <c r="M57" s="59" t="s">
        <v>368</v>
      </c>
      <c r="N57" s="59" t="s">
        <v>373</v>
      </c>
      <c r="O57" s="59" t="s">
        <v>445</v>
      </c>
      <c r="P57" s="59" t="s">
        <v>446</v>
      </c>
      <c r="Q57" s="59" t="s">
        <v>438</v>
      </c>
      <c r="R57" s="59">
        <v>9871</v>
      </c>
    </row>
    <row r="58" spans="1:18" x14ac:dyDescent="0.25">
      <c r="A58" s="59">
        <v>108342</v>
      </c>
      <c r="B58" s="59" t="s">
        <v>376</v>
      </c>
      <c r="C58" s="59" t="s">
        <v>372</v>
      </c>
      <c r="D58" s="59">
        <v>2261</v>
      </c>
      <c r="E58" s="60">
        <v>7896112122616</v>
      </c>
      <c r="F58" s="59" t="s">
        <v>391</v>
      </c>
      <c r="G58" s="61" t="s">
        <v>23</v>
      </c>
      <c r="H58" s="66">
        <v>150</v>
      </c>
      <c r="I58" s="67">
        <v>9.2100000000000009</v>
      </c>
      <c r="J58" s="67">
        <v>1381.5</v>
      </c>
      <c r="K58" s="61">
        <v>4472023</v>
      </c>
      <c r="L58" s="59" t="s">
        <v>432</v>
      </c>
      <c r="M58" s="59" t="s">
        <v>368</v>
      </c>
      <c r="N58" s="59" t="s">
        <v>373</v>
      </c>
      <c r="O58" s="59" t="s">
        <v>445</v>
      </c>
      <c r="P58" s="59" t="s">
        <v>446</v>
      </c>
      <c r="Q58" s="59" t="s">
        <v>438</v>
      </c>
      <c r="R58" s="59">
        <v>9871</v>
      </c>
    </row>
    <row r="59" spans="1:18" x14ac:dyDescent="0.25">
      <c r="A59" s="59">
        <v>108342</v>
      </c>
      <c r="B59" s="59" t="s">
        <v>376</v>
      </c>
      <c r="C59" s="59" t="s">
        <v>372</v>
      </c>
      <c r="D59" s="59">
        <v>2566</v>
      </c>
      <c r="E59" s="60">
        <v>7896112125662</v>
      </c>
      <c r="F59" s="59" t="s">
        <v>393</v>
      </c>
      <c r="G59" s="61" t="s">
        <v>34</v>
      </c>
      <c r="H59" s="66">
        <v>2000</v>
      </c>
      <c r="I59" s="67">
        <v>4.42</v>
      </c>
      <c r="J59" s="67">
        <v>8840</v>
      </c>
      <c r="K59" s="61">
        <v>4472023</v>
      </c>
      <c r="L59" s="59" t="s">
        <v>432</v>
      </c>
      <c r="M59" s="59" t="s">
        <v>368</v>
      </c>
      <c r="N59" s="59" t="s">
        <v>373</v>
      </c>
      <c r="O59" s="59" t="s">
        <v>445</v>
      </c>
      <c r="P59" s="59" t="s">
        <v>446</v>
      </c>
      <c r="Q59" s="59" t="s">
        <v>438</v>
      </c>
      <c r="R59" s="59">
        <v>9871</v>
      </c>
    </row>
    <row r="60" spans="1:18" x14ac:dyDescent="0.25">
      <c r="A60" s="59">
        <v>108342</v>
      </c>
      <c r="B60" s="59" t="s">
        <v>376</v>
      </c>
      <c r="C60" s="59" t="s">
        <v>372</v>
      </c>
      <c r="D60" s="59">
        <v>3206</v>
      </c>
      <c r="E60" s="60">
        <v>7896112132066</v>
      </c>
      <c r="F60" s="59" t="s">
        <v>397</v>
      </c>
      <c r="G60" s="61" t="s">
        <v>34</v>
      </c>
      <c r="H60" s="66">
        <v>700</v>
      </c>
      <c r="I60" s="67">
        <v>2.82</v>
      </c>
      <c r="J60" s="67">
        <v>1974</v>
      </c>
      <c r="K60" s="61">
        <v>4472023</v>
      </c>
      <c r="L60" s="59" t="s">
        <v>432</v>
      </c>
      <c r="M60" s="59" t="s">
        <v>368</v>
      </c>
      <c r="N60" s="59" t="s">
        <v>373</v>
      </c>
      <c r="O60" s="59" t="s">
        <v>445</v>
      </c>
      <c r="P60" s="59" t="s">
        <v>446</v>
      </c>
      <c r="Q60" s="59" t="s">
        <v>438</v>
      </c>
      <c r="R60" s="59">
        <v>9871</v>
      </c>
    </row>
    <row r="61" spans="1:18" x14ac:dyDescent="0.25">
      <c r="A61" s="59">
        <v>108342</v>
      </c>
      <c r="B61" s="59" t="s">
        <v>376</v>
      </c>
      <c r="C61" s="59" t="s">
        <v>372</v>
      </c>
      <c r="D61" s="59">
        <v>4131</v>
      </c>
      <c r="E61" s="60">
        <v>7896112101314</v>
      </c>
      <c r="F61" s="59" t="s">
        <v>399</v>
      </c>
      <c r="G61" s="61" t="s">
        <v>23</v>
      </c>
      <c r="H61" s="66">
        <v>560</v>
      </c>
      <c r="I61" s="67">
        <v>2.63</v>
      </c>
      <c r="J61" s="67">
        <v>1472.8</v>
      </c>
      <c r="K61" s="61">
        <v>4472023</v>
      </c>
      <c r="L61" s="59" t="s">
        <v>432</v>
      </c>
      <c r="M61" s="59" t="s">
        <v>368</v>
      </c>
      <c r="N61" s="59" t="s">
        <v>373</v>
      </c>
      <c r="O61" s="59" t="s">
        <v>445</v>
      </c>
      <c r="P61" s="59" t="s">
        <v>446</v>
      </c>
      <c r="Q61" s="59" t="s">
        <v>438</v>
      </c>
      <c r="R61" s="59">
        <v>9871</v>
      </c>
    </row>
  </sheetData>
  <autoFilter ref="A2:R2" xr:uid="{34D60D8F-F82B-4F0D-AA58-222CBD050D0A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6DFFC-A0AB-455A-9DA3-28BB5C0DC9D3}">
  <sheetPr>
    <tabColor rgb="FF92D050"/>
  </sheetPr>
  <dimension ref="A1:P335"/>
  <sheetViews>
    <sheetView showGridLines="0" workbookViewId="0">
      <selection sqref="A1:D1"/>
    </sheetView>
  </sheetViews>
  <sheetFormatPr defaultColWidth="9" defaultRowHeight="15" x14ac:dyDescent="0.25"/>
  <cols>
    <col min="1" max="1" width="12" style="44" bestFit="1" customWidth="1"/>
    <col min="2" max="2" width="7.42578125" style="44" bestFit="1" customWidth="1"/>
    <col min="3" max="3" width="22.5703125" customWidth="1"/>
    <col min="4" max="4" width="3.28515625" style="44" bestFit="1" customWidth="1"/>
    <col min="5" max="5" width="24.42578125" style="44" bestFit="1" customWidth="1"/>
    <col min="6" max="6" width="7" style="44" bestFit="1" customWidth="1"/>
    <col min="7" max="7" width="10.7109375" bestFit="1" customWidth="1"/>
    <col min="8" max="8" width="9.140625" bestFit="1" customWidth="1"/>
    <col min="9" max="9" width="14.140625" style="50" bestFit="1" customWidth="1"/>
    <col min="10" max="10" width="26" customWidth="1"/>
    <col min="11" max="11" width="13.5703125" customWidth="1"/>
    <col min="12" max="12" width="9.140625" style="51" bestFit="1" customWidth="1"/>
    <col min="13" max="13" width="13.28515625" style="68" bestFit="1" customWidth="1"/>
    <col min="14" max="14" width="18.85546875" style="68" customWidth="1"/>
    <col min="15" max="15" width="23.28515625" style="68" bestFit="1" customWidth="1"/>
    <col min="16" max="16" width="25.140625" bestFit="1" customWidth="1"/>
  </cols>
  <sheetData>
    <row r="1" spans="1:16" x14ac:dyDescent="0.25">
      <c r="A1" s="69" t="s">
        <v>448</v>
      </c>
      <c r="B1" s="69"/>
      <c r="C1" s="69"/>
      <c r="M1" s="64"/>
      <c r="N1" s="65">
        <f>SUBTOTAL(9,N2:N1048576)</f>
        <v>1865175.5499999998</v>
      </c>
      <c r="O1" s="65">
        <f>SUBTOTAL(9,O2:O1048576)</f>
        <v>1871459.1899999997</v>
      </c>
    </row>
    <row r="2" spans="1:16" s="75" customFormat="1" x14ac:dyDescent="0.25">
      <c r="A2" s="70" t="s">
        <v>449</v>
      </c>
      <c r="B2" s="70" t="s">
        <v>450</v>
      </c>
      <c r="C2" s="70" t="s">
        <v>451</v>
      </c>
      <c r="D2" s="70" t="s">
        <v>354</v>
      </c>
      <c r="E2" s="70" t="s">
        <v>452</v>
      </c>
      <c r="F2" s="70" t="s">
        <v>453</v>
      </c>
      <c r="G2" s="70" t="s">
        <v>454</v>
      </c>
      <c r="H2" s="70" t="s">
        <v>455</v>
      </c>
      <c r="I2" s="71" t="s">
        <v>3</v>
      </c>
      <c r="J2" s="70" t="s">
        <v>456</v>
      </c>
      <c r="K2" s="70" t="s">
        <v>5</v>
      </c>
      <c r="L2" s="72" t="s">
        <v>457</v>
      </c>
      <c r="M2" s="73" t="s">
        <v>458</v>
      </c>
      <c r="N2" s="74" t="s">
        <v>459</v>
      </c>
      <c r="O2" s="74" t="s">
        <v>460</v>
      </c>
      <c r="P2" s="70" t="s">
        <v>461</v>
      </c>
    </row>
    <row r="3" spans="1:16" x14ac:dyDescent="0.25">
      <c r="A3" s="76">
        <v>2690382</v>
      </c>
      <c r="B3" s="76">
        <v>108342</v>
      </c>
      <c r="C3" s="59" t="s">
        <v>465</v>
      </c>
      <c r="D3" s="77" t="s">
        <v>372</v>
      </c>
      <c r="E3" s="77" t="s">
        <v>368</v>
      </c>
      <c r="F3" s="76">
        <v>56720</v>
      </c>
      <c r="G3" s="59" t="s">
        <v>462</v>
      </c>
      <c r="H3" s="59">
        <v>3386</v>
      </c>
      <c r="I3" s="60">
        <v>7896112133865</v>
      </c>
      <c r="J3" s="59" t="s">
        <v>139</v>
      </c>
      <c r="K3" s="61" t="s">
        <v>34</v>
      </c>
      <c r="L3" s="66">
        <v>360</v>
      </c>
      <c r="M3" s="67">
        <v>3.28</v>
      </c>
      <c r="N3" s="67">
        <v>1180.8</v>
      </c>
      <c r="O3" s="67">
        <v>1180.8</v>
      </c>
      <c r="P3" s="59" t="s">
        <v>466</v>
      </c>
    </row>
    <row r="4" spans="1:16" x14ac:dyDescent="0.25">
      <c r="A4" s="76">
        <v>2690388</v>
      </c>
      <c r="B4" s="76">
        <v>108342</v>
      </c>
      <c r="C4" s="59" t="s">
        <v>465</v>
      </c>
      <c r="D4" s="77" t="s">
        <v>372</v>
      </c>
      <c r="E4" s="77" t="s">
        <v>368</v>
      </c>
      <c r="F4" s="76">
        <v>56731</v>
      </c>
      <c r="G4" s="59" t="s">
        <v>462</v>
      </c>
      <c r="H4" s="59">
        <v>8100</v>
      </c>
      <c r="I4" s="60">
        <v>7896112181002</v>
      </c>
      <c r="J4" s="59" t="s">
        <v>258</v>
      </c>
      <c r="K4" s="61" t="s">
        <v>34</v>
      </c>
      <c r="L4" s="66">
        <v>360</v>
      </c>
      <c r="M4" s="67">
        <v>7.1599999999999993</v>
      </c>
      <c r="N4" s="67">
        <v>2577.6</v>
      </c>
      <c r="O4" s="67">
        <v>2577.6</v>
      </c>
      <c r="P4" s="59" t="s">
        <v>467</v>
      </c>
    </row>
    <row r="5" spans="1:16" x14ac:dyDescent="0.25">
      <c r="A5" s="76">
        <v>2691197</v>
      </c>
      <c r="B5" s="76">
        <v>108342</v>
      </c>
      <c r="C5" s="59" t="s">
        <v>465</v>
      </c>
      <c r="D5" s="77" t="s">
        <v>372</v>
      </c>
      <c r="E5" s="77" t="s">
        <v>368</v>
      </c>
      <c r="F5" s="76">
        <v>56758</v>
      </c>
      <c r="G5" s="59" t="s">
        <v>462</v>
      </c>
      <c r="H5" s="59">
        <v>4165</v>
      </c>
      <c r="I5" s="60">
        <v>7896112101659</v>
      </c>
      <c r="J5" s="59" t="s">
        <v>163</v>
      </c>
      <c r="K5" s="61" t="s">
        <v>34</v>
      </c>
      <c r="L5" s="66">
        <v>1000</v>
      </c>
      <c r="M5" s="67">
        <v>4.2799999999999994</v>
      </c>
      <c r="N5" s="67">
        <v>4280</v>
      </c>
      <c r="O5" s="67">
        <v>4280</v>
      </c>
      <c r="P5" s="59" t="s">
        <v>472</v>
      </c>
    </row>
    <row r="6" spans="1:16" x14ac:dyDescent="0.25">
      <c r="A6" s="76">
        <v>2691208</v>
      </c>
      <c r="B6" s="76">
        <v>108342</v>
      </c>
      <c r="C6" s="59" t="s">
        <v>465</v>
      </c>
      <c r="D6" s="77" t="s">
        <v>372</v>
      </c>
      <c r="E6" s="77" t="s">
        <v>368</v>
      </c>
      <c r="F6" s="76">
        <v>56761</v>
      </c>
      <c r="G6" s="59" t="s">
        <v>462</v>
      </c>
      <c r="H6" s="59">
        <v>2111</v>
      </c>
      <c r="I6" s="60">
        <v>7896112121114</v>
      </c>
      <c r="J6" s="59" t="s">
        <v>80</v>
      </c>
      <c r="K6" s="61" t="s">
        <v>34</v>
      </c>
      <c r="L6" s="66">
        <v>2500</v>
      </c>
      <c r="M6" s="67">
        <v>11.25</v>
      </c>
      <c r="N6" s="67">
        <v>28125</v>
      </c>
      <c r="O6" s="67">
        <v>28125</v>
      </c>
      <c r="P6" s="59" t="s">
        <v>472</v>
      </c>
    </row>
    <row r="7" spans="1:16" x14ac:dyDescent="0.25">
      <c r="A7" s="76">
        <v>2690422</v>
      </c>
      <c r="B7" s="76">
        <v>108342</v>
      </c>
      <c r="C7" s="59" t="s">
        <v>465</v>
      </c>
      <c r="D7" s="77" t="s">
        <v>372</v>
      </c>
      <c r="E7" s="77" t="s">
        <v>368</v>
      </c>
      <c r="F7" s="76">
        <v>56782</v>
      </c>
      <c r="G7" s="59" t="s">
        <v>462</v>
      </c>
      <c r="H7" s="59">
        <v>2891</v>
      </c>
      <c r="I7" s="60">
        <v>7896112128915</v>
      </c>
      <c r="J7" s="59" t="s">
        <v>128</v>
      </c>
      <c r="K7" s="61" t="s">
        <v>23</v>
      </c>
      <c r="L7" s="66">
        <v>400</v>
      </c>
      <c r="M7" s="67">
        <v>5.36</v>
      </c>
      <c r="N7" s="67">
        <v>2144</v>
      </c>
      <c r="O7" s="67">
        <v>2144</v>
      </c>
      <c r="P7" s="59" t="s">
        <v>472</v>
      </c>
    </row>
    <row r="8" spans="1:16" x14ac:dyDescent="0.25">
      <c r="A8" s="76">
        <v>2692415</v>
      </c>
      <c r="B8" s="76">
        <v>108342</v>
      </c>
      <c r="C8" s="59" t="s">
        <v>465</v>
      </c>
      <c r="D8" s="77" t="s">
        <v>372</v>
      </c>
      <c r="E8" s="77" t="s">
        <v>371</v>
      </c>
      <c r="F8" s="76">
        <v>3262</v>
      </c>
      <c r="G8" s="59" t="s">
        <v>462</v>
      </c>
      <c r="H8" s="59">
        <v>4156</v>
      </c>
      <c r="I8" s="60">
        <v>7896112101567</v>
      </c>
      <c r="J8" s="59" t="s">
        <v>160</v>
      </c>
      <c r="K8" s="61" t="s">
        <v>34</v>
      </c>
      <c r="L8" s="66">
        <v>2000</v>
      </c>
      <c r="M8" s="67">
        <v>2.23</v>
      </c>
      <c r="N8" s="67">
        <v>4460</v>
      </c>
      <c r="O8" s="67">
        <v>4460</v>
      </c>
      <c r="P8" s="59" t="s">
        <v>472</v>
      </c>
    </row>
    <row r="9" spans="1:16" x14ac:dyDescent="0.25">
      <c r="A9" s="76">
        <v>2691196</v>
      </c>
      <c r="B9" s="76">
        <v>108342</v>
      </c>
      <c r="C9" s="59" t="s">
        <v>465</v>
      </c>
      <c r="D9" s="77" t="s">
        <v>372</v>
      </c>
      <c r="E9" s="77" t="s">
        <v>368</v>
      </c>
      <c r="F9" s="76">
        <v>56871</v>
      </c>
      <c r="G9" s="59" t="s">
        <v>462</v>
      </c>
      <c r="H9" s="59">
        <v>8100</v>
      </c>
      <c r="I9" s="60">
        <v>7896112181002</v>
      </c>
      <c r="J9" s="59" t="s">
        <v>258</v>
      </c>
      <c r="K9" s="61" t="s">
        <v>34</v>
      </c>
      <c r="L9" s="66">
        <v>900</v>
      </c>
      <c r="M9" s="67">
        <v>7.1599999999999993</v>
      </c>
      <c r="N9" s="67">
        <v>6444</v>
      </c>
      <c r="O9" s="67">
        <v>6444</v>
      </c>
      <c r="P9" s="59" t="s">
        <v>472</v>
      </c>
    </row>
    <row r="10" spans="1:16" x14ac:dyDescent="0.25">
      <c r="A10" s="76">
        <v>2691624</v>
      </c>
      <c r="B10" s="76">
        <v>108342</v>
      </c>
      <c r="C10" s="59" t="s">
        <v>465</v>
      </c>
      <c r="D10" s="77" t="s">
        <v>372</v>
      </c>
      <c r="E10" s="77" t="s">
        <v>368</v>
      </c>
      <c r="F10" s="76">
        <v>56893</v>
      </c>
      <c r="G10" s="59" t="s">
        <v>462</v>
      </c>
      <c r="H10" s="59">
        <v>4339</v>
      </c>
      <c r="I10" s="60">
        <v>7896112103394</v>
      </c>
      <c r="J10" s="59" t="s">
        <v>173</v>
      </c>
      <c r="K10" s="61" t="s">
        <v>34</v>
      </c>
      <c r="L10" s="66">
        <v>840</v>
      </c>
      <c r="M10" s="67">
        <v>8.43</v>
      </c>
      <c r="N10" s="67">
        <v>7081.2</v>
      </c>
      <c r="O10" s="67">
        <v>7081.2</v>
      </c>
      <c r="P10" s="59" t="s">
        <v>466</v>
      </c>
    </row>
    <row r="11" spans="1:16" x14ac:dyDescent="0.25">
      <c r="A11" s="76">
        <v>2691627</v>
      </c>
      <c r="B11" s="76">
        <v>108342</v>
      </c>
      <c r="C11" s="59" t="s">
        <v>465</v>
      </c>
      <c r="D11" s="77" t="s">
        <v>372</v>
      </c>
      <c r="E11" s="77" t="s">
        <v>368</v>
      </c>
      <c r="F11" s="76">
        <v>56895</v>
      </c>
      <c r="G11" s="59" t="s">
        <v>462</v>
      </c>
      <c r="H11" s="59">
        <v>4339</v>
      </c>
      <c r="I11" s="60">
        <v>7896112103394</v>
      </c>
      <c r="J11" s="59" t="s">
        <v>173</v>
      </c>
      <c r="K11" s="61" t="s">
        <v>34</v>
      </c>
      <c r="L11" s="66">
        <v>840</v>
      </c>
      <c r="M11" s="67">
        <v>8.58</v>
      </c>
      <c r="N11" s="67">
        <v>7207.2</v>
      </c>
      <c r="O11" s="67">
        <v>7207.2</v>
      </c>
      <c r="P11" s="59" t="s">
        <v>467</v>
      </c>
    </row>
    <row r="12" spans="1:16" x14ac:dyDescent="0.25">
      <c r="A12" s="76">
        <v>2691660</v>
      </c>
      <c r="B12" s="76">
        <v>108342</v>
      </c>
      <c r="C12" s="59" t="s">
        <v>465</v>
      </c>
      <c r="D12" s="77" t="s">
        <v>372</v>
      </c>
      <c r="E12" s="77" t="s">
        <v>368</v>
      </c>
      <c r="F12" s="76">
        <v>56919</v>
      </c>
      <c r="G12" s="59" t="s">
        <v>462</v>
      </c>
      <c r="H12" s="59">
        <v>30</v>
      </c>
      <c r="I12" s="60">
        <v>7896112140306</v>
      </c>
      <c r="J12" s="59" t="s">
        <v>22</v>
      </c>
      <c r="K12" s="61" t="s">
        <v>23</v>
      </c>
      <c r="L12" s="66">
        <v>3000</v>
      </c>
      <c r="M12" s="67">
        <v>2.2000000000000002</v>
      </c>
      <c r="N12" s="67">
        <v>6600</v>
      </c>
      <c r="O12" s="67">
        <v>6600</v>
      </c>
      <c r="P12" s="59" t="s">
        <v>467</v>
      </c>
    </row>
    <row r="13" spans="1:16" x14ac:dyDescent="0.25">
      <c r="A13" s="76">
        <v>2691687</v>
      </c>
      <c r="B13" s="76">
        <v>108342</v>
      </c>
      <c r="C13" s="59" t="s">
        <v>465</v>
      </c>
      <c r="D13" s="77" t="s">
        <v>372</v>
      </c>
      <c r="E13" s="77" t="s">
        <v>368</v>
      </c>
      <c r="F13" s="76">
        <v>56920</v>
      </c>
      <c r="G13" s="59" t="s">
        <v>462</v>
      </c>
      <c r="H13" s="59">
        <v>30</v>
      </c>
      <c r="I13" s="60">
        <v>7896112140306</v>
      </c>
      <c r="J13" s="59" t="s">
        <v>22</v>
      </c>
      <c r="K13" s="61" t="s">
        <v>23</v>
      </c>
      <c r="L13" s="66">
        <v>2000</v>
      </c>
      <c r="M13" s="67">
        <v>2.1399999999999997</v>
      </c>
      <c r="N13" s="67">
        <v>4280</v>
      </c>
      <c r="O13" s="67">
        <v>4280</v>
      </c>
      <c r="P13" s="59" t="s">
        <v>466</v>
      </c>
    </row>
    <row r="14" spans="1:16" x14ac:dyDescent="0.25">
      <c r="A14" s="76">
        <v>2692665</v>
      </c>
      <c r="B14" s="76">
        <v>108342</v>
      </c>
      <c r="C14" s="59" t="s">
        <v>465</v>
      </c>
      <c r="D14" s="77" t="s">
        <v>372</v>
      </c>
      <c r="E14" s="77" t="s">
        <v>368</v>
      </c>
      <c r="F14" s="76">
        <v>56934</v>
      </c>
      <c r="G14" s="59" t="s">
        <v>462</v>
      </c>
      <c r="H14" s="59">
        <v>4400</v>
      </c>
      <c r="I14" s="60">
        <v>7896112104001</v>
      </c>
      <c r="J14" s="59" t="s">
        <v>182</v>
      </c>
      <c r="K14" s="61" t="s">
        <v>34</v>
      </c>
      <c r="L14" s="66">
        <v>150</v>
      </c>
      <c r="M14" s="67">
        <v>9.2799999999999994</v>
      </c>
      <c r="N14" s="67">
        <v>1392</v>
      </c>
      <c r="O14" s="67">
        <v>1392</v>
      </c>
      <c r="P14" s="59" t="s">
        <v>472</v>
      </c>
    </row>
    <row r="15" spans="1:16" x14ac:dyDescent="0.25">
      <c r="A15" s="76">
        <v>2691632</v>
      </c>
      <c r="B15" s="76">
        <v>108342</v>
      </c>
      <c r="C15" s="59" t="s">
        <v>465</v>
      </c>
      <c r="D15" s="77" t="s">
        <v>372</v>
      </c>
      <c r="E15" s="77" t="s">
        <v>368</v>
      </c>
      <c r="F15" s="76">
        <v>56941</v>
      </c>
      <c r="G15" s="59" t="s">
        <v>462</v>
      </c>
      <c r="H15" s="59">
        <v>4339</v>
      </c>
      <c r="I15" s="60">
        <v>7896112103394</v>
      </c>
      <c r="J15" s="59" t="s">
        <v>173</v>
      </c>
      <c r="K15" s="61" t="s">
        <v>34</v>
      </c>
      <c r="L15" s="66">
        <v>1680</v>
      </c>
      <c r="M15" s="67">
        <v>8.58</v>
      </c>
      <c r="N15" s="67">
        <v>14414.4</v>
      </c>
      <c r="O15" s="67">
        <v>14414.4</v>
      </c>
      <c r="P15" s="59" t="s">
        <v>472</v>
      </c>
    </row>
    <row r="16" spans="1:16" x14ac:dyDescent="0.25">
      <c r="A16" s="76">
        <v>2693521</v>
      </c>
      <c r="B16" s="76">
        <v>108342</v>
      </c>
      <c r="C16" s="59" t="s">
        <v>465</v>
      </c>
      <c r="D16" s="77" t="s">
        <v>372</v>
      </c>
      <c r="E16" s="77" t="s">
        <v>368</v>
      </c>
      <c r="F16" s="76">
        <v>56966</v>
      </c>
      <c r="G16" s="59" t="s">
        <v>462</v>
      </c>
      <c r="H16" s="59">
        <v>4400</v>
      </c>
      <c r="I16" s="60">
        <v>7896112104001</v>
      </c>
      <c r="J16" s="59" t="s">
        <v>182</v>
      </c>
      <c r="K16" s="61" t="s">
        <v>34</v>
      </c>
      <c r="L16" s="66">
        <v>150</v>
      </c>
      <c r="M16" s="67">
        <v>9.5599999999999987</v>
      </c>
      <c r="N16" s="67">
        <v>1434</v>
      </c>
      <c r="O16" s="67">
        <v>1434</v>
      </c>
      <c r="P16" s="59" t="s">
        <v>473</v>
      </c>
    </row>
    <row r="17" spans="1:16" x14ac:dyDescent="0.25">
      <c r="A17" s="76">
        <v>2692224</v>
      </c>
      <c r="B17" s="76">
        <v>108342</v>
      </c>
      <c r="C17" s="59" t="s">
        <v>465</v>
      </c>
      <c r="D17" s="77" t="s">
        <v>372</v>
      </c>
      <c r="E17" s="77" t="s">
        <v>368</v>
      </c>
      <c r="F17" s="76">
        <v>57000</v>
      </c>
      <c r="G17" s="59" t="s">
        <v>462</v>
      </c>
      <c r="H17" s="59">
        <v>1769</v>
      </c>
      <c r="I17" s="60">
        <v>7896112117698</v>
      </c>
      <c r="J17" s="59" t="s">
        <v>70</v>
      </c>
      <c r="K17" s="61" t="s">
        <v>23</v>
      </c>
      <c r="L17" s="66">
        <v>200</v>
      </c>
      <c r="M17" s="67">
        <v>9.74</v>
      </c>
      <c r="N17" s="67">
        <v>1948</v>
      </c>
      <c r="O17" s="67">
        <v>1948</v>
      </c>
      <c r="P17" s="59" t="s">
        <v>467</v>
      </c>
    </row>
    <row r="18" spans="1:16" x14ac:dyDescent="0.25">
      <c r="A18" s="76">
        <v>2692234</v>
      </c>
      <c r="B18" s="76">
        <v>108342</v>
      </c>
      <c r="C18" s="59" t="s">
        <v>465</v>
      </c>
      <c r="D18" s="77" t="s">
        <v>372</v>
      </c>
      <c r="E18" s="77" t="s">
        <v>368</v>
      </c>
      <c r="F18" s="76">
        <v>57003</v>
      </c>
      <c r="G18" s="59" t="s">
        <v>462</v>
      </c>
      <c r="H18" s="59">
        <v>1769</v>
      </c>
      <c r="I18" s="60">
        <v>7896112117698</v>
      </c>
      <c r="J18" s="59" t="s">
        <v>70</v>
      </c>
      <c r="K18" s="61" t="s">
        <v>23</v>
      </c>
      <c r="L18" s="66">
        <v>300</v>
      </c>
      <c r="M18" s="67">
        <v>9.74</v>
      </c>
      <c r="N18" s="67">
        <v>2922</v>
      </c>
      <c r="O18" s="67">
        <v>2922</v>
      </c>
      <c r="P18" s="59" t="s">
        <v>472</v>
      </c>
    </row>
    <row r="19" spans="1:16" x14ac:dyDescent="0.25">
      <c r="A19" s="76">
        <v>2691697</v>
      </c>
      <c r="B19" s="76">
        <v>108342</v>
      </c>
      <c r="C19" s="59" t="s">
        <v>465</v>
      </c>
      <c r="D19" s="77" t="s">
        <v>372</v>
      </c>
      <c r="E19" s="77" t="s">
        <v>368</v>
      </c>
      <c r="F19" s="76">
        <v>57024</v>
      </c>
      <c r="G19" s="59" t="s">
        <v>462</v>
      </c>
      <c r="H19" s="59">
        <v>30</v>
      </c>
      <c r="I19" s="60">
        <v>7896112140306</v>
      </c>
      <c r="J19" s="59" t="s">
        <v>22</v>
      </c>
      <c r="K19" s="61" t="s">
        <v>23</v>
      </c>
      <c r="L19" s="66">
        <v>1000</v>
      </c>
      <c r="M19" s="67">
        <v>2.2000000000000002</v>
      </c>
      <c r="N19" s="67">
        <v>2200</v>
      </c>
      <c r="O19" s="67">
        <v>2200</v>
      </c>
      <c r="P19" s="59" t="s">
        <v>472</v>
      </c>
    </row>
    <row r="20" spans="1:16" x14ac:dyDescent="0.25">
      <c r="A20" s="76">
        <v>2692601</v>
      </c>
      <c r="B20" s="76">
        <v>108342</v>
      </c>
      <c r="C20" s="59" t="s">
        <v>465</v>
      </c>
      <c r="D20" s="77" t="s">
        <v>372</v>
      </c>
      <c r="E20" s="77" t="s">
        <v>368</v>
      </c>
      <c r="F20" s="76">
        <v>57044</v>
      </c>
      <c r="G20" s="59" t="s">
        <v>462</v>
      </c>
      <c r="H20" s="59">
        <v>7141</v>
      </c>
      <c r="I20" s="60">
        <v>7896112171416</v>
      </c>
      <c r="J20" s="59" t="s">
        <v>245</v>
      </c>
      <c r="K20" s="61" t="s">
        <v>34</v>
      </c>
      <c r="L20" s="66">
        <v>432</v>
      </c>
      <c r="M20" s="67">
        <v>4.38</v>
      </c>
      <c r="N20" s="67">
        <v>1892.1599999999999</v>
      </c>
      <c r="O20" s="67">
        <v>1892.1599999999999</v>
      </c>
      <c r="P20" s="59" t="s">
        <v>466</v>
      </c>
    </row>
    <row r="21" spans="1:16" x14ac:dyDescent="0.25">
      <c r="A21" s="76">
        <v>2692609</v>
      </c>
      <c r="B21" s="76">
        <v>108342</v>
      </c>
      <c r="C21" s="59" t="s">
        <v>465</v>
      </c>
      <c r="D21" s="77" t="s">
        <v>372</v>
      </c>
      <c r="E21" s="77" t="s">
        <v>368</v>
      </c>
      <c r="F21" s="76">
        <v>57047</v>
      </c>
      <c r="G21" s="59" t="s">
        <v>462</v>
      </c>
      <c r="H21" s="59">
        <v>7141</v>
      </c>
      <c r="I21" s="60">
        <v>7896112171416</v>
      </c>
      <c r="J21" s="59" t="s">
        <v>245</v>
      </c>
      <c r="K21" s="61" t="s">
        <v>34</v>
      </c>
      <c r="L21" s="66">
        <v>432</v>
      </c>
      <c r="M21" s="67">
        <v>4.4700000000000006</v>
      </c>
      <c r="N21" s="67">
        <v>1931.0400000000002</v>
      </c>
      <c r="O21" s="67">
        <v>1931.0400000000002</v>
      </c>
      <c r="P21" s="59" t="s">
        <v>467</v>
      </c>
    </row>
    <row r="22" spans="1:16" x14ac:dyDescent="0.25">
      <c r="A22" s="76">
        <v>2692649</v>
      </c>
      <c r="B22" s="76">
        <v>108342</v>
      </c>
      <c r="C22" s="59" t="s">
        <v>465</v>
      </c>
      <c r="D22" s="77" t="s">
        <v>372</v>
      </c>
      <c r="E22" s="77" t="s">
        <v>368</v>
      </c>
      <c r="F22" s="76">
        <v>57060</v>
      </c>
      <c r="G22" s="59" t="s">
        <v>462</v>
      </c>
      <c r="H22" s="59">
        <v>7141</v>
      </c>
      <c r="I22" s="60">
        <v>7896112171416</v>
      </c>
      <c r="J22" s="59" t="s">
        <v>245</v>
      </c>
      <c r="K22" s="61" t="s">
        <v>34</v>
      </c>
      <c r="L22" s="66">
        <v>1080</v>
      </c>
      <c r="M22" s="67">
        <v>4.4700000000000006</v>
      </c>
      <c r="N22" s="67">
        <v>4827.6000000000004</v>
      </c>
      <c r="O22" s="67">
        <v>4827.6000000000004</v>
      </c>
      <c r="P22" s="59" t="s">
        <v>472</v>
      </c>
    </row>
    <row r="23" spans="1:16" x14ac:dyDescent="0.25">
      <c r="A23" s="76">
        <v>2693468</v>
      </c>
      <c r="B23" s="76">
        <v>108342</v>
      </c>
      <c r="C23" s="59" t="s">
        <v>465</v>
      </c>
      <c r="D23" s="77" t="s">
        <v>372</v>
      </c>
      <c r="E23" s="77" t="s">
        <v>368</v>
      </c>
      <c r="F23" s="76">
        <v>57096</v>
      </c>
      <c r="G23" s="59" t="s">
        <v>462</v>
      </c>
      <c r="H23" s="59">
        <v>7147</v>
      </c>
      <c r="I23" s="60">
        <v>7896112171478</v>
      </c>
      <c r="J23" s="59" t="s">
        <v>246</v>
      </c>
      <c r="K23" s="61" t="s">
        <v>34</v>
      </c>
      <c r="L23" s="66">
        <v>216</v>
      </c>
      <c r="M23" s="67">
        <v>5.3</v>
      </c>
      <c r="N23" s="67">
        <v>1144.8</v>
      </c>
      <c r="O23" s="67">
        <v>1144.8</v>
      </c>
      <c r="P23" s="59" t="s">
        <v>472</v>
      </c>
    </row>
    <row r="24" spans="1:16" x14ac:dyDescent="0.25">
      <c r="A24" s="76">
        <v>2693522</v>
      </c>
      <c r="B24" s="76">
        <v>108342</v>
      </c>
      <c r="C24" s="59" t="s">
        <v>465</v>
      </c>
      <c r="D24" s="77" t="s">
        <v>372</v>
      </c>
      <c r="E24" s="77" t="s">
        <v>368</v>
      </c>
      <c r="F24" s="76">
        <v>57101</v>
      </c>
      <c r="G24" s="59" t="s">
        <v>462</v>
      </c>
      <c r="H24" s="59">
        <v>7147</v>
      </c>
      <c r="I24" s="60">
        <v>7896112171478</v>
      </c>
      <c r="J24" s="59" t="s">
        <v>246</v>
      </c>
      <c r="K24" s="61" t="s">
        <v>34</v>
      </c>
      <c r="L24" s="66">
        <v>108</v>
      </c>
      <c r="M24" s="67">
        <v>5.74</v>
      </c>
      <c r="N24" s="67">
        <v>619.91999999999996</v>
      </c>
      <c r="O24" s="67">
        <v>619.91999999999996</v>
      </c>
      <c r="P24" s="59" t="s">
        <v>473</v>
      </c>
    </row>
    <row r="25" spans="1:16" x14ac:dyDescent="0.25">
      <c r="A25" s="76">
        <v>2692669</v>
      </c>
      <c r="B25" s="76">
        <v>108342</v>
      </c>
      <c r="C25" s="59" t="s">
        <v>465</v>
      </c>
      <c r="D25" s="77" t="s">
        <v>372</v>
      </c>
      <c r="E25" s="77" t="s">
        <v>368</v>
      </c>
      <c r="F25" s="76">
        <v>57155</v>
      </c>
      <c r="G25" s="59" t="s">
        <v>462</v>
      </c>
      <c r="H25" s="59">
        <v>1057</v>
      </c>
      <c r="I25" s="60">
        <v>7896112110576</v>
      </c>
      <c r="J25" s="59" t="s">
        <v>55</v>
      </c>
      <c r="K25" s="61" t="s">
        <v>34</v>
      </c>
      <c r="L25" s="66">
        <v>3000</v>
      </c>
      <c r="M25" s="67">
        <v>1.34</v>
      </c>
      <c r="N25" s="67">
        <v>4020</v>
      </c>
      <c r="O25" s="67">
        <v>4020</v>
      </c>
      <c r="P25" s="59" t="s">
        <v>466</v>
      </c>
    </row>
    <row r="26" spans="1:16" x14ac:dyDescent="0.25">
      <c r="A26" s="76">
        <v>2692650</v>
      </c>
      <c r="B26" s="76">
        <v>108342</v>
      </c>
      <c r="C26" s="59" t="s">
        <v>465</v>
      </c>
      <c r="D26" s="77" t="s">
        <v>372</v>
      </c>
      <c r="E26" s="77" t="s">
        <v>368</v>
      </c>
      <c r="F26" s="76">
        <v>57159</v>
      </c>
      <c r="G26" s="59" t="s">
        <v>462</v>
      </c>
      <c r="H26" s="59">
        <v>1057</v>
      </c>
      <c r="I26" s="60">
        <v>7896112110576</v>
      </c>
      <c r="J26" s="59" t="s">
        <v>55</v>
      </c>
      <c r="K26" s="61" t="s">
        <v>34</v>
      </c>
      <c r="L26" s="66">
        <v>3000</v>
      </c>
      <c r="M26" s="67">
        <v>1.3699999999999999</v>
      </c>
      <c r="N26" s="67">
        <v>4110</v>
      </c>
      <c r="O26" s="67">
        <v>4110</v>
      </c>
      <c r="P26" s="59" t="s">
        <v>467</v>
      </c>
    </row>
    <row r="27" spans="1:16" x14ac:dyDescent="0.25">
      <c r="A27" s="76">
        <v>2692671</v>
      </c>
      <c r="B27" s="76">
        <v>108342</v>
      </c>
      <c r="C27" s="59" t="s">
        <v>465</v>
      </c>
      <c r="D27" s="77" t="s">
        <v>372</v>
      </c>
      <c r="E27" s="77" t="s">
        <v>368</v>
      </c>
      <c r="F27" s="76">
        <v>57160</v>
      </c>
      <c r="G27" s="59" t="s">
        <v>462</v>
      </c>
      <c r="H27" s="59">
        <v>1057</v>
      </c>
      <c r="I27" s="60">
        <v>7896112110576</v>
      </c>
      <c r="J27" s="59" t="s">
        <v>55</v>
      </c>
      <c r="K27" s="61" t="s">
        <v>34</v>
      </c>
      <c r="L27" s="66">
        <v>8000</v>
      </c>
      <c r="M27" s="67">
        <v>1.3699999999999999</v>
      </c>
      <c r="N27" s="67">
        <v>10960</v>
      </c>
      <c r="O27" s="67">
        <v>10960</v>
      </c>
      <c r="P27" s="59" t="s">
        <v>472</v>
      </c>
    </row>
    <row r="28" spans="1:16" x14ac:dyDescent="0.25">
      <c r="A28" s="76">
        <v>2692662</v>
      </c>
      <c r="B28" s="76">
        <v>108342</v>
      </c>
      <c r="C28" s="59" t="s">
        <v>465</v>
      </c>
      <c r="D28" s="77" t="s">
        <v>372</v>
      </c>
      <c r="E28" s="77" t="s">
        <v>368</v>
      </c>
      <c r="F28" s="76">
        <v>57203</v>
      </c>
      <c r="G28" s="59" t="s">
        <v>474</v>
      </c>
      <c r="H28" s="59">
        <v>2114</v>
      </c>
      <c r="I28" s="60">
        <v>7896112121145</v>
      </c>
      <c r="J28" s="59" t="s">
        <v>81</v>
      </c>
      <c r="K28" s="61" t="s">
        <v>34</v>
      </c>
      <c r="L28" s="66">
        <v>5000</v>
      </c>
      <c r="M28" s="67">
        <v>1.48</v>
      </c>
      <c r="N28" s="67">
        <v>7400</v>
      </c>
      <c r="O28" s="67">
        <v>7400</v>
      </c>
      <c r="P28" s="59" t="s">
        <v>472</v>
      </c>
    </row>
    <row r="29" spans="1:16" x14ac:dyDescent="0.25">
      <c r="A29" s="76">
        <v>2691943</v>
      </c>
      <c r="B29" s="76">
        <v>108342</v>
      </c>
      <c r="C29" s="59" t="s">
        <v>465</v>
      </c>
      <c r="D29" s="77" t="s">
        <v>372</v>
      </c>
      <c r="E29" s="77" t="s">
        <v>368</v>
      </c>
      <c r="F29" s="76">
        <v>57221</v>
      </c>
      <c r="G29" s="59" t="s">
        <v>474</v>
      </c>
      <c r="H29" s="59">
        <v>1382</v>
      </c>
      <c r="I29" s="60">
        <v>7896112113829</v>
      </c>
      <c r="J29" s="59" t="s">
        <v>340</v>
      </c>
      <c r="K29" s="61" t="s">
        <v>23</v>
      </c>
      <c r="L29" s="66">
        <v>500</v>
      </c>
      <c r="M29" s="67">
        <v>5.9700000000000006</v>
      </c>
      <c r="N29" s="67">
        <v>2985</v>
      </c>
      <c r="O29" s="67">
        <v>2985</v>
      </c>
      <c r="P29" s="59" t="s">
        <v>476</v>
      </c>
    </row>
    <row r="30" spans="1:16" x14ac:dyDescent="0.25">
      <c r="A30" s="76">
        <v>2691685</v>
      </c>
      <c r="B30" s="76">
        <v>108342</v>
      </c>
      <c r="C30" s="59" t="s">
        <v>465</v>
      </c>
      <c r="D30" s="77" t="s">
        <v>372</v>
      </c>
      <c r="E30" s="77" t="s">
        <v>368</v>
      </c>
      <c r="F30" s="76">
        <v>57234</v>
      </c>
      <c r="G30" s="59" t="s">
        <v>474</v>
      </c>
      <c r="H30" s="59">
        <v>6622</v>
      </c>
      <c r="I30" s="60">
        <v>7896112166221</v>
      </c>
      <c r="J30" s="59" t="s">
        <v>236</v>
      </c>
      <c r="K30" s="61" t="s">
        <v>34</v>
      </c>
      <c r="L30" s="66">
        <v>5000</v>
      </c>
      <c r="M30" s="67">
        <v>5.13</v>
      </c>
      <c r="N30" s="67">
        <v>25650</v>
      </c>
      <c r="O30" s="67">
        <v>25650</v>
      </c>
      <c r="P30" s="59" t="s">
        <v>466</v>
      </c>
    </row>
    <row r="31" spans="1:16" x14ac:dyDescent="0.25">
      <c r="A31" s="76">
        <v>2693005</v>
      </c>
      <c r="B31" s="76">
        <v>108342</v>
      </c>
      <c r="C31" s="59" t="s">
        <v>465</v>
      </c>
      <c r="D31" s="77" t="s">
        <v>372</v>
      </c>
      <c r="E31" s="77" t="s">
        <v>371</v>
      </c>
      <c r="F31" s="76">
        <v>3282</v>
      </c>
      <c r="G31" s="59" t="s">
        <v>474</v>
      </c>
      <c r="H31" s="59">
        <v>9149</v>
      </c>
      <c r="I31" s="60">
        <v>7896112191490</v>
      </c>
      <c r="J31" s="59" t="s">
        <v>293</v>
      </c>
      <c r="K31" s="61" t="s">
        <v>34</v>
      </c>
      <c r="L31" s="66">
        <v>50</v>
      </c>
      <c r="M31" s="67">
        <v>5.05</v>
      </c>
      <c r="N31" s="67">
        <v>252.5</v>
      </c>
      <c r="O31" s="67">
        <v>252.5</v>
      </c>
      <c r="P31" s="59" t="s">
        <v>473</v>
      </c>
    </row>
    <row r="32" spans="1:16" x14ac:dyDescent="0.25">
      <c r="A32" s="76">
        <v>2693005</v>
      </c>
      <c r="B32" s="76">
        <v>108342</v>
      </c>
      <c r="C32" s="59" t="s">
        <v>465</v>
      </c>
      <c r="D32" s="77" t="s">
        <v>372</v>
      </c>
      <c r="E32" s="77" t="s">
        <v>371</v>
      </c>
      <c r="F32" s="76">
        <v>3282</v>
      </c>
      <c r="G32" s="59" t="s">
        <v>474</v>
      </c>
      <c r="H32" s="59">
        <v>2743</v>
      </c>
      <c r="I32" s="60">
        <v>7896112127437</v>
      </c>
      <c r="J32" s="59" t="s">
        <v>117</v>
      </c>
      <c r="K32" s="61" t="s">
        <v>34</v>
      </c>
      <c r="L32" s="66">
        <v>500</v>
      </c>
      <c r="M32" s="67">
        <v>3.3200000000000003</v>
      </c>
      <c r="N32" s="67">
        <v>1660</v>
      </c>
      <c r="O32" s="67">
        <v>1660</v>
      </c>
      <c r="P32" s="59" t="s">
        <v>473</v>
      </c>
    </row>
    <row r="33" spans="1:16" x14ac:dyDescent="0.25">
      <c r="A33" s="76">
        <v>2693005</v>
      </c>
      <c r="B33" s="76">
        <v>108342</v>
      </c>
      <c r="C33" s="59" t="s">
        <v>465</v>
      </c>
      <c r="D33" s="77" t="s">
        <v>372</v>
      </c>
      <c r="E33" s="77" t="s">
        <v>371</v>
      </c>
      <c r="F33" s="76">
        <v>3282</v>
      </c>
      <c r="G33" s="59" t="s">
        <v>474</v>
      </c>
      <c r="H33" s="59">
        <v>2965</v>
      </c>
      <c r="I33" s="60">
        <v>7896112129653</v>
      </c>
      <c r="J33" s="59" t="s">
        <v>133</v>
      </c>
      <c r="K33" s="61" t="s">
        <v>34</v>
      </c>
      <c r="L33" s="66">
        <v>200</v>
      </c>
      <c r="M33" s="67">
        <v>11.18</v>
      </c>
      <c r="N33" s="67">
        <v>2236</v>
      </c>
      <c r="O33" s="67">
        <v>2236</v>
      </c>
      <c r="P33" s="59" t="s">
        <v>473</v>
      </c>
    </row>
    <row r="34" spans="1:16" x14ac:dyDescent="0.25">
      <c r="A34" s="76">
        <v>2693005</v>
      </c>
      <c r="B34" s="76">
        <v>108342</v>
      </c>
      <c r="C34" s="59" t="s">
        <v>465</v>
      </c>
      <c r="D34" s="77" t="s">
        <v>372</v>
      </c>
      <c r="E34" s="77" t="s">
        <v>371</v>
      </c>
      <c r="F34" s="76">
        <v>3282</v>
      </c>
      <c r="G34" s="59" t="s">
        <v>474</v>
      </c>
      <c r="H34" s="59">
        <v>3300</v>
      </c>
      <c r="I34" s="60">
        <v>7896112133001</v>
      </c>
      <c r="J34" s="59" t="s">
        <v>138</v>
      </c>
      <c r="K34" s="61" t="s">
        <v>34</v>
      </c>
      <c r="L34" s="66">
        <v>560</v>
      </c>
      <c r="M34" s="67">
        <v>2.66</v>
      </c>
      <c r="N34" s="67">
        <v>1489.6</v>
      </c>
      <c r="O34" s="67">
        <v>1489.6</v>
      </c>
      <c r="P34" s="59" t="s">
        <v>473</v>
      </c>
    </row>
    <row r="35" spans="1:16" x14ac:dyDescent="0.25">
      <c r="A35" s="76">
        <v>2693005</v>
      </c>
      <c r="B35" s="76">
        <v>108342</v>
      </c>
      <c r="C35" s="59" t="s">
        <v>465</v>
      </c>
      <c r="D35" s="77" t="s">
        <v>372</v>
      </c>
      <c r="E35" s="77" t="s">
        <v>371</v>
      </c>
      <c r="F35" s="76">
        <v>3282</v>
      </c>
      <c r="G35" s="59" t="s">
        <v>474</v>
      </c>
      <c r="H35" s="59">
        <v>5118</v>
      </c>
      <c r="I35" s="60">
        <v>7896112151180</v>
      </c>
      <c r="J35" s="59" t="s">
        <v>214</v>
      </c>
      <c r="K35" s="61" t="s">
        <v>34</v>
      </c>
      <c r="L35" s="66">
        <v>120</v>
      </c>
      <c r="M35" s="67">
        <v>40.700000000000003</v>
      </c>
      <c r="N35" s="67">
        <v>4884</v>
      </c>
      <c r="O35" s="67">
        <v>4884</v>
      </c>
      <c r="P35" s="59" t="s">
        <v>473</v>
      </c>
    </row>
    <row r="36" spans="1:16" x14ac:dyDescent="0.25">
      <c r="A36" s="76">
        <v>2693005</v>
      </c>
      <c r="B36" s="76">
        <v>108342</v>
      </c>
      <c r="C36" s="59" t="s">
        <v>465</v>
      </c>
      <c r="D36" s="77" t="s">
        <v>372</v>
      </c>
      <c r="E36" s="77" t="s">
        <v>371</v>
      </c>
      <c r="F36" s="76">
        <v>3282</v>
      </c>
      <c r="G36" s="59" t="s">
        <v>474</v>
      </c>
      <c r="H36" s="59">
        <v>4251</v>
      </c>
      <c r="I36" s="60">
        <v>7896112102519</v>
      </c>
      <c r="J36" s="59" t="s">
        <v>165</v>
      </c>
      <c r="K36" s="61" t="s">
        <v>34</v>
      </c>
      <c r="L36" s="66">
        <v>500</v>
      </c>
      <c r="M36" s="67">
        <v>3.72</v>
      </c>
      <c r="N36" s="67">
        <v>1860</v>
      </c>
      <c r="O36" s="67">
        <v>1860</v>
      </c>
      <c r="P36" s="59" t="s">
        <v>473</v>
      </c>
    </row>
    <row r="37" spans="1:16" x14ac:dyDescent="0.25">
      <c r="A37" s="76">
        <v>2693005</v>
      </c>
      <c r="B37" s="76">
        <v>108342</v>
      </c>
      <c r="C37" s="59" t="s">
        <v>465</v>
      </c>
      <c r="D37" s="77" t="s">
        <v>372</v>
      </c>
      <c r="E37" s="77" t="s">
        <v>371</v>
      </c>
      <c r="F37" s="76">
        <v>3282</v>
      </c>
      <c r="G37" s="59" t="s">
        <v>474</v>
      </c>
      <c r="H37" s="59">
        <v>6688</v>
      </c>
      <c r="I37" s="60">
        <v>7896112166887</v>
      </c>
      <c r="J37" s="59" t="s">
        <v>237</v>
      </c>
      <c r="K37" s="61" t="s">
        <v>34</v>
      </c>
      <c r="L37" s="66">
        <v>100</v>
      </c>
      <c r="M37" s="67">
        <v>8.32</v>
      </c>
      <c r="N37" s="67">
        <v>832</v>
      </c>
      <c r="O37" s="67">
        <v>832</v>
      </c>
      <c r="P37" s="59" t="s">
        <v>473</v>
      </c>
    </row>
    <row r="38" spans="1:16" x14ac:dyDescent="0.25">
      <c r="A38" s="76">
        <v>2693005</v>
      </c>
      <c r="B38" s="76">
        <v>108342</v>
      </c>
      <c r="C38" s="59" t="s">
        <v>465</v>
      </c>
      <c r="D38" s="77" t="s">
        <v>372</v>
      </c>
      <c r="E38" s="77" t="s">
        <v>371</v>
      </c>
      <c r="F38" s="76">
        <v>3282</v>
      </c>
      <c r="G38" s="59" t="s">
        <v>474</v>
      </c>
      <c r="H38" s="59">
        <v>2183</v>
      </c>
      <c r="I38" s="60">
        <v>7896112121831</v>
      </c>
      <c r="J38" s="59" t="s">
        <v>83</v>
      </c>
      <c r="K38" s="61" t="s">
        <v>34</v>
      </c>
      <c r="L38" s="66">
        <v>1000</v>
      </c>
      <c r="M38" s="67">
        <v>3.46</v>
      </c>
      <c r="N38" s="67">
        <v>3460</v>
      </c>
      <c r="O38" s="67">
        <v>3460</v>
      </c>
      <c r="P38" s="59" t="s">
        <v>473</v>
      </c>
    </row>
    <row r="39" spans="1:16" x14ac:dyDescent="0.25">
      <c r="A39" s="76">
        <v>2693005</v>
      </c>
      <c r="B39" s="76">
        <v>108342</v>
      </c>
      <c r="C39" s="59" t="s">
        <v>465</v>
      </c>
      <c r="D39" s="77" t="s">
        <v>372</v>
      </c>
      <c r="E39" s="77" t="s">
        <v>371</v>
      </c>
      <c r="F39" s="76">
        <v>3282</v>
      </c>
      <c r="G39" s="59" t="s">
        <v>474</v>
      </c>
      <c r="H39" s="59">
        <v>4156</v>
      </c>
      <c r="I39" s="60">
        <v>7896112101567</v>
      </c>
      <c r="J39" s="59" t="s">
        <v>160</v>
      </c>
      <c r="K39" s="61" t="s">
        <v>34</v>
      </c>
      <c r="L39" s="66">
        <v>1500</v>
      </c>
      <c r="M39" s="67">
        <v>2.77</v>
      </c>
      <c r="N39" s="67">
        <v>4155</v>
      </c>
      <c r="O39" s="67">
        <v>4155</v>
      </c>
      <c r="P39" s="59" t="s">
        <v>473</v>
      </c>
    </row>
    <row r="40" spans="1:16" x14ac:dyDescent="0.25">
      <c r="A40" s="76">
        <v>2693005</v>
      </c>
      <c r="B40" s="76">
        <v>108342</v>
      </c>
      <c r="C40" s="59" t="s">
        <v>465</v>
      </c>
      <c r="D40" s="77" t="s">
        <v>372</v>
      </c>
      <c r="E40" s="77" t="s">
        <v>371</v>
      </c>
      <c r="F40" s="76">
        <v>3282</v>
      </c>
      <c r="G40" s="59" t="s">
        <v>474</v>
      </c>
      <c r="H40" s="59">
        <v>1441</v>
      </c>
      <c r="I40" s="60">
        <v>7896112114413</v>
      </c>
      <c r="J40" s="59" t="s">
        <v>64</v>
      </c>
      <c r="K40" s="61" t="s">
        <v>34</v>
      </c>
      <c r="L40" s="66">
        <v>10000</v>
      </c>
      <c r="M40" s="67">
        <v>1.49</v>
      </c>
      <c r="N40" s="67">
        <v>14900</v>
      </c>
      <c r="O40" s="67">
        <v>14900</v>
      </c>
      <c r="P40" s="59" t="s">
        <v>473</v>
      </c>
    </row>
    <row r="41" spans="1:16" x14ac:dyDescent="0.25">
      <c r="A41" s="76">
        <v>2693005</v>
      </c>
      <c r="B41" s="76">
        <v>108342</v>
      </c>
      <c r="C41" s="59" t="s">
        <v>465</v>
      </c>
      <c r="D41" s="77" t="s">
        <v>372</v>
      </c>
      <c r="E41" s="77" t="s">
        <v>371</v>
      </c>
      <c r="F41" s="76">
        <v>3282</v>
      </c>
      <c r="G41" s="59" t="s">
        <v>474</v>
      </c>
      <c r="H41" s="59">
        <v>9457</v>
      </c>
      <c r="I41" s="60">
        <v>7896112194576</v>
      </c>
      <c r="J41" s="59" t="s">
        <v>277</v>
      </c>
      <c r="K41" s="61" t="s">
        <v>34</v>
      </c>
      <c r="L41" s="66">
        <v>2500</v>
      </c>
      <c r="M41" s="67">
        <v>2.1</v>
      </c>
      <c r="N41" s="67">
        <v>5250</v>
      </c>
      <c r="O41" s="67">
        <v>5250</v>
      </c>
      <c r="P41" s="59" t="s">
        <v>473</v>
      </c>
    </row>
    <row r="42" spans="1:16" x14ac:dyDescent="0.25">
      <c r="A42" s="76">
        <v>2693005</v>
      </c>
      <c r="B42" s="76">
        <v>108342</v>
      </c>
      <c r="C42" s="59" t="s">
        <v>465</v>
      </c>
      <c r="D42" s="77" t="s">
        <v>372</v>
      </c>
      <c r="E42" s="77" t="s">
        <v>371</v>
      </c>
      <c r="F42" s="76">
        <v>3282</v>
      </c>
      <c r="G42" s="59" t="s">
        <v>474</v>
      </c>
      <c r="H42" s="59">
        <v>2766</v>
      </c>
      <c r="I42" s="60">
        <v>7896112127666</v>
      </c>
      <c r="J42" s="59" t="s">
        <v>119</v>
      </c>
      <c r="K42" s="61" t="s">
        <v>34</v>
      </c>
      <c r="L42" s="66">
        <v>500</v>
      </c>
      <c r="M42" s="67">
        <v>2.27</v>
      </c>
      <c r="N42" s="67">
        <v>1135</v>
      </c>
      <c r="O42" s="67">
        <v>1135</v>
      </c>
      <c r="P42" s="59" t="s">
        <v>473</v>
      </c>
    </row>
    <row r="43" spans="1:16" x14ac:dyDescent="0.25">
      <c r="A43" s="76">
        <v>2693005</v>
      </c>
      <c r="B43" s="76">
        <v>108342</v>
      </c>
      <c r="C43" s="59" t="s">
        <v>465</v>
      </c>
      <c r="D43" s="77" t="s">
        <v>372</v>
      </c>
      <c r="E43" s="77" t="s">
        <v>371</v>
      </c>
      <c r="F43" s="76">
        <v>3282</v>
      </c>
      <c r="G43" s="59" t="s">
        <v>474</v>
      </c>
      <c r="H43" s="59">
        <v>1666</v>
      </c>
      <c r="I43" s="60">
        <v>7896112116660</v>
      </c>
      <c r="J43" s="59" t="s">
        <v>69</v>
      </c>
      <c r="K43" s="61" t="s">
        <v>34</v>
      </c>
      <c r="L43" s="66">
        <v>1000</v>
      </c>
      <c r="M43" s="67">
        <v>1.3</v>
      </c>
      <c r="N43" s="67">
        <v>1300</v>
      </c>
      <c r="O43" s="67">
        <v>1300</v>
      </c>
      <c r="P43" s="59" t="s">
        <v>473</v>
      </c>
    </row>
    <row r="44" spans="1:16" x14ac:dyDescent="0.25">
      <c r="A44" s="76">
        <v>2693005</v>
      </c>
      <c r="B44" s="76">
        <v>108342</v>
      </c>
      <c r="C44" s="59" t="s">
        <v>465</v>
      </c>
      <c r="D44" s="77" t="s">
        <v>372</v>
      </c>
      <c r="E44" s="77" t="s">
        <v>371</v>
      </c>
      <c r="F44" s="76">
        <v>3282</v>
      </c>
      <c r="G44" s="59" t="s">
        <v>474</v>
      </c>
      <c r="H44" s="59">
        <v>7266</v>
      </c>
      <c r="I44" s="60">
        <v>7896112172666</v>
      </c>
      <c r="J44" s="59" t="s">
        <v>251</v>
      </c>
      <c r="K44" s="61" t="s">
        <v>34</v>
      </c>
      <c r="L44" s="66">
        <v>500</v>
      </c>
      <c r="M44" s="67">
        <v>3.5799999999999996</v>
      </c>
      <c r="N44" s="67">
        <v>1790</v>
      </c>
      <c r="O44" s="67">
        <v>1790</v>
      </c>
      <c r="P44" s="59" t="s">
        <v>473</v>
      </c>
    </row>
    <row r="45" spans="1:16" x14ac:dyDescent="0.25">
      <c r="A45" s="76">
        <v>2693005</v>
      </c>
      <c r="B45" s="76">
        <v>108342</v>
      </c>
      <c r="C45" s="59" t="s">
        <v>465</v>
      </c>
      <c r="D45" s="77" t="s">
        <v>372</v>
      </c>
      <c r="E45" s="77" t="s">
        <v>371</v>
      </c>
      <c r="F45" s="76">
        <v>3282</v>
      </c>
      <c r="G45" s="59" t="s">
        <v>474</v>
      </c>
      <c r="H45" s="59">
        <v>2029</v>
      </c>
      <c r="I45" s="60">
        <v>7896112120292</v>
      </c>
      <c r="J45" s="59" t="s">
        <v>78</v>
      </c>
      <c r="K45" s="61" t="s">
        <v>34</v>
      </c>
      <c r="L45" s="66">
        <v>1200</v>
      </c>
      <c r="M45" s="67">
        <v>2.04</v>
      </c>
      <c r="N45" s="67">
        <v>2448</v>
      </c>
      <c r="O45" s="67">
        <v>2448</v>
      </c>
      <c r="P45" s="59" t="s">
        <v>473</v>
      </c>
    </row>
    <row r="46" spans="1:16" x14ac:dyDescent="0.25">
      <c r="A46" s="76">
        <v>2693005</v>
      </c>
      <c r="B46" s="76">
        <v>108342</v>
      </c>
      <c r="C46" s="59" t="s">
        <v>465</v>
      </c>
      <c r="D46" s="77" t="s">
        <v>372</v>
      </c>
      <c r="E46" s="77" t="s">
        <v>371</v>
      </c>
      <c r="F46" s="76">
        <v>3282</v>
      </c>
      <c r="G46" s="59" t="s">
        <v>474</v>
      </c>
      <c r="H46" s="59">
        <v>6833</v>
      </c>
      <c r="I46" s="60">
        <v>7896112168331</v>
      </c>
      <c r="J46" s="59" t="s">
        <v>240</v>
      </c>
      <c r="K46" s="61" t="s">
        <v>34</v>
      </c>
      <c r="L46" s="66">
        <v>300</v>
      </c>
      <c r="M46" s="67">
        <v>4.25</v>
      </c>
      <c r="N46" s="67">
        <v>1275</v>
      </c>
      <c r="O46" s="67">
        <v>1275</v>
      </c>
      <c r="P46" s="59" t="s">
        <v>473</v>
      </c>
    </row>
    <row r="47" spans="1:16" x14ac:dyDescent="0.25">
      <c r="A47" s="76">
        <v>2693005</v>
      </c>
      <c r="B47" s="76">
        <v>108342</v>
      </c>
      <c r="C47" s="59" t="s">
        <v>465</v>
      </c>
      <c r="D47" s="77" t="s">
        <v>372</v>
      </c>
      <c r="E47" s="77" t="s">
        <v>371</v>
      </c>
      <c r="F47" s="76">
        <v>3282</v>
      </c>
      <c r="G47" s="59" t="s">
        <v>474</v>
      </c>
      <c r="H47" s="59">
        <v>1427</v>
      </c>
      <c r="I47" s="60">
        <v>7896112114277</v>
      </c>
      <c r="J47" s="59" t="s">
        <v>63</v>
      </c>
      <c r="K47" s="61" t="s">
        <v>34</v>
      </c>
      <c r="L47" s="66">
        <v>100</v>
      </c>
      <c r="M47" s="67">
        <v>4.18</v>
      </c>
      <c r="N47" s="67">
        <v>418</v>
      </c>
      <c r="O47" s="67">
        <v>418</v>
      </c>
      <c r="P47" s="59" t="s">
        <v>473</v>
      </c>
    </row>
    <row r="48" spans="1:16" x14ac:dyDescent="0.25">
      <c r="A48" s="76">
        <v>2693005</v>
      </c>
      <c r="B48" s="76">
        <v>108342</v>
      </c>
      <c r="C48" s="59" t="s">
        <v>465</v>
      </c>
      <c r="D48" s="77" t="s">
        <v>372</v>
      </c>
      <c r="E48" s="77" t="s">
        <v>371</v>
      </c>
      <c r="F48" s="76">
        <v>3282</v>
      </c>
      <c r="G48" s="59" t="s">
        <v>474</v>
      </c>
      <c r="H48" s="59">
        <v>7590</v>
      </c>
      <c r="I48" s="60">
        <v>7896112175902</v>
      </c>
      <c r="J48" s="59" t="s">
        <v>256</v>
      </c>
      <c r="K48" s="61" t="s">
        <v>34</v>
      </c>
      <c r="L48" s="66">
        <v>100</v>
      </c>
      <c r="M48" s="67">
        <v>7.4</v>
      </c>
      <c r="N48" s="67">
        <v>740</v>
      </c>
      <c r="O48" s="67">
        <v>740</v>
      </c>
      <c r="P48" s="59" t="s">
        <v>473</v>
      </c>
    </row>
    <row r="49" spans="1:16" x14ac:dyDescent="0.25">
      <c r="A49" s="76">
        <v>2693005</v>
      </c>
      <c r="B49" s="76">
        <v>108342</v>
      </c>
      <c r="C49" s="59" t="s">
        <v>465</v>
      </c>
      <c r="D49" s="77" t="s">
        <v>372</v>
      </c>
      <c r="E49" s="77" t="s">
        <v>371</v>
      </c>
      <c r="F49" s="76">
        <v>3282</v>
      </c>
      <c r="G49" s="59" t="s">
        <v>474</v>
      </c>
      <c r="H49" s="59">
        <v>7585</v>
      </c>
      <c r="I49" s="60">
        <v>7896112175858</v>
      </c>
      <c r="J49" s="59" t="s">
        <v>255</v>
      </c>
      <c r="K49" s="61" t="s">
        <v>34</v>
      </c>
      <c r="L49" s="66">
        <v>200</v>
      </c>
      <c r="M49" s="67">
        <v>2.9699999999999998</v>
      </c>
      <c r="N49" s="67">
        <v>594</v>
      </c>
      <c r="O49" s="67">
        <v>594</v>
      </c>
      <c r="P49" s="59" t="s">
        <v>473</v>
      </c>
    </row>
    <row r="50" spans="1:16" x14ac:dyDescent="0.25">
      <c r="A50" s="76">
        <v>2693005</v>
      </c>
      <c r="B50" s="76">
        <v>108342</v>
      </c>
      <c r="C50" s="59" t="s">
        <v>465</v>
      </c>
      <c r="D50" s="77" t="s">
        <v>372</v>
      </c>
      <c r="E50" s="77" t="s">
        <v>371</v>
      </c>
      <c r="F50" s="76">
        <v>3282</v>
      </c>
      <c r="G50" s="59" t="s">
        <v>474</v>
      </c>
      <c r="H50" s="59">
        <v>1960</v>
      </c>
      <c r="I50" s="60">
        <v>7896112119609</v>
      </c>
      <c r="J50" s="59" t="s">
        <v>75</v>
      </c>
      <c r="K50" s="61" t="s">
        <v>34</v>
      </c>
      <c r="L50" s="66">
        <v>300</v>
      </c>
      <c r="M50" s="67">
        <v>4.8499999999999996</v>
      </c>
      <c r="N50" s="67">
        <v>1455</v>
      </c>
      <c r="O50" s="67">
        <v>1455</v>
      </c>
      <c r="P50" s="59" t="s">
        <v>473</v>
      </c>
    </row>
    <row r="51" spans="1:16" x14ac:dyDescent="0.25">
      <c r="A51" s="76">
        <v>2693005</v>
      </c>
      <c r="B51" s="76">
        <v>108342</v>
      </c>
      <c r="C51" s="59" t="s">
        <v>465</v>
      </c>
      <c r="D51" s="77" t="s">
        <v>372</v>
      </c>
      <c r="E51" s="77" t="s">
        <v>371</v>
      </c>
      <c r="F51" s="76">
        <v>3282</v>
      </c>
      <c r="G51" s="59" t="s">
        <v>474</v>
      </c>
      <c r="H51" s="59">
        <v>1039</v>
      </c>
      <c r="I51" s="60">
        <v>7896112110392</v>
      </c>
      <c r="J51" s="59" t="s">
        <v>54</v>
      </c>
      <c r="K51" s="61" t="s">
        <v>34</v>
      </c>
      <c r="L51" s="66">
        <v>400</v>
      </c>
      <c r="M51" s="67">
        <v>7.58</v>
      </c>
      <c r="N51" s="67">
        <v>3032</v>
      </c>
      <c r="O51" s="67">
        <v>3032</v>
      </c>
      <c r="P51" s="59" t="s">
        <v>473</v>
      </c>
    </row>
    <row r="52" spans="1:16" x14ac:dyDescent="0.25">
      <c r="A52" s="76">
        <v>2693005</v>
      </c>
      <c r="B52" s="76">
        <v>108342</v>
      </c>
      <c r="C52" s="59" t="s">
        <v>465</v>
      </c>
      <c r="D52" s="77" t="s">
        <v>372</v>
      </c>
      <c r="E52" s="77" t="s">
        <v>371</v>
      </c>
      <c r="F52" s="76">
        <v>3282</v>
      </c>
      <c r="G52" s="59" t="s">
        <v>474</v>
      </c>
      <c r="H52" s="59">
        <v>790</v>
      </c>
      <c r="I52" s="60">
        <v>7896112147909</v>
      </c>
      <c r="J52" s="59" t="s">
        <v>42</v>
      </c>
      <c r="K52" s="61" t="s">
        <v>34</v>
      </c>
      <c r="L52" s="66">
        <v>1000</v>
      </c>
      <c r="M52" s="67">
        <v>1.86</v>
      </c>
      <c r="N52" s="67">
        <v>1860</v>
      </c>
      <c r="O52" s="67">
        <v>1860</v>
      </c>
      <c r="P52" s="59" t="s">
        <v>473</v>
      </c>
    </row>
    <row r="53" spans="1:16" x14ac:dyDescent="0.25">
      <c r="A53" s="76">
        <v>2693005</v>
      </c>
      <c r="B53" s="76">
        <v>108342</v>
      </c>
      <c r="C53" s="59" t="s">
        <v>465</v>
      </c>
      <c r="D53" s="77" t="s">
        <v>372</v>
      </c>
      <c r="E53" s="77" t="s">
        <v>371</v>
      </c>
      <c r="F53" s="76">
        <v>3282</v>
      </c>
      <c r="G53" s="59" t="s">
        <v>474</v>
      </c>
      <c r="H53" s="59">
        <v>6232</v>
      </c>
      <c r="I53" s="60">
        <v>7896112162322</v>
      </c>
      <c r="J53" s="59" t="s">
        <v>232</v>
      </c>
      <c r="K53" s="61" t="s">
        <v>34</v>
      </c>
      <c r="L53" s="66">
        <v>300</v>
      </c>
      <c r="M53" s="67">
        <v>2</v>
      </c>
      <c r="N53" s="67">
        <v>600</v>
      </c>
      <c r="O53" s="67">
        <v>600</v>
      </c>
      <c r="P53" s="59" t="s">
        <v>473</v>
      </c>
    </row>
    <row r="54" spans="1:16" x14ac:dyDescent="0.25">
      <c r="A54" s="76">
        <v>2693006</v>
      </c>
      <c r="B54" s="76">
        <v>108342</v>
      </c>
      <c r="C54" s="59" t="s">
        <v>465</v>
      </c>
      <c r="D54" s="77" t="s">
        <v>372</v>
      </c>
      <c r="E54" s="77" t="s">
        <v>371</v>
      </c>
      <c r="F54" s="76">
        <v>3289</v>
      </c>
      <c r="G54" s="59" t="s">
        <v>474</v>
      </c>
      <c r="H54" s="59">
        <v>3591</v>
      </c>
      <c r="I54" s="60">
        <v>7896112135913</v>
      </c>
      <c r="J54" s="59" t="s">
        <v>145</v>
      </c>
      <c r="K54" s="61" t="s">
        <v>34</v>
      </c>
      <c r="L54" s="66">
        <v>1000</v>
      </c>
      <c r="M54" s="67">
        <v>2.98</v>
      </c>
      <c r="N54" s="67">
        <v>2980</v>
      </c>
      <c r="O54" s="67">
        <v>2980</v>
      </c>
      <c r="P54" s="59" t="s">
        <v>473</v>
      </c>
    </row>
    <row r="55" spans="1:16" x14ac:dyDescent="0.25">
      <c r="A55" s="76">
        <v>2693006</v>
      </c>
      <c r="B55" s="76">
        <v>108342</v>
      </c>
      <c r="C55" s="59" t="s">
        <v>465</v>
      </c>
      <c r="D55" s="77" t="s">
        <v>372</v>
      </c>
      <c r="E55" s="77" t="s">
        <v>371</v>
      </c>
      <c r="F55" s="76">
        <v>3289</v>
      </c>
      <c r="G55" s="59" t="s">
        <v>474</v>
      </c>
      <c r="H55" s="59">
        <v>2561</v>
      </c>
      <c r="I55" s="60">
        <v>7896112125617</v>
      </c>
      <c r="J55" s="59" t="s">
        <v>103</v>
      </c>
      <c r="K55" s="61" t="s">
        <v>34</v>
      </c>
      <c r="L55" s="66">
        <v>2000</v>
      </c>
      <c r="M55" s="67">
        <v>1.94</v>
      </c>
      <c r="N55" s="67">
        <v>3880</v>
      </c>
      <c r="O55" s="67">
        <v>3880</v>
      </c>
      <c r="P55" s="59" t="s">
        <v>473</v>
      </c>
    </row>
    <row r="56" spans="1:16" x14ac:dyDescent="0.25">
      <c r="A56" s="76">
        <v>2693006</v>
      </c>
      <c r="B56" s="76">
        <v>108342</v>
      </c>
      <c r="C56" s="59" t="s">
        <v>465</v>
      </c>
      <c r="D56" s="77" t="s">
        <v>372</v>
      </c>
      <c r="E56" s="77" t="s">
        <v>371</v>
      </c>
      <c r="F56" s="76">
        <v>3289</v>
      </c>
      <c r="G56" s="59" t="s">
        <v>474</v>
      </c>
      <c r="H56" s="59">
        <v>1984</v>
      </c>
      <c r="I56" s="60">
        <v>7896112119845</v>
      </c>
      <c r="J56" s="59" t="s">
        <v>77</v>
      </c>
      <c r="K56" s="61" t="s">
        <v>34</v>
      </c>
      <c r="L56" s="66">
        <v>1000</v>
      </c>
      <c r="M56" s="67">
        <v>4.9700000000000006</v>
      </c>
      <c r="N56" s="67">
        <v>4970</v>
      </c>
      <c r="O56" s="67">
        <v>4970</v>
      </c>
      <c r="P56" s="59" t="s">
        <v>473</v>
      </c>
    </row>
    <row r="57" spans="1:16" x14ac:dyDescent="0.25">
      <c r="A57" s="76">
        <v>2693006</v>
      </c>
      <c r="B57" s="76">
        <v>108342</v>
      </c>
      <c r="C57" s="59" t="s">
        <v>465</v>
      </c>
      <c r="D57" s="77" t="s">
        <v>372</v>
      </c>
      <c r="E57" s="77" t="s">
        <v>371</v>
      </c>
      <c r="F57" s="76">
        <v>3289</v>
      </c>
      <c r="G57" s="59" t="s">
        <v>474</v>
      </c>
      <c r="H57" s="59">
        <v>2911</v>
      </c>
      <c r="I57" s="60">
        <v>7896112129110</v>
      </c>
      <c r="J57" s="59" t="s">
        <v>129</v>
      </c>
      <c r="K57" s="61" t="s">
        <v>34</v>
      </c>
      <c r="L57" s="66">
        <v>300</v>
      </c>
      <c r="M57" s="67">
        <v>3.6399999999999997</v>
      </c>
      <c r="N57" s="67">
        <v>1092</v>
      </c>
      <c r="O57" s="67">
        <v>1092</v>
      </c>
      <c r="P57" s="59" t="s">
        <v>473</v>
      </c>
    </row>
    <row r="58" spans="1:16" x14ac:dyDescent="0.25">
      <c r="A58" s="76">
        <v>2693006</v>
      </c>
      <c r="B58" s="76">
        <v>108342</v>
      </c>
      <c r="C58" s="59" t="s">
        <v>465</v>
      </c>
      <c r="D58" s="77" t="s">
        <v>372</v>
      </c>
      <c r="E58" s="77" t="s">
        <v>371</v>
      </c>
      <c r="F58" s="76">
        <v>3289</v>
      </c>
      <c r="G58" s="59" t="s">
        <v>474</v>
      </c>
      <c r="H58" s="59">
        <v>7213</v>
      </c>
      <c r="I58" s="60">
        <v>7896112172130</v>
      </c>
      <c r="J58" s="59" t="s">
        <v>249</v>
      </c>
      <c r="K58" s="61" t="s">
        <v>34</v>
      </c>
      <c r="L58" s="66">
        <v>4000</v>
      </c>
      <c r="M58" s="67">
        <v>4.95</v>
      </c>
      <c r="N58" s="67">
        <v>19800</v>
      </c>
      <c r="O58" s="67">
        <v>19800</v>
      </c>
      <c r="P58" s="59" t="s">
        <v>473</v>
      </c>
    </row>
    <row r="59" spans="1:16" x14ac:dyDescent="0.25">
      <c r="A59" s="76">
        <v>2691690</v>
      </c>
      <c r="B59" s="76">
        <v>108342</v>
      </c>
      <c r="C59" s="59" t="s">
        <v>465</v>
      </c>
      <c r="D59" s="77" t="s">
        <v>372</v>
      </c>
      <c r="E59" s="77" t="s">
        <v>368</v>
      </c>
      <c r="F59" s="76">
        <v>57315</v>
      </c>
      <c r="G59" s="59" t="s">
        <v>474</v>
      </c>
      <c r="H59" s="59">
        <v>2269</v>
      </c>
      <c r="I59" s="60">
        <v>7896112122692</v>
      </c>
      <c r="J59" s="59" t="s">
        <v>91</v>
      </c>
      <c r="K59" s="61" t="s">
        <v>34</v>
      </c>
      <c r="L59" s="66">
        <v>400</v>
      </c>
      <c r="M59" s="67">
        <v>3.1399999999999997</v>
      </c>
      <c r="N59" s="67">
        <v>1256</v>
      </c>
      <c r="O59" s="67">
        <v>1256</v>
      </c>
      <c r="P59" s="59" t="s">
        <v>472</v>
      </c>
    </row>
    <row r="60" spans="1:16" x14ac:dyDescent="0.25">
      <c r="A60" s="76">
        <v>2691690</v>
      </c>
      <c r="B60" s="76">
        <v>108342</v>
      </c>
      <c r="C60" s="59" t="s">
        <v>465</v>
      </c>
      <c r="D60" s="77" t="s">
        <v>372</v>
      </c>
      <c r="E60" s="77" t="s">
        <v>368</v>
      </c>
      <c r="F60" s="76">
        <v>57315</v>
      </c>
      <c r="G60" s="59" t="s">
        <v>474</v>
      </c>
      <c r="H60" s="59">
        <v>2270</v>
      </c>
      <c r="I60" s="60">
        <v>7896112122708</v>
      </c>
      <c r="J60" s="59" t="s">
        <v>92</v>
      </c>
      <c r="K60" s="61" t="s">
        <v>34</v>
      </c>
      <c r="L60" s="66">
        <v>100</v>
      </c>
      <c r="M60" s="67">
        <v>8.2200000000000006</v>
      </c>
      <c r="N60" s="67">
        <v>822</v>
      </c>
      <c r="O60" s="67">
        <v>822</v>
      </c>
      <c r="P60" s="59" t="s">
        <v>472</v>
      </c>
    </row>
    <row r="61" spans="1:16" x14ac:dyDescent="0.25">
      <c r="A61" s="76">
        <v>2691711</v>
      </c>
      <c r="B61" s="76">
        <v>108342</v>
      </c>
      <c r="C61" s="59" t="s">
        <v>465</v>
      </c>
      <c r="D61" s="77" t="s">
        <v>372</v>
      </c>
      <c r="E61" s="77" t="s">
        <v>368</v>
      </c>
      <c r="F61" s="76">
        <v>57402</v>
      </c>
      <c r="G61" s="59" t="s">
        <v>477</v>
      </c>
      <c r="H61" s="59">
        <v>5959</v>
      </c>
      <c r="I61" s="60">
        <v>7896112159599</v>
      </c>
      <c r="J61" s="59" t="s">
        <v>224</v>
      </c>
      <c r="K61" s="61" t="s">
        <v>34</v>
      </c>
      <c r="L61" s="66">
        <v>600</v>
      </c>
      <c r="M61" s="67">
        <v>7.44</v>
      </c>
      <c r="N61" s="67">
        <v>4464</v>
      </c>
      <c r="O61" s="67">
        <v>4464</v>
      </c>
      <c r="P61" s="59" t="s">
        <v>472</v>
      </c>
    </row>
    <row r="62" spans="1:16" x14ac:dyDescent="0.25">
      <c r="A62" s="76">
        <v>2692991</v>
      </c>
      <c r="B62" s="76">
        <v>108342</v>
      </c>
      <c r="C62" s="59" t="s">
        <v>465</v>
      </c>
      <c r="D62" s="77" t="s">
        <v>372</v>
      </c>
      <c r="E62" s="77" t="s">
        <v>371</v>
      </c>
      <c r="F62" s="76">
        <v>3297</v>
      </c>
      <c r="G62" s="59" t="s">
        <v>477</v>
      </c>
      <c r="H62" s="59">
        <v>9937</v>
      </c>
      <c r="I62" s="60">
        <v>7896112199373</v>
      </c>
      <c r="J62" s="59" t="s">
        <v>290</v>
      </c>
      <c r="K62" s="61" t="s">
        <v>34</v>
      </c>
      <c r="L62" s="66">
        <v>160</v>
      </c>
      <c r="M62" s="67">
        <v>22.6</v>
      </c>
      <c r="N62" s="67">
        <v>3616</v>
      </c>
      <c r="O62" s="67">
        <v>3616</v>
      </c>
      <c r="P62" s="59" t="s">
        <v>473</v>
      </c>
    </row>
    <row r="63" spans="1:16" x14ac:dyDescent="0.25">
      <c r="A63" s="76">
        <v>2693002</v>
      </c>
      <c r="B63" s="76">
        <v>108342</v>
      </c>
      <c r="C63" s="59" t="s">
        <v>465</v>
      </c>
      <c r="D63" s="77" t="s">
        <v>372</v>
      </c>
      <c r="E63" s="77" t="s">
        <v>371</v>
      </c>
      <c r="F63" s="76">
        <v>3310</v>
      </c>
      <c r="G63" s="59" t="s">
        <v>477</v>
      </c>
      <c r="H63" s="59">
        <v>2930</v>
      </c>
      <c r="I63" s="60">
        <v>7896112129301</v>
      </c>
      <c r="J63" s="59" t="s">
        <v>131</v>
      </c>
      <c r="K63" s="61" t="s">
        <v>34</v>
      </c>
      <c r="L63" s="66">
        <v>200</v>
      </c>
      <c r="M63" s="67">
        <v>2.6399999999999997</v>
      </c>
      <c r="N63" s="67">
        <v>528</v>
      </c>
      <c r="O63" s="67">
        <v>528</v>
      </c>
      <c r="P63" s="59" t="s">
        <v>473</v>
      </c>
    </row>
    <row r="64" spans="1:16" x14ac:dyDescent="0.25">
      <c r="A64" s="76">
        <v>2692990</v>
      </c>
      <c r="B64" s="76">
        <v>108342</v>
      </c>
      <c r="C64" s="59" t="s">
        <v>465</v>
      </c>
      <c r="D64" s="77" t="s">
        <v>372</v>
      </c>
      <c r="E64" s="77" t="s">
        <v>371</v>
      </c>
      <c r="F64" s="76">
        <v>3341</v>
      </c>
      <c r="G64" s="59" t="s">
        <v>477</v>
      </c>
      <c r="H64" s="59">
        <v>4377</v>
      </c>
      <c r="I64" s="60">
        <v>7896112103776</v>
      </c>
      <c r="J64" s="59" t="s">
        <v>176</v>
      </c>
      <c r="K64" s="61" t="s">
        <v>23</v>
      </c>
      <c r="L64" s="66">
        <v>1500</v>
      </c>
      <c r="M64" s="67">
        <v>10.48</v>
      </c>
      <c r="N64" s="67">
        <v>15720</v>
      </c>
      <c r="O64" s="67">
        <v>15720</v>
      </c>
      <c r="P64" s="59" t="s">
        <v>473</v>
      </c>
    </row>
    <row r="65" spans="1:16" x14ac:dyDescent="0.25">
      <c r="A65" s="76">
        <v>2692990</v>
      </c>
      <c r="B65" s="76">
        <v>108342</v>
      </c>
      <c r="C65" s="59" t="s">
        <v>465</v>
      </c>
      <c r="D65" s="77" t="s">
        <v>372</v>
      </c>
      <c r="E65" s="77" t="s">
        <v>371</v>
      </c>
      <c r="F65" s="76">
        <v>3341</v>
      </c>
      <c r="G65" s="59" t="s">
        <v>477</v>
      </c>
      <c r="H65" s="59">
        <v>9465</v>
      </c>
      <c r="I65" s="60">
        <v>7896112194651</v>
      </c>
      <c r="J65" s="59" t="s">
        <v>278</v>
      </c>
      <c r="K65" s="61" t="s">
        <v>23</v>
      </c>
      <c r="L65" s="66">
        <v>1400</v>
      </c>
      <c r="M65" s="67">
        <v>1.9899999999999998</v>
      </c>
      <c r="N65" s="67">
        <v>2786</v>
      </c>
      <c r="O65" s="67">
        <v>2786</v>
      </c>
      <c r="P65" s="59" t="s">
        <v>473</v>
      </c>
    </row>
    <row r="66" spans="1:16" x14ac:dyDescent="0.25">
      <c r="A66" s="76">
        <v>2692990</v>
      </c>
      <c r="B66" s="76">
        <v>108342</v>
      </c>
      <c r="C66" s="59" t="s">
        <v>465</v>
      </c>
      <c r="D66" s="77" t="s">
        <v>372</v>
      </c>
      <c r="E66" s="77" t="s">
        <v>371</v>
      </c>
      <c r="F66" s="76">
        <v>3341</v>
      </c>
      <c r="G66" s="59" t="s">
        <v>477</v>
      </c>
      <c r="H66" s="59">
        <v>4559</v>
      </c>
      <c r="I66" s="60">
        <v>7896112105596</v>
      </c>
      <c r="J66" s="59" t="s">
        <v>197</v>
      </c>
      <c r="K66" s="61" t="s">
        <v>23</v>
      </c>
      <c r="L66" s="66">
        <v>300</v>
      </c>
      <c r="M66" s="67">
        <v>4.1899999999999995</v>
      </c>
      <c r="N66" s="67">
        <v>1257</v>
      </c>
      <c r="O66" s="67">
        <v>1257</v>
      </c>
      <c r="P66" s="59" t="s">
        <v>473</v>
      </c>
    </row>
    <row r="67" spans="1:16" x14ac:dyDescent="0.25">
      <c r="A67" s="76">
        <v>2692990</v>
      </c>
      <c r="B67" s="76">
        <v>108342</v>
      </c>
      <c r="C67" s="59" t="s">
        <v>465</v>
      </c>
      <c r="D67" s="77" t="s">
        <v>372</v>
      </c>
      <c r="E67" s="77" t="s">
        <v>371</v>
      </c>
      <c r="F67" s="76">
        <v>3341</v>
      </c>
      <c r="G67" s="59" t="s">
        <v>477</v>
      </c>
      <c r="H67" s="59">
        <v>8992</v>
      </c>
      <c r="I67" s="60">
        <v>7896112189923</v>
      </c>
      <c r="J67" s="59" t="s">
        <v>266</v>
      </c>
      <c r="K67" s="61" t="s">
        <v>23</v>
      </c>
      <c r="L67" s="66">
        <v>400</v>
      </c>
      <c r="M67" s="67">
        <v>10.68</v>
      </c>
      <c r="N67" s="67">
        <v>4272</v>
      </c>
      <c r="O67" s="67">
        <v>4272</v>
      </c>
      <c r="P67" s="59" t="s">
        <v>473</v>
      </c>
    </row>
    <row r="68" spans="1:16" x14ac:dyDescent="0.25">
      <c r="A68" s="76">
        <v>2692990</v>
      </c>
      <c r="B68" s="76">
        <v>108342</v>
      </c>
      <c r="C68" s="59" t="s">
        <v>465</v>
      </c>
      <c r="D68" s="77" t="s">
        <v>372</v>
      </c>
      <c r="E68" s="77" t="s">
        <v>371</v>
      </c>
      <c r="F68" s="76">
        <v>3341</v>
      </c>
      <c r="G68" s="59" t="s">
        <v>477</v>
      </c>
      <c r="H68" s="59">
        <v>4290</v>
      </c>
      <c r="I68" s="60">
        <v>7896112102908</v>
      </c>
      <c r="J68" s="59" t="s">
        <v>170</v>
      </c>
      <c r="K68" s="61" t="s">
        <v>23</v>
      </c>
      <c r="L68" s="66">
        <v>550</v>
      </c>
      <c r="M68" s="67">
        <v>22.19</v>
      </c>
      <c r="N68" s="67">
        <v>12204.5</v>
      </c>
      <c r="O68" s="67">
        <v>12204.5</v>
      </c>
      <c r="P68" s="59" t="s">
        <v>473</v>
      </c>
    </row>
    <row r="69" spans="1:16" x14ac:dyDescent="0.25">
      <c r="A69" s="76">
        <v>2692990</v>
      </c>
      <c r="B69" s="76">
        <v>108342</v>
      </c>
      <c r="C69" s="59" t="s">
        <v>465</v>
      </c>
      <c r="D69" s="77" t="s">
        <v>372</v>
      </c>
      <c r="E69" s="77" t="s">
        <v>371</v>
      </c>
      <c r="F69" s="76">
        <v>3341</v>
      </c>
      <c r="G69" s="59" t="s">
        <v>477</v>
      </c>
      <c r="H69" s="59">
        <v>2767</v>
      </c>
      <c r="I69" s="60">
        <v>7896112127673</v>
      </c>
      <c r="J69" s="59" t="s">
        <v>120</v>
      </c>
      <c r="K69" s="61" t="s">
        <v>23</v>
      </c>
      <c r="L69" s="66">
        <v>600</v>
      </c>
      <c r="M69" s="67">
        <v>2.2800000000000002</v>
      </c>
      <c r="N69" s="67">
        <v>1368</v>
      </c>
      <c r="O69" s="67">
        <v>1368</v>
      </c>
      <c r="P69" s="59" t="s">
        <v>473</v>
      </c>
    </row>
    <row r="70" spans="1:16" x14ac:dyDescent="0.25">
      <c r="A70" s="76">
        <v>2692990</v>
      </c>
      <c r="B70" s="76">
        <v>108342</v>
      </c>
      <c r="C70" s="59" t="s">
        <v>465</v>
      </c>
      <c r="D70" s="77" t="s">
        <v>372</v>
      </c>
      <c r="E70" s="77" t="s">
        <v>371</v>
      </c>
      <c r="F70" s="76">
        <v>3341</v>
      </c>
      <c r="G70" s="59" t="s">
        <v>477</v>
      </c>
      <c r="H70" s="59">
        <v>3680</v>
      </c>
      <c r="I70" s="60">
        <v>7896112136804</v>
      </c>
      <c r="J70" s="59" t="s">
        <v>148</v>
      </c>
      <c r="K70" s="61" t="s">
        <v>23</v>
      </c>
      <c r="L70" s="66">
        <v>1200</v>
      </c>
      <c r="M70" s="67">
        <v>2</v>
      </c>
      <c r="N70" s="67">
        <v>2400</v>
      </c>
      <c r="O70" s="67">
        <v>2400</v>
      </c>
      <c r="P70" s="59" t="s">
        <v>473</v>
      </c>
    </row>
    <row r="71" spans="1:16" x14ac:dyDescent="0.25">
      <c r="A71" s="76">
        <v>2692990</v>
      </c>
      <c r="B71" s="76">
        <v>108342</v>
      </c>
      <c r="C71" s="59" t="s">
        <v>465</v>
      </c>
      <c r="D71" s="77" t="s">
        <v>372</v>
      </c>
      <c r="E71" s="77" t="s">
        <v>371</v>
      </c>
      <c r="F71" s="76">
        <v>3341</v>
      </c>
      <c r="G71" s="59" t="s">
        <v>477</v>
      </c>
      <c r="H71" s="59">
        <v>489</v>
      </c>
      <c r="I71" s="60">
        <v>7896112144892</v>
      </c>
      <c r="J71" s="59" t="s">
        <v>38</v>
      </c>
      <c r="K71" s="61" t="s">
        <v>23</v>
      </c>
      <c r="L71" s="66">
        <v>2000</v>
      </c>
      <c r="M71" s="67">
        <v>3.84</v>
      </c>
      <c r="N71" s="67">
        <v>7680</v>
      </c>
      <c r="O71" s="67">
        <v>7680</v>
      </c>
      <c r="P71" s="59" t="s">
        <v>473</v>
      </c>
    </row>
    <row r="72" spans="1:16" x14ac:dyDescent="0.25">
      <c r="A72" s="76">
        <v>2692990</v>
      </c>
      <c r="B72" s="76">
        <v>108342</v>
      </c>
      <c r="C72" s="59" t="s">
        <v>465</v>
      </c>
      <c r="D72" s="77" t="s">
        <v>372</v>
      </c>
      <c r="E72" s="77" t="s">
        <v>371</v>
      </c>
      <c r="F72" s="76">
        <v>3341</v>
      </c>
      <c r="G72" s="59" t="s">
        <v>477</v>
      </c>
      <c r="H72" s="59">
        <v>93</v>
      </c>
      <c r="I72" s="60">
        <v>7896112140931</v>
      </c>
      <c r="J72" s="59" t="s">
        <v>27</v>
      </c>
      <c r="K72" s="61" t="s">
        <v>23</v>
      </c>
      <c r="L72" s="66">
        <v>300</v>
      </c>
      <c r="M72" s="67">
        <v>3.2</v>
      </c>
      <c r="N72" s="67">
        <v>960</v>
      </c>
      <c r="O72" s="67">
        <v>960</v>
      </c>
      <c r="P72" s="59" t="s">
        <v>473</v>
      </c>
    </row>
    <row r="73" spans="1:16" x14ac:dyDescent="0.25">
      <c r="A73" s="76">
        <v>2692990</v>
      </c>
      <c r="B73" s="76">
        <v>108342</v>
      </c>
      <c r="C73" s="59" t="s">
        <v>465</v>
      </c>
      <c r="D73" s="77" t="s">
        <v>372</v>
      </c>
      <c r="E73" s="77" t="s">
        <v>371</v>
      </c>
      <c r="F73" s="76">
        <v>3341</v>
      </c>
      <c r="G73" s="59" t="s">
        <v>477</v>
      </c>
      <c r="H73" s="59">
        <v>7340</v>
      </c>
      <c r="I73" s="60">
        <v>7896112173403</v>
      </c>
      <c r="J73" s="59" t="s">
        <v>252</v>
      </c>
      <c r="K73" s="61" t="s">
        <v>23</v>
      </c>
      <c r="L73" s="66">
        <v>500</v>
      </c>
      <c r="M73" s="67">
        <v>3.4</v>
      </c>
      <c r="N73" s="67">
        <v>1700</v>
      </c>
      <c r="O73" s="67">
        <v>1700</v>
      </c>
      <c r="P73" s="59" t="s">
        <v>473</v>
      </c>
    </row>
    <row r="74" spans="1:16" x14ac:dyDescent="0.25">
      <c r="A74" s="76">
        <v>2692990</v>
      </c>
      <c r="B74" s="76">
        <v>108342</v>
      </c>
      <c r="C74" s="59" t="s">
        <v>465</v>
      </c>
      <c r="D74" s="77" t="s">
        <v>372</v>
      </c>
      <c r="E74" s="77" t="s">
        <v>371</v>
      </c>
      <c r="F74" s="76">
        <v>3341</v>
      </c>
      <c r="G74" s="59" t="s">
        <v>477</v>
      </c>
      <c r="H74" s="59">
        <v>8299</v>
      </c>
      <c r="I74" s="60">
        <v>7896112182993</v>
      </c>
      <c r="J74" s="59" t="s">
        <v>262</v>
      </c>
      <c r="K74" s="61" t="s">
        <v>23</v>
      </c>
      <c r="L74" s="66">
        <v>300</v>
      </c>
      <c r="M74" s="67">
        <v>4.75</v>
      </c>
      <c r="N74" s="67">
        <v>1425</v>
      </c>
      <c r="O74" s="67">
        <v>1425</v>
      </c>
      <c r="P74" s="59" t="s">
        <v>473</v>
      </c>
    </row>
    <row r="75" spans="1:16" x14ac:dyDescent="0.25">
      <c r="A75" s="76">
        <v>2692990</v>
      </c>
      <c r="B75" s="76">
        <v>108342</v>
      </c>
      <c r="C75" s="59" t="s">
        <v>465</v>
      </c>
      <c r="D75" s="77" t="s">
        <v>372</v>
      </c>
      <c r="E75" s="77" t="s">
        <v>371</v>
      </c>
      <c r="F75" s="76">
        <v>3341</v>
      </c>
      <c r="G75" s="59" t="s">
        <v>477</v>
      </c>
      <c r="H75" s="59">
        <v>868</v>
      </c>
      <c r="I75" s="60">
        <v>7896112148685</v>
      </c>
      <c r="J75" s="59" t="s">
        <v>45</v>
      </c>
      <c r="K75" s="61" t="s">
        <v>23</v>
      </c>
      <c r="L75" s="66">
        <v>2000</v>
      </c>
      <c r="M75" s="67">
        <v>2.35</v>
      </c>
      <c r="N75" s="67">
        <v>4700</v>
      </c>
      <c r="O75" s="67">
        <v>4700</v>
      </c>
      <c r="P75" s="59" t="s">
        <v>473</v>
      </c>
    </row>
    <row r="76" spans="1:16" x14ac:dyDescent="0.25">
      <c r="A76" s="76">
        <v>2691677</v>
      </c>
      <c r="B76" s="76">
        <v>108342</v>
      </c>
      <c r="C76" s="59" t="s">
        <v>465</v>
      </c>
      <c r="D76" s="77" t="s">
        <v>372</v>
      </c>
      <c r="E76" s="77" t="s">
        <v>368</v>
      </c>
      <c r="F76" s="76">
        <v>57630</v>
      </c>
      <c r="G76" s="59" t="s">
        <v>478</v>
      </c>
      <c r="H76" s="59">
        <v>3386</v>
      </c>
      <c r="I76" s="60">
        <v>7896112133865</v>
      </c>
      <c r="J76" s="59" t="s">
        <v>139</v>
      </c>
      <c r="K76" s="61" t="s">
        <v>34</v>
      </c>
      <c r="L76" s="66">
        <v>90</v>
      </c>
      <c r="M76" s="67">
        <v>3.35</v>
      </c>
      <c r="N76" s="67">
        <v>301.5</v>
      </c>
      <c r="O76" s="67">
        <v>301.5</v>
      </c>
      <c r="P76" s="59" t="s">
        <v>472</v>
      </c>
    </row>
    <row r="77" spans="1:16" x14ac:dyDescent="0.25">
      <c r="A77" s="76">
        <v>2691677</v>
      </c>
      <c r="B77" s="76">
        <v>108342</v>
      </c>
      <c r="C77" s="59" t="s">
        <v>465</v>
      </c>
      <c r="D77" s="77" t="s">
        <v>372</v>
      </c>
      <c r="E77" s="77" t="s">
        <v>368</v>
      </c>
      <c r="F77" s="76">
        <v>57630</v>
      </c>
      <c r="G77" s="59" t="s">
        <v>478</v>
      </c>
      <c r="H77" s="59">
        <v>6622</v>
      </c>
      <c r="I77" s="60">
        <v>7896112166221</v>
      </c>
      <c r="J77" s="59" t="s">
        <v>236</v>
      </c>
      <c r="K77" s="61" t="s">
        <v>34</v>
      </c>
      <c r="L77" s="66">
        <v>3000</v>
      </c>
      <c r="M77" s="67">
        <v>5.2799999999999994</v>
      </c>
      <c r="N77" s="67">
        <v>15840</v>
      </c>
      <c r="O77" s="67">
        <v>15840</v>
      </c>
      <c r="P77" s="59" t="s">
        <v>472</v>
      </c>
    </row>
    <row r="78" spans="1:16" x14ac:dyDescent="0.25">
      <c r="A78" s="76">
        <v>2691677</v>
      </c>
      <c r="B78" s="76">
        <v>108342</v>
      </c>
      <c r="C78" s="59" t="s">
        <v>465</v>
      </c>
      <c r="D78" s="77" t="s">
        <v>372</v>
      </c>
      <c r="E78" s="77" t="s">
        <v>368</v>
      </c>
      <c r="F78" s="76">
        <v>57630</v>
      </c>
      <c r="G78" s="59" t="s">
        <v>478</v>
      </c>
      <c r="H78" s="59">
        <v>8172</v>
      </c>
      <c r="I78" s="60">
        <v>7896112181729</v>
      </c>
      <c r="J78" s="59" t="s">
        <v>463</v>
      </c>
      <c r="K78" s="61" t="s">
        <v>34</v>
      </c>
      <c r="L78" s="66">
        <v>500</v>
      </c>
      <c r="M78" s="67">
        <v>3.7399999999999998</v>
      </c>
      <c r="N78" s="67">
        <v>1870</v>
      </c>
      <c r="O78" s="67">
        <v>1870</v>
      </c>
      <c r="P78" s="59" t="s">
        <v>472</v>
      </c>
    </row>
    <row r="79" spans="1:16" x14ac:dyDescent="0.25">
      <c r="A79" s="76">
        <v>2691944</v>
      </c>
      <c r="B79" s="76">
        <v>108342</v>
      </c>
      <c r="C79" s="59" t="s">
        <v>465</v>
      </c>
      <c r="D79" s="77" t="s">
        <v>372</v>
      </c>
      <c r="E79" s="77" t="s">
        <v>368</v>
      </c>
      <c r="F79" s="76">
        <v>57633</v>
      </c>
      <c r="G79" s="59" t="s">
        <v>478</v>
      </c>
      <c r="H79" s="59">
        <v>4862</v>
      </c>
      <c r="I79" s="60">
        <v>7896112108627</v>
      </c>
      <c r="J79" s="59" t="s">
        <v>210</v>
      </c>
      <c r="K79" s="61" t="s">
        <v>23</v>
      </c>
      <c r="L79" s="66">
        <v>2000</v>
      </c>
      <c r="M79" s="67">
        <v>18</v>
      </c>
      <c r="N79" s="67">
        <v>36000</v>
      </c>
      <c r="O79" s="67">
        <v>38808</v>
      </c>
      <c r="P79" s="59" t="s">
        <v>476</v>
      </c>
    </row>
    <row r="80" spans="1:16" x14ac:dyDescent="0.25">
      <c r="A80" s="76">
        <v>2692993</v>
      </c>
      <c r="B80" s="76">
        <v>108342</v>
      </c>
      <c r="C80" s="59" t="s">
        <v>465</v>
      </c>
      <c r="D80" s="77" t="s">
        <v>372</v>
      </c>
      <c r="E80" s="77" t="s">
        <v>368</v>
      </c>
      <c r="F80" s="76">
        <v>57649</v>
      </c>
      <c r="G80" s="59" t="s">
        <v>478</v>
      </c>
      <c r="H80" s="59">
        <v>1925</v>
      </c>
      <c r="I80" s="60">
        <v>7896112119258</v>
      </c>
      <c r="J80" s="59" t="s">
        <v>74</v>
      </c>
      <c r="K80" s="61" t="s">
        <v>34</v>
      </c>
      <c r="L80" s="66">
        <v>200</v>
      </c>
      <c r="M80" s="67">
        <v>9.18</v>
      </c>
      <c r="N80" s="67">
        <v>1836</v>
      </c>
      <c r="O80" s="67">
        <v>1836</v>
      </c>
      <c r="P80" s="59" t="s">
        <v>473</v>
      </c>
    </row>
    <row r="81" spans="1:16" x14ac:dyDescent="0.25">
      <c r="A81" s="76">
        <v>2693588</v>
      </c>
      <c r="B81" s="76">
        <v>108342</v>
      </c>
      <c r="C81" s="59" t="s">
        <v>465</v>
      </c>
      <c r="D81" s="77" t="s">
        <v>372</v>
      </c>
      <c r="E81" s="77" t="s">
        <v>371</v>
      </c>
      <c r="F81" s="76">
        <v>3365</v>
      </c>
      <c r="G81" s="59" t="s">
        <v>478</v>
      </c>
      <c r="H81" s="59">
        <v>4165</v>
      </c>
      <c r="I81" s="60">
        <v>7896112101659</v>
      </c>
      <c r="J81" s="59" t="s">
        <v>163</v>
      </c>
      <c r="K81" s="61" t="s">
        <v>34</v>
      </c>
      <c r="L81" s="66">
        <v>1000</v>
      </c>
      <c r="M81" s="67">
        <v>4.6500000000000004</v>
      </c>
      <c r="N81" s="67">
        <v>4650</v>
      </c>
      <c r="O81" s="67">
        <v>4650</v>
      </c>
      <c r="P81" s="59" t="s">
        <v>473</v>
      </c>
    </row>
    <row r="82" spans="1:16" x14ac:dyDescent="0.25">
      <c r="A82" s="76">
        <v>2693004</v>
      </c>
      <c r="B82" s="76">
        <v>108342</v>
      </c>
      <c r="C82" s="59" t="s">
        <v>465</v>
      </c>
      <c r="D82" s="77" t="s">
        <v>372</v>
      </c>
      <c r="E82" s="77" t="s">
        <v>371</v>
      </c>
      <c r="F82" s="76">
        <v>3396</v>
      </c>
      <c r="G82" s="59" t="s">
        <v>478</v>
      </c>
      <c r="H82" s="59">
        <v>2128</v>
      </c>
      <c r="I82" s="60">
        <v>7896112121282</v>
      </c>
      <c r="J82" s="59" t="s">
        <v>82</v>
      </c>
      <c r="K82" s="61" t="s">
        <v>34</v>
      </c>
      <c r="L82" s="66">
        <v>2000</v>
      </c>
      <c r="M82" s="67">
        <v>3.2399999999999998</v>
      </c>
      <c r="N82" s="67">
        <v>6480</v>
      </c>
      <c r="O82" s="67">
        <v>6480</v>
      </c>
      <c r="P82" s="59" t="s">
        <v>473</v>
      </c>
    </row>
    <row r="83" spans="1:16" x14ac:dyDescent="0.25">
      <c r="A83" s="76">
        <v>2691706</v>
      </c>
      <c r="B83" s="76">
        <v>108342</v>
      </c>
      <c r="C83" s="59" t="s">
        <v>465</v>
      </c>
      <c r="D83" s="77" t="s">
        <v>372</v>
      </c>
      <c r="E83" s="77" t="s">
        <v>368</v>
      </c>
      <c r="F83" s="76">
        <v>57928</v>
      </c>
      <c r="G83" s="59" t="s">
        <v>478</v>
      </c>
      <c r="H83" s="59">
        <v>2751</v>
      </c>
      <c r="I83" s="60">
        <v>7896112127512</v>
      </c>
      <c r="J83" s="59" t="s">
        <v>118</v>
      </c>
      <c r="K83" s="61" t="s">
        <v>34</v>
      </c>
      <c r="L83" s="66">
        <v>400</v>
      </c>
      <c r="M83" s="67">
        <v>3.18</v>
      </c>
      <c r="N83" s="67">
        <v>1272</v>
      </c>
      <c r="O83" s="67">
        <v>1272</v>
      </c>
      <c r="P83" s="59" t="s">
        <v>472</v>
      </c>
    </row>
    <row r="84" spans="1:16" x14ac:dyDescent="0.25">
      <c r="A84" s="76">
        <v>2692992</v>
      </c>
      <c r="B84" s="76">
        <v>108342</v>
      </c>
      <c r="C84" s="59" t="s">
        <v>465</v>
      </c>
      <c r="D84" s="77" t="s">
        <v>372</v>
      </c>
      <c r="E84" s="77" t="s">
        <v>368</v>
      </c>
      <c r="F84" s="76">
        <v>57948</v>
      </c>
      <c r="G84" s="59" t="s">
        <v>480</v>
      </c>
      <c r="H84" s="59">
        <v>1034</v>
      </c>
      <c r="I84" s="60">
        <v>7896112110347</v>
      </c>
      <c r="J84" s="59" t="s">
        <v>51</v>
      </c>
      <c r="K84" s="61" t="s">
        <v>34</v>
      </c>
      <c r="L84" s="66">
        <v>400</v>
      </c>
      <c r="M84" s="67">
        <v>2.17</v>
      </c>
      <c r="N84" s="67">
        <v>868</v>
      </c>
      <c r="O84" s="67">
        <v>868</v>
      </c>
      <c r="P84" s="59" t="s">
        <v>473</v>
      </c>
    </row>
    <row r="85" spans="1:16" x14ac:dyDescent="0.25">
      <c r="A85" s="76">
        <v>2692992</v>
      </c>
      <c r="B85" s="76">
        <v>108342</v>
      </c>
      <c r="C85" s="59" t="s">
        <v>465</v>
      </c>
      <c r="D85" s="77" t="s">
        <v>372</v>
      </c>
      <c r="E85" s="77" t="s">
        <v>368</v>
      </c>
      <c r="F85" s="76">
        <v>57948</v>
      </c>
      <c r="G85" s="59" t="s">
        <v>480</v>
      </c>
      <c r="H85" s="59">
        <v>1035</v>
      </c>
      <c r="I85" s="60">
        <v>7896112110354</v>
      </c>
      <c r="J85" s="59" t="s">
        <v>52</v>
      </c>
      <c r="K85" s="61" t="s">
        <v>34</v>
      </c>
      <c r="L85" s="66">
        <v>400</v>
      </c>
      <c r="M85" s="67">
        <v>2.8899999999999997</v>
      </c>
      <c r="N85" s="67">
        <v>1156</v>
      </c>
      <c r="O85" s="67">
        <v>1156</v>
      </c>
      <c r="P85" s="59" t="s">
        <v>473</v>
      </c>
    </row>
    <row r="86" spans="1:16" x14ac:dyDescent="0.25">
      <c r="A86" s="76">
        <v>2692992</v>
      </c>
      <c r="B86" s="76">
        <v>108342</v>
      </c>
      <c r="C86" s="59" t="s">
        <v>465</v>
      </c>
      <c r="D86" s="77" t="s">
        <v>372</v>
      </c>
      <c r="E86" s="77" t="s">
        <v>368</v>
      </c>
      <c r="F86" s="76">
        <v>57948</v>
      </c>
      <c r="G86" s="59" t="s">
        <v>480</v>
      </c>
      <c r="H86" s="59">
        <v>9201</v>
      </c>
      <c r="I86" s="60">
        <v>7896112192015</v>
      </c>
      <c r="J86" s="59" t="s">
        <v>273</v>
      </c>
      <c r="K86" s="61" t="s">
        <v>34</v>
      </c>
      <c r="L86" s="66">
        <v>1000</v>
      </c>
      <c r="M86" s="67">
        <v>5.5299999999999994</v>
      </c>
      <c r="N86" s="67">
        <v>5530</v>
      </c>
      <c r="O86" s="67">
        <v>5530</v>
      </c>
      <c r="P86" s="59" t="s">
        <v>473</v>
      </c>
    </row>
    <row r="87" spans="1:16" x14ac:dyDescent="0.25">
      <c r="A87" s="76">
        <v>2692992</v>
      </c>
      <c r="B87" s="76">
        <v>108342</v>
      </c>
      <c r="C87" s="59" t="s">
        <v>465</v>
      </c>
      <c r="D87" s="77" t="s">
        <v>372</v>
      </c>
      <c r="E87" s="77" t="s">
        <v>368</v>
      </c>
      <c r="F87" s="76">
        <v>57948</v>
      </c>
      <c r="G87" s="59" t="s">
        <v>480</v>
      </c>
      <c r="H87" s="59">
        <v>1768</v>
      </c>
      <c r="I87" s="60">
        <v>7896112117681</v>
      </c>
      <c r="J87" s="59" t="s">
        <v>71</v>
      </c>
      <c r="K87" s="61" t="s">
        <v>34</v>
      </c>
      <c r="L87" s="66">
        <v>15000</v>
      </c>
      <c r="M87" s="67">
        <v>1.5</v>
      </c>
      <c r="N87" s="67">
        <v>22500</v>
      </c>
      <c r="O87" s="67">
        <v>22500</v>
      </c>
      <c r="P87" s="59" t="s">
        <v>473</v>
      </c>
    </row>
    <row r="88" spans="1:16" x14ac:dyDescent="0.25">
      <c r="A88" s="76">
        <v>2692992</v>
      </c>
      <c r="B88" s="76">
        <v>108342</v>
      </c>
      <c r="C88" s="59" t="s">
        <v>465</v>
      </c>
      <c r="D88" s="77" t="s">
        <v>372</v>
      </c>
      <c r="E88" s="77" t="s">
        <v>368</v>
      </c>
      <c r="F88" s="76">
        <v>57948</v>
      </c>
      <c r="G88" s="59" t="s">
        <v>480</v>
      </c>
      <c r="H88" s="59">
        <v>2566</v>
      </c>
      <c r="I88" s="60">
        <v>7896112125662</v>
      </c>
      <c r="J88" s="59" t="s">
        <v>104</v>
      </c>
      <c r="K88" s="61" t="s">
        <v>34</v>
      </c>
      <c r="L88" s="66">
        <v>500</v>
      </c>
      <c r="M88" s="67">
        <v>4.42</v>
      </c>
      <c r="N88" s="67">
        <v>2210</v>
      </c>
      <c r="O88" s="67">
        <v>2210</v>
      </c>
      <c r="P88" s="59" t="s">
        <v>473</v>
      </c>
    </row>
    <row r="89" spans="1:16" x14ac:dyDescent="0.25">
      <c r="A89" s="76">
        <v>2692992</v>
      </c>
      <c r="B89" s="76">
        <v>108342</v>
      </c>
      <c r="C89" s="59" t="s">
        <v>465</v>
      </c>
      <c r="D89" s="77" t="s">
        <v>372</v>
      </c>
      <c r="E89" s="77" t="s">
        <v>368</v>
      </c>
      <c r="F89" s="76">
        <v>57948</v>
      </c>
      <c r="G89" s="59" t="s">
        <v>480</v>
      </c>
      <c r="H89" s="59">
        <v>2886</v>
      </c>
      <c r="I89" s="60">
        <v>7896112128861</v>
      </c>
      <c r="J89" s="59" t="s">
        <v>127</v>
      </c>
      <c r="K89" s="61" t="s">
        <v>34</v>
      </c>
      <c r="L89" s="66">
        <v>1000</v>
      </c>
      <c r="M89" s="67">
        <v>8.2099999999999991</v>
      </c>
      <c r="N89" s="67">
        <v>8210</v>
      </c>
      <c r="O89" s="67">
        <v>8210</v>
      </c>
      <c r="P89" s="59" t="s">
        <v>473</v>
      </c>
    </row>
    <row r="90" spans="1:16" x14ac:dyDescent="0.25">
      <c r="A90" s="76">
        <v>2692992</v>
      </c>
      <c r="B90" s="76">
        <v>108342</v>
      </c>
      <c r="C90" s="59" t="s">
        <v>465</v>
      </c>
      <c r="D90" s="77" t="s">
        <v>372</v>
      </c>
      <c r="E90" s="77" t="s">
        <v>368</v>
      </c>
      <c r="F90" s="76">
        <v>57948</v>
      </c>
      <c r="G90" s="59" t="s">
        <v>480</v>
      </c>
      <c r="H90" s="59">
        <v>3421</v>
      </c>
      <c r="I90" s="60">
        <v>7896112134213</v>
      </c>
      <c r="J90" s="59" t="s">
        <v>141</v>
      </c>
      <c r="K90" s="61" t="s">
        <v>34</v>
      </c>
      <c r="L90" s="66">
        <v>4000</v>
      </c>
      <c r="M90" s="67">
        <v>4.57</v>
      </c>
      <c r="N90" s="67">
        <v>18280</v>
      </c>
      <c r="O90" s="67">
        <v>18280</v>
      </c>
      <c r="P90" s="59" t="s">
        <v>473</v>
      </c>
    </row>
    <row r="91" spans="1:16" x14ac:dyDescent="0.25">
      <c r="A91" s="76">
        <v>2692992</v>
      </c>
      <c r="B91" s="76">
        <v>108342</v>
      </c>
      <c r="C91" s="59" t="s">
        <v>465</v>
      </c>
      <c r="D91" s="77" t="s">
        <v>372</v>
      </c>
      <c r="E91" s="77" t="s">
        <v>368</v>
      </c>
      <c r="F91" s="76">
        <v>57948</v>
      </c>
      <c r="G91" s="59" t="s">
        <v>480</v>
      </c>
      <c r="H91" s="59">
        <v>2306</v>
      </c>
      <c r="I91" s="60">
        <v>7896112123064</v>
      </c>
      <c r="J91" s="59" t="s">
        <v>94</v>
      </c>
      <c r="K91" s="61" t="s">
        <v>34</v>
      </c>
      <c r="L91" s="66">
        <v>200</v>
      </c>
      <c r="M91" s="67">
        <v>2.42</v>
      </c>
      <c r="N91" s="67">
        <v>484</v>
      </c>
      <c r="O91" s="67">
        <v>484</v>
      </c>
      <c r="P91" s="59" t="s">
        <v>473</v>
      </c>
    </row>
    <row r="92" spans="1:16" x14ac:dyDescent="0.25">
      <c r="A92" s="76">
        <v>2692992</v>
      </c>
      <c r="B92" s="76">
        <v>108342</v>
      </c>
      <c r="C92" s="59" t="s">
        <v>465</v>
      </c>
      <c r="D92" s="77" t="s">
        <v>372</v>
      </c>
      <c r="E92" s="77" t="s">
        <v>368</v>
      </c>
      <c r="F92" s="76">
        <v>57948</v>
      </c>
      <c r="G92" s="59" t="s">
        <v>480</v>
      </c>
      <c r="H92" s="59">
        <v>3386</v>
      </c>
      <c r="I92" s="60">
        <v>7896112133865</v>
      </c>
      <c r="J92" s="59" t="s">
        <v>139</v>
      </c>
      <c r="K92" s="61" t="s">
        <v>34</v>
      </c>
      <c r="L92" s="66">
        <v>270</v>
      </c>
      <c r="M92" s="67">
        <v>3.5</v>
      </c>
      <c r="N92" s="67">
        <v>945</v>
      </c>
      <c r="O92" s="67">
        <v>945</v>
      </c>
      <c r="P92" s="59" t="s">
        <v>473</v>
      </c>
    </row>
    <row r="93" spans="1:16" x14ac:dyDescent="0.25">
      <c r="A93" s="76">
        <v>2692992</v>
      </c>
      <c r="B93" s="76">
        <v>108342</v>
      </c>
      <c r="C93" s="59" t="s">
        <v>465</v>
      </c>
      <c r="D93" s="77" t="s">
        <v>372</v>
      </c>
      <c r="E93" s="77" t="s">
        <v>368</v>
      </c>
      <c r="F93" s="76">
        <v>57948</v>
      </c>
      <c r="G93" s="59" t="s">
        <v>480</v>
      </c>
      <c r="H93" s="59">
        <v>2643</v>
      </c>
      <c r="I93" s="60">
        <v>7896112126430</v>
      </c>
      <c r="J93" s="59" t="s">
        <v>109</v>
      </c>
      <c r="K93" s="61" t="s">
        <v>34</v>
      </c>
      <c r="L93" s="66">
        <v>200</v>
      </c>
      <c r="M93" s="67">
        <v>4.7700000000000005</v>
      </c>
      <c r="N93" s="67">
        <v>954</v>
      </c>
      <c r="O93" s="67">
        <v>954</v>
      </c>
      <c r="P93" s="59" t="s">
        <v>473</v>
      </c>
    </row>
    <row r="94" spans="1:16" x14ac:dyDescent="0.25">
      <c r="A94" s="76">
        <v>2692999</v>
      </c>
      <c r="B94" s="76">
        <v>108342</v>
      </c>
      <c r="C94" s="59" t="s">
        <v>465</v>
      </c>
      <c r="D94" s="77" t="s">
        <v>372</v>
      </c>
      <c r="E94" s="77" t="s">
        <v>368</v>
      </c>
      <c r="F94" s="76">
        <v>58001</v>
      </c>
      <c r="G94" s="59" t="s">
        <v>480</v>
      </c>
      <c r="H94" s="59">
        <v>4530</v>
      </c>
      <c r="I94" s="60">
        <v>7896112105305</v>
      </c>
      <c r="J94" s="59" t="s">
        <v>195</v>
      </c>
      <c r="K94" s="61" t="s">
        <v>34</v>
      </c>
      <c r="L94" s="66">
        <v>240</v>
      </c>
      <c r="M94" s="67">
        <v>15.309999999999999</v>
      </c>
      <c r="N94" s="67">
        <v>3674.4</v>
      </c>
      <c r="O94" s="67">
        <v>3674.4</v>
      </c>
      <c r="P94" s="59" t="s">
        <v>473</v>
      </c>
    </row>
    <row r="95" spans="1:16" x14ac:dyDescent="0.25">
      <c r="A95" s="76">
        <v>2692999</v>
      </c>
      <c r="B95" s="76">
        <v>108342</v>
      </c>
      <c r="C95" s="59" t="s">
        <v>465</v>
      </c>
      <c r="D95" s="77" t="s">
        <v>372</v>
      </c>
      <c r="E95" s="77" t="s">
        <v>368</v>
      </c>
      <c r="F95" s="76">
        <v>58001</v>
      </c>
      <c r="G95" s="59" t="s">
        <v>480</v>
      </c>
      <c r="H95" s="59">
        <v>842</v>
      </c>
      <c r="I95" s="60">
        <v>7896112108429</v>
      </c>
      <c r="J95" s="59" t="s">
        <v>468</v>
      </c>
      <c r="K95" s="61" t="s">
        <v>34</v>
      </c>
      <c r="L95" s="66">
        <v>300</v>
      </c>
      <c r="M95" s="67">
        <v>12.39</v>
      </c>
      <c r="N95" s="67">
        <v>3717</v>
      </c>
      <c r="O95" s="67">
        <v>3717</v>
      </c>
      <c r="P95" s="59" t="s">
        <v>473</v>
      </c>
    </row>
    <row r="96" spans="1:16" x14ac:dyDescent="0.25">
      <c r="A96" s="76">
        <v>2692999</v>
      </c>
      <c r="B96" s="76">
        <v>108342</v>
      </c>
      <c r="C96" s="59" t="s">
        <v>465</v>
      </c>
      <c r="D96" s="77" t="s">
        <v>372</v>
      </c>
      <c r="E96" s="77" t="s">
        <v>368</v>
      </c>
      <c r="F96" s="76">
        <v>58001</v>
      </c>
      <c r="G96" s="59" t="s">
        <v>480</v>
      </c>
      <c r="H96" s="59">
        <v>843</v>
      </c>
      <c r="I96" s="60">
        <v>7896112108436</v>
      </c>
      <c r="J96" s="59" t="s">
        <v>471</v>
      </c>
      <c r="K96" s="61" t="s">
        <v>34</v>
      </c>
      <c r="L96" s="66">
        <v>120</v>
      </c>
      <c r="M96" s="67">
        <v>17.52</v>
      </c>
      <c r="N96" s="67">
        <v>2102.4</v>
      </c>
      <c r="O96" s="67">
        <v>2102.4</v>
      </c>
      <c r="P96" s="59" t="s">
        <v>473</v>
      </c>
    </row>
    <row r="97" spans="1:16" x14ac:dyDescent="0.25">
      <c r="A97" s="76">
        <v>2692999</v>
      </c>
      <c r="B97" s="76">
        <v>108342</v>
      </c>
      <c r="C97" s="59" t="s">
        <v>465</v>
      </c>
      <c r="D97" s="77" t="s">
        <v>372</v>
      </c>
      <c r="E97" s="77" t="s">
        <v>368</v>
      </c>
      <c r="F97" s="76">
        <v>58001</v>
      </c>
      <c r="G97" s="59" t="s">
        <v>480</v>
      </c>
      <c r="H97" s="59">
        <v>4296</v>
      </c>
      <c r="I97" s="60">
        <v>7896112102960</v>
      </c>
      <c r="J97" s="59" t="s">
        <v>171</v>
      </c>
      <c r="K97" s="61" t="s">
        <v>34</v>
      </c>
      <c r="L97" s="66">
        <v>1200</v>
      </c>
      <c r="M97" s="67">
        <v>4.3899999999999997</v>
      </c>
      <c r="N97" s="67">
        <v>5268</v>
      </c>
      <c r="O97" s="67">
        <v>5268</v>
      </c>
      <c r="P97" s="59" t="s">
        <v>473</v>
      </c>
    </row>
    <row r="98" spans="1:16" x14ac:dyDescent="0.25">
      <c r="A98" s="76">
        <v>2694392</v>
      </c>
      <c r="B98" s="76">
        <v>108342</v>
      </c>
      <c r="C98" s="59" t="s">
        <v>465</v>
      </c>
      <c r="D98" s="77" t="s">
        <v>372</v>
      </c>
      <c r="E98" s="77" t="s">
        <v>371</v>
      </c>
      <c r="F98" s="76">
        <v>3511</v>
      </c>
      <c r="G98" s="59" t="s">
        <v>480</v>
      </c>
      <c r="H98" s="59">
        <v>2751</v>
      </c>
      <c r="I98" s="60">
        <v>7896112127512</v>
      </c>
      <c r="J98" s="59" t="s">
        <v>118</v>
      </c>
      <c r="K98" s="61" t="s">
        <v>34</v>
      </c>
      <c r="L98" s="66">
        <v>200</v>
      </c>
      <c r="M98" s="67">
        <v>3.34</v>
      </c>
      <c r="N98" s="67">
        <v>668</v>
      </c>
      <c r="O98" s="67">
        <v>668</v>
      </c>
      <c r="P98" s="59" t="s">
        <v>473</v>
      </c>
    </row>
    <row r="99" spans="1:16" x14ac:dyDescent="0.25">
      <c r="A99" s="76">
        <v>2694292</v>
      </c>
      <c r="B99" s="76">
        <v>108342</v>
      </c>
      <c r="C99" s="59" t="s">
        <v>465</v>
      </c>
      <c r="D99" s="77" t="s">
        <v>372</v>
      </c>
      <c r="E99" s="77" t="s">
        <v>371</v>
      </c>
      <c r="F99" s="76">
        <v>3571</v>
      </c>
      <c r="G99" s="59" t="s">
        <v>481</v>
      </c>
      <c r="H99" s="59">
        <v>3591</v>
      </c>
      <c r="I99" s="60">
        <v>7896112135913</v>
      </c>
      <c r="J99" s="59" t="s">
        <v>145</v>
      </c>
      <c r="K99" s="61" t="s">
        <v>34</v>
      </c>
      <c r="L99" s="66">
        <v>2000</v>
      </c>
      <c r="M99" s="67">
        <v>2.82</v>
      </c>
      <c r="N99" s="67">
        <v>5640</v>
      </c>
      <c r="O99" s="67">
        <v>5640</v>
      </c>
      <c r="P99" s="59" t="s">
        <v>472</v>
      </c>
    </row>
    <row r="100" spans="1:16" x14ac:dyDescent="0.25">
      <c r="A100" s="76">
        <v>2694396</v>
      </c>
      <c r="B100" s="76">
        <v>108342</v>
      </c>
      <c r="C100" s="59" t="s">
        <v>465</v>
      </c>
      <c r="D100" s="77" t="s">
        <v>372</v>
      </c>
      <c r="E100" s="77" t="s">
        <v>371</v>
      </c>
      <c r="F100" s="76">
        <v>3588</v>
      </c>
      <c r="G100" s="59" t="s">
        <v>481</v>
      </c>
      <c r="H100" s="59">
        <v>9608</v>
      </c>
      <c r="I100" s="60">
        <v>7896112196082</v>
      </c>
      <c r="J100" s="59" t="s">
        <v>279</v>
      </c>
      <c r="K100" s="61" t="s">
        <v>34</v>
      </c>
      <c r="L100" s="66">
        <v>500</v>
      </c>
      <c r="M100" s="67">
        <v>8.76</v>
      </c>
      <c r="N100" s="67">
        <v>4380</v>
      </c>
      <c r="O100" s="67">
        <v>4380</v>
      </c>
      <c r="P100" s="59" t="s">
        <v>473</v>
      </c>
    </row>
    <row r="101" spans="1:16" x14ac:dyDescent="0.25">
      <c r="A101" s="76">
        <v>2694396</v>
      </c>
      <c r="B101" s="76">
        <v>108342</v>
      </c>
      <c r="C101" s="59" t="s">
        <v>465</v>
      </c>
      <c r="D101" s="77" t="s">
        <v>372</v>
      </c>
      <c r="E101" s="77" t="s">
        <v>371</v>
      </c>
      <c r="F101" s="76">
        <v>3588</v>
      </c>
      <c r="G101" s="59" t="s">
        <v>481</v>
      </c>
      <c r="H101" s="59">
        <v>4457</v>
      </c>
      <c r="I101" s="60">
        <v>7896112104575</v>
      </c>
      <c r="J101" s="59" t="s">
        <v>190</v>
      </c>
      <c r="K101" s="61" t="s">
        <v>34</v>
      </c>
      <c r="L101" s="66">
        <v>150</v>
      </c>
      <c r="M101" s="67">
        <v>4.42</v>
      </c>
      <c r="N101" s="67">
        <v>663</v>
      </c>
      <c r="O101" s="67">
        <v>663</v>
      </c>
      <c r="P101" s="59" t="s">
        <v>473</v>
      </c>
    </row>
    <row r="102" spans="1:16" x14ac:dyDescent="0.25">
      <c r="A102" s="76">
        <v>2692668</v>
      </c>
      <c r="B102" s="76">
        <v>108342</v>
      </c>
      <c r="C102" s="59" t="s">
        <v>465</v>
      </c>
      <c r="D102" s="77" t="s">
        <v>372</v>
      </c>
      <c r="E102" s="77" t="s">
        <v>368</v>
      </c>
      <c r="F102" s="76">
        <v>58575</v>
      </c>
      <c r="G102" s="59" t="s">
        <v>481</v>
      </c>
      <c r="H102" s="59">
        <v>2317</v>
      </c>
      <c r="I102" s="60">
        <v>7896112123170</v>
      </c>
      <c r="J102" s="59" t="s">
        <v>95</v>
      </c>
      <c r="K102" s="61" t="s">
        <v>34</v>
      </c>
      <c r="L102" s="66">
        <v>500</v>
      </c>
      <c r="M102" s="67">
        <v>2.8899999999999997</v>
      </c>
      <c r="N102" s="67">
        <v>1445</v>
      </c>
      <c r="O102" s="67">
        <v>1445</v>
      </c>
      <c r="P102" s="59" t="s">
        <v>472</v>
      </c>
    </row>
    <row r="103" spans="1:16" x14ac:dyDescent="0.25">
      <c r="A103" s="76">
        <v>2692998</v>
      </c>
      <c r="B103" s="76">
        <v>108342</v>
      </c>
      <c r="C103" s="59" t="s">
        <v>465</v>
      </c>
      <c r="D103" s="77" t="s">
        <v>372</v>
      </c>
      <c r="E103" s="77" t="s">
        <v>368</v>
      </c>
      <c r="F103" s="76">
        <v>58635</v>
      </c>
      <c r="G103" s="59" t="s">
        <v>481</v>
      </c>
      <c r="H103" s="59">
        <v>4285</v>
      </c>
      <c r="I103" s="60">
        <v>7896112102854</v>
      </c>
      <c r="J103" s="59" t="s">
        <v>168</v>
      </c>
      <c r="K103" s="61" t="s">
        <v>23</v>
      </c>
      <c r="L103" s="66">
        <v>240</v>
      </c>
      <c r="M103" s="67">
        <v>6.08</v>
      </c>
      <c r="N103" s="67">
        <v>1459.2</v>
      </c>
      <c r="O103" s="67">
        <v>1459.2</v>
      </c>
      <c r="P103" s="59" t="s">
        <v>473</v>
      </c>
    </row>
    <row r="104" spans="1:16" x14ac:dyDescent="0.25">
      <c r="A104" s="76">
        <v>2692998</v>
      </c>
      <c r="B104" s="76">
        <v>108342</v>
      </c>
      <c r="C104" s="59" t="s">
        <v>465</v>
      </c>
      <c r="D104" s="77" t="s">
        <v>372</v>
      </c>
      <c r="E104" s="77" t="s">
        <v>368</v>
      </c>
      <c r="F104" s="76">
        <v>58635</v>
      </c>
      <c r="G104" s="59" t="s">
        <v>481</v>
      </c>
      <c r="H104" s="59">
        <v>4244</v>
      </c>
      <c r="I104" s="60">
        <v>7896112102441</v>
      </c>
      <c r="J104" s="59" t="s">
        <v>164</v>
      </c>
      <c r="K104" s="61" t="s">
        <v>23</v>
      </c>
      <c r="L104" s="66">
        <v>2400</v>
      </c>
      <c r="M104" s="67">
        <v>9.0500000000000007</v>
      </c>
      <c r="N104" s="67">
        <v>21720</v>
      </c>
      <c r="O104" s="67">
        <v>21720</v>
      </c>
      <c r="P104" s="59" t="s">
        <v>473</v>
      </c>
    </row>
    <row r="105" spans="1:16" x14ac:dyDescent="0.25">
      <c r="A105" s="76">
        <v>2692998</v>
      </c>
      <c r="B105" s="76">
        <v>108342</v>
      </c>
      <c r="C105" s="59" t="s">
        <v>465</v>
      </c>
      <c r="D105" s="77" t="s">
        <v>372</v>
      </c>
      <c r="E105" s="77" t="s">
        <v>368</v>
      </c>
      <c r="F105" s="76">
        <v>58635</v>
      </c>
      <c r="G105" s="59" t="s">
        <v>481</v>
      </c>
      <c r="H105" s="59">
        <v>4375</v>
      </c>
      <c r="I105" s="60">
        <v>7896112103752</v>
      </c>
      <c r="J105" s="59" t="s">
        <v>175</v>
      </c>
      <c r="K105" s="61" t="s">
        <v>23</v>
      </c>
      <c r="L105" s="66">
        <v>60</v>
      </c>
      <c r="M105" s="67">
        <v>24.81</v>
      </c>
      <c r="N105" s="67">
        <v>1488.6</v>
      </c>
      <c r="O105" s="67">
        <v>1488.6</v>
      </c>
      <c r="P105" s="59" t="s">
        <v>473</v>
      </c>
    </row>
    <row r="106" spans="1:16" x14ac:dyDescent="0.25">
      <c r="A106" s="76">
        <v>2692998</v>
      </c>
      <c r="B106" s="76">
        <v>108342</v>
      </c>
      <c r="C106" s="59" t="s">
        <v>465</v>
      </c>
      <c r="D106" s="77" t="s">
        <v>372</v>
      </c>
      <c r="E106" s="77" t="s">
        <v>368</v>
      </c>
      <c r="F106" s="76">
        <v>58635</v>
      </c>
      <c r="G106" s="59" t="s">
        <v>481</v>
      </c>
      <c r="H106" s="59">
        <v>4380</v>
      </c>
      <c r="I106" s="60">
        <v>7896112103806</v>
      </c>
      <c r="J106" s="59" t="s">
        <v>177</v>
      </c>
      <c r="K106" s="61" t="s">
        <v>23</v>
      </c>
      <c r="L106" s="66">
        <v>240</v>
      </c>
      <c r="M106" s="67">
        <v>7.58</v>
      </c>
      <c r="N106" s="67">
        <v>1819.2</v>
      </c>
      <c r="O106" s="67">
        <v>1819.2</v>
      </c>
      <c r="P106" s="59" t="s">
        <v>473</v>
      </c>
    </row>
    <row r="107" spans="1:16" x14ac:dyDescent="0.25">
      <c r="A107" s="76">
        <v>2692995</v>
      </c>
      <c r="B107" s="76">
        <v>108342</v>
      </c>
      <c r="C107" s="59" t="s">
        <v>465</v>
      </c>
      <c r="D107" s="77" t="s">
        <v>372</v>
      </c>
      <c r="E107" s="77" t="s">
        <v>368</v>
      </c>
      <c r="F107" s="76">
        <v>58717</v>
      </c>
      <c r="G107" s="59" t="s">
        <v>482</v>
      </c>
      <c r="H107" s="59">
        <v>1748</v>
      </c>
      <c r="I107" s="60">
        <v>7896112117483</v>
      </c>
      <c r="J107" s="59" t="s">
        <v>464</v>
      </c>
      <c r="K107" s="61" t="s">
        <v>23</v>
      </c>
      <c r="L107" s="66">
        <v>1000</v>
      </c>
      <c r="M107" s="67">
        <v>3.1</v>
      </c>
      <c r="N107" s="67">
        <v>3100</v>
      </c>
      <c r="O107" s="67">
        <v>3100</v>
      </c>
      <c r="P107" s="59" t="s">
        <v>473</v>
      </c>
    </row>
    <row r="108" spans="1:16" x14ac:dyDescent="0.25">
      <c r="A108" s="76">
        <v>2692995</v>
      </c>
      <c r="B108" s="76">
        <v>108342</v>
      </c>
      <c r="C108" s="59" t="s">
        <v>465</v>
      </c>
      <c r="D108" s="77" t="s">
        <v>372</v>
      </c>
      <c r="E108" s="77" t="s">
        <v>368</v>
      </c>
      <c r="F108" s="76">
        <v>58717</v>
      </c>
      <c r="G108" s="59" t="s">
        <v>482</v>
      </c>
      <c r="H108" s="59">
        <v>4131</v>
      </c>
      <c r="I108" s="60">
        <v>7896112101314</v>
      </c>
      <c r="J108" s="59" t="s">
        <v>157</v>
      </c>
      <c r="K108" s="61" t="s">
        <v>23</v>
      </c>
      <c r="L108" s="66">
        <v>1064</v>
      </c>
      <c r="M108" s="67">
        <v>2.54</v>
      </c>
      <c r="N108" s="67">
        <v>2702.56</v>
      </c>
      <c r="O108" s="67">
        <v>2702.56</v>
      </c>
      <c r="P108" s="59" t="s">
        <v>473</v>
      </c>
    </row>
    <row r="109" spans="1:16" x14ac:dyDescent="0.25">
      <c r="A109" s="76">
        <v>2692995</v>
      </c>
      <c r="B109" s="76">
        <v>108342</v>
      </c>
      <c r="C109" s="59" t="s">
        <v>465</v>
      </c>
      <c r="D109" s="77" t="s">
        <v>372</v>
      </c>
      <c r="E109" s="77" t="s">
        <v>368</v>
      </c>
      <c r="F109" s="76">
        <v>58717</v>
      </c>
      <c r="G109" s="59" t="s">
        <v>482</v>
      </c>
      <c r="H109" s="59">
        <v>4706</v>
      </c>
      <c r="I109" s="60">
        <v>7896112107064</v>
      </c>
      <c r="J109" s="59" t="s">
        <v>201</v>
      </c>
      <c r="K109" s="61" t="s">
        <v>23</v>
      </c>
      <c r="L109" s="66">
        <v>400</v>
      </c>
      <c r="M109" s="67">
        <v>4.6100000000000003</v>
      </c>
      <c r="N109" s="67">
        <v>1844</v>
      </c>
      <c r="O109" s="67">
        <v>1844</v>
      </c>
      <c r="P109" s="59" t="s">
        <v>473</v>
      </c>
    </row>
    <row r="110" spans="1:16" x14ac:dyDescent="0.25">
      <c r="A110" s="76">
        <v>2692995</v>
      </c>
      <c r="B110" s="76">
        <v>108342</v>
      </c>
      <c r="C110" s="59" t="s">
        <v>465</v>
      </c>
      <c r="D110" s="77" t="s">
        <v>372</v>
      </c>
      <c r="E110" s="77" t="s">
        <v>368</v>
      </c>
      <c r="F110" s="76">
        <v>58717</v>
      </c>
      <c r="G110" s="59" t="s">
        <v>482</v>
      </c>
      <c r="H110" s="59">
        <v>1382</v>
      </c>
      <c r="I110" s="60">
        <v>7896112113829</v>
      </c>
      <c r="J110" s="59" t="s">
        <v>340</v>
      </c>
      <c r="K110" s="61" t="s">
        <v>23</v>
      </c>
      <c r="L110" s="66">
        <v>500</v>
      </c>
      <c r="M110" s="67">
        <v>5.9700000000000006</v>
      </c>
      <c r="N110" s="67">
        <v>2985</v>
      </c>
      <c r="O110" s="67">
        <v>2985</v>
      </c>
      <c r="P110" s="59" t="s">
        <v>473</v>
      </c>
    </row>
    <row r="111" spans="1:16" x14ac:dyDescent="0.25">
      <c r="A111" s="76">
        <v>2692988</v>
      </c>
      <c r="B111" s="76">
        <v>108342</v>
      </c>
      <c r="C111" s="59" t="s">
        <v>465</v>
      </c>
      <c r="D111" s="77" t="s">
        <v>372</v>
      </c>
      <c r="E111" s="77" t="s">
        <v>368</v>
      </c>
      <c r="F111" s="76">
        <v>58734</v>
      </c>
      <c r="G111" s="59" t="s">
        <v>482</v>
      </c>
      <c r="H111" s="59">
        <v>5548</v>
      </c>
      <c r="I111" s="60">
        <v>7896112155485</v>
      </c>
      <c r="J111" s="59" t="s">
        <v>347</v>
      </c>
      <c r="K111" s="61" t="s">
        <v>23</v>
      </c>
      <c r="L111" s="66">
        <v>800</v>
      </c>
      <c r="M111" s="67">
        <v>3.54</v>
      </c>
      <c r="N111" s="67">
        <v>2832</v>
      </c>
      <c r="O111" s="67">
        <v>2832</v>
      </c>
      <c r="P111" s="59" t="s">
        <v>473</v>
      </c>
    </row>
    <row r="112" spans="1:16" x14ac:dyDescent="0.25">
      <c r="A112" s="76">
        <v>2693519</v>
      </c>
      <c r="B112" s="76">
        <v>108342</v>
      </c>
      <c r="C112" s="59" t="s">
        <v>465</v>
      </c>
      <c r="D112" s="77" t="s">
        <v>372</v>
      </c>
      <c r="E112" s="77" t="s">
        <v>368</v>
      </c>
      <c r="F112" s="76">
        <v>58775</v>
      </c>
      <c r="G112" s="59" t="s">
        <v>482</v>
      </c>
      <c r="H112" s="59">
        <v>4458</v>
      </c>
      <c r="I112" s="60">
        <v>7896112104582</v>
      </c>
      <c r="J112" s="59" t="s">
        <v>191</v>
      </c>
      <c r="K112" s="61" t="s">
        <v>34</v>
      </c>
      <c r="L112" s="66">
        <v>2000</v>
      </c>
      <c r="M112" s="67">
        <v>1.03</v>
      </c>
      <c r="N112" s="67">
        <v>2060</v>
      </c>
      <c r="O112" s="67">
        <v>2060</v>
      </c>
      <c r="P112" s="59" t="s">
        <v>472</v>
      </c>
    </row>
    <row r="113" spans="1:16" x14ac:dyDescent="0.25">
      <c r="A113" s="76">
        <v>2692996</v>
      </c>
      <c r="B113" s="76">
        <v>108342</v>
      </c>
      <c r="C113" s="59" t="s">
        <v>465</v>
      </c>
      <c r="D113" s="77" t="s">
        <v>372</v>
      </c>
      <c r="E113" s="77" t="s">
        <v>368</v>
      </c>
      <c r="F113" s="76">
        <v>58792</v>
      </c>
      <c r="G113" s="59" t="s">
        <v>482</v>
      </c>
      <c r="H113" s="59">
        <v>6553</v>
      </c>
      <c r="I113" s="60">
        <v>7896112165538</v>
      </c>
      <c r="J113" s="59" t="s">
        <v>234</v>
      </c>
      <c r="K113" s="61" t="s">
        <v>23</v>
      </c>
      <c r="L113" s="66">
        <v>300</v>
      </c>
      <c r="M113" s="67">
        <v>24.41</v>
      </c>
      <c r="N113" s="67">
        <v>7323</v>
      </c>
      <c r="O113" s="67">
        <v>7894.19</v>
      </c>
      <c r="P113" s="59" t="s">
        <v>473</v>
      </c>
    </row>
    <row r="114" spans="1:16" x14ac:dyDescent="0.25">
      <c r="A114" s="76">
        <v>2692996</v>
      </c>
      <c r="B114" s="76">
        <v>108342</v>
      </c>
      <c r="C114" s="59" t="s">
        <v>465</v>
      </c>
      <c r="D114" s="77" t="s">
        <v>372</v>
      </c>
      <c r="E114" s="77" t="s">
        <v>368</v>
      </c>
      <c r="F114" s="76">
        <v>58792</v>
      </c>
      <c r="G114" s="59" t="s">
        <v>482</v>
      </c>
      <c r="H114" s="59">
        <v>9833</v>
      </c>
      <c r="I114" s="60">
        <v>7896112198338</v>
      </c>
      <c r="J114" s="59" t="s">
        <v>287</v>
      </c>
      <c r="K114" s="61" t="s">
        <v>23</v>
      </c>
      <c r="L114" s="66">
        <v>100</v>
      </c>
      <c r="M114" s="67">
        <v>17.53</v>
      </c>
      <c r="N114" s="67">
        <v>1753</v>
      </c>
      <c r="O114" s="67">
        <v>1753</v>
      </c>
      <c r="P114" s="59" t="s">
        <v>473</v>
      </c>
    </row>
    <row r="115" spans="1:16" x14ac:dyDescent="0.25">
      <c r="A115" s="76">
        <v>2692996</v>
      </c>
      <c r="B115" s="76">
        <v>108342</v>
      </c>
      <c r="C115" s="59" t="s">
        <v>465</v>
      </c>
      <c r="D115" s="77" t="s">
        <v>372</v>
      </c>
      <c r="E115" s="77" t="s">
        <v>368</v>
      </c>
      <c r="F115" s="76">
        <v>58792</v>
      </c>
      <c r="G115" s="59" t="s">
        <v>482</v>
      </c>
      <c r="H115" s="59">
        <v>1769</v>
      </c>
      <c r="I115" s="60">
        <v>7896112117698</v>
      </c>
      <c r="J115" s="59" t="s">
        <v>70</v>
      </c>
      <c r="K115" s="61" t="s">
        <v>23</v>
      </c>
      <c r="L115" s="66">
        <v>200</v>
      </c>
      <c r="M115" s="67">
        <v>10.220000000000001</v>
      </c>
      <c r="N115" s="67">
        <v>2044</v>
      </c>
      <c r="O115" s="67">
        <v>2044</v>
      </c>
      <c r="P115" s="59" t="s">
        <v>473</v>
      </c>
    </row>
    <row r="116" spans="1:16" x14ac:dyDescent="0.25">
      <c r="A116" s="76">
        <v>2693467</v>
      </c>
      <c r="B116" s="76">
        <v>108342</v>
      </c>
      <c r="C116" s="59" t="s">
        <v>465</v>
      </c>
      <c r="D116" s="77" t="s">
        <v>372</v>
      </c>
      <c r="E116" s="77" t="s">
        <v>368</v>
      </c>
      <c r="F116" s="76">
        <v>58805</v>
      </c>
      <c r="G116" s="59" t="s">
        <v>482</v>
      </c>
      <c r="H116" s="59">
        <v>1383</v>
      </c>
      <c r="I116" s="60">
        <v>7896112113836</v>
      </c>
      <c r="J116" s="59" t="s">
        <v>338</v>
      </c>
      <c r="K116" s="61" t="s">
        <v>23</v>
      </c>
      <c r="L116" s="66">
        <v>1800</v>
      </c>
      <c r="M116" s="67">
        <v>5.96</v>
      </c>
      <c r="N116" s="67">
        <v>10728</v>
      </c>
      <c r="O116" s="67">
        <v>10728</v>
      </c>
      <c r="P116" s="59" t="s">
        <v>476</v>
      </c>
    </row>
    <row r="117" spans="1:16" x14ac:dyDescent="0.25">
      <c r="A117" s="76">
        <v>2693467</v>
      </c>
      <c r="B117" s="76">
        <v>108342</v>
      </c>
      <c r="C117" s="59" t="s">
        <v>465</v>
      </c>
      <c r="D117" s="77" t="s">
        <v>372</v>
      </c>
      <c r="E117" s="77" t="s">
        <v>368</v>
      </c>
      <c r="F117" s="76">
        <v>58805</v>
      </c>
      <c r="G117" s="59" t="s">
        <v>482</v>
      </c>
      <c r="H117" s="59">
        <v>3515</v>
      </c>
      <c r="I117" s="60">
        <v>7896112135159</v>
      </c>
      <c r="J117" s="59" t="s">
        <v>339</v>
      </c>
      <c r="K117" s="61" t="s">
        <v>23</v>
      </c>
      <c r="L117" s="66">
        <v>1400</v>
      </c>
      <c r="M117" s="67">
        <v>8.92</v>
      </c>
      <c r="N117" s="67">
        <v>12488</v>
      </c>
      <c r="O117" s="67">
        <v>12488</v>
      </c>
      <c r="P117" s="59" t="s">
        <v>476</v>
      </c>
    </row>
    <row r="118" spans="1:16" x14ac:dyDescent="0.25">
      <c r="A118" s="76">
        <v>2692997</v>
      </c>
      <c r="B118" s="76">
        <v>108342</v>
      </c>
      <c r="C118" s="59" t="s">
        <v>465</v>
      </c>
      <c r="D118" s="77" t="s">
        <v>372</v>
      </c>
      <c r="E118" s="77" t="s">
        <v>368</v>
      </c>
      <c r="F118" s="76">
        <v>58843</v>
      </c>
      <c r="G118" s="59" t="s">
        <v>483</v>
      </c>
      <c r="H118" s="59">
        <v>4436</v>
      </c>
      <c r="I118" s="60">
        <v>7896112104360</v>
      </c>
      <c r="J118" s="59" t="s">
        <v>186</v>
      </c>
      <c r="K118" s="61" t="s">
        <v>34</v>
      </c>
      <c r="L118" s="66">
        <v>400</v>
      </c>
      <c r="M118" s="67">
        <v>5.35</v>
      </c>
      <c r="N118" s="67">
        <v>2140</v>
      </c>
      <c r="O118" s="67">
        <v>2140</v>
      </c>
      <c r="P118" s="59" t="s">
        <v>473</v>
      </c>
    </row>
    <row r="119" spans="1:16" x14ac:dyDescent="0.25">
      <c r="A119" s="76">
        <v>2693478</v>
      </c>
      <c r="B119" s="76">
        <v>108342</v>
      </c>
      <c r="C119" s="59" t="s">
        <v>465</v>
      </c>
      <c r="D119" s="77" t="s">
        <v>372</v>
      </c>
      <c r="E119" s="77" t="s">
        <v>368</v>
      </c>
      <c r="F119" s="76">
        <v>58856</v>
      </c>
      <c r="G119" s="59" t="s">
        <v>483</v>
      </c>
      <c r="H119" s="59">
        <v>4642</v>
      </c>
      <c r="I119" s="60">
        <v>7896112106425</v>
      </c>
      <c r="J119" s="59" t="s">
        <v>199</v>
      </c>
      <c r="K119" s="61" t="s">
        <v>34</v>
      </c>
      <c r="L119" s="66">
        <v>1500</v>
      </c>
      <c r="M119" s="67">
        <v>5.7</v>
      </c>
      <c r="N119" s="67">
        <v>8550</v>
      </c>
      <c r="O119" s="67">
        <v>8550</v>
      </c>
      <c r="P119" s="59" t="s">
        <v>472</v>
      </c>
    </row>
    <row r="120" spans="1:16" x14ac:dyDescent="0.25">
      <c r="A120" s="76">
        <v>2694390</v>
      </c>
      <c r="B120" s="76">
        <v>108342</v>
      </c>
      <c r="C120" s="59" t="s">
        <v>465</v>
      </c>
      <c r="D120" s="77" t="s">
        <v>372</v>
      </c>
      <c r="E120" s="77" t="s">
        <v>371</v>
      </c>
      <c r="F120" s="76">
        <v>3635</v>
      </c>
      <c r="G120" s="59" t="s">
        <v>483</v>
      </c>
      <c r="H120" s="59">
        <v>9192</v>
      </c>
      <c r="I120" s="60">
        <v>7896112191926</v>
      </c>
      <c r="J120" s="59" t="s">
        <v>272</v>
      </c>
      <c r="K120" s="61" t="s">
        <v>23</v>
      </c>
      <c r="L120" s="66">
        <v>200</v>
      </c>
      <c r="M120" s="67">
        <v>5.46</v>
      </c>
      <c r="N120" s="67">
        <v>1092</v>
      </c>
      <c r="O120" s="67">
        <v>1092</v>
      </c>
      <c r="P120" s="59" t="s">
        <v>473</v>
      </c>
    </row>
    <row r="121" spans="1:16" x14ac:dyDescent="0.25">
      <c r="A121" s="76">
        <v>2694390</v>
      </c>
      <c r="B121" s="76">
        <v>108342</v>
      </c>
      <c r="C121" s="59" t="s">
        <v>465</v>
      </c>
      <c r="D121" s="77" t="s">
        <v>372</v>
      </c>
      <c r="E121" s="77" t="s">
        <v>371</v>
      </c>
      <c r="F121" s="76">
        <v>3635</v>
      </c>
      <c r="G121" s="59" t="s">
        <v>483</v>
      </c>
      <c r="H121" s="59">
        <v>52</v>
      </c>
      <c r="I121" s="60">
        <v>7896112140528</v>
      </c>
      <c r="J121" s="59" t="s">
        <v>24</v>
      </c>
      <c r="K121" s="61" t="s">
        <v>23</v>
      </c>
      <c r="L121" s="66">
        <v>400</v>
      </c>
      <c r="M121" s="67">
        <v>2.84</v>
      </c>
      <c r="N121" s="67">
        <v>1136</v>
      </c>
      <c r="O121" s="67">
        <v>1136</v>
      </c>
      <c r="P121" s="59" t="s">
        <v>473</v>
      </c>
    </row>
    <row r="122" spans="1:16" x14ac:dyDescent="0.25">
      <c r="A122" s="76">
        <v>2695061</v>
      </c>
      <c r="B122" s="76">
        <v>108342</v>
      </c>
      <c r="C122" s="59" t="s">
        <v>465</v>
      </c>
      <c r="D122" s="77" t="s">
        <v>372</v>
      </c>
      <c r="E122" s="77" t="s">
        <v>371</v>
      </c>
      <c r="F122" s="76">
        <v>3659</v>
      </c>
      <c r="G122" s="59" t="s">
        <v>483</v>
      </c>
      <c r="H122" s="59">
        <v>4458</v>
      </c>
      <c r="I122" s="60">
        <v>7896112104582</v>
      </c>
      <c r="J122" s="59" t="s">
        <v>191</v>
      </c>
      <c r="K122" s="61" t="s">
        <v>34</v>
      </c>
      <c r="L122" s="66">
        <v>2000</v>
      </c>
      <c r="M122" s="67">
        <v>1.0699999999999998</v>
      </c>
      <c r="N122" s="67">
        <v>2140</v>
      </c>
      <c r="O122" s="67">
        <v>2140</v>
      </c>
      <c r="P122" s="59" t="s">
        <v>473</v>
      </c>
    </row>
    <row r="123" spans="1:16" x14ac:dyDescent="0.25">
      <c r="A123" s="76">
        <v>2695062</v>
      </c>
      <c r="B123" s="76">
        <v>108342</v>
      </c>
      <c r="C123" s="59" t="s">
        <v>465</v>
      </c>
      <c r="D123" s="77" t="s">
        <v>372</v>
      </c>
      <c r="E123" s="77" t="s">
        <v>371</v>
      </c>
      <c r="F123" s="76">
        <v>3660</v>
      </c>
      <c r="G123" s="59" t="s">
        <v>483</v>
      </c>
      <c r="H123" s="59">
        <v>2317</v>
      </c>
      <c r="I123" s="60">
        <v>7896112123170</v>
      </c>
      <c r="J123" s="59" t="s">
        <v>95</v>
      </c>
      <c r="K123" s="61" t="s">
        <v>34</v>
      </c>
      <c r="L123" s="66">
        <v>400</v>
      </c>
      <c r="M123" s="67">
        <v>3.04</v>
      </c>
      <c r="N123" s="67">
        <v>1216</v>
      </c>
      <c r="O123" s="67">
        <v>1216</v>
      </c>
      <c r="P123" s="59" t="s">
        <v>473</v>
      </c>
    </row>
    <row r="124" spans="1:16" x14ac:dyDescent="0.25">
      <c r="A124" s="76">
        <v>2695058</v>
      </c>
      <c r="B124" s="76">
        <v>108342</v>
      </c>
      <c r="C124" s="59" t="s">
        <v>465</v>
      </c>
      <c r="D124" s="77" t="s">
        <v>372</v>
      </c>
      <c r="E124" s="77" t="s">
        <v>371</v>
      </c>
      <c r="F124" s="76">
        <v>3687</v>
      </c>
      <c r="G124" s="59" t="s">
        <v>483</v>
      </c>
      <c r="H124" s="59">
        <v>2442</v>
      </c>
      <c r="I124" s="60">
        <v>7896112124429</v>
      </c>
      <c r="J124" s="59" t="s">
        <v>98</v>
      </c>
      <c r="K124" s="61" t="s">
        <v>34</v>
      </c>
      <c r="L124" s="66">
        <v>2000</v>
      </c>
      <c r="M124" s="67">
        <v>1.7100000000000002</v>
      </c>
      <c r="N124" s="67">
        <v>3420</v>
      </c>
      <c r="O124" s="67">
        <v>3420</v>
      </c>
      <c r="P124" s="59" t="s">
        <v>473</v>
      </c>
    </row>
    <row r="125" spans="1:16" x14ac:dyDescent="0.25">
      <c r="A125" s="76">
        <v>2694714</v>
      </c>
      <c r="B125" s="76">
        <v>108342</v>
      </c>
      <c r="C125" s="59" t="s">
        <v>465</v>
      </c>
      <c r="D125" s="77" t="s">
        <v>372</v>
      </c>
      <c r="E125" s="77" t="s">
        <v>368</v>
      </c>
      <c r="F125" s="76">
        <v>58960</v>
      </c>
      <c r="G125" s="59" t="s">
        <v>483</v>
      </c>
      <c r="H125" s="59">
        <v>4796</v>
      </c>
      <c r="I125" s="60">
        <v>7896112107965</v>
      </c>
      <c r="J125" s="59" t="s">
        <v>206</v>
      </c>
      <c r="K125" s="61" t="s">
        <v>23</v>
      </c>
      <c r="L125" s="66">
        <v>1200</v>
      </c>
      <c r="M125" s="67">
        <v>5.71</v>
      </c>
      <c r="N125" s="67">
        <v>6852</v>
      </c>
      <c r="O125" s="67">
        <v>6852</v>
      </c>
      <c r="P125" s="59" t="s">
        <v>467</v>
      </c>
    </row>
    <row r="126" spans="1:16" x14ac:dyDescent="0.25">
      <c r="A126" s="76">
        <v>2694717</v>
      </c>
      <c r="B126" s="76">
        <v>108342</v>
      </c>
      <c r="C126" s="59" t="s">
        <v>465</v>
      </c>
      <c r="D126" s="77" t="s">
        <v>372</v>
      </c>
      <c r="E126" s="77" t="s">
        <v>368</v>
      </c>
      <c r="F126" s="76">
        <v>58961</v>
      </c>
      <c r="G126" s="59" t="s">
        <v>483</v>
      </c>
      <c r="H126" s="59">
        <v>4796</v>
      </c>
      <c r="I126" s="60">
        <v>7896112107965</v>
      </c>
      <c r="J126" s="59" t="s">
        <v>206</v>
      </c>
      <c r="K126" s="61" t="s">
        <v>23</v>
      </c>
      <c r="L126" s="66">
        <v>1200</v>
      </c>
      <c r="M126" s="67">
        <v>5.71</v>
      </c>
      <c r="N126" s="67">
        <v>6852</v>
      </c>
      <c r="O126" s="67">
        <v>6852</v>
      </c>
      <c r="P126" s="59" t="s">
        <v>472</v>
      </c>
    </row>
    <row r="127" spans="1:16" x14ac:dyDescent="0.25">
      <c r="A127" s="76">
        <v>2694715</v>
      </c>
      <c r="B127" s="76">
        <v>108342</v>
      </c>
      <c r="C127" s="59" t="s">
        <v>465</v>
      </c>
      <c r="D127" s="77" t="s">
        <v>372</v>
      </c>
      <c r="E127" s="77" t="s">
        <v>368</v>
      </c>
      <c r="F127" s="76">
        <v>58971</v>
      </c>
      <c r="G127" s="59" t="s">
        <v>483</v>
      </c>
      <c r="H127" s="59">
        <v>2805</v>
      </c>
      <c r="I127" s="60">
        <v>7896112128052</v>
      </c>
      <c r="J127" s="59" t="s">
        <v>124</v>
      </c>
      <c r="K127" s="61" t="s">
        <v>34</v>
      </c>
      <c r="L127" s="66">
        <v>2000</v>
      </c>
      <c r="M127" s="67">
        <v>9.17</v>
      </c>
      <c r="N127" s="67">
        <v>18340</v>
      </c>
      <c r="O127" s="67">
        <v>18340</v>
      </c>
      <c r="P127" s="59" t="s">
        <v>472</v>
      </c>
    </row>
    <row r="128" spans="1:16" x14ac:dyDescent="0.25">
      <c r="A128" s="76">
        <v>2694712</v>
      </c>
      <c r="B128" s="76">
        <v>108342</v>
      </c>
      <c r="C128" s="59" t="s">
        <v>465</v>
      </c>
      <c r="D128" s="77" t="s">
        <v>372</v>
      </c>
      <c r="E128" s="77" t="s">
        <v>368</v>
      </c>
      <c r="F128" s="76">
        <v>58978</v>
      </c>
      <c r="G128" s="59" t="s">
        <v>483</v>
      </c>
      <c r="H128" s="59">
        <v>2805</v>
      </c>
      <c r="I128" s="60">
        <v>7896112128052</v>
      </c>
      <c r="J128" s="59" t="s">
        <v>124</v>
      </c>
      <c r="K128" s="61" t="s">
        <v>34</v>
      </c>
      <c r="L128" s="66">
        <v>500</v>
      </c>
      <c r="M128" s="67">
        <v>9.17</v>
      </c>
      <c r="N128" s="67">
        <v>4585</v>
      </c>
      <c r="O128" s="67">
        <v>4585</v>
      </c>
      <c r="P128" s="59" t="s">
        <v>467</v>
      </c>
    </row>
    <row r="129" spans="1:16" x14ac:dyDescent="0.25">
      <c r="A129" s="76">
        <v>2695005</v>
      </c>
      <c r="B129" s="76">
        <v>108342</v>
      </c>
      <c r="C129" s="59" t="s">
        <v>465</v>
      </c>
      <c r="D129" s="77" t="s">
        <v>372</v>
      </c>
      <c r="E129" s="77" t="s">
        <v>368</v>
      </c>
      <c r="F129" s="76">
        <v>59031</v>
      </c>
      <c r="G129" s="59" t="s">
        <v>485</v>
      </c>
      <c r="H129" s="59">
        <v>9721</v>
      </c>
      <c r="I129" s="60">
        <v>7896112197218</v>
      </c>
      <c r="J129" s="59" t="s">
        <v>283</v>
      </c>
      <c r="K129" s="61" t="s">
        <v>23</v>
      </c>
      <c r="L129" s="66">
        <v>500</v>
      </c>
      <c r="M129" s="67">
        <v>3.8</v>
      </c>
      <c r="N129" s="67">
        <v>1900</v>
      </c>
      <c r="O129" s="67">
        <v>1900</v>
      </c>
      <c r="P129" s="59" t="s">
        <v>472</v>
      </c>
    </row>
    <row r="130" spans="1:16" x14ac:dyDescent="0.25">
      <c r="A130" s="76">
        <v>2695635</v>
      </c>
      <c r="B130" s="76">
        <v>108342</v>
      </c>
      <c r="C130" s="59" t="s">
        <v>465</v>
      </c>
      <c r="D130" s="77" t="s">
        <v>372</v>
      </c>
      <c r="E130" s="77" t="s">
        <v>371</v>
      </c>
      <c r="F130" s="76">
        <v>3744</v>
      </c>
      <c r="G130" s="59" t="s">
        <v>485</v>
      </c>
      <c r="H130" s="59">
        <v>2583</v>
      </c>
      <c r="I130" s="60">
        <v>7896112125839</v>
      </c>
      <c r="J130" s="59" t="s">
        <v>106</v>
      </c>
      <c r="K130" s="61" t="s">
        <v>23</v>
      </c>
      <c r="L130" s="66">
        <v>240</v>
      </c>
      <c r="M130" s="67">
        <v>20.509999999999998</v>
      </c>
      <c r="N130" s="67">
        <v>4922.3999999999996</v>
      </c>
      <c r="O130" s="67">
        <v>4922.3999999999996</v>
      </c>
      <c r="P130" s="59" t="s">
        <v>473</v>
      </c>
    </row>
    <row r="131" spans="1:16" x14ac:dyDescent="0.25">
      <c r="A131" s="76">
        <v>2694729</v>
      </c>
      <c r="B131" s="76">
        <v>108342</v>
      </c>
      <c r="C131" s="59" t="s">
        <v>465</v>
      </c>
      <c r="D131" s="77" t="s">
        <v>372</v>
      </c>
      <c r="E131" s="77" t="s">
        <v>368</v>
      </c>
      <c r="F131" s="76">
        <v>59284</v>
      </c>
      <c r="G131" s="59" t="s">
        <v>485</v>
      </c>
      <c r="H131" s="59">
        <v>4270</v>
      </c>
      <c r="I131" s="60">
        <v>7896112102700</v>
      </c>
      <c r="J131" s="59" t="s">
        <v>167</v>
      </c>
      <c r="K131" s="61" t="s">
        <v>34</v>
      </c>
      <c r="L131" s="66">
        <v>325</v>
      </c>
      <c r="M131" s="67">
        <v>5.59</v>
      </c>
      <c r="N131" s="67">
        <v>1816.75</v>
      </c>
      <c r="O131" s="67">
        <v>1816.75</v>
      </c>
      <c r="P131" s="59" t="s">
        <v>472</v>
      </c>
    </row>
    <row r="132" spans="1:16" x14ac:dyDescent="0.25">
      <c r="A132" s="76">
        <v>2695188</v>
      </c>
      <c r="B132" s="76">
        <v>108342</v>
      </c>
      <c r="C132" s="59" t="s">
        <v>465</v>
      </c>
      <c r="D132" s="77" t="s">
        <v>372</v>
      </c>
      <c r="E132" s="77" t="s">
        <v>368</v>
      </c>
      <c r="F132" s="76">
        <v>59390</v>
      </c>
      <c r="G132" s="59" t="s">
        <v>485</v>
      </c>
      <c r="H132" s="59">
        <v>9182</v>
      </c>
      <c r="I132" s="60">
        <v>7896112191827</v>
      </c>
      <c r="J132" s="59" t="s">
        <v>270</v>
      </c>
      <c r="K132" s="61" t="s">
        <v>34</v>
      </c>
      <c r="L132" s="66">
        <v>500</v>
      </c>
      <c r="M132" s="67">
        <v>7.65</v>
      </c>
      <c r="N132" s="67">
        <v>3825</v>
      </c>
      <c r="O132" s="67">
        <v>3825</v>
      </c>
      <c r="P132" s="59" t="s">
        <v>467</v>
      </c>
    </row>
    <row r="133" spans="1:16" x14ac:dyDescent="0.25">
      <c r="A133" s="76">
        <v>2695207</v>
      </c>
      <c r="B133" s="76">
        <v>108342</v>
      </c>
      <c r="C133" s="59" t="s">
        <v>465</v>
      </c>
      <c r="D133" s="77" t="s">
        <v>372</v>
      </c>
      <c r="E133" s="77" t="s">
        <v>368</v>
      </c>
      <c r="F133" s="76">
        <v>59392</v>
      </c>
      <c r="G133" s="59" t="s">
        <v>485</v>
      </c>
      <c r="H133" s="59">
        <v>9182</v>
      </c>
      <c r="I133" s="60">
        <v>7896112191827</v>
      </c>
      <c r="J133" s="59" t="s">
        <v>270</v>
      </c>
      <c r="K133" s="61" t="s">
        <v>34</v>
      </c>
      <c r="L133" s="66">
        <v>600</v>
      </c>
      <c r="M133" s="67">
        <v>7.65</v>
      </c>
      <c r="N133" s="67">
        <v>4590</v>
      </c>
      <c r="O133" s="67">
        <v>4590</v>
      </c>
      <c r="P133" s="59" t="s">
        <v>472</v>
      </c>
    </row>
    <row r="134" spans="1:16" x14ac:dyDescent="0.25">
      <c r="A134" s="76">
        <v>2695869</v>
      </c>
      <c r="B134" s="76">
        <v>108342</v>
      </c>
      <c r="C134" s="59" t="s">
        <v>465</v>
      </c>
      <c r="D134" s="77" t="s">
        <v>372</v>
      </c>
      <c r="E134" s="77" t="s">
        <v>371</v>
      </c>
      <c r="F134" s="76">
        <v>3846</v>
      </c>
      <c r="G134" s="59" t="s">
        <v>486</v>
      </c>
      <c r="H134" s="59">
        <v>6340</v>
      </c>
      <c r="I134" s="60">
        <v>7896112163404</v>
      </c>
      <c r="J134" s="59" t="s">
        <v>233</v>
      </c>
      <c r="K134" s="61" t="s">
        <v>34</v>
      </c>
      <c r="L134" s="66">
        <v>40</v>
      </c>
      <c r="M134" s="67">
        <v>37.5</v>
      </c>
      <c r="N134" s="67">
        <v>1500</v>
      </c>
      <c r="O134" s="67">
        <v>1500</v>
      </c>
      <c r="P134" s="59" t="s">
        <v>473</v>
      </c>
    </row>
    <row r="135" spans="1:16" x14ac:dyDescent="0.25">
      <c r="A135" s="76">
        <v>2695872</v>
      </c>
      <c r="B135" s="76">
        <v>108342</v>
      </c>
      <c r="C135" s="59" t="s">
        <v>465</v>
      </c>
      <c r="D135" s="77" t="s">
        <v>372</v>
      </c>
      <c r="E135" s="77" t="s">
        <v>371</v>
      </c>
      <c r="F135" s="76">
        <v>3876</v>
      </c>
      <c r="G135" s="59" t="s">
        <v>486</v>
      </c>
      <c r="H135" s="59">
        <v>2891</v>
      </c>
      <c r="I135" s="60">
        <v>7896112128915</v>
      </c>
      <c r="J135" s="59" t="s">
        <v>128</v>
      </c>
      <c r="K135" s="61" t="s">
        <v>23</v>
      </c>
      <c r="L135" s="66">
        <v>400</v>
      </c>
      <c r="M135" s="67">
        <v>5.75</v>
      </c>
      <c r="N135" s="67">
        <v>2300</v>
      </c>
      <c r="O135" s="67">
        <v>2300</v>
      </c>
      <c r="P135" s="59" t="s">
        <v>473</v>
      </c>
    </row>
    <row r="136" spans="1:16" x14ac:dyDescent="0.25">
      <c r="A136" s="76">
        <v>2695194</v>
      </c>
      <c r="B136" s="76">
        <v>108342</v>
      </c>
      <c r="C136" s="59" t="s">
        <v>465</v>
      </c>
      <c r="D136" s="77" t="s">
        <v>372</v>
      </c>
      <c r="E136" s="77" t="s">
        <v>368</v>
      </c>
      <c r="F136" s="76">
        <v>59800</v>
      </c>
      <c r="G136" s="59" t="s">
        <v>486</v>
      </c>
      <c r="H136" s="59">
        <v>8061</v>
      </c>
      <c r="I136" s="60">
        <v>7896112180616</v>
      </c>
      <c r="J136" s="59" t="s">
        <v>257</v>
      </c>
      <c r="K136" s="61" t="s">
        <v>23</v>
      </c>
      <c r="L136" s="66">
        <v>540</v>
      </c>
      <c r="M136" s="67">
        <v>6.6099999999999994</v>
      </c>
      <c r="N136" s="67">
        <v>3569.4</v>
      </c>
      <c r="O136" s="67">
        <v>3569.4</v>
      </c>
      <c r="P136" s="59" t="s">
        <v>467</v>
      </c>
    </row>
    <row r="137" spans="1:16" x14ac:dyDescent="0.25">
      <c r="A137" s="76">
        <v>2695195</v>
      </c>
      <c r="B137" s="76">
        <v>108342</v>
      </c>
      <c r="C137" s="59" t="s">
        <v>465</v>
      </c>
      <c r="D137" s="77" t="s">
        <v>372</v>
      </c>
      <c r="E137" s="77" t="s">
        <v>368</v>
      </c>
      <c r="F137" s="76">
        <v>59801</v>
      </c>
      <c r="G137" s="59" t="s">
        <v>486</v>
      </c>
      <c r="H137" s="59">
        <v>2876</v>
      </c>
      <c r="I137" s="60">
        <v>7896112128762</v>
      </c>
      <c r="J137" s="59" t="s">
        <v>125</v>
      </c>
      <c r="K137" s="61" t="s">
        <v>34</v>
      </c>
      <c r="L137" s="66">
        <v>300</v>
      </c>
      <c r="M137" s="67">
        <v>5.43</v>
      </c>
      <c r="N137" s="67">
        <v>1629</v>
      </c>
      <c r="O137" s="67">
        <v>1629</v>
      </c>
      <c r="P137" s="59" t="s">
        <v>472</v>
      </c>
    </row>
    <row r="138" spans="1:16" x14ac:dyDescent="0.25">
      <c r="A138" s="76">
        <v>2696356</v>
      </c>
      <c r="B138" s="76">
        <v>108342</v>
      </c>
      <c r="C138" s="59" t="s">
        <v>465</v>
      </c>
      <c r="D138" s="77" t="s">
        <v>372</v>
      </c>
      <c r="E138" s="77" t="s">
        <v>368</v>
      </c>
      <c r="F138" s="76">
        <v>60457</v>
      </c>
      <c r="G138" s="59" t="s">
        <v>487</v>
      </c>
      <c r="H138" s="59">
        <v>8061</v>
      </c>
      <c r="I138" s="60">
        <v>7896112180616</v>
      </c>
      <c r="J138" s="59" t="s">
        <v>257</v>
      </c>
      <c r="K138" s="61" t="s">
        <v>23</v>
      </c>
      <c r="L138" s="66">
        <v>900</v>
      </c>
      <c r="M138" s="67">
        <v>6.6099999999999994</v>
      </c>
      <c r="N138" s="67">
        <v>5949</v>
      </c>
      <c r="O138" s="67">
        <v>5949</v>
      </c>
      <c r="P138" s="59" t="s">
        <v>472</v>
      </c>
    </row>
    <row r="139" spans="1:16" x14ac:dyDescent="0.25">
      <c r="A139" s="76">
        <v>2696356</v>
      </c>
      <c r="B139" s="76">
        <v>108342</v>
      </c>
      <c r="C139" s="59" t="s">
        <v>465</v>
      </c>
      <c r="D139" s="77" t="s">
        <v>372</v>
      </c>
      <c r="E139" s="77" t="s">
        <v>368</v>
      </c>
      <c r="F139" s="76">
        <v>60457</v>
      </c>
      <c r="G139" s="59" t="s">
        <v>487</v>
      </c>
      <c r="H139" s="59">
        <v>4427</v>
      </c>
      <c r="I139" s="60">
        <v>7896112104278</v>
      </c>
      <c r="J139" s="59" t="s">
        <v>185</v>
      </c>
      <c r="K139" s="61" t="s">
        <v>23</v>
      </c>
      <c r="L139" s="66">
        <v>1200</v>
      </c>
      <c r="M139" s="67">
        <v>5.68</v>
      </c>
      <c r="N139" s="67">
        <v>6816</v>
      </c>
      <c r="O139" s="67">
        <v>6816</v>
      </c>
      <c r="P139" s="59" t="s">
        <v>472</v>
      </c>
    </row>
    <row r="140" spans="1:16" x14ac:dyDescent="0.25">
      <c r="A140" s="76">
        <v>2696356</v>
      </c>
      <c r="B140" s="76">
        <v>108342</v>
      </c>
      <c r="C140" s="59" t="s">
        <v>465</v>
      </c>
      <c r="D140" s="77" t="s">
        <v>372</v>
      </c>
      <c r="E140" s="77" t="s">
        <v>368</v>
      </c>
      <c r="F140" s="76">
        <v>60457</v>
      </c>
      <c r="G140" s="59" t="s">
        <v>487</v>
      </c>
      <c r="H140" s="59">
        <v>9192</v>
      </c>
      <c r="I140" s="60">
        <v>7896112191926</v>
      </c>
      <c r="J140" s="59" t="s">
        <v>272</v>
      </c>
      <c r="K140" s="61" t="s">
        <v>23</v>
      </c>
      <c r="L140" s="66">
        <v>250</v>
      </c>
      <c r="M140" s="67">
        <v>5.2</v>
      </c>
      <c r="N140" s="67">
        <v>1300</v>
      </c>
      <c r="O140" s="67">
        <v>1300</v>
      </c>
      <c r="P140" s="59" t="s">
        <v>472</v>
      </c>
    </row>
    <row r="141" spans="1:16" x14ac:dyDescent="0.25">
      <c r="A141" s="76">
        <v>2696359</v>
      </c>
      <c r="B141" s="76">
        <v>108342</v>
      </c>
      <c r="C141" s="59" t="s">
        <v>465</v>
      </c>
      <c r="D141" s="77" t="s">
        <v>372</v>
      </c>
      <c r="E141" s="77" t="s">
        <v>368</v>
      </c>
      <c r="F141" s="76">
        <v>60559</v>
      </c>
      <c r="G141" s="59" t="s">
        <v>487</v>
      </c>
      <c r="H141" s="59">
        <v>8061</v>
      </c>
      <c r="I141" s="60">
        <v>7896112180616</v>
      </c>
      <c r="J141" s="59" t="s">
        <v>257</v>
      </c>
      <c r="K141" s="61" t="s">
        <v>23</v>
      </c>
      <c r="L141" s="66">
        <v>360</v>
      </c>
      <c r="M141" s="67">
        <v>6.6099999999999994</v>
      </c>
      <c r="N141" s="67">
        <v>2379.6</v>
      </c>
      <c r="O141" s="67">
        <v>2379.6</v>
      </c>
      <c r="P141" s="59" t="s">
        <v>467</v>
      </c>
    </row>
    <row r="142" spans="1:16" x14ac:dyDescent="0.25">
      <c r="A142" s="76">
        <v>2696359</v>
      </c>
      <c r="B142" s="76">
        <v>108342</v>
      </c>
      <c r="C142" s="59" t="s">
        <v>465</v>
      </c>
      <c r="D142" s="77" t="s">
        <v>372</v>
      </c>
      <c r="E142" s="77" t="s">
        <v>368</v>
      </c>
      <c r="F142" s="76">
        <v>60559</v>
      </c>
      <c r="G142" s="59" t="s">
        <v>487</v>
      </c>
      <c r="H142" s="59">
        <v>4427</v>
      </c>
      <c r="I142" s="60">
        <v>7896112104278</v>
      </c>
      <c r="J142" s="59" t="s">
        <v>185</v>
      </c>
      <c r="K142" s="61" t="s">
        <v>23</v>
      </c>
      <c r="L142" s="66">
        <v>600</v>
      </c>
      <c r="M142" s="67">
        <v>5.68</v>
      </c>
      <c r="N142" s="67">
        <v>3408</v>
      </c>
      <c r="O142" s="67">
        <v>3408</v>
      </c>
      <c r="P142" s="59" t="s">
        <v>467</v>
      </c>
    </row>
    <row r="143" spans="1:16" x14ac:dyDescent="0.25">
      <c r="A143" s="76">
        <v>2697221</v>
      </c>
      <c r="B143" s="76">
        <v>108342</v>
      </c>
      <c r="C143" s="59" t="s">
        <v>465</v>
      </c>
      <c r="D143" s="77" t="s">
        <v>372</v>
      </c>
      <c r="E143" s="77" t="s">
        <v>371</v>
      </c>
      <c r="F143" s="76">
        <v>4062</v>
      </c>
      <c r="G143" s="59" t="s">
        <v>489</v>
      </c>
      <c r="H143" s="59">
        <v>5959</v>
      </c>
      <c r="I143" s="60">
        <v>7896112159599</v>
      </c>
      <c r="J143" s="59" t="s">
        <v>224</v>
      </c>
      <c r="K143" s="61" t="s">
        <v>34</v>
      </c>
      <c r="L143" s="66">
        <v>500</v>
      </c>
      <c r="M143" s="67">
        <v>7.65</v>
      </c>
      <c r="N143" s="67">
        <v>3825</v>
      </c>
      <c r="O143" s="67">
        <v>3825</v>
      </c>
      <c r="P143" s="59" t="s">
        <v>473</v>
      </c>
    </row>
    <row r="144" spans="1:16" x14ac:dyDescent="0.25">
      <c r="A144" s="76">
        <v>2697239</v>
      </c>
      <c r="B144" s="76">
        <v>108342</v>
      </c>
      <c r="C144" s="59" t="s">
        <v>465</v>
      </c>
      <c r="D144" s="77" t="s">
        <v>372</v>
      </c>
      <c r="E144" s="77" t="s">
        <v>371</v>
      </c>
      <c r="F144" s="76">
        <v>4103</v>
      </c>
      <c r="G144" s="59" t="s">
        <v>489</v>
      </c>
      <c r="H144" s="59">
        <v>9182</v>
      </c>
      <c r="I144" s="60">
        <v>7896112191827</v>
      </c>
      <c r="J144" s="59" t="s">
        <v>270</v>
      </c>
      <c r="K144" s="61" t="s">
        <v>34</v>
      </c>
      <c r="L144" s="66">
        <v>500</v>
      </c>
      <c r="M144" s="67">
        <v>8.0299999999999994</v>
      </c>
      <c r="N144" s="67">
        <v>4015</v>
      </c>
      <c r="O144" s="67">
        <v>4015</v>
      </c>
      <c r="P144" s="59" t="s">
        <v>473</v>
      </c>
    </row>
    <row r="145" spans="1:16" x14ac:dyDescent="0.25">
      <c r="A145" s="76">
        <v>2697299</v>
      </c>
      <c r="B145" s="76">
        <v>108342</v>
      </c>
      <c r="C145" s="59" t="s">
        <v>465</v>
      </c>
      <c r="D145" s="77" t="s">
        <v>372</v>
      </c>
      <c r="E145" s="77" t="s">
        <v>368</v>
      </c>
      <c r="F145" s="76">
        <v>61279</v>
      </c>
      <c r="G145" s="59" t="s">
        <v>490</v>
      </c>
      <c r="H145" s="59">
        <v>9182</v>
      </c>
      <c r="I145" s="60">
        <v>7896112191827</v>
      </c>
      <c r="J145" s="59" t="s">
        <v>270</v>
      </c>
      <c r="K145" s="61" t="s">
        <v>34</v>
      </c>
      <c r="L145" s="66">
        <v>400</v>
      </c>
      <c r="M145" s="67">
        <v>7.65</v>
      </c>
      <c r="N145" s="67">
        <v>3060</v>
      </c>
      <c r="O145" s="67">
        <v>3060</v>
      </c>
      <c r="P145" s="59" t="s">
        <v>472</v>
      </c>
    </row>
    <row r="146" spans="1:16" x14ac:dyDescent="0.25">
      <c r="A146" s="76">
        <v>2697311</v>
      </c>
      <c r="B146" s="76">
        <v>108342</v>
      </c>
      <c r="C146" s="59" t="s">
        <v>465</v>
      </c>
      <c r="D146" s="77" t="s">
        <v>372</v>
      </c>
      <c r="E146" s="77" t="s">
        <v>368</v>
      </c>
      <c r="F146" s="76">
        <v>61297</v>
      </c>
      <c r="G146" s="59" t="s">
        <v>490</v>
      </c>
      <c r="H146" s="59">
        <v>1876</v>
      </c>
      <c r="I146" s="60">
        <v>7896112118763</v>
      </c>
      <c r="J146" s="59" t="s">
        <v>72</v>
      </c>
      <c r="K146" s="61" t="s">
        <v>23</v>
      </c>
      <c r="L146" s="66">
        <v>300</v>
      </c>
      <c r="M146" s="67">
        <v>37.44</v>
      </c>
      <c r="N146" s="67">
        <v>11232</v>
      </c>
      <c r="O146" s="67">
        <v>11232</v>
      </c>
      <c r="P146" s="59" t="s">
        <v>472</v>
      </c>
    </row>
    <row r="147" spans="1:16" x14ac:dyDescent="0.25">
      <c r="A147" s="76">
        <v>2697441</v>
      </c>
      <c r="B147" s="76">
        <v>108342</v>
      </c>
      <c r="C147" s="59" t="s">
        <v>465</v>
      </c>
      <c r="D147" s="77" t="s">
        <v>372</v>
      </c>
      <c r="E147" s="77" t="s">
        <v>371</v>
      </c>
      <c r="F147" s="76">
        <v>4221</v>
      </c>
      <c r="G147" s="59" t="s">
        <v>491</v>
      </c>
      <c r="H147" s="59">
        <v>3850</v>
      </c>
      <c r="I147" s="60">
        <v>7896112138501</v>
      </c>
      <c r="J147" s="59" t="s">
        <v>151</v>
      </c>
      <c r="K147" s="61" t="s">
        <v>34</v>
      </c>
      <c r="L147" s="66">
        <v>300</v>
      </c>
      <c r="M147" s="67">
        <v>7.3900000000000006</v>
      </c>
      <c r="N147" s="67">
        <v>2217</v>
      </c>
      <c r="O147" s="67">
        <v>2217</v>
      </c>
      <c r="P147" s="59" t="s">
        <v>473</v>
      </c>
    </row>
    <row r="148" spans="1:16" x14ac:dyDescent="0.25">
      <c r="A148" s="76">
        <v>2697760</v>
      </c>
      <c r="B148" s="76">
        <v>108342</v>
      </c>
      <c r="C148" s="59" t="s">
        <v>465</v>
      </c>
      <c r="D148" s="77" t="s">
        <v>372</v>
      </c>
      <c r="E148" s="77" t="s">
        <v>368</v>
      </c>
      <c r="F148" s="76">
        <v>61671</v>
      </c>
      <c r="G148" s="59" t="s">
        <v>491</v>
      </c>
      <c r="H148" s="59">
        <v>8910</v>
      </c>
      <c r="I148" s="60">
        <v>7896112189107</v>
      </c>
      <c r="J148" s="59" t="s">
        <v>263</v>
      </c>
      <c r="K148" s="61" t="s">
        <v>34</v>
      </c>
      <c r="L148" s="66">
        <v>1000</v>
      </c>
      <c r="M148" s="67">
        <v>7.19</v>
      </c>
      <c r="N148" s="67">
        <v>7190</v>
      </c>
      <c r="O148" s="67">
        <v>7190</v>
      </c>
      <c r="P148" s="59" t="s">
        <v>472</v>
      </c>
    </row>
    <row r="149" spans="1:16" x14ac:dyDescent="0.25">
      <c r="A149" s="76">
        <v>2697744</v>
      </c>
      <c r="B149" s="76">
        <v>108342</v>
      </c>
      <c r="C149" s="59" t="s">
        <v>465</v>
      </c>
      <c r="D149" s="77" t="s">
        <v>372</v>
      </c>
      <c r="E149" s="77" t="s">
        <v>368</v>
      </c>
      <c r="F149" s="76">
        <v>61683</v>
      </c>
      <c r="G149" s="59" t="s">
        <v>491</v>
      </c>
      <c r="H149" s="59">
        <v>4162</v>
      </c>
      <c r="I149" s="60">
        <v>7896112101628</v>
      </c>
      <c r="J149" s="59" t="s">
        <v>161</v>
      </c>
      <c r="K149" s="61" t="s">
        <v>34</v>
      </c>
      <c r="L149" s="66">
        <v>120</v>
      </c>
      <c r="M149" s="67">
        <v>9.58</v>
      </c>
      <c r="N149" s="67">
        <v>1149.5999999999999</v>
      </c>
      <c r="O149" s="67">
        <v>1149.5999999999999</v>
      </c>
      <c r="P149" s="59" t="s">
        <v>472</v>
      </c>
    </row>
    <row r="150" spans="1:16" x14ac:dyDescent="0.25">
      <c r="A150" s="76">
        <v>2697744</v>
      </c>
      <c r="B150" s="76">
        <v>108342</v>
      </c>
      <c r="C150" s="59" t="s">
        <v>465</v>
      </c>
      <c r="D150" s="77" t="s">
        <v>372</v>
      </c>
      <c r="E150" s="77" t="s">
        <v>368</v>
      </c>
      <c r="F150" s="76">
        <v>61683</v>
      </c>
      <c r="G150" s="59" t="s">
        <v>491</v>
      </c>
      <c r="H150" s="59">
        <v>6232</v>
      </c>
      <c r="I150" s="60">
        <v>7896112162322</v>
      </c>
      <c r="J150" s="59" t="s">
        <v>232</v>
      </c>
      <c r="K150" s="61" t="s">
        <v>34</v>
      </c>
      <c r="L150" s="66">
        <v>400</v>
      </c>
      <c r="M150" s="67">
        <v>1.86</v>
      </c>
      <c r="N150" s="67">
        <v>744</v>
      </c>
      <c r="O150" s="67">
        <v>744</v>
      </c>
      <c r="P150" s="59" t="s">
        <v>472</v>
      </c>
    </row>
    <row r="151" spans="1:16" x14ac:dyDescent="0.25">
      <c r="A151" s="76">
        <v>2697742</v>
      </c>
      <c r="B151" s="76">
        <v>108342</v>
      </c>
      <c r="C151" s="59" t="s">
        <v>465</v>
      </c>
      <c r="D151" s="77" t="s">
        <v>372</v>
      </c>
      <c r="E151" s="77" t="s">
        <v>368</v>
      </c>
      <c r="F151" s="76">
        <v>61698</v>
      </c>
      <c r="G151" s="59" t="s">
        <v>491</v>
      </c>
      <c r="H151" s="59">
        <v>6622</v>
      </c>
      <c r="I151" s="60">
        <v>7896112166221</v>
      </c>
      <c r="J151" s="59" t="s">
        <v>236</v>
      </c>
      <c r="K151" s="61" t="s">
        <v>34</v>
      </c>
      <c r="L151" s="66">
        <v>5280</v>
      </c>
      <c r="M151" s="67">
        <v>5.2799999999999994</v>
      </c>
      <c r="N151" s="67">
        <v>27878.400000000001</v>
      </c>
      <c r="O151" s="67">
        <v>27878.400000000001</v>
      </c>
      <c r="P151" s="59" t="s">
        <v>467</v>
      </c>
    </row>
    <row r="152" spans="1:16" x14ac:dyDescent="0.25">
      <c r="A152" s="76">
        <v>2698251</v>
      </c>
      <c r="B152" s="76">
        <v>108342</v>
      </c>
      <c r="C152" s="59" t="s">
        <v>465</v>
      </c>
      <c r="D152" s="77" t="s">
        <v>372</v>
      </c>
      <c r="E152" s="77" t="s">
        <v>368</v>
      </c>
      <c r="F152" s="76">
        <v>62099</v>
      </c>
      <c r="G152" s="59" t="s">
        <v>492</v>
      </c>
      <c r="H152" s="59">
        <v>4836</v>
      </c>
      <c r="I152" s="60">
        <v>7896112108368</v>
      </c>
      <c r="J152" s="59" t="s">
        <v>43</v>
      </c>
      <c r="K152" s="61" t="s">
        <v>34</v>
      </c>
      <c r="L152" s="66">
        <v>352</v>
      </c>
      <c r="M152" s="67">
        <v>13.23</v>
      </c>
      <c r="N152" s="67">
        <v>4656.96</v>
      </c>
      <c r="O152" s="67">
        <v>4656.96</v>
      </c>
      <c r="P152" s="59" t="s">
        <v>473</v>
      </c>
    </row>
    <row r="153" spans="1:16" x14ac:dyDescent="0.25">
      <c r="A153" s="76">
        <v>2698192</v>
      </c>
      <c r="B153" s="76">
        <v>108342</v>
      </c>
      <c r="C153" s="59" t="s">
        <v>465</v>
      </c>
      <c r="D153" s="77" t="s">
        <v>372</v>
      </c>
      <c r="E153" s="77" t="s">
        <v>368</v>
      </c>
      <c r="F153" s="76">
        <v>62133</v>
      </c>
      <c r="G153" s="59" t="s">
        <v>492</v>
      </c>
      <c r="H153" s="59">
        <v>3838</v>
      </c>
      <c r="I153" s="60">
        <v>7896112138389</v>
      </c>
      <c r="J153" s="59" t="s">
        <v>150</v>
      </c>
      <c r="K153" s="61" t="s">
        <v>23</v>
      </c>
      <c r="L153" s="66">
        <v>100</v>
      </c>
      <c r="M153" s="67">
        <v>10.78</v>
      </c>
      <c r="N153" s="67">
        <v>1078</v>
      </c>
      <c r="O153" s="67">
        <v>1078</v>
      </c>
      <c r="P153" s="59" t="s">
        <v>467</v>
      </c>
    </row>
    <row r="154" spans="1:16" x14ac:dyDescent="0.25">
      <c r="A154" s="76">
        <v>2698199</v>
      </c>
      <c r="B154" s="76">
        <v>108342</v>
      </c>
      <c r="C154" s="59" t="s">
        <v>465</v>
      </c>
      <c r="D154" s="77" t="s">
        <v>372</v>
      </c>
      <c r="E154" s="77" t="s">
        <v>368</v>
      </c>
      <c r="F154" s="76">
        <v>62145</v>
      </c>
      <c r="G154" s="59" t="s">
        <v>492</v>
      </c>
      <c r="H154" s="59">
        <v>3838</v>
      </c>
      <c r="I154" s="60">
        <v>7896112138389</v>
      </c>
      <c r="J154" s="59" t="s">
        <v>150</v>
      </c>
      <c r="K154" s="61" t="s">
        <v>23</v>
      </c>
      <c r="L154" s="66">
        <v>200</v>
      </c>
      <c r="M154" s="67">
        <v>10.78</v>
      </c>
      <c r="N154" s="67">
        <v>2156</v>
      </c>
      <c r="O154" s="67">
        <v>2156</v>
      </c>
      <c r="P154" s="59" t="s">
        <v>472</v>
      </c>
    </row>
    <row r="155" spans="1:16" x14ac:dyDescent="0.25">
      <c r="A155" s="76">
        <v>2698201</v>
      </c>
      <c r="B155" s="76">
        <v>108342</v>
      </c>
      <c r="C155" s="59" t="s">
        <v>465</v>
      </c>
      <c r="D155" s="77" t="s">
        <v>372</v>
      </c>
      <c r="E155" s="77" t="s">
        <v>368</v>
      </c>
      <c r="F155" s="76">
        <v>62186</v>
      </c>
      <c r="G155" s="59" t="s">
        <v>493</v>
      </c>
      <c r="H155" s="59">
        <v>6622</v>
      </c>
      <c r="I155" s="60">
        <v>7896112166221</v>
      </c>
      <c r="J155" s="59" t="s">
        <v>236</v>
      </c>
      <c r="K155" s="61" t="s">
        <v>34</v>
      </c>
      <c r="L155" s="66">
        <v>720</v>
      </c>
      <c r="M155" s="67">
        <v>5.2799999999999994</v>
      </c>
      <c r="N155" s="67">
        <v>3801.6</v>
      </c>
      <c r="O155" s="67">
        <v>3801.6</v>
      </c>
      <c r="P155" s="59" t="s">
        <v>467</v>
      </c>
    </row>
    <row r="156" spans="1:16" x14ac:dyDescent="0.25">
      <c r="A156" s="76">
        <v>2698756</v>
      </c>
      <c r="B156" s="76">
        <v>108342</v>
      </c>
      <c r="C156" s="59" t="s">
        <v>465</v>
      </c>
      <c r="D156" s="77" t="s">
        <v>372</v>
      </c>
      <c r="E156" s="77" t="s">
        <v>368</v>
      </c>
      <c r="F156" s="76">
        <v>62486</v>
      </c>
      <c r="G156" s="59" t="s">
        <v>494</v>
      </c>
      <c r="H156" s="59">
        <v>1035</v>
      </c>
      <c r="I156" s="60">
        <v>7896112110354</v>
      </c>
      <c r="J156" s="59" t="s">
        <v>52</v>
      </c>
      <c r="K156" s="61" t="s">
        <v>34</v>
      </c>
      <c r="L156" s="66">
        <v>500</v>
      </c>
      <c r="M156" s="67">
        <v>2.8899999999999997</v>
      </c>
      <c r="N156" s="67">
        <v>1445</v>
      </c>
      <c r="O156" s="67">
        <v>1445</v>
      </c>
      <c r="P156" s="59" t="s">
        <v>495</v>
      </c>
    </row>
    <row r="157" spans="1:16" x14ac:dyDescent="0.25">
      <c r="A157" s="76">
        <v>2698756</v>
      </c>
      <c r="B157" s="76">
        <v>108342</v>
      </c>
      <c r="C157" s="59" t="s">
        <v>465</v>
      </c>
      <c r="D157" s="77" t="s">
        <v>372</v>
      </c>
      <c r="E157" s="77" t="s">
        <v>368</v>
      </c>
      <c r="F157" s="76">
        <v>62486</v>
      </c>
      <c r="G157" s="59" t="s">
        <v>494</v>
      </c>
      <c r="H157" s="59">
        <v>5364</v>
      </c>
      <c r="I157" s="60">
        <v>7896112153641</v>
      </c>
      <c r="J157" s="59" t="s">
        <v>470</v>
      </c>
      <c r="K157" s="61" t="s">
        <v>23</v>
      </c>
      <c r="L157" s="66">
        <v>300</v>
      </c>
      <c r="M157" s="67">
        <v>15.1</v>
      </c>
      <c r="N157" s="67">
        <v>4530</v>
      </c>
      <c r="O157" s="67">
        <v>4530</v>
      </c>
      <c r="P157" s="59" t="s">
        <v>495</v>
      </c>
    </row>
    <row r="158" spans="1:16" x14ac:dyDescent="0.25">
      <c r="A158" s="76">
        <v>2698756</v>
      </c>
      <c r="B158" s="76">
        <v>108342</v>
      </c>
      <c r="C158" s="59" t="s">
        <v>465</v>
      </c>
      <c r="D158" s="77" t="s">
        <v>372</v>
      </c>
      <c r="E158" s="77" t="s">
        <v>368</v>
      </c>
      <c r="F158" s="76">
        <v>62486</v>
      </c>
      <c r="G158" s="59" t="s">
        <v>494</v>
      </c>
      <c r="H158" s="59">
        <v>4706</v>
      </c>
      <c r="I158" s="60">
        <v>7896112107064</v>
      </c>
      <c r="J158" s="59" t="s">
        <v>201</v>
      </c>
      <c r="K158" s="61" t="s">
        <v>23</v>
      </c>
      <c r="L158" s="66">
        <v>1000</v>
      </c>
      <c r="M158" s="67">
        <v>4.6100000000000003</v>
      </c>
      <c r="N158" s="67">
        <v>4610</v>
      </c>
      <c r="O158" s="67">
        <v>4610</v>
      </c>
      <c r="P158" s="59" t="s">
        <v>495</v>
      </c>
    </row>
    <row r="159" spans="1:16" x14ac:dyDescent="0.25">
      <c r="A159" s="76">
        <v>2698756</v>
      </c>
      <c r="B159" s="76">
        <v>108342</v>
      </c>
      <c r="C159" s="59" t="s">
        <v>465</v>
      </c>
      <c r="D159" s="77" t="s">
        <v>372</v>
      </c>
      <c r="E159" s="77" t="s">
        <v>368</v>
      </c>
      <c r="F159" s="76">
        <v>62486</v>
      </c>
      <c r="G159" s="59" t="s">
        <v>494</v>
      </c>
      <c r="H159" s="59">
        <v>2627</v>
      </c>
      <c r="I159" s="60">
        <v>7896112126270</v>
      </c>
      <c r="J159" s="59" t="s">
        <v>108</v>
      </c>
      <c r="K159" s="61" t="s">
        <v>34</v>
      </c>
      <c r="L159" s="66">
        <v>1500</v>
      </c>
      <c r="M159" s="67">
        <v>2.9899999999999998</v>
      </c>
      <c r="N159" s="67">
        <v>4485</v>
      </c>
      <c r="O159" s="67">
        <v>4485</v>
      </c>
      <c r="P159" s="59" t="s">
        <v>495</v>
      </c>
    </row>
    <row r="160" spans="1:16" x14ac:dyDescent="0.25">
      <c r="A160" s="76">
        <v>2698756</v>
      </c>
      <c r="B160" s="76">
        <v>108342</v>
      </c>
      <c r="C160" s="59" t="s">
        <v>465</v>
      </c>
      <c r="D160" s="77" t="s">
        <v>372</v>
      </c>
      <c r="E160" s="77" t="s">
        <v>368</v>
      </c>
      <c r="F160" s="76">
        <v>62486</v>
      </c>
      <c r="G160" s="59" t="s">
        <v>494</v>
      </c>
      <c r="H160" s="59">
        <v>2269</v>
      </c>
      <c r="I160" s="60">
        <v>7896112122692</v>
      </c>
      <c r="J160" s="59" t="s">
        <v>91</v>
      </c>
      <c r="K160" s="61" t="s">
        <v>34</v>
      </c>
      <c r="L160" s="66">
        <v>500</v>
      </c>
      <c r="M160" s="67">
        <v>3.47</v>
      </c>
      <c r="N160" s="67">
        <v>1735</v>
      </c>
      <c r="O160" s="67">
        <v>1735</v>
      </c>
      <c r="P160" s="59" t="s">
        <v>495</v>
      </c>
    </row>
    <row r="161" spans="1:16" x14ac:dyDescent="0.25">
      <c r="A161" s="76">
        <v>2698756</v>
      </c>
      <c r="B161" s="76">
        <v>108342</v>
      </c>
      <c r="C161" s="59" t="s">
        <v>465</v>
      </c>
      <c r="D161" s="77" t="s">
        <v>372</v>
      </c>
      <c r="E161" s="77" t="s">
        <v>368</v>
      </c>
      <c r="F161" s="76">
        <v>62486</v>
      </c>
      <c r="G161" s="59" t="s">
        <v>494</v>
      </c>
      <c r="H161" s="59">
        <v>1383</v>
      </c>
      <c r="I161" s="60">
        <v>7896112113836</v>
      </c>
      <c r="J161" s="59" t="s">
        <v>338</v>
      </c>
      <c r="K161" s="61" t="s">
        <v>23</v>
      </c>
      <c r="L161" s="66">
        <v>1000</v>
      </c>
      <c r="M161" s="67">
        <v>5.96</v>
      </c>
      <c r="N161" s="67">
        <v>5960</v>
      </c>
      <c r="O161" s="67">
        <v>5960</v>
      </c>
      <c r="P161" s="59" t="s">
        <v>495</v>
      </c>
    </row>
    <row r="162" spans="1:16" x14ac:dyDescent="0.25">
      <c r="A162" s="76">
        <v>2698756</v>
      </c>
      <c r="B162" s="76">
        <v>108342</v>
      </c>
      <c r="C162" s="59" t="s">
        <v>465</v>
      </c>
      <c r="D162" s="77" t="s">
        <v>372</v>
      </c>
      <c r="E162" s="77" t="s">
        <v>368</v>
      </c>
      <c r="F162" s="76">
        <v>62486</v>
      </c>
      <c r="G162" s="59" t="s">
        <v>494</v>
      </c>
      <c r="H162" s="59">
        <v>2886</v>
      </c>
      <c r="I162" s="60">
        <v>7896112128861</v>
      </c>
      <c r="J162" s="59" t="s">
        <v>127</v>
      </c>
      <c r="K162" s="61" t="s">
        <v>34</v>
      </c>
      <c r="L162" s="66">
        <v>1200</v>
      </c>
      <c r="M162" s="67">
        <v>8.2099999999999991</v>
      </c>
      <c r="N162" s="67">
        <v>9852</v>
      </c>
      <c r="O162" s="67">
        <v>9852</v>
      </c>
      <c r="P162" s="59" t="s">
        <v>495</v>
      </c>
    </row>
    <row r="163" spans="1:16" x14ac:dyDescent="0.25">
      <c r="A163" s="76">
        <v>2698756</v>
      </c>
      <c r="B163" s="76">
        <v>108342</v>
      </c>
      <c r="C163" s="59" t="s">
        <v>465</v>
      </c>
      <c r="D163" s="77" t="s">
        <v>372</v>
      </c>
      <c r="E163" s="77" t="s">
        <v>368</v>
      </c>
      <c r="F163" s="76">
        <v>62486</v>
      </c>
      <c r="G163" s="59" t="s">
        <v>494</v>
      </c>
      <c r="H163" s="59">
        <v>5625</v>
      </c>
      <c r="I163" s="60">
        <v>7896112156253</v>
      </c>
      <c r="J163" s="59" t="s">
        <v>479</v>
      </c>
      <c r="K163" s="61" t="s">
        <v>34</v>
      </c>
      <c r="L163" s="66">
        <v>100</v>
      </c>
      <c r="M163" s="67">
        <v>10.25</v>
      </c>
      <c r="N163" s="67">
        <v>1025</v>
      </c>
      <c r="O163" s="67">
        <v>1025</v>
      </c>
      <c r="P163" s="59" t="s">
        <v>495</v>
      </c>
    </row>
    <row r="164" spans="1:16" x14ac:dyDescent="0.25">
      <c r="A164" s="76">
        <v>2698756</v>
      </c>
      <c r="B164" s="76">
        <v>108342</v>
      </c>
      <c r="C164" s="59" t="s">
        <v>465</v>
      </c>
      <c r="D164" s="77" t="s">
        <v>372</v>
      </c>
      <c r="E164" s="77" t="s">
        <v>368</v>
      </c>
      <c r="F164" s="76">
        <v>62486</v>
      </c>
      <c r="G164" s="59" t="s">
        <v>494</v>
      </c>
      <c r="H164" s="59">
        <v>1768</v>
      </c>
      <c r="I164" s="60">
        <v>7896112117681</v>
      </c>
      <c r="J164" s="59" t="s">
        <v>71</v>
      </c>
      <c r="K164" s="61" t="s">
        <v>34</v>
      </c>
      <c r="L164" s="66">
        <v>12000</v>
      </c>
      <c r="M164" s="67">
        <v>1.5</v>
      </c>
      <c r="N164" s="67">
        <v>18000</v>
      </c>
      <c r="O164" s="67">
        <v>18000</v>
      </c>
      <c r="P164" s="59" t="s">
        <v>495</v>
      </c>
    </row>
    <row r="165" spans="1:16" x14ac:dyDescent="0.25">
      <c r="A165" s="76">
        <v>2698756</v>
      </c>
      <c r="B165" s="76">
        <v>108342</v>
      </c>
      <c r="C165" s="59" t="s">
        <v>465</v>
      </c>
      <c r="D165" s="77" t="s">
        <v>372</v>
      </c>
      <c r="E165" s="77" t="s">
        <v>368</v>
      </c>
      <c r="F165" s="76">
        <v>62486</v>
      </c>
      <c r="G165" s="59" t="s">
        <v>494</v>
      </c>
      <c r="H165" s="59">
        <v>9201</v>
      </c>
      <c r="I165" s="60">
        <v>7896112192015</v>
      </c>
      <c r="J165" s="59" t="s">
        <v>273</v>
      </c>
      <c r="K165" s="61" t="s">
        <v>34</v>
      </c>
      <c r="L165" s="66">
        <v>2000</v>
      </c>
      <c r="M165" s="67">
        <v>5.5299999999999994</v>
      </c>
      <c r="N165" s="67">
        <v>11060</v>
      </c>
      <c r="O165" s="67">
        <v>11060</v>
      </c>
      <c r="P165" s="59" t="s">
        <v>495</v>
      </c>
    </row>
    <row r="166" spans="1:16" x14ac:dyDescent="0.25">
      <c r="A166" s="76">
        <v>2698728</v>
      </c>
      <c r="B166" s="76">
        <v>108342</v>
      </c>
      <c r="C166" s="59" t="s">
        <v>465</v>
      </c>
      <c r="D166" s="77" t="s">
        <v>372</v>
      </c>
      <c r="E166" s="77" t="s">
        <v>368</v>
      </c>
      <c r="F166" s="76">
        <v>62495</v>
      </c>
      <c r="G166" s="59" t="s">
        <v>494</v>
      </c>
      <c r="H166" s="59">
        <v>1783</v>
      </c>
      <c r="I166" s="60">
        <v>7896112117834</v>
      </c>
      <c r="J166" s="59" t="s">
        <v>488</v>
      </c>
      <c r="K166" s="61" t="s">
        <v>34</v>
      </c>
      <c r="L166" s="66">
        <v>160</v>
      </c>
      <c r="M166" s="67">
        <v>40.72</v>
      </c>
      <c r="N166" s="67">
        <v>6515.2</v>
      </c>
      <c r="O166" s="67">
        <v>6515.2</v>
      </c>
      <c r="P166" s="59" t="s">
        <v>495</v>
      </c>
    </row>
    <row r="167" spans="1:16" x14ac:dyDescent="0.25">
      <c r="A167" s="76">
        <v>2698728</v>
      </c>
      <c r="B167" s="76">
        <v>108342</v>
      </c>
      <c r="C167" s="59" t="s">
        <v>465</v>
      </c>
      <c r="D167" s="77" t="s">
        <v>372</v>
      </c>
      <c r="E167" s="77" t="s">
        <v>368</v>
      </c>
      <c r="F167" s="76">
        <v>62495</v>
      </c>
      <c r="G167" s="59" t="s">
        <v>494</v>
      </c>
      <c r="H167" s="59">
        <v>1775</v>
      </c>
      <c r="I167" s="60">
        <v>7896112117759</v>
      </c>
      <c r="J167" s="59" t="s">
        <v>484</v>
      </c>
      <c r="K167" s="61" t="s">
        <v>34</v>
      </c>
      <c r="L167" s="66">
        <v>160</v>
      </c>
      <c r="M167" s="67">
        <v>31.23</v>
      </c>
      <c r="N167" s="67">
        <v>4996.8</v>
      </c>
      <c r="O167" s="67">
        <v>4996.8</v>
      </c>
      <c r="P167" s="59" t="s">
        <v>495</v>
      </c>
    </row>
    <row r="168" spans="1:16" x14ac:dyDescent="0.25">
      <c r="A168" s="76">
        <v>2698752</v>
      </c>
      <c r="B168" s="76">
        <v>108342</v>
      </c>
      <c r="C168" s="59" t="s">
        <v>465</v>
      </c>
      <c r="D168" s="77" t="s">
        <v>372</v>
      </c>
      <c r="E168" s="77" t="s">
        <v>368</v>
      </c>
      <c r="F168" s="76">
        <v>62496</v>
      </c>
      <c r="G168" s="59" t="s">
        <v>494</v>
      </c>
      <c r="H168" s="59">
        <v>4375</v>
      </c>
      <c r="I168" s="60">
        <v>7896112103752</v>
      </c>
      <c r="J168" s="59" t="s">
        <v>175</v>
      </c>
      <c r="K168" s="61" t="s">
        <v>23</v>
      </c>
      <c r="L168" s="66">
        <v>60</v>
      </c>
      <c r="M168" s="67">
        <v>24.81</v>
      </c>
      <c r="N168" s="67">
        <v>1488.6</v>
      </c>
      <c r="O168" s="67">
        <v>1488.6</v>
      </c>
      <c r="P168" s="59" t="s">
        <v>495</v>
      </c>
    </row>
    <row r="169" spans="1:16" x14ac:dyDescent="0.25">
      <c r="A169" s="76">
        <v>2698757</v>
      </c>
      <c r="B169" s="76">
        <v>108342</v>
      </c>
      <c r="C169" s="59" t="s">
        <v>465</v>
      </c>
      <c r="D169" s="77" t="s">
        <v>372</v>
      </c>
      <c r="E169" s="77" t="s">
        <v>368</v>
      </c>
      <c r="F169" s="76">
        <v>62497</v>
      </c>
      <c r="G169" s="59" t="s">
        <v>494</v>
      </c>
      <c r="H169" s="59">
        <v>9833</v>
      </c>
      <c r="I169" s="60">
        <v>7896112198338</v>
      </c>
      <c r="J169" s="59" t="s">
        <v>287</v>
      </c>
      <c r="K169" s="61" t="s">
        <v>23</v>
      </c>
      <c r="L169" s="66">
        <v>100</v>
      </c>
      <c r="M169" s="67">
        <v>17.53</v>
      </c>
      <c r="N169" s="67">
        <v>1753</v>
      </c>
      <c r="O169" s="67">
        <v>1753</v>
      </c>
      <c r="P169" s="59" t="s">
        <v>495</v>
      </c>
    </row>
    <row r="170" spans="1:16" x14ac:dyDescent="0.25">
      <c r="A170" s="76">
        <v>2698757</v>
      </c>
      <c r="B170" s="76">
        <v>108342</v>
      </c>
      <c r="C170" s="59" t="s">
        <v>465</v>
      </c>
      <c r="D170" s="77" t="s">
        <v>372</v>
      </c>
      <c r="E170" s="77" t="s">
        <v>368</v>
      </c>
      <c r="F170" s="76">
        <v>62497</v>
      </c>
      <c r="G170" s="59" t="s">
        <v>494</v>
      </c>
      <c r="H170" s="59">
        <v>1769</v>
      </c>
      <c r="I170" s="60">
        <v>7896112117698</v>
      </c>
      <c r="J170" s="59" t="s">
        <v>70</v>
      </c>
      <c r="K170" s="61" t="s">
        <v>23</v>
      </c>
      <c r="L170" s="66">
        <v>300</v>
      </c>
      <c r="M170" s="67">
        <v>9.93</v>
      </c>
      <c r="N170" s="67">
        <v>2979</v>
      </c>
      <c r="O170" s="67">
        <v>2979</v>
      </c>
      <c r="P170" s="59" t="s">
        <v>495</v>
      </c>
    </row>
    <row r="171" spans="1:16" x14ac:dyDescent="0.25">
      <c r="A171" s="76">
        <v>2698751</v>
      </c>
      <c r="B171" s="76">
        <v>108342</v>
      </c>
      <c r="C171" s="59" t="s">
        <v>465</v>
      </c>
      <c r="D171" s="77" t="s">
        <v>372</v>
      </c>
      <c r="E171" s="77" t="s">
        <v>368</v>
      </c>
      <c r="F171" s="76">
        <v>62543</v>
      </c>
      <c r="G171" s="59" t="s">
        <v>494</v>
      </c>
      <c r="H171" s="59">
        <v>4171</v>
      </c>
      <c r="I171" s="60">
        <v>7896112101710</v>
      </c>
      <c r="J171" s="59" t="s">
        <v>296</v>
      </c>
      <c r="K171" s="61" t="s">
        <v>34</v>
      </c>
      <c r="L171" s="66">
        <v>315</v>
      </c>
      <c r="M171" s="67">
        <v>29.9</v>
      </c>
      <c r="N171" s="67">
        <v>9418.5</v>
      </c>
      <c r="O171" s="67">
        <v>9418.5</v>
      </c>
      <c r="P171" s="59" t="s">
        <v>495</v>
      </c>
    </row>
    <row r="172" spans="1:16" x14ac:dyDescent="0.25">
      <c r="A172" s="76">
        <v>2698753</v>
      </c>
      <c r="B172" s="76">
        <v>108342</v>
      </c>
      <c r="C172" s="59" t="s">
        <v>465</v>
      </c>
      <c r="D172" s="77" t="s">
        <v>372</v>
      </c>
      <c r="E172" s="77" t="s">
        <v>368</v>
      </c>
      <c r="F172" s="76">
        <v>62544</v>
      </c>
      <c r="G172" s="59" t="s">
        <v>494</v>
      </c>
      <c r="H172" s="59">
        <v>1925</v>
      </c>
      <c r="I172" s="60">
        <v>7896112119258</v>
      </c>
      <c r="J172" s="59" t="s">
        <v>74</v>
      </c>
      <c r="K172" s="61" t="s">
        <v>34</v>
      </c>
      <c r="L172" s="66">
        <v>200</v>
      </c>
      <c r="M172" s="67">
        <v>9.18</v>
      </c>
      <c r="N172" s="67">
        <v>1836</v>
      </c>
      <c r="O172" s="67">
        <v>1836</v>
      </c>
      <c r="P172" s="59" t="s">
        <v>495</v>
      </c>
    </row>
    <row r="173" spans="1:16" x14ac:dyDescent="0.25">
      <c r="A173" s="76">
        <v>2698753</v>
      </c>
      <c r="B173" s="76">
        <v>108342</v>
      </c>
      <c r="C173" s="59" t="s">
        <v>465</v>
      </c>
      <c r="D173" s="77" t="s">
        <v>372</v>
      </c>
      <c r="E173" s="77" t="s">
        <v>368</v>
      </c>
      <c r="F173" s="76">
        <v>62544</v>
      </c>
      <c r="G173" s="59" t="s">
        <v>494</v>
      </c>
      <c r="H173" s="59">
        <v>1921</v>
      </c>
      <c r="I173" s="60">
        <v>7896112119210</v>
      </c>
      <c r="J173" s="59" t="s">
        <v>73</v>
      </c>
      <c r="K173" s="61" t="s">
        <v>34</v>
      </c>
      <c r="L173" s="66">
        <v>1500</v>
      </c>
      <c r="M173" s="67">
        <v>3.94</v>
      </c>
      <c r="N173" s="67">
        <v>5910</v>
      </c>
      <c r="O173" s="67">
        <v>5910</v>
      </c>
      <c r="P173" s="59" t="s">
        <v>495</v>
      </c>
    </row>
    <row r="174" spans="1:16" x14ac:dyDescent="0.25">
      <c r="A174" s="76">
        <v>2698763</v>
      </c>
      <c r="B174" s="76">
        <v>108342</v>
      </c>
      <c r="C174" s="59" t="s">
        <v>465</v>
      </c>
      <c r="D174" s="77" t="s">
        <v>372</v>
      </c>
      <c r="E174" s="77" t="s">
        <v>368</v>
      </c>
      <c r="F174" s="76">
        <v>62545</v>
      </c>
      <c r="G174" s="59" t="s">
        <v>494</v>
      </c>
      <c r="H174" s="59">
        <v>842</v>
      </c>
      <c r="I174" s="60">
        <v>7896112108429</v>
      </c>
      <c r="J174" s="59" t="s">
        <v>468</v>
      </c>
      <c r="K174" s="61" t="s">
        <v>34</v>
      </c>
      <c r="L174" s="66">
        <v>600</v>
      </c>
      <c r="M174" s="67">
        <v>12.39</v>
      </c>
      <c r="N174" s="67">
        <v>7434</v>
      </c>
      <c r="O174" s="67">
        <v>7434</v>
      </c>
      <c r="P174" s="59" t="s">
        <v>495</v>
      </c>
    </row>
    <row r="175" spans="1:16" x14ac:dyDescent="0.25">
      <c r="A175" s="76">
        <v>2698763</v>
      </c>
      <c r="B175" s="76">
        <v>108342</v>
      </c>
      <c r="C175" s="59" t="s">
        <v>465</v>
      </c>
      <c r="D175" s="77" t="s">
        <v>372</v>
      </c>
      <c r="E175" s="77" t="s">
        <v>368</v>
      </c>
      <c r="F175" s="76">
        <v>62545</v>
      </c>
      <c r="G175" s="59" t="s">
        <v>494</v>
      </c>
      <c r="H175" s="59">
        <v>843</v>
      </c>
      <c r="I175" s="60">
        <v>7896112108436</v>
      </c>
      <c r="J175" s="59" t="s">
        <v>471</v>
      </c>
      <c r="K175" s="61" t="s">
        <v>34</v>
      </c>
      <c r="L175" s="66">
        <v>300</v>
      </c>
      <c r="M175" s="67">
        <v>17.52</v>
      </c>
      <c r="N175" s="67">
        <v>5256</v>
      </c>
      <c r="O175" s="67">
        <v>5256</v>
      </c>
      <c r="P175" s="59" t="s">
        <v>495</v>
      </c>
    </row>
    <row r="176" spans="1:16" x14ac:dyDescent="0.25">
      <c r="A176" s="76">
        <v>2698763</v>
      </c>
      <c r="B176" s="76">
        <v>108342</v>
      </c>
      <c r="C176" s="59" t="s">
        <v>465</v>
      </c>
      <c r="D176" s="77" t="s">
        <v>372</v>
      </c>
      <c r="E176" s="77" t="s">
        <v>368</v>
      </c>
      <c r="F176" s="76">
        <v>62545</v>
      </c>
      <c r="G176" s="59" t="s">
        <v>494</v>
      </c>
      <c r="H176" s="59">
        <v>7135</v>
      </c>
      <c r="I176" s="60">
        <v>7896112171355</v>
      </c>
      <c r="J176" s="59" t="s">
        <v>244</v>
      </c>
      <c r="K176" s="61" t="s">
        <v>34</v>
      </c>
      <c r="L176" s="66">
        <v>216</v>
      </c>
      <c r="M176" s="67">
        <v>3.84</v>
      </c>
      <c r="N176" s="67">
        <v>829.43999999999994</v>
      </c>
      <c r="O176" s="67">
        <v>829.43999999999994</v>
      </c>
      <c r="P176" s="59" t="s">
        <v>495</v>
      </c>
    </row>
    <row r="177" spans="1:16" x14ac:dyDescent="0.25">
      <c r="A177" s="76">
        <v>2698763</v>
      </c>
      <c r="B177" s="76">
        <v>108342</v>
      </c>
      <c r="C177" s="59" t="s">
        <v>465</v>
      </c>
      <c r="D177" s="77" t="s">
        <v>372</v>
      </c>
      <c r="E177" s="77" t="s">
        <v>368</v>
      </c>
      <c r="F177" s="76">
        <v>62545</v>
      </c>
      <c r="G177" s="59" t="s">
        <v>494</v>
      </c>
      <c r="H177" s="59">
        <v>7141</v>
      </c>
      <c r="I177" s="60">
        <v>7896112171416</v>
      </c>
      <c r="J177" s="59" t="s">
        <v>245</v>
      </c>
      <c r="K177" s="61" t="s">
        <v>34</v>
      </c>
      <c r="L177" s="66">
        <v>432</v>
      </c>
      <c r="M177" s="67">
        <v>4.83</v>
      </c>
      <c r="N177" s="67">
        <v>2086.56</v>
      </c>
      <c r="O177" s="67">
        <v>2086.56</v>
      </c>
      <c r="P177" s="59" t="s">
        <v>495</v>
      </c>
    </row>
    <row r="178" spans="1:16" x14ac:dyDescent="0.25">
      <c r="A178" s="76">
        <v>2698727</v>
      </c>
      <c r="B178" s="76">
        <v>108342</v>
      </c>
      <c r="C178" s="59" t="s">
        <v>465</v>
      </c>
      <c r="D178" s="77" t="s">
        <v>372</v>
      </c>
      <c r="E178" s="77" t="s">
        <v>368</v>
      </c>
      <c r="F178" s="76">
        <v>62613</v>
      </c>
      <c r="G178" s="59" t="s">
        <v>496</v>
      </c>
      <c r="H178" s="59">
        <v>1504</v>
      </c>
      <c r="I178" s="60">
        <v>7896112115045</v>
      </c>
      <c r="J178" s="59" t="s">
        <v>66</v>
      </c>
      <c r="K178" s="61" t="s">
        <v>23</v>
      </c>
      <c r="L178" s="66">
        <v>400</v>
      </c>
      <c r="M178" s="67">
        <v>3.1100000000000003</v>
      </c>
      <c r="N178" s="67">
        <v>1244</v>
      </c>
      <c r="O178" s="67">
        <v>1244</v>
      </c>
      <c r="P178" s="59" t="s">
        <v>495</v>
      </c>
    </row>
    <row r="179" spans="1:16" x14ac:dyDescent="0.25">
      <c r="A179" s="76">
        <v>2698727</v>
      </c>
      <c r="B179" s="76">
        <v>108342</v>
      </c>
      <c r="C179" s="59" t="s">
        <v>465</v>
      </c>
      <c r="D179" s="77" t="s">
        <v>372</v>
      </c>
      <c r="E179" s="77" t="s">
        <v>368</v>
      </c>
      <c r="F179" s="76">
        <v>62613</v>
      </c>
      <c r="G179" s="59" t="s">
        <v>496</v>
      </c>
      <c r="H179" s="59">
        <v>9115</v>
      </c>
      <c r="I179" s="60">
        <v>7896112191155</v>
      </c>
      <c r="J179" s="59" t="s">
        <v>268</v>
      </c>
      <c r="K179" s="61" t="s">
        <v>23</v>
      </c>
      <c r="L179" s="66">
        <v>1500</v>
      </c>
      <c r="M179" s="67">
        <v>3.8899999999999997</v>
      </c>
      <c r="N179" s="67">
        <v>5835</v>
      </c>
      <c r="O179" s="67">
        <v>5835</v>
      </c>
      <c r="P179" s="59" t="s">
        <v>495</v>
      </c>
    </row>
    <row r="180" spans="1:16" x14ac:dyDescent="0.25">
      <c r="A180" s="76">
        <v>2698475</v>
      </c>
      <c r="B180" s="76">
        <v>108342</v>
      </c>
      <c r="C180" s="59" t="s">
        <v>465</v>
      </c>
      <c r="D180" s="77" t="s">
        <v>372</v>
      </c>
      <c r="E180" s="77" t="s">
        <v>371</v>
      </c>
      <c r="F180" s="76">
        <v>4364</v>
      </c>
      <c r="G180" s="59" t="s">
        <v>496</v>
      </c>
      <c r="H180" s="59">
        <v>9262</v>
      </c>
      <c r="I180" s="60">
        <v>7896112192626</v>
      </c>
      <c r="J180" s="59" t="s">
        <v>276</v>
      </c>
      <c r="K180" s="61" t="s">
        <v>34</v>
      </c>
      <c r="L180" s="66">
        <v>400</v>
      </c>
      <c r="M180" s="67">
        <v>10.879999999999999</v>
      </c>
      <c r="N180" s="67">
        <v>4352</v>
      </c>
      <c r="O180" s="67">
        <v>4352</v>
      </c>
      <c r="P180" s="59" t="s">
        <v>473</v>
      </c>
    </row>
    <row r="181" spans="1:16" x14ac:dyDescent="0.25">
      <c r="A181" s="76">
        <v>2699365</v>
      </c>
      <c r="B181" s="76">
        <v>108342</v>
      </c>
      <c r="C181" s="59" t="s">
        <v>465</v>
      </c>
      <c r="D181" s="77" t="s">
        <v>372</v>
      </c>
      <c r="E181" s="77" t="s">
        <v>368</v>
      </c>
      <c r="F181" s="76">
        <v>62740</v>
      </c>
      <c r="G181" s="59" t="s">
        <v>496</v>
      </c>
      <c r="H181" s="59">
        <v>5086</v>
      </c>
      <c r="I181" s="60">
        <v>7896112150862</v>
      </c>
      <c r="J181" s="59" t="s">
        <v>212</v>
      </c>
      <c r="K181" s="61" t="s">
        <v>23</v>
      </c>
      <c r="L181" s="66">
        <v>500</v>
      </c>
      <c r="M181" s="67">
        <v>4.1399999999999997</v>
      </c>
      <c r="N181" s="67">
        <v>2070</v>
      </c>
      <c r="O181" s="67">
        <v>2070</v>
      </c>
      <c r="P181" s="59" t="s">
        <v>467</v>
      </c>
    </row>
    <row r="182" spans="1:16" x14ac:dyDescent="0.25">
      <c r="A182" s="76">
        <v>2699371</v>
      </c>
      <c r="B182" s="76">
        <v>108342</v>
      </c>
      <c r="C182" s="59" t="s">
        <v>465</v>
      </c>
      <c r="D182" s="77" t="s">
        <v>372</v>
      </c>
      <c r="E182" s="77" t="s">
        <v>368</v>
      </c>
      <c r="F182" s="76">
        <v>62742</v>
      </c>
      <c r="G182" s="59" t="s">
        <v>496</v>
      </c>
      <c r="H182" s="59">
        <v>5086</v>
      </c>
      <c r="I182" s="60">
        <v>7896112150862</v>
      </c>
      <c r="J182" s="59" t="s">
        <v>212</v>
      </c>
      <c r="K182" s="61" t="s">
        <v>23</v>
      </c>
      <c r="L182" s="66">
        <v>400</v>
      </c>
      <c r="M182" s="67">
        <v>4.1399999999999997</v>
      </c>
      <c r="N182" s="67">
        <v>1656</v>
      </c>
      <c r="O182" s="67">
        <v>1656</v>
      </c>
      <c r="P182" s="59" t="s">
        <v>472</v>
      </c>
    </row>
    <row r="183" spans="1:16" x14ac:dyDescent="0.25">
      <c r="A183" s="76">
        <v>2699377</v>
      </c>
      <c r="B183" s="76">
        <v>108342</v>
      </c>
      <c r="C183" s="59" t="s">
        <v>465</v>
      </c>
      <c r="D183" s="77" t="s">
        <v>372</v>
      </c>
      <c r="E183" s="77" t="s">
        <v>368</v>
      </c>
      <c r="F183" s="76">
        <v>62743</v>
      </c>
      <c r="G183" s="59" t="s">
        <v>496</v>
      </c>
      <c r="H183" s="59">
        <v>2805</v>
      </c>
      <c r="I183" s="60">
        <v>7896112128052</v>
      </c>
      <c r="J183" s="59" t="s">
        <v>124</v>
      </c>
      <c r="K183" s="61" t="s">
        <v>34</v>
      </c>
      <c r="L183" s="66">
        <v>1000</v>
      </c>
      <c r="M183" s="67">
        <v>11.11</v>
      </c>
      <c r="N183" s="67">
        <v>11110</v>
      </c>
      <c r="O183" s="67">
        <v>11110</v>
      </c>
      <c r="P183" s="59" t="s">
        <v>495</v>
      </c>
    </row>
    <row r="184" spans="1:16" x14ac:dyDescent="0.25">
      <c r="A184" s="76">
        <v>2698760</v>
      </c>
      <c r="B184" s="76">
        <v>108342</v>
      </c>
      <c r="C184" s="59" t="s">
        <v>465</v>
      </c>
      <c r="D184" s="77" t="s">
        <v>372</v>
      </c>
      <c r="E184" s="77" t="s">
        <v>371</v>
      </c>
      <c r="F184" s="76">
        <v>4410</v>
      </c>
      <c r="G184" s="59" t="s">
        <v>497</v>
      </c>
      <c r="H184" s="59">
        <v>4788</v>
      </c>
      <c r="I184" s="60">
        <v>7896112107880</v>
      </c>
      <c r="J184" s="59" t="s">
        <v>205</v>
      </c>
      <c r="K184" s="61" t="s">
        <v>34</v>
      </c>
      <c r="L184" s="66">
        <v>150</v>
      </c>
      <c r="M184" s="67">
        <v>9.0500000000000007</v>
      </c>
      <c r="N184" s="67">
        <v>1357.5</v>
      </c>
      <c r="O184" s="67">
        <v>1357.5</v>
      </c>
      <c r="P184" s="59" t="s">
        <v>495</v>
      </c>
    </row>
    <row r="185" spans="1:16" x14ac:dyDescent="0.25">
      <c r="A185" s="76">
        <v>2698760</v>
      </c>
      <c r="B185" s="76">
        <v>108342</v>
      </c>
      <c r="C185" s="59" t="s">
        <v>465</v>
      </c>
      <c r="D185" s="77" t="s">
        <v>372</v>
      </c>
      <c r="E185" s="77" t="s">
        <v>371</v>
      </c>
      <c r="F185" s="76">
        <v>4410</v>
      </c>
      <c r="G185" s="59" t="s">
        <v>497</v>
      </c>
      <c r="H185" s="59">
        <v>4647</v>
      </c>
      <c r="I185" s="60">
        <v>7896112106470</v>
      </c>
      <c r="J185" s="59" t="s">
        <v>200</v>
      </c>
      <c r="K185" s="61" t="s">
        <v>34</v>
      </c>
      <c r="L185" s="66">
        <v>1000</v>
      </c>
      <c r="M185" s="67">
        <v>3.8600000000000003</v>
      </c>
      <c r="N185" s="67">
        <v>3860</v>
      </c>
      <c r="O185" s="67">
        <v>3860</v>
      </c>
      <c r="P185" s="59" t="s">
        <v>495</v>
      </c>
    </row>
    <row r="186" spans="1:16" x14ac:dyDescent="0.25">
      <c r="A186" s="76">
        <v>2698760</v>
      </c>
      <c r="B186" s="76">
        <v>108342</v>
      </c>
      <c r="C186" s="59" t="s">
        <v>465</v>
      </c>
      <c r="D186" s="77" t="s">
        <v>372</v>
      </c>
      <c r="E186" s="77" t="s">
        <v>371</v>
      </c>
      <c r="F186" s="76">
        <v>4410</v>
      </c>
      <c r="G186" s="59" t="s">
        <v>497</v>
      </c>
      <c r="H186" s="59">
        <v>2556</v>
      </c>
      <c r="I186" s="60">
        <v>7896112125563</v>
      </c>
      <c r="J186" s="59" t="s">
        <v>102</v>
      </c>
      <c r="K186" s="61" t="s">
        <v>34</v>
      </c>
      <c r="L186" s="66">
        <v>200</v>
      </c>
      <c r="M186" s="67">
        <v>3.7399999999999998</v>
      </c>
      <c r="N186" s="67">
        <v>748</v>
      </c>
      <c r="O186" s="67">
        <v>748</v>
      </c>
      <c r="P186" s="59" t="s">
        <v>495</v>
      </c>
    </row>
    <row r="187" spans="1:16" x14ac:dyDescent="0.25">
      <c r="A187" s="76">
        <v>2698760</v>
      </c>
      <c r="B187" s="76">
        <v>108342</v>
      </c>
      <c r="C187" s="59" t="s">
        <v>465</v>
      </c>
      <c r="D187" s="77" t="s">
        <v>372</v>
      </c>
      <c r="E187" s="77" t="s">
        <v>371</v>
      </c>
      <c r="F187" s="76">
        <v>4410</v>
      </c>
      <c r="G187" s="59" t="s">
        <v>497</v>
      </c>
      <c r="H187" s="59">
        <v>7213</v>
      </c>
      <c r="I187" s="60">
        <v>7896112172130</v>
      </c>
      <c r="J187" s="59" t="s">
        <v>249</v>
      </c>
      <c r="K187" s="61" t="s">
        <v>34</v>
      </c>
      <c r="L187" s="66">
        <v>2000</v>
      </c>
      <c r="M187" s="67">
        <v>4.8499999999999996</v>
      </c>
      <c r="N187" s="67">
        <v>9700</v>
      </c>
      <c r="O187" s="67">
        <v>9700</v>
      </c>
      <c r="P187" s="59" t="s">
        <v>495</v>
      </c>
    </row>
    <row r="188" spans="1:16" x14ac:dyDescent="0.25">
      <c r="A188" s="76">
        <v>2698760</v>
      </c>
      <c r="B188" s="76">
        <v>108342</v>
      </c>
      <c r="C188" s="59" t="s">
        <v>465</v>
      </c>
      <c r="D188" s="77" t="s">
        <v>372</v>
      </c>
      <c r="E188" s="77" t="s">
        <v>371</v>
      </c>
      <c r="F188" s="76">
        <v>4410</v>
      </c>
      <c r="G188" s="59" t="s">
        <v>497</v>
      </c>
      <c r="H188" s="59">
        <v>4385</v>
      </c>
      <c r="I188" s="60">
        <v>7896112103851</v>
      </c>
      <c r="J188" s="59" t="s">
        <v>180</v>
      </c>
      <c r="K188" s="61" t="s">
        <v>34</v>
      </c>
      <c r="L188" s="66">
        <v>1300</v>
      </c>
      <c r="M188" s="67">
        <v>3.02</v>
      </c>
      <c r="N188" s="67">
        <v>3926</v>
      </c>
      <c r="O188" s="67">
        <v>3926</v>
      </c>
      <c r="P188" s="59" t="s">
        <v>495</v>
      </c>
    </row>
    <row r="189" spans="1:16" x14ac:dyDescent="0.25">
      <c r="A189" s="76">
        <v>2698802</v>
      </c>
      <c r="B189" s="76">
        <v>108342</v>
      </c>
      <c r="C189" s="59" t="s">
        <v>465</v>
      </c>
      <c r="D189" s="77" t="s">
        <v>372</v>
      </c>
      <c r="E189" s="77" t="s">
        <v>371</v>
      </c>
      <c r="F189" s="76">
        <v>4427</v>
      </c>
      <c r="G189" s="59" t="s">
        <v>497</v>
      </c>
      <c r="H189" s="59">
        <v>7027</v>
      </c>
      <c r="I189" s="60">
        <v>7896112170273</v>
      </c>
      <c r="J189" s="59" t="s">
        <v>242</v>
      </c>
      <c r="K189" s="61" t="s">
        <v>23</v>
      </c>
      <c r="L189" s="66">
        <v>600</v>
      </c>
      <c r="M189" s="67">
        <v>3.3600000000000003</v>
      </c>
      <c r="N189" s="67">
        <v>2016</v>
      </c>
      <c r="O189" s="67">
        <v>2016</v>
      </c>
      <c r="P189" s="59" t="s">
        <v>473</v>
      </c>
    </row>
    <row r="190" spans="1:16" x14ac:dyDescent="0.25">
      <c r="A190" s="76">
        <v>2698764</v>
      </c>
      <c r="B190" s="76">
        <v>108342</v>
      </c>
      <c r="C190" s="59" t="s">
        <v>465</v>
      </c>
      <c r="D190" s="77" t="s">
        <v>372</v>
      </c>
      <c r="E190" s="77" t="s">
        <v>371</v>
      </c>
      <c r="F190" s="76">
        <v>4439</v>
      </c>
      <c r="G190" s="59" t="s">
        <v>497</v>
      </c>
      <c r="H190" s="59">
        <v>9149</v>
      </c>
      <c r="I190" s="60">
        <v>7896112191490</v>
      </c>
      <c r="J190" s="59" t="s">
        <v>293</v>
      </c>
      <c r="K190" s="61" t="s">
        <v>34</v>
      </c>
      <c r="L190" s="66">
        <v>150</v>
      </c>
      <c r="M190" s="67">
        <v>5.05</v>
      </c>
      <c r="N190" s="67">
        <v>757.5</v>
      </c>
      <c r="O190" s="67">
        <v>757.5</v>
      </c>
      <c r="P190" s="59" t="s">
        <v>495</v>
      </c>
    </row>
    <row r="191" spans="1:16" x14ac:dyDescent="0.25">
      <c r="A191" s="76">
        <v>2698764</v>
      </c>
      <c r="B191" s="76">
        <v>108342</v>
      </c>
      <c r="C191" s="59" t="s">
        <v>465</v>
      </c>
      <c r="D191" s="77" t="s">
        <v>372</v>
      </c>
      <c r="E191" s="77" t="s">
        <v>371</v>
      </c>
      <c r="F191" s="76">
        <v>4439</v>
      </c>
      <c r="G191" s="59" t="s">
        <v>497</v>
      </c>
      <c r="H191" s="59">
        <v>4407</v>
      </c>
      <c r="I191" s="60">
        <v>7896112104070</v>
      </c>
      <c r="J191" s="59" t="s">
        <v>183</v>
      </c>
      <c r="K191" s="61" t="s">
        <v>23</v>
      </c>
      <c r="L191" s="66">
        <v>250</v>
      </c>
      <c r="M191" s="67">
        <v>45.93</v>
      </c>
      <c r="N191" s="67">
        <v>11482.5</v>
      </c>
      <c r="O191" s="67">
        <v>11482.5</v>
      </c>
      <c r="P191" s="59" t="s">
        <v>495</v>
      </c>
    </row>
    <row r="192" spans="1:16" x14ac:dyDescent="0.25">
      <c r="A192" s="76">
        <v>2698764</v>
      </c>
      <c r="B192" s="76">
        <v>108342</v>
      </c>
      <c r="C192" s="59" t="s">
        <v>465</v>
      </c>
      <c r="D192" s="77" t="s">
        <v>372</v>
      </c>
      <c r="E192" s="77" t="s">
        <v>371</v>
      </c>
      <c r="F192" s="76">
        <v>4439</v>
      </c>
      <c r="G192" s="59" t="s">
        <v>497</v>
      </c>
      <c r="H192" s="59">
        <v>7031</v>
      </c>
      <c r="I192" s="60">
        <v>7896112170310</v>
      </c>
      <c r="J192" s="59" t="s">
        <v>243</v>
      </c>
      <c r="K192" s="61" t="s">
        <v>34</v>
      </c>
      <c r="L192" s="66">
        <v>1000</v>
      </c>
      <c r="M192" s="67">
        <v>1.72</v>
      </c>
      <c r="N192" s="67">
        <v>1720</v>
      </c>
      <c r="O192" s="67">
        <v>1720</v>
      </c>
      <c r="P192" s="59" t="s">
        <v>495</v>
      </c>
    </row>
    <row r="193" spans="1:16" x14ac:dyDescent="0.25">
      <c r="A193" s="76">
        <v>2698764</v>
      </c>
      <c r="B193" s="76">
        <v>108342</v>
      </c>
      <c r="C193" s="59" t="s">
        <v>465</v>
      </c>
      <c r="D193" s="77" t="s">
        <v>372</v>
      </c>
      <c r="E193" s="77" t="s">
        <v>371</v>
      </c>
      <c r="F193" s="76">
        <v>4439</v>
      </c>
      <c r="G193" s="59" t="s">
        <v>497</v>
      </c>
      <c r="H193" s="59">
        <v>6565</v>
      </c>
      <c r="I193" s="60">
        <v>7896112165651</v>
      </c>
      <c r="J193" s="59" t="s">
        <v>235</v>
      </c>
      <c r="K193" s="61" t="s">
        <v>34</v>
      </c>
      <c r="L193" s="66">
        <v>3000</v>
      </c>
      <c r="M193" s="67">
        <v>0.94000000000000006</v>
      </c>
      <c r="N193" s="67">
        <v>2820</v>
      </c>
      <c r="O193" s="67">
        <v>2820</v>
      </c>
      <c r="P193" s="59" t="s">
        <v>495</v>
      </c>
    </row>
    <row r="194" spans="1:16" x14ac:dyDescent="0.25">
      <c r="A194" s="76">
        <v>2698764</v>
      </c>
      <c r="B194" s="76">
        <v>108342</v>
      </c>
      <c r="C194" s="59" t="s">
        <v>465</v>
      </c>
      <c r="D194" s="77" t="s">
        <v>372</v>
      </c>
      <c r="E194" s="77" t="s">
        <v>371</v>
      </c>
      <c r="F194" s="76">
        <v>4439</v>
      </c>
      <c r="G194" s="59" t="s">
        <v>497</v>
      </c>
      <c r="H194" s="59">
        <v>3300</v>
      </c>
      <c r="I194" s="60">
        <v>7896112133001</v>
      </c>
      <c r="J194" s="59" t="s">
        <v>138</v>
      </c>
      <c r="K194" s="61" t="s">
        <v>34</v>
      </c>
      <c r="L194" s="66">
        <v>560</v>
      </c>
      <c r="M194" s="67">
        <v>2.66</v>
      </c>
      <c r="N194" s="67">
        <v>1489.6</v>
      </c>
      <c r="O194" s="67">
        <v>1489.6</v>
      </c>
      <c r="P194" s="59" t="s">
        <v>495</v>
      </c>
    </row>
    <row r="195" spans="1:16" x14ac:dyDescent="0.25">
      <c r="A195" s="76">
        <v>2698764</v>
      </c>
      <c r="B195" s="76">
        <v>108342</v>
      </c>
      <c r="C195" s="59" t="s">
        <v>465</v>
      </c>
      <c r="D195" s="77" t="s">
        <v>372</v>
      </c>
      <c r="E195" s="77" t="s">
        <v>371</v>
      </c>
      <c r="F195" s="76">
        <v>4439</v>
      </c>
      <c r="G195" s="59" t="s">
        <v>497</v>
      </c>
      <c r="H195" s="59">
        <v>1441</v>
      </c>
      <c r="I195" s="60">
        <v>7896112114413</v>
      </c>
      <c r="J195" s="59" t="s">
        <v>64</v>
      </c>
      <c r="K195" s="61" t="s">
        <v>34</v>
      </c>
      <c r="L195" s="66">
        <v>4000</v>
      </c>
      <c r="M195" s="67">
        <v>1.49</v>
      </c>
      <c r="N195" s="67">
        <v>5960</v>
      </c>
      <c r="O195" s="67">
        <v>5960</v>
      </c>
      <c r="P195" s="59" t="s">
        <v>495</v>
      </c>
    </row>
    <row r="196" spans="1:16" x14ac:dyDescent="0.25">
      <c r="A196" s="76">
        <v>2698764</v>
      </c>
      <c r="B196" s="76">
        <v>108342</v>
      </c>
      <c r="C196" s="59" t="s">
        <v>465</v>
      </c>
      <c r="D196" s="77" t="s">
        <v>372</v>
      </c>
      <c r="E196" s="77" t="s">
        <v>371</v>
      </c>
      <c r="F196" s="76">
        <v>4439</v>
      </c>
      <c r="G196" s="59" t="s">
        <v>497</v>
      </c>
      <c r="H196" s="59">
        <v>5118</v>
      </c>
      <c r="I196" s="60">
        <v>7896112151180</v>
      </c>
      <c r="J196" s="59" t="s">
        <v>214</v>
      </c>
      <c r="K196" s="61" t="s">
        <v>34</v>
      </c>
      <c r="L196" s="66">
        <v>300</v>
      </c>
      <c r="M196" s="67">
        <v>41.510000000000005</v>
      </c>
      <c r="N196" s="67">
        <v>12453</v>
      </c>
      <c r="O196" s="67">
        <v>12453</v>
      </c>
      <c r="P196" s="59" t="s">
        <v>495</v>
      </c>
    </row>
    <row r="197" spans="1:16" x14ac:dyDescent="0.25">
      <c r="A197" s="76">
        <v>2698764</v>
      </c>
      <c r="B197" s="76">
        <v>108342</v>
      </c>
      <c r="C197" s="59" t="s">
        <v>465</v>
      </c>
      <c r="D197" s="77" t="s">
        <v>372</v>
      </c>
      <c r="E197" s="77" t="s">
        <v>371</v>
      </c>
      <c r="F197" s="76">
        <v>4439</v>
      </c>
      <c r="G197" s="59" t="s">
        <v>497</v>
      </c>
      <c r="H197" s="59">
        <v>86</v>
      </c>
      <c r="I197" s="60">
        <v>7896112140863</v>
      </c>
      <c r="J197" s="59" t="s">
        <v>25</v>
      </c>
      <c r="K197" s="61" t="s">
        <v>23</v>
      </c>
      <c r="L197" s="66">
        <v>450</v>
      </c>
      <c r="M197" s="67">
        <v>3.6100000000000003</v>
      </c>
      <c r="N197" s="67">
        <v>1624.5</v>
      </c>
      <c r="O197" s="67">
        <v>1624.5</v>
      </c>
      <c r="P197" s="59" t="s">
        <v>495</v>
      </c>
    </row>
    <row r="198" spans="1:16" x14ac:dyDescent="0.25">
      <c r="A198" s="76">
        <v>2698764</v>
      </c>
      <c r="B198" s="76">
        <v>108342</v>
      </c>
      <c r="C198" s="59" t="s">
        <v>465</v>
      </c>
      <c r="D198" s="77" t="s">
        <v>372</v>
      </c>
      <c r="E198" s="77" t="s">
        <v>371</v>
      </c>
      <c r="F198" s="76">
        <v>4439</v>
      </c>
      <c r="G198" s="59" t="s">
        <v>497</v>
      </c>
      <c r="H198" s="59">
        <v>2243</v>
      </c>
      <c r="I198" s="60">
        <v>7896112122432</v>
      </c>
      <c r="J198" s="59" t="s">
        <v>87</v>
      </c>
      <c r="K198" s="61" t="s">
        <v>23</v>
      </c>
      <c r="L198" s="66">
        <v>5000</v>
      </c>
      <c r="M198" s="67">
        <v>0.98000000000000009</v>
      </c>
      <c r="N198" s="67">
        <v>4900</v>
      </c>
      <c r="O198" s="67">
        <v>4900</v>
      </c>
      <c r="P198" s="59" t="s">
        <v>495</v>
      </c>
    </row>
    <row r="199" spans="1:16" x14ac:dyDescent="0.25">
      <c r="A199" s="76">
        <v>2698764</v>
      </c>
      <c r="B199" s="76">
        <v>108342</v>
      </c>
      <c r="C199" s="59" t="s">
        <v>465</v>
      </c>
      <c r="D199" s="77" t="s">
        <v>372</v>
      </c>
      <c r="E199" s="77" t="s">
        <v>371</v>
      </c>
      <c r="F199" s="76">
        <v>4439</v>
      </c>
      <c r="G199" s="59" t="s">
        <v>497</v>
      </c>
      <c r="H199" s="59">
        <v>4270</v>
      </c>
      <c r="I199" s="60">
        <v>7896112102700</v>
      </c>
      <c r="J199" s="59" t="s">
        <v>167</v>
      </c>
      <c r="K199" s="61" t="s">
        <v>34</v>
      </c>
      <c r="L199" s="66">
        <v>250</v>
      </c>
      <c r="M199" s="67">
        <v>6.21</v>
      </c>
      <c r="N199" s="67">
        <v>1552.5</v>
      </c>
      <c r="O199" s="67">
        <v>1552.5</v>
      </c>
      <c r="P199" s="59" t="s">
        <v>495</v>
      </c>
    </row>
    <row r="200" spans="1:16" x14ac:dyDescent="0.25">
      <c r="A200" s="76">
        <v>2698764</v>
      </c>
      <c r="B200" s="76">
        <v>108342</v>
      </c>
      <c r="C200" s="59" t="s">
        <v>465</v>
      </c>
      <c r="D200" s="77" t="s">
        <v>372</v>
      </c>
      <c r="E200" s="77" t="s">
        <v>371</v>
      </c>
      <c r="F200" s="76">
        <v>4439</v>
      </c>
      <c r="G200" s="59" t="s">
        <v>497</v>
      </c>
      <c r="H200" s="59">
        <v>2183</v>
      </c>
      <c r="I200" s="60">
        <v>7896112121831</v>
      </c>
      <c r="J200" s="59" t="s">
        <v>83</v>
      </c>
      <c r="K200" s="61" t="s">
        <v>34</v>
      </c>
      <c r="L200" s="66">
        <v>500</v>
      </c>
      <c r="M200" s="67">
        <v>3.46</v>
      </c>
      <c r="N200" s="67">
        <v>1730</v>
      </c>
      <c r="O200" s="67">
        <v>1730</v>
      </c>
      <c r="P200" s="59" t="s">
        <v>495</v>
      </c>
    </row>
    <row r="201" spans="1:16" x14ac:dyDescent="0.25">
      <c r="A201" s="76">
        <v>2698764</v>
      </c>
      <c r="B201" s="76">
        <v>108342</v>
      </c>
      <c r="C201" s="59" t="s">
        <v>465</v>
      </c>
      <c r="D201" s="77" t="s">
        <v>372</v>
      </c>
      <c r="E201" s="77" t="s">
        <v>371</v>
      </c>
      <c r="F201" s="76">
        <v>4439</v>
      </c>
      <c r="G201" s="59" t="s">
        <v>497</v>
      </c>
      <c r="H201" s="59">
        <v>868</v>
      </c>
      <c r="I201" s="60">
        <v>7896112148685</v>
      </c>
      <c r="J201" s="59" t="s">
        <v>45</v>
      </c>
      <c r="K201" s="61" t="s">
        <v>23</v>
      </c>
      <c r="L201" s="66">
        <v>2000</v>
      </c>
      <c r="M201" s="67">
        <v>2.35</v>
      </c>
      <c r="N201" s="67">
        <v>4700</v>
      </c>
      <c r="O201" s="67">
        <v>4700</v>
      </c>
      <c r="P201" s="59" t="s">
        <v>495</v>
      </c>
    </row>
    <row r="202" spans="1:16" x14ac:dyDescent="0.25">
      <c r="A202" s="76">
        <v>2698764</v>
      </c>
      <c r="B202" s="76">
        <v>108342</v>
      </c>
      <c r="C202" s="59" t="s">
        <v>465</v>
      </c>
      <c r="D202" s="77" t="s">
        <v>372</v>
      </c>
      <c r="E202" s="77" t="s">
        <v>371</v>
      </c>
      <c r="F202" s="76">
        <v>4439</v>
      </c>
      <c r="G202" s="59" t="s">
        <v>497</v>
      </c>
      <c r="H202" s="59">
        <v>4290</v>
      </c>
      <c r="I202" s="60">
        <v>7896112102908</v>
      </c>
      <c r="J202" s="59" t="s">
        <v>170</v>
      </c>
      <c r="K202" s="61" t="s">
        <v>23</v>
      </c>
      <c r="L202" s="66">
        <v>1000</v>
      </c>
      <c r="M202" s="67">
        <v>22.630000000000003</v>
      </c>
      <c r="N202" s="67">
        <v>22630</v>
      </c>
      <c r="O202" s="67">
        <v>22630</v>
      </c>
      <c r="P202" s="59" t="s">
        <v>495</v>
      </c>
    </row>
    <row r="203" spans="1:16" x14ac:dyDescent="0.25">
      <c r="A203" s="76">
        <v>2698764</v>
      </c>
      <c r="B203" s="76">
        <v>108342</v>
      </c>
      <c r="C203" s="59" t="s">
        <v>465</v>
      </c>
      <c r="D203" s="77" t="s">
        <v>372</v>
      </c>
      <c r="E203" s="77" t="s">
        <v>371</v>
      </c>
      <c r="F203" s="76">
        <v>4439</v>
      </c>
      <c r="G203" s="59" t="s">
        <v>497</v>
      </c>
      <c r="H203" s="59">
        <v>4251</v>
      </c>
      <c r="I203" s="60">
        <v>7896112102519</v>
      </c>
      <c r="J203" s="59" t="s">
        <v>165</v>
      </c>
      <c r="K203" s="61" t="s">
        <v>34</v>
      </c>
      <c r="L203" s="66">
        <v>600</v>
      </c>
      <c r="M203" s="67">
        <v>3.8</v>
      </c>
      <c r="N203" s="67">
        <v>2280</v>
      </c>
      <c r="O203" s="67">
        <v>2280</v>
      </c>
      <c r="P203" s="59" t="s">
        <v>495</v>
      </c>
    </row>
    <row r="204" spans="1:16" x14ac:dyDescent="0.25">
      <c r="A204" s="76">
        <v>2698764</v>
      </c>
      <c r="B204" s="76">
        <v>108342</v>
      </c>
      <c r="C204" s="59" t="s">
        <v>465</v>
      </c>
      <c r="D204" s="77" t="s">
        <v>372</v>
      </c>
      <c r="E204" s="77" t="s">
        <v>371</v>
      </c>
      <c r="F204" s="76">
        <v>4439</v>
      </c>
      <c r="G204" s="59" t="s">
        <v>497</v>
      </c>
      <c r="H204" s="59">
        <v>3680</v>
      </c>
      <c r="I204" s="60">
        <v>7896112136804</v>
      </c>
      <c r="J204" s="59" t="s">
        <v>148</v>
      </c>
      <c r="K204" s="61" t="s">
        <v>23</v>
      </c>
      <c r="L204" s="66">
        <v>2000</v>
      </c>
      <c r="M204" s="67">
        <v>2</v>
      </c>
      <c r="N204" s="67">
        <v>4000</v>
      </c>
      <c r="O204" s="67">
        <v>4000</v>
      </c>
      <c r="P204" s="59" t="s">
        <v>495</v>
      </c>
    </row>
    <row r="205" spans="1:16" x14ac:dyDescent="0.25">
      <c r="A205" s="76">
        <v>2698764</v>
      </c>
      <c r="B205" s="76">
        <v>108342</v>
      </c>
      <c r="C205" s="59" t="s">
        <v>465</v>
      </c>
      <c r="D205" s="77" t="s">
        <v>372</v>
      </c>
      <c r="E205" s="77" t="s">
        <v>371</v>
      </c>
      <c r="F205" s="76">
        <v>4439</v>
      </c>
      <c r="G205" s="59" t="s">
        <v>497</v>
      </c>
      <c r="H205" s="59">
        <v>1355</v>
      </c>
      <c r="I205" s="60">
        <v>7896112113553</v>
      </c>
      <c r="J205" s="59" t="s">
        <v>56</v>
      </c>
      <c r="K205" s="61" t="s">
        <v>34</v>
      </c>
      <c r="L205" s="66">
        <v>1000</v>
      </c>
      <c r="M205" s="67">
        <v>3.05</v>
      </c>
      <c r="N205" s="67">
        <v>3050</v>
      </c>
      <c r="O205" s="67">
        <v>3050</v>
      </c>
      <c r="P205" s="59" t="s">
        <v>495</v>
      </c>
    </row>
    <row r="206" spans="1:16" x14ac:dyDescent="0.25">
      <c r="A206" s="76">
        <v>2698764</v>
      </c>
      <c r="B206" s="76">
        <v>108342</v>
      </c>
      <c r="C206" s="59" t="s">
        <v>465</v>
      </c>
      <c r="D206" s="77" t="s">
        <v>372</v>
      </c>
      <c r="E206" s="77" t="s">
        <v>371</v>
      </c>
      <c r="F206" s="76">
        <v>4439</v>
      </c>
      <c r="G206" s="59" t="s">
        <v>497</v>
      </c>
      <c r="H206" s="59">
        <v>7266</v>
      </c>
      <c r="I206" s="60">
        <v>7896112172666</v>
      </c>
      <c r="J206" s="59" t="s">
        <v>251</v>
      </c>
      <c r="K206" s="61" t="s">
        <v>34</v>
      </c>
      <c r="L206" s="66">
        <v>500</v>
      </c>
      <c r="M206" s="67">
        <v>3.5200000000000005</v>
      </c>
      <c r="N206" s="67">
        <v>1760</v>
      </c>
      <c r="O206" s="67">
        <v>1760</v>
      </c>
      <c r="P206" s="59" t="s">
        <v>495</v>
      </c>
    </row>
    <row r="207" spans="1:16" x14ac:dyDescent="0.25">
      <c r="A207" s="76">
        <v>2698764</v>
      </c>
      <c r="B207" s="76">
        <v>108342</v>
      </c>
      <c r="C207" s="59" t="s">
        <v>465</v>
      </c>
      <c r="D207" s="77" t="s">
        <v>372</v>
      </c>
      <c r="E207" s="77" t="s">
        <v>371</v>
      </c>
      <c r="F207" s="76">
        <v>4439</v>
      </c>
      <c r="G207" s="59" t="s">
        <v>497</v>
      </c>
      <c r="H207" s="59">
        <v>1666</v>
      </c>
      <c r="I207" s="60">
        <v>7896112116660</v>
      </c>
      <c r="J207" s="59" t="s">
        <v>69</v>
      </c>
      <c r="K207" s="61" t="s">
        <v>34</v>
      </c>
      <c r="L207" s="66">
        <v>2000</v>
      </c>
      <c r="M207" s="67">
        <v>1.3</v>
      </c>
      <c r="N207" s="67">
        <v>2600</v>
      </c>
      <c r="O207" s="67">
        <v>2600</v>
      </c>
      <c r="P207" s="59" t="s">
        <v>495</v>
      </c>
    </row>
    <row r="208" spans="1:16" x14ac:dyDescent="0.25">
      <c r="A208" s="76">
        <v>2698764</v>
      </c>
      <c r="B208" s="76">
        <v>108342</v>
      </c>
      <c r="C208" s="59" t="s">
        <v>465</v>
      </c>
      <c r="D208" s="77" t="s">
        <v>372</v>
      </c>
      <c r="E208" s="77" t="s">
        <v>371</v>
      </c>
      <c r="F208" s="76">
        <v>4439</v>
      </c>
      <c r="G208" s="59" t="s">
        <v>497</v>
      </c>
      <c r="H208" s="59">
        <v>8992</v>
      </c>
      <c r="I208" s="60">
        <v>7896112189923</v>
      </c>
      <c r="J208" s="59" t="s">
        <v>266</v>
      </c>
      <c r="K208" s="61" t="s">
        <v>23</v>
      </c>
      <c r="L208" s="66">
        <v>400</v>
      </c>
      <c r="M208" s="67">
        <v>10.48</v>
      </c>
      <c r="N208" s="67">
        <v>4192</v>
      </c>
      <c r="O208" s="67">
        <v>4192</v>
      </c>
      <c r="P208" s="59" t="s">
        <v>495</v>
      </c>
    </row>
    <row r="209" spans="1:16" x14ac:dyDescent="0.25">
      <c r="A209" s="76">
        <v>2698764</v>
      </c>
      <c r="B209" s="76">
        <v>108342</v>
      </c>
      <c r="C209" s="59" t="s">
        <v>465</v>
      </c>
      <c r="D209" s="77" t="s">
        <v>372</v>
      </c>
      <c r="E209" s="77" t="s">
        <v>371</v>
      </c>
      <c r="F209" s="76">
        <v>4439</v>
      </c>
      <c r="G209" s="59" t="s">
        <v>497</v>
      </c>
      <c r="H209" s="59">
        <v>3638</v>
      </c>
      <c r="I209" s="60">
        <v>7896112136385</v>
      </c>
      <c r="J209" s="59" t="s">
        <v>146</v>
      </c>
      <c r="K209" s="61" t="s">
        <v>34</v>
      </c>
      <c r="L209" s="66">
        <v>1200</v>
      </c>
      <c r="M209" s="67">
        <v>1.9</v>
      </c>
      <c r="N209" s="67">
        <v>2280</v>
      </c>
      <c r="O209" s="67">
        <v>2280</v>
      </c>
      <c r="P209" s="59" t="s">
        <v>495</v>
      </c>
    </row>
    <row r="210" spans="1:16" x14ac:dyDescent="0.25">
      <c r="A210" s="76">
        <v>2698764</v>
      </c>
      <c r="B210" s="76">
        <v>108342</v>
      </c>
      <c r="C210" s="59" t="s">
        <v>465</v>
      </c>
      <c r="D210" s="77" t="s">
        <v>372</v>
      </c>
      <c r="E210" s="77" t="s">
        <v>371</v>
      </c>
      <c r="F210" s="76">
        <v>4439</v>
      </c>
      <c r="G210" s="59" t="s">
        <v>497</v>
      </c>
      <c r="H210" s="59">
        <v>1039</v>
      </c>
      <c r="I210" s="60">
        <v>7896112110392</v>
      </c>
      <c r="J210" s="59" t="s">
        <v>54</v>
      </c>
      <c r="K210" s="61" t="s">
        <v>34</v>
      </c>
      <c r="L210" s="66">
        <v>400</v>
      </c>
      <c r="M210" s="67">
        <v>7.58</v>
      </c>
      <c r="N210" s="67">
        <v>3032</v>
      </c>
      <c r="O210" s="67">
        <v>3032</v>
      </c>
      <c r="P210" s="59" t="s">
        <v>495</v>
      </c>
    </row>
    <row r="211" spans="1:16" x14ac:dyDescent="0.25">
      <c r="A211" s="76">
        <v>2698764</v>
      </c>
      <c r="B211" s="76">
        <v>108342</v>
      </c>
      <c r="C211" s="59" t="s">
        <v>465</v>
      </c>
      <c r="D211" s="77" t="s">
        <v>372</v>
      </c>
      <c r="E211" s="77" t="s">
        <v>371</v>
      </c>
      <c r="F211" s="76">
        <v>4439</v>
      </c>
      <c r="G211" s="59" t="s">
        <v>497</v>
      </c>
      <c r="H211" s="59">
        <v>2303</v>
      </c>
      <c r="I211" s="60">
        <v>7896112123033</v>
      </c>
      <c r="J211" s="59" t="s">
        <v>93</v>
      </c>
      <c r="K211" s="61" t="s">
        <v>34</v>
      </c>
      <c r="L211" s="66">
        <v>300</v>
      </c>
      <c r="M211" s="67">
        <v>11.18</v>
      </c>
      <c r="N211" s="67">
        <v>3354</v>
      </c>
      <c r="O211" s="67">
        <v>3354</v>
      </c>
      <c r="P211" s="59" t="s">
        <v>495</v>
      </c>
    </row>
    <row r="212" spans="1:16" x14ac:dyDescent="0.25">
      <c r="A212" s="76">
        <v>2698764</v>
      </c>
      <c r="B212" s="76">
        <v>108342</v>
      </c>
      <c r="C212" s="59" t="s">
        <v>465</v>
      </c>
      <c r="D212" s="77" t="s">
        <v>372</v>
      </c>
      <c r="E212" s="77" t="s">
        <v>371</v>
      </c>
      <c r="F212" s="76">
        <v>4439</v>
      </c>
      <c r="G212" s="59" t="s">
        <v>497</v>
      </c>
      <c r="H212" s="59">
        <v>9457</v>
      </c>
      <c r="I212" s="60">
        <v>7896112194576</v>
      </c>
      <c r="J212" s="59" t="s">
        <v>277</v>
      </c>
      <c r="K212" s="61" t="s">
        <v>34</v>
      </c>
      <c r="L212" s="66">
        <v>3000</v>
      </c>
      <c r="M212" s="67">
        <v>2.1</v>
      </c>
      <c r="N212" s="67">
        <v>6300</v>
      </c>
      <c r="O212" s="67">
        <v>6300</v>
      </c>
      <c r="P212" s="59" t="s">
        <v>495</v>
      </c>
    </row>
    <row r="213" spans="1:16" x14ac:dyDescent="0.25">
      <c r="A213" s="76">
        <v>2698764</v>
      </c>
      <c r="B213" s="76">
        <v>108342</v>
      </c>
      <c r="C213" s="59" t="s">
        <v>465</v>
      </c>
      <c r="D213" s="77" t="s">
        <v>372</v>
      </c>
      <c r="E213" s="77" t="s">
        <v>371</v>
      </c>
      <c r="F213" s="76">
        <v>4439</v>
      </c>
      <c r="G213" s="59" t="s">
        <v>497</v>
      </c>
      <c r="H213" s="59">
        <v>2767</v>
      </c>
      <c r="I213" s="60">
        <v>7896112127673</v>
      </c>
      <c r="J213" s="59" t="s">
        <v>120</v>
      </c>
      <c r="K213" s="61" t="s">
        <v>23</v>
      </c>
      <c r="L213" s="66">
        <v>1500</v>
      </c>
      <c r="M213" s="67">
        <v>2.33</v>
      </c>
      <c r="N213" s="67">
        <v>3495</v>
      </c>
      <c r="O213" s="67">
        <v>3495</v>
      </c>
      <c r="P213" s="59" t="s">
        <v>495</v>
      </c>
    </row>
    <row r="214" spans="1:16" x14ac:dyDescent="0.25">
      <c r="A214" s="76">
        <v>2698764</v>
      </c>
      <c r="B214" s="76">
        <v>108342</v>
      </c>
      <c r="C214" s="59" t="s">
        <v>465</v>
      </c>
      <c r="D214" s="77" t="s">
        <v>372</v>
      </c>
      <c r="E214" s="77" t="s">
        <v>371</v>
      </c>
      <c r="F214" s="76">
        <v>4439</v>
      </c>
      <c r="G214" s="59" t="s">
        <v>497</v>
      </c>
      <c r="H214" s="59">
        <v>9465</v>
      </c>
      <c r="I214" s="60">
        <v>7896112194651</v>
      </c>
      <c r="J214" s="59" t="s">
        <v>278</v>
      </c>
      <c r="K214" s="61" t="s">
        <v>23</v>
      </c>
      <c r="L214" s="66">
        <v>2000</v>
      </c>
      <c r="M214" s="67">
        <v>1.97</v>
      </c>
      <c r="N214" s="67">
        <v>3940</v>
      </c>
      <c r="O214" s="67">
        <v>3940</v>
      </c>
      <c r="P214" s="59" t="s">
        <v>495</v>
      </c>
    </row>
    <row r="215" spans="1:16" x14ac:dyDescent="0.25">
      <c r="A215" s="76">
        <v>2698764</v>
      </c>
      <c r="B215" s="76">
        <v>108342</v>
      </c>
      <c r="C215" s="59" t="s">
        <v>465</v>
      </c>
      <c r="D215" s="77" t="s">
        <v>372</v>
      </c>
      <c r="E215" s="77" t="s">
        <v>371</v>
      </c>
      <c r="F215" s="76">
        <v>4439</v>
      </c>
      <c r="G215" s="59" t="s">
        <v>497</v>
      </c>
      <c r="H215" s="59">
        <v>30</v>
      </c>
      <c r="I215" s="60">
        <v>7896112140306</v>
      </c>
      <c r="J215" s="59" t="s">
        <v>22</v>
      </c>
      <c r="K215" s="61" t="s">
        <v>23</v>
      </c>
      <c r="L215" s="66">
        <v>3000</v>
      </c>
      <c r="M215" s="67">
        <v>2.3199999999999998</v>
      </c>
      <c r="N215" s="67">
        <v>6960</v>
      </c>
      <c r="O215" s="67">
        <v>6960</v>
      </c>
      <c r="P215" s="59" t="s">
        <v>495</v>
      </c>
    </row>
    <row r="216" spans="1:16" x14ac:dyDescent="0.25">
      <c r="A216" s="76">
        <v>2698764</v>
      </c>
      <c r="B216" s="76">
        <v>108342</v>
      </c>
      <c r="C216" s="59" t="s">
        <v>465</v>
      </c>
      <c r="D216" s="77" t="s">
        <v>372</v>
      </c>
      <c r="E216" s="77" t="s">
        <v>371</v>
      </c>
      <c r="F216" s="76">
        <v>4439</v>
      </c>
      <c r="G216" s="59" t="s">
        <v>497</v>
      </c>
      <c r="H216" s="59">
        <v>790</v>
      </c>
      <c r="I216" s="60">
        <v>7896112147909</v>
      </c>
      <c r="J216" s="59" t="s">
        <v>42</v>
      </c>
      <c r="K216" s="61" t="s">
        <v>34</v>
      </c>
      <c r="L216" s="66">
        <v>2000</v>
      </c>
      <c r="M216" s="67">
        <v>1.86</v>
      </c>
      <c r="N216" s="67">
        <v>3720</v>
      </c>
      <c r="O216" s="67">
        <v>3720</v>
      </c>
      <c r="P216" s="59" t="s">
        <v>495</v>
      </c>
    </row>
    <row r="217" spans="1:16" x14ac:dyDescent="0.25">
      <c r="A217" s="76">
        <v>2698764</v>
      </c>
      <c r="B217" s="76">
        <v>108342</v>
      </c>
      <c r="C217" s="59" t="s">
        <v>465</v>
      </c>
      <c r="D217" s="77" t="s">
        <v>372</v>
      </c>
      <c r="E217" s="77" t="s">
        <v>371</v>
      </c>
      <c r="F217" s="76">
        <v>4439</v>
      </c>
      <c r="G217" s="59" t="s">
        <v>497</v>
      </c>
      <c r="H217" s="59">
        <v>2743</v>
      </c>
      <c r="I217" s="60">
        <v>7896112127437</v>
      </c>
      <c r="J217" s="59" t="s">
        <v>117</v>
      </c>
      <c r="K217" s="61" t="s">
        <v>34</v>
      </c>
      <c r="L217" s="66">
        <v>500</v>
      </c>
      <c r="M217" s="67">
        <v>3.25</v>
      </c>
      <c r="N217" s="67">
        <v>1625</v>
      </c>
      <c r="O217" s="67">
        <v>1625</v>
      </c>
      <c r="P217" s="59" t="s">
        <v>495</v>
      </c>
    </row>
    <row r="218" spans="1:16" x14ac:dyDescent="0.25">
      <c r="A218" s="76">
        <v>2698764</v>
      </c>
      <c r="B218" s="76">
        <v>108342</v>
      </c>
      <c r="C218" s="59" t="s">
        <v>465</v>
      </c>
      <c r="D218" s="77" t="s">
        <v>372</v>
      </c>
      <c r="E218" s="77" t="s">
        <v>371</v>
      </c>
      <c r="F218" s="76">
        <v>4439</v>
      </c>
      <c r="G218" s="59" t="s">
        <v>497</v>
      </c>
      <c r="H218" s="59">
        <v>1960</v>
      </c>
      <c r="I218" s="60">
        <v>7896112119609</v>
      </c>
      <c r="J218" s="59" t="s">
        <v>75</v>
      </c>
      <c r="K218" s="61" t="s">
        <v>34</v>
      </c>
      <c r="L218" s="66">
        <v>300</v>
      </c>
      <c r="M218" s="67">
        <v>4.8499999999999996</v>
      </c>
      <c r="N218" s="67">
        <v>1455</v>
      </c>
      <c r="O218" s="67">
        <v>1455</v>
      </c>
      <c r="P218" s="59" t="s">
        <v>495</v>
      </c>
    </row>
    <row r="219" spans="1:16" x14ac:dyDescent="0.25">
      <c r="A219" s="76">
        <v>2698764</v>
      </c>
      <c r="B219" s="76">
        <v>108342</v>
      </c>
      <c r="C219" s="59" t="s">
        <v>465</v>
      </c>
      <c r="D219" s="77" t="s">
        <v>372</v>
      </c>
      <c r="E219" s="77" t="s">
        <v>371</v>
      </c>
      <c r="F219" s="76">
        <v>4439</v>
      </c>
      <c r="G219" s="59" t="s">
        <v>497</v>
      </c>
      <c r="H219" s="59">
        <v>4377</v>
      </c>
      <c r="I219" s="60">
        <v>7896112103776</v>
      </c>
      <c r="J219" s="59" t="s">
        <v>176</v>
      </c>
      <c r="K219" s="61" t="s">
        <v>23</v>
      </c>
      <c r="L219" s="66">
        <v>500</v>
      </c>
      <c r="M219" s="67">
        <v>10.48</v>
      </c>
      <c r="N219" s="67">
        <v>5240</v>
      </c>
      <c r="O219" s="67">
        <v>5240</v>
      </c>
      <c r="P219" s="59" t="s">
        <v>495</v>
      </c>
    </row>
    <row r="220" spans="1:16" x14ac:dyDescent="0.25">
      <c r="A220" s="76">
        <v>2699229</v>
      </c>
      <c r="B220" s="76">
        <v>108342</v>
      </c>
      <c r="C220" s="59" t="s">
        <v>465</v>
      </c>
      <c r="D220" s="77" t="s">
        <v>372</v>
      </c>
      <c r="E220" s="77" t="s">
        <v>371</v>
      </c>
      <c r="F220" s="76">
        <v>4500</v>
      </c>
      <c r="G220" s="59" t="s">
        <v>497</v>
      </c>
      <c r="H220" s="59">
        <v>8100</v>
      </c>
      <c r="I220" s="60">
        <v>7896112181002</v>
      </c>
      <c r="J220" s="59" t="s">
        <v>258</v>
      </c>
      <c r="K220" s="61" t="s">
        <v>34</v>
      </c>
      <c r="L220" s="66">
        <v>450</v>
      </c>
      <c r="M220" s="67">
        <v>7.7799999999999994</v>
      </c>
      <c r="N220" s="67">
        <v>3501</v>
      </c>
      <c r="O220" s="67">
        <v>3501</v>
      </c>
      <c r="P220" s="59" t="s">
        <v>473</v>
      </c>
    </row>
    <row r="221" spans="1:16" x14ac:dyDescent="0.25">
      <c r="A221" s="76">
        <v>2699230</v>
      </c>
      <c r="B221" s="76">
        <v>108342</v>
      </c>
      <c r="C221" s="59" t="s">
        <v>465</v>
      </c>
      <c r="D221" s="77" t="s">
        <v>372</v>
      </c>
      <c r="E221" s="77" t="s">
        <v>371</v>
      </c>
      <c r="F221" s="76">
        <v>4537</v>
      </c>
      <c r="G221" s="59" t="s">
        <v>497</v>
      </c>
      <c r="H221" s="59">
        <v>4427</v>
      </c>
      <c r="I221" s="60">
        <v>7896112104278</v>
      </c>
      <c r="J221" s="59" t="s">
        <v>185</v>
      </c>
      <c r="K221" s="61" t="s">
        <v>23</v>
      </c>
      <c r="L221" s="66">
        <v>600</v>
      </c>
      <c r="M221" s="67">
        <v>6.26</v>
      </c>
      <c r="N221" s="67">
        <v>3756</v>
      </c>
      <c r="O221" s="67">
        <v>3756</v>
      </c>
      <c r="P221" s="59" t="s">
        <v>495</v>
      </c>
    </row>
    <row r="222" spans="1:16" x14ac:dyDescent="0.25">
      <c r="A222" s="76">
        <v>2699860</v>
      </c>
      <c r="B222" s="76">
        <v>108342</v>
      </c>
      <c r="C222" s="59" t="s">
        <v>465</v>
      </c>
      <c r="D222" s="77" t="s">
        <v>372</v>
      </c>
      <c r="E222" s="77" t="s">
        <v>368</v>
      </c>
      <c r="F222" s="76">
        <v>63305</v>
      </c>
      <c r="G222" s="59" t="s">
        <v>498</v>
      </c>
      <c r="H222" s="59">
        <v>212</v>
      </c>
      <c r="I222" s="60">
        <v>7896112142126</v>
      </c>
      <c r="J222" s="59" t="s">
        <v>32</v>
      </c>
      <c r="K222" s="61" t="s">
        <v>23</v>
      </c>
      <c r="L222" s="66">
        <v>600</v>
      </c>
      <c r="M222" s="67">
        <v>4.4799999999999995</v>
      </c>
      <c r="N222" s="67">
        <v>2688</v>
      </c>
      <c r="O222" s="67">
        <v>2688</v>
      </c>
      <c r="P222" s="59" t="s">
        <v>472</v>
      </c>
    </row>
    <row r="223" spans="1:16" x14ac:dyDescent="0.25">
      <c r="A223" s="76">
        <v>2700207</v>
      </c>
      <c r="B223" s="76">
        <v>108342</v>
      </c>
      <c r="C223" s="59" t="s">
        <v>465</v>
      </c>
      <c r="D223" s="77" t="s">
        <v>372</v>
      </c>
      <c r="E223" s="77" t="s">
        <v>368</v>
      </c>
      <c r="F223" s="76">
        <v>63416</v>
      </c>
      <c r="G223" s="59" t="s">
        <v>498</v>
      </c>
      <c r="H223" s="59">
        <v>844</v>
      </c>
      <c r="I223" s="60">
        <v>7896112108443</v>
      </c>
      <c r="J223" s="59" t="s">
        <v>324</v>
      </c>
      <c r="K223" s="61" t="s">
        <v>34</v>
      </c>
      <c r="L223" s="66">
        <v>5000</v>
      </c>
      <c r="M223" s="67">
        <v>11.23</v>
      </c>
      <c r="N223" s="67">
        <v>56150</v>
      </c>
      <c r="O223" s="67">
        <v>56150</v>
      </c>
      <c r="P223" s="59" t="s">
        <v>495</v>
      </c>
    </row>
    <row r="224" spans="1:16" x14ac:dyDescent="0.25">
      <c r="A224" s="76">
        <v>2700465</v>
      </c>
      <c r="B224" s="76">
        <v>108342</v>
      </c>
      <c r="C224" s="59" t="s">
        <v>465</v>
      </c>
      <c r="D224" s="77" t="s">
        <v>372</v>
      </c>
      <c r="E224" s="77" t="s">
        <v>368</v>
      </c>
      <c r="F224" s="76">
        <v>63671</v>
      </c>
      <c r="G224" s="59" t="s">
        <v>499</v>
      </c>
      <c r="H224" s="59">
        <v>4163</v>
      </c>
      <c r="I224" s="60">
        <v>7896112101635</v>
      </c>
      <c r="J224" s="59" t="s">
        <v>162</v>
      </c>
      <c r="K224" s="61" t="s">
        <v>34</v>
      </c>
      <c r="L224" s="66">
        <v>360</v>
      </c>
      <c r="M224" s="67">
        <v>3.22</v>
      </c>
      <c r="N224" s="67">
        <v>1159.2</v>
      </c>
      <c r="O224" s="67">
        <v>1159.2</v>
      </c>
      <c r="P224" s="59" t="s">
        <v>472</v>
      </c>
    </row>
    <row r="225" spans="1:16" x14ac:dyDescent="0.25">
      <c r="A225" s="76">
        <v>2700827</v>
      </c>
      <c r="B225" s="76">
        <v>108342</v>
      </c>
      <c r="C225" s="59" t="s">
        <v>465</v>
      </c>
      <c r="D225" s="77" t="s">
        <v>372</v>
      </c>
      <c r="E225" s="77" t="s">
        <v>368</v>
      </c>
      <c r="F225" s="76">
        <v>63871</v>
      </c>
      <c r="G225" s="59" t="s">
        <v>500</v>
      </c>
      <c r="H225" s="59">
        <v>2490</v>
      </c>
      <c r="I225" s="60">
        <v>7896112124900</v>
      </c>
      <c r="J225" s="59" t="s">
        <v>99</v>
      </c>
      <c r="K225" s="61" t="s">
        <v>34</v>
      </c>
      <c r="L225" s="66">
        <v>100</v>
      </c>
      <c r="M225" s="67">
        <v>3.45</v>
      </c>
      <c r="N225" s="67">
        <v>345</v>
      </c>
      <c r="O225" s="67">
        <v>345</v>
      </c>
      <c r="P225" s="59" t="s">
        <v>467</v>
      </c>
    </row>
    <row r="226" spans="1:16" x14ac:dyDescent="0.25">
      <c r="A226" s="76">
        <v>2700827</v>
      </c>
      <c r="B226" s="76">
        <v>108342</v>
      </c>
      <c r="C226" s="59" t="s">
        <v>465</v>
      </c>
      <c r="D226" s="77" t="s">
        <v>372</v>
      </c>
      <c r="E226" s="77" t="s">
        <v>368</v>
      </c>
      <c r="F226" s="76">
        <v>63871</v>
      </c>
      <c r="G226" s="59" t="s">
        <v>500</v>
      </c>
      <c r="H226" s="59">
        <v>3386</v>
      </c>
      <c r="I226" s="60">
        <v>7896112133865</v>
      </c>
      <c r="J226" s="59" t="s">
        <v>139</v>
      </c>
      <c r="K226" s="61" t="s">
        <v>34</v>
      </c>
      <c r="L226" s="66">
        <v>90</v>
      </c>
      <c r="M226" s="67">
        <v>3.35</v>
      </c>
      <c r="N226" s="67">
        <v>301.5</v>
      </c>
      <c r="O226" s="67">
        <v>301.5</v>
      </c>
      <c r="P226" s="59" t="s">
        <v>467</v>
      </c>
    </row>
    <row r="227" spans="1:16" x14ac:dyDescent="0.25">
      <c r="A227" s="76">
        <v>2699827</v>
      </c>
      <c r="B227" s="76">
        <v>108342</v>
      </c>
      <c r="C227" s="59" t="s">
        <v>465</v>
      </c>
      <c r="D227" s="77" t="s">
        <v>372</v>
      </c>
      <c r="E227" s="77" t="s">
        <v>371</v>
      </c>
      <c r="F227" s="76">
        <v>4678</v>
      </c>
      <c r="G227" s="59" t="s">
        <v>500</v>
      </c>
      <c r="H227" s="59">
        <v>4849</v>
      </c>
      <c r="I227" s="60">
        <v>7896112148494</v>
      </c>
      <c r="J227" s="59" t="s">
        <v>209</v>
      </c>
      <c r="K227" s="61" t="s">
        <v>34</v>
      </c>
      <c r="L227" s="66">
        <v>600</v>
      </c>
      <c r="M227" s="67">
        <v>6.26</v>
      </c>
      <c r="N227" s="67">
        <v>3756</v>
      </c>
      <c r="O227" s="67">
        <v>3756</v>
      </c>
      <c r="P227" s="59" t="s">
        <v>473</v>
      </c>
    </row>
    <row r="228" spans="1:16" x14ac:dyDescent="0.25">
      <c r="A228" s="76">
        <v>2699833</v>
      </c>
      <c r="B228" s="76">
        <v>108342</v>
      </c>
      <c r="C228" s="59" t="s">
        <v>465</v>
      </c>
      <c r="D228" s="77" t="s">
        <v>372</v>
      </c>
      <c r="E228" s="77" t="s">
        <v>371</v>
      </c>
      <c r="F228" s="76">
        <v>4719</v>
      </c>
      <c r="G228" s="59" t="s">
        <v>500</v>
      </c>
      <c r="H228" s="59">
        <v>4849</v>
      </c>
      <c r="I228" s="60">
        <v>7896112148494</v>
      </c>
      <c r="J228" s="59" t="s">
        <v>209</v>
      </c>
      <c r="K228" s="61" t="s">
        <v>34</v>
      </c>
      <c r="L228" s="66">
        <v>2400</v>
      </c>
      <c r="M228" s="67">
        <v>6.39</v>
      </c>
      <c r="N228" s="67">
        <v>15336</v>
      </c>
      <c r="O228" s="67">
        <v>15336</v>
      </c>
      <c r="P228" s="59" t="s">
        <v>495</v>
      </c>
    </row>
    <row r="229" spans="1:16" x14ac:dyDescent="0.25">
      <c r="A229" s="76">
        <v>2701036</v>
      </c>
      <c r="B229" s="76">
        <v>108342</v>
      </c>
      <c r="C229" s="59" t="s">
        <v>465</v>
      </c>
      <c r="D229" s="77" t="s">
        <v>372</v>
      </c>
      <c r="E229" s="77" t="s">
        <v>368</v>
      </c>
      <c r="F229" s="76">
        <v>64135</v>
      </c>
      <c r="G229" s="59" t="s">
        <v>500</v>
      </c>
      <c r="H229" s="59">
        <v>212</v>
      </c>
      <c r="I229" s="60">
        <v>7896112142126</v>
      </c>
      <c r="J229" s="59" t="s">
        <v>32</v>
      </c>
      <c r="K229" s="61" t="s">
        <v>23</v>
      </c>
      <c r="L229" s="66">
        <v>300</v>
      </c>
      <c r="M229" s="67">
        <v>4.8</v>
      </c>
      <c r="N229" s="67">
        <v>1440</v>
      </c>
      <c r="O229" s="67">
        <v>1440</v>
      </c>
      <c r="P229" s="59" t="s">
        <v>473</v>
      </c>
    </row>
    <row r="230" spans="1:16" x14ac:dyDescent="0.25">
      <c r="A230" s="76">
        <v>2701022</v>
      </c>
      <c r="B230" s="76">
        <v>108342</v>
      </c>
      <c r="C230" s="59" t="s">
        <v>465</v>
      </c>
      <c r="D230" s="77" t="s">
        <v>372</v>
      </c>
      <c r="E230" s="77" t="s">
        <v>368</v>
      </c>
      <c r="F230" s="76">
        <v>64198</v>
      </c>
      <c r="G230" s="59" t="s">
        <v>500</v>
      </c>
      <c r="H230" s="59">
        <v>2114</v>
      </c>
      <c r="I230" s="60">
        <v>7896112121145</v>
      </c>
      <c r="J230" s="59" t="s">
        <v>81</v>
      </c>
      <c r="K230" s="61" t="s">
        <v>34</v>
      </c>
      <c r="L230" s="66">
        <v>2000</v>
      </c>
      <c r="M230" s="67">
        <v>1.56</v>
      </c>
      <c r="N230" s="67">
        <v>3120</v>
      </c>
      <c r="O230" s="67">
        <v>3120</v>
      </c>
      <c r="P230" s="59" t="s">
        <v>495</v>
      </c>
    </row>
    <row r="231" spans="1:16" x14ac:dyDescent="0.25">
      <c r="A231" s="76">
        <v>2701022</v>
      </c>
      <c r="B231" s="76">
        <v>108342</v>
      </c>
      <c r="C231" s="59" t="s">
        <v>465</v>
      </c>
      <c r="D231" s="77" t="s">
        <v>372</v>
      </c>
      <c r="E231" s="77" t="s">
        <v>368</v>
      </c>
      <c r="F231" s="76">
        <v>64198</v>
      </c>
      <c r="G231" s="59" t="s">
        <v>500</v>
      </c>
      <c r="H231" s="59">
        <v>5959</v>
      </c>
      <c r="I231" s="60">
        <v>7896112159599</v>
      </c>
      <c r="J231" s="59" t="s">
        <v>224</v>
      </c>
      <c r="K231" s="61" t="s">
        <v>34</v>
      </c>
      <c r="L231" s="66">
        <v>1500</v>
      </c>
      <c r="M231" s="67">
        <v>7.65</v>
      </c>
      <c r="N231" s="67">
        <v>11475</v>
      </c>
      <c r="O231" s="67">
        <v>11475</v>
      </c>
      <c r="P231" s="59" t="s">
        <v>495</v>
      </c>
    </row>
    <row r="232" spans="1:16" x14ac:dyDescent="0.25">
      <c r="A232" s="76">
        <v>2701022</v>
      </c>
      <c r="B232" s="76">
        <v>108342</v>
      </c>
      <c r="C232" s="59" t="s">
        <v>465</v>
      </c>
      <c r="D232" s="77" t="s">
        <v>372</v>
      </c>
      <c r="E232" s="77" t="s">
        <v>368</v>
      </c>
      <c r="F232" s="76">
        <v>64198</v>
      </c>
      <c r="G232" s="59" t="s">
        <v>500</v>
      </c>
      <c r="H232" s="59">
        <v>4385</v>
      </c>
      <c r="I232" s="60">
        <v>7896112103851</v>
      </c>
      <c r="J232" s="59" t="s">
        <v>180</v>
      </c>
      <c r="K232" s="61" t="s">
        <v>34</v>
      </c>
      <c r="L232" s="66">
        <v>700</v>
      </c>
      <c r="M232" s="67">
        <v>3.02</v>
      </c>
      <c r="N232" s="67">
        <v>2114</v>
      </c>
      <c r="O232" s="67">
        <v>2114</v>
      </c>
      <c r="P232" s="59" t="s">
        <v>495</v>
      </c>
    </row>
    <row r="233" spans="1:16" x14ac:dyDescent="0.25">
      <c r="A233" s="76">
        <v>2701096</v>
      </c>
      <c r="B233" s="76">
        <v>108342</v>
      </c>
      <c r="C233" s="59" t="s">
        <v>465</v>
      </c>
      <c r="D233" s="77" t="s">
        <v>372</v>
      </c>
      <c r="E233" s="77" t="s">
        <v>368</v>
      </c>
      <c r="F233" s="76">
        <v>64213</v>
      </c>
      <c r="G233" s="59" t="s">
        <v>500</v>
      </c>
      <c r="H233" s="59">
        <v>4743</v>
      </c>
      <c r="I233" s="60">
        <v>7896112107439</v>
      </c>
      <c r="J233" s="59" t="s">
        <v>202</v>
      </c>
      <c r="K233" s="61" t="s">
        <v>34</v>
      </c>
      <c r="L233" s="66">
        <v>2800</v>
      </c>
      <c r="M233" s="67">
        <v>2.4699999999999998</v>
      </c>
      <c r="N233" s="67">
        <v>6916</v>
      </c>
      <c r="O233" s="67">
        <v>6916</v>
      </c>
      <c r="P233" s="59" t="s">
        <v>495</v>
      </c>
    </row>
    <row r="234" spans="1:16" x14ac:dyDescent="0.25">
      <c r="A234" s="76">
        <v>2701096</v>
      </c>
      <c r="B234" s="76">
        <v>108342</v>
      </c>
      <c r="C234" s="59" t="s">
        <v>465</v>
      </c>
      <c r="D234" s="77" t="s">
        <v>372</v>
      </c>
      <c r="E234" s="77" t="s">
        <v>368</v>
      </c>
      <c r="F234" s="76">
        <v>64213</v>
      </c>
      <c r="G234" s="59" t="s">
        <v>500</v>
      </c>
      <c r="H234" s="59">
        <v>4266</v>
      </c>
      <c r="I234" s="60">
        <v>7896112102663</v>
      </c>
      <c r="J234" s="59" t="s">
        <v>166</v>
      </c>
      <c r="K234" s="61" t="s">
        <v>34</v>
      </c>
      <c r="L234" s="66">
        <v>240</v>
      </c>
      <c r="M234" s="67">
        <v>6.65</v>
      </c>
      <c r="N234" s="67">
        <v>1596</v>
      </c>
      <c r="O234" s="67">
        <v>1596</v>
      </c>
      <c r="P234" s="59" t="s">
        <v>495</v>
      </c>
    </row>
    <row r="235" spans="1:16" x14ac:dyDescent="0.25">
      <c r="A235" s="76">
        <v>2701096</v>
      </c>
      <c r="B235" s="76">
        <v>108342</v>
      </c>
      <c r="C235" s="59" t="s">
        <v>465</v>
      </c>
      <c r="D235" s="77" t="s">
        <v>372</v>
      </c>
      <c r="E235" s="77" t="s">
        <v>368</v>
      </c>
      <c r="F235" s="76">
        <v>64213</v>
      </c>
      <c r="G235" s="59" t="s">
        <v>500</v>
      </c>
      <c r="H235" s="59">
        <v>2367</v>
      </c>
      <c r="I235" s="60">
        <v>7896112123675</v>
      </c>
      <c r="J235" s="59" t="s">
        <v>96</v>
      </c>
      <c r="K235" s="61" t="s">
        <v>23</v>
      </c>
      <c r="L235" s="66">
        <v>300</v>
      </c>
      <c r="M235" s="67">
        <v>6.5400000000000009</v>
      </c>
      <c r="N235" s="67">
        <v>1962</v>
      </c>
      <c r="O235" s="67">
        <v>1962</v>
      </c>
      <c r="P235" s="59" t="s">
        <v>495</v>
      </c>
    </row>
    <row r="236" spans="1:16" x14ac:dyDescent="0.25">
      <c r="A236" s="76">
        <v>2701096</v>
      </c>
      <c r="B236" s="76">
        <v>108342</v>
      </c>
      <c r="C236" s="59" t="s">
        <v>465</v>
      </c>
      <c r="D236" s="77" t="s">
        <v>372</v>
      </c>
      <c r="E236" s="77" t="s">
        <v>368</v>
      </c>
      <c r="F236" s="76">
        <v>64213</v>
      </c>
      <c r="G236" s="59" t="s">
        <v>500</v>
      </c>
      <c r="H236" s="59">
        <v>1057</v>
      </c>
      <c r="I236" s="60">
        <v>7896112110576</v>
      </c>
      <c r="J236" s="59" t="s">
        <v>55</v>
      </c>
      <c r="K236" s="61" t="s">
        <v>34</v>
      </c>
      <c r="L236" s="66">
        <v>6000</v>
      </c>
      <c r="M236" s="67">
        <v>1.4300000000000002</v>
      </c>
      <c r="N236" s="67">
        <v>8580</v>
      </c>
      <c r="O236" s="67">
        <v>8580</v>
      </c>
      <c r="P236" s="59" t="s">
        <v>495</v>
      </c>
    </row>
    <row r="237" spans="1:16" x14ac:dyDescent="0.25">
      <c r="A237" s="76">
        <v>2701096</v>
      </c>
      <c r="B237" s="76">
        <v>108342</v>
      </c>
      <c r="C237" s="59" t="s">
        <v>465</v>
      </c>
      <c r="D237" s="77" t="s">
        <v>372</v>
      </c>
      <c r="E237" s="77" t="s">
        <v>368</v>
      </c>
      <c r="F237" s="76">
        <v>64213</v>
      </c>
      <c r="G237" s="59" t="s">
        <v>500</v>
      </c>
      <c r="H237" s="59">
        <v>5086</v>
      </c>
      <c r="I237" s="60">
        <v>7896112150862</v>
      </c>
      <c r="J237" s="59" t="s">
        <v>212</v>
      </c>
      <c r="K237" s="61" t="s">
        <v>23</v>
      </c>
      <c r="L237" s="66">
        <v>300</v>
      </c>
      <c r="M237" s="67">
        <v>4.43</v>
      </c>
      <c r="N237" s="67">
        <v>1329</v>
      </c>
      <c r="O237" s="67">
        <v>1329</v>
      </c>
      <c r="P237" s="59" t="s">
        <v>495</v>
      </c>
    </row>
    <row r="238" spans="1:16" x14ac:dyDescent="0.25">
      <c r="A238" s="76">
        <v>2701096</v>
      </c>
      <c r="B238" s="76">
        <v>108342</v>
      </c>
      <c r="C238" s="59" t="s">
        <v>465</v>
      </c>
      <c r="D238" s="77" t="s">
        <v>372</v>
      </c>
      <c r="E238" s="77" t="s">
        <v>368</v>
      </c>
      <c r="F238" s="76">
        <v>64213</v>
      </c>
      <c r="G238" s="59" t="s">
        <v>500</v>
      </c>
      <c r="H238" s="59">
        <v>2317</v>
      </c>
      <c r="I238" s="60">
        <v>7896112123170</v>
      </c>
      <c r="J238" s="59" t="s">
        <v>95</v>
      </c>
      <c r="K238" s="61" t="s">
        <v>34</v>
      </c>
      <c r="L238" s="66">
        <v>300</v>
      </c>
      <c r="M238" s="67">
        <v>3.0100000000000002</v>
      </c>
      <c r="N238" s="67">
        <v>903</v>
      </c>
      <c r="O238" s="67">
        <v>903</v>
      </c>
      <c r="P238" s="59" t="s">
        <v>495</v>
      </c>
    </row>
    <row r="239" spans="1:16" x14ac:dyDescent="0.25">
      <c r="A239" s="76">
        <v>2701096</v>
      </c>
      <c r="B239" s="76">
        <v>108342</v>
      </c>
      <c r="C239" s="59" t="s">
        <v>465</v>
      </c>
      <c r="D239" s="77" t="s">
        <v>372</v>
      </c>
      <c r="E239" s="77" t="s">
        <v>368</v>
      </c>
      <c r="F239" s="76">
        <v>64213</v>
      </c>
      <c r="G239" s="59" t="s">
        <v>500</v>
      </c>
      <c r="H239" s="59">
        <v>4163</v>
      </c>
      <c r="I239" s="60">
        <v>7896112101635</v>
      </c>
      <c r="J239" s="59" t="s">
        <v>162</v>
      </c>
      <c r="K239" s="61" t="s">
        <v>34</v>
      </c>
      <c r="L239" s="66">
        <v>270</v>
      </c>
      <c r="M239" s="67">
        <v>3.5</v>
      </c>
      <c r="N239" s="67">
        <v>945</v>
      </c>
      <c r="O239" s="67">
        <v>945</v>
      </c>
      <c r="P239" s="59" t="s">
        <v>495</v>
      </c>
    </row>
    <row r="240" spans="1:16" x14ac:dyDescent="0.25">
      <c r="A240" s="76">
        <v>2701096</v>
      </c>
      <c r="B240" s="76">
        <v>108342</v>
      </c>
      <c r="C240" s="59" t="s">
        <v>465</v>
      </c>
      <c r="D240" s="77" t="s">
        <v>372</v>
      </c>
      <c r="E240" s="77" t="s">
        <v>368</v>
      </c>
      <c r="F240" s="76">
        <v>64213</v>
      </c>
      <c r="G240" s="59" t="s">
        <v>500</v>
      </c>
      <c r="H240" s="59">
        <v>4162</v>
      </c>
      <c r="I240" s="60">
        <v>7896112101628</v>
      </c>
      <c r="J240" s="59" t="s">
        <v>161</v>
      </c>
      <c r="K240" s="61" t="s">
        <v>34</v>
      </c>
      <c r="L240" s="66">
        <v>80</v>
      </c>
      <c r="M240" s="67">
        <v>10.36</v>
      </c>
      <c r="N240" s="67">
        <v>828.8</v>
      </c>
      <c r="O240" s="67">
        <v>828.8</v>
      </c>
      <c r="P240" s="59" t="s">
        <v>495</v>
      </c>
    </row>
    <row r="241" spans="1:16" x14ac:dyDescent="0.25">
      <c r="A241" s="76">
        <v>2701096</v>
      </c>
      <c r="B241" s="76">
        <v>108342</v>
      </c>
      <c r="C241" s="59" t="s">
        <v>465</v>
      </c>
      <c r="D241" s="77" t="s">
        <v>372</v>
      </c>
      <c r="E241" s="77" t="s">
        <v>368</v>
      </c>
      <c r="F241" s="76">
        <v>64213</v>
      </c>
      <c r="G241" s="59" t="s">
        <v>500</v>
      </c>
      <c r="H241" s="59">
        <v>4457</v>
      </c>
      <c r="I241" s="60">
        <v>7896112104575</v>
      </c>
      <c r="J241" s="59" t="s">
        <v>190</v>
      </c>
      <c r="K241" s="61" t="s">
        <v>34</v>
      </c>
      <c r="L241" s="66">
        <v>500</v>
      </c>
      <c r="M241" s="67">
        <v>4.51</v>
      </c>
      <c r="N241" s="67">
        <v>2255</v>
      </c>
      <c r="O241" s="67">
        <v>2255</v>
      </c>
      <c r="P241" s="59" t="s">
        <v>495</v>
      </c>
    </row>
    <row r="242" spans="1:16" x14ac:dyDescent="0.25">
      <c r="A242" s="76">
        <v>2700664</v>
      </c>
      <c r="B242" s="76">
        <v>108342</v>
      </c>
      <c r="C242" s="59" t="s">
        <v>465</v>
      </c>
      <c r="D242" s="77" t="s">
        <v>372</v>
      </c>
      <c r="E242" s="77" t="s">
        <v>371</v>
      </c>
      <c r="F242" s="76">
        <v>4786</v>
      </c>
      <c r="G242" s="59" t="s">
        <v>501</v>
      </c>
      <c r="H242" s="59">
        <v>3838</v>
      </c>
      <c r="I242" s="60">
        <v>7896112138389</v>
      </c>
      <c r="J242" s="59" t="s">
        <v>150</v>
      </c>
      <c r="K242" s="61" t="s">
        <v>23</v>
      </c>
      <c r="L242" s="66">
        <v>200</v>
      </c>
      <c r="M242" s="67">
        <v>11.32</v>
      </c>
      <c r="N242" s="67">
        <v>2264</v>
      </c>
      <c r="O242" s="67">
        <v>2264</v>
      </c>
      <c r="P242" s="59" t="s">
        <v>473</v>
      </c>
    </row>
    <row r="243" spans="1:16" x14ac:dyDescent="0.25">
      <c r="A243" s="76">
        <v>2700670</v>
      </c>
      <c r="B243" s="76">
        <v>108342</v>
      </c>
      <c r="C243" s="59" t="s">
        <v>465</v>
      </c>
      <c r="D243" s="77" t="s">
        <v>372</v>
      </c>
      <c r="E243" s="77" t="s">
        <v>371</v>
      </c>
      <c r="F243" s="76">
        <v>4849</v>
      </c>
      <c r="G243" s="59" t="s">
        <v>501</v>
      </c>
      <c r="H243" s="59">
        <v>3838</v>
      </c>
      <c r="I243" s="60">
        <v>7896112138389</v>
      </c>
      <c r="J243" s="59" t="s">
        <v>150</v>
      </c>
      <c r="K243" s="61" t="s">
        <v>23</v>
      </c>
      <c r="L243" s="66">
        <v>200</v>
      </c>
      <c r="M243" s="67">
        <v>11.209999999999999</v>
      </c>
      <c r="N243" s="67">
        <v>2242</v>
      </c>
      <c r="O243" s="67">
        <v>2242</v>
      </c>
      <c r="P243" s="59" t="s">
        <v>495</v>
      </c>
    </row>
    <row r="244" spans="1:16" x14ac:dyDescent="0.25">
      <c r="A244" s="76">
        <v>2700670</v>
      </c>
      <c r="B244" s="76">
        <v>108342</v>
      </c>
      <c r="C244" s="59" t="s">
        <v>465</v>
      </c>
      <c r="D244" s="77" t="s">
        <v>372</v>
      </c>
      <c r="E244" s="77" t="s">
        <v>371</v>
      </c>
      <c r="F244" s="76">
        <v>4849</v>
      </c>
      <c r="G244" s="59" t="s">
        <v>501</v>
      </c>
      <c r="H244" s="59">
        <v>2936</v>
      </c>
      <c r="I244" s="60">
        <v>7896112129363</v>
      </c>
      <c r="J244" s="59" t="s">
        <v>132</v>
      </c>
      <c r="K244" s="61" t="s">
        <v>34</v>
      </c>
      <c r="L244" s="66">
        <v>600</v>
      </c>
      <c r="M244" s="67">
        <v>6.08</v>
      </c>
      <c r="N244" s="67">
        <v>3648</v>
      </c>
      <c r="O244" s="67">
        <v>3648</v>
      </c>
      <c r="P244" s="59" t="s">
        <v>495</v>
      </c>
    </row>
    <row r="245" spans="1:16" x14ac:dyDescent="0.25">
      <c r="A245" s="76">
        <v>2700663</v>
      </c>
      <c r="B245" s="76">
        <v>108342</v>
      </c>
      <c r="C245" s="59" t="s">
        <v>465</v>
      </c>
      <c r="D245" s="77" t="s">
        <v>372</v>
      </c>
      <c r="E245" s="77" t="s">
        <v>371</v>
      </c>
      <c r="F245" s="76">
        <v>4871</v>
      </c>
      <c r="G245" s="59" t="s">
        <v>501</v>
      </c>
      <c r="H245" s="59">
        <v>3850</v>
      </c>
      <c r="I245" s="60">
        <v>7896112138501</v>
      </c>
      <c r="J245" s="59" t="s">
        <v>151</v>
      </c>
      <c r="K245" s="61" t="s">
        <v>34</v>
      </c>
      <c r="L245" s="66">
        <v>600</v>
      </c>
      <c r="M245" s="67">
        <v>7.3900000000000006</v>
      </c>
      <c r="N245" s="67">
        <v>4434</v>
      </c>
      <c r="O245" s="67">
        <v>4434</v>
      </c>
      <c r="P245" s="59" t="s">
        <v>495</v>
      </c>
    </row>
    <row r="246" spans="1:16" x14ac:dyDescent="0.25">
      <c r="A246" s="76">
        <v>2701441</v>
      </c>
      <c r="B246" s="76">
        <v>108342</v>
      </c>
      <c r="C246" s="59" t="s">
        <v>465</v>
      </c>
      <c r="D246" s="77" t="s">
        <v>372</v>
      </c>
      <c r="E246" s="77" t="s">
        <v>368</v>
      </c>
      <c r="F246" s="76">
        <v>64440</v>
      </c>
      <c r="G246" s="59" t="s">
        <v>502</v>
      </c>
      <c r="H246" s="59">
        <v>2246</v>
      </c>
      <c r="I246" s="60">
        <v>7896112122463</v>
      </c>
      <c r="J246" s="59" t="s">
        <v>469</v>
      </c>
      <c r="K246" s="61" t="s">
        <v>34</v>
      </c>
      <c r="L246" s="66">
        <v>2000</v>
      </c>
      <c r="M246" s="67">
        <v>2.7600000000000002</v>
      </c>
      <c r="N246" s="67">
        <v>5520</v>
      </c>
      <c r="O246" s="67">
        <v>5520</v>
      </c>
      <c r="P246" s="59" t="s">
        <v>495</v>
      </c>
    </row>
    <row r="247" spans="1:16" x14ac:dyDescent="0.25">
      <c r="A247" s="76">
        <v>2702140</v>
      </c>
      <c r="B247" s="76">
        <v>108342</v>
      </c>
      <c r="C247" s="59" t="s">
        <v>465</v>
      </c>
      <c r="D247" s="77" t="s">
        <v>372</v>
      </c>
      <c r="E247" s="77" t="s">
        <v>368</v>
      </c>
      <c r="F247" s="76">
        <v>65128</v>
      </c>
      <c r="G247" s="59" t="s">
        <v>503</v>
      </c>
      <c r="H247" s="59">
        <v>6029</v>
      </c>
      <c r="I247" s="60">
        <v>7896112160298</v>
      </c>
      <c r="J247" s="59" t="s">
        <v>226</v>
      </c>
      <c r="K247" s="61" t="s">
        <v>23</v>
      </c>
      <c r="L247" s="66">
        <v>500</v>
      </c>
      <c r="M247" s="67">
        <v>3.6399999999999997</v>
      </c>
      <c r="N247" s="67">
        <v>1820</v>
      </c>
      <c r="O247" s="67">
        <v>1820</v>
      </c>
      <c r="P247" s="59" t="s">
        <v>495</v>
      </c>
    </row>
    <row r="248" spans="1:16" x14ac:dyDescent="0.25">
      <c r="A248" s="76">
        <v>2702140</v>
      </c>
      <c r="B248" s="76">
        <v>108342</v>
      </c>
      <c r="C248" s="59" t="s">
        <v>465</v>
      </c>
      <c r="D248" s="77" t="s">
        <v>372</v>
      </c>
      <c r="E248" s="77" t="s">
        <v>368</v>
      </c>
      <c r="F248" s="76">
        <v>65128</v>
      </c>
      <c r="G248" s="59" t="s">
        <v>503</v>
      </c>
      <c r="H248" s="59">
        <v>1876</v>
      </c>
      <c r="I248" s="60">
        <v>7896112118763</v>
      </c>
      <c r="J248" s="59" t="s">
        <v>72</v>
      </c>
      <c r="K248" s="61" t="s">
        <v>23</v>
      </c>
      <c r="L248" s="66">
        <v>360</v>
      </c>
      <c r="M248" s="67">
        <v>40.11</v>
      </c>
      <c r="N248" s="67">
        <v>14439.6</v>
      </c>
      <c r="O248" s="67">
        <v>14439.6</v>
      </c>
      <c r="P248" s="59" t="s">
        <v>495</v>
      </c>
    </row>
    <row r="249" spans="1:16" x14ac:dyDescent="0.25">
      <c r="A249" s="76">
        <v>2702108</v>
      </c>
      <c r="B249" s="76">
        <v>108342</v>
      </c>
      <c r="C249" s="59" t="s">
        <v>465</v>
      </c>
      <c r="D249" s="77" t="s">
        <v>372</v>
      </c>
      <c r="E249" s="77" t="s">
        <v>368</v>
      </c>
      <c r="F249" s="76">
        <v>65142</v>
      </c>
      <c r="G249" s="59" t="s">
        <v>503</v>
      </c>
      <c r="H249" s="59">
        <v>302</v>
      </c>
      <c r="I249" s="60">
        <v>7896112103028</v>
      </c>
      <c r="J249" s="59" t="s">
        <v>33</v>
      </c>
      <c r="K249" s="61" t="s">
        <v>34</v>
      </c>
      <c r="L249" s="66">
        <v>320</v>
      </c>
      <c r="M249" s="67">
        <v>11.17</v>
      </c>
      <c r="N249" s="67">
        <v>3574.4</v>
      </c>
      <c r="O249" s="67">
        <v>3574.4</v>
      </c>
      <c r="P249" s="59" t="s">
        <v>495</v>
      </c>
    </row>
    <row r="250" spans="1:16" x14ac:dyDescent="0.25">
      <c r="A250" s="76">
        <v>2704039</v>
      </c>
      <c r="B250" s="76">
        <v>108342</v>
      </c>
      <c r="C250" s="59" t="s">
        <v>465</v>
      </c>
      <c r="D250" s="77" t="s">
        <v>372</v>
      </c>
      <c r="E250" s="77" t="s">
        <v>371</v>
      </c>
      <c r="F250" s="76">
        <v>5166</v>
      </c>
      <c r="G250" s="59" t="s">
        <v>504</v>
      </c>
      <c r="H250" s="59">
        <v>6719</v>
      </c>
      <c r="I250" s="60">
        <v>7896112167198</v>
      </c>
      <c r="J250" s="59" t="s">
        <v>238</v>
      </c>
      <c r="K250" s="61" t="s">
        <v>34</v>
      </c>
      <c r="L250" s="66">
        <v>100</v>
      </c>
      <c r="M250" s="67">
        <v>5.92</v>
      </c>
      <c r="N250" s="67">
        <v>592</v>
      </c>
      <c r="O250" s="67">
        <v>592</v>
      </c>
      <c r="P250" s="59" t="s">
        <v>505</v>
      </c>
    </row>
    <row r="251" spans="1:16" x14ac:dyDescent="0.25">
      <c r="A251" s="76">
        <v>2704039</v>
      </c>
      <c r="B251" s="76">
        <v>108342</v>
      </c>
      <c r="C251" s="59" t="s">
        <v>465</v>
      </c>
      <c r="D251" s="77" t="s">
        <v>372</v>
      </c>
      <c r="E251" s="77" t="s">
        <v>371</v>
      </c>
      <c r="F251" s="76">
        <v>5166</v>
      </c>
      <c r="G251" s="59" t="s">
        <v>504</v>
      </c>
      <c r="H251" s="59">
        <v>2114</v>
      </c>
      <c r="I251" s="60">
        <v>7896112121145</v>
      </c>
      <c r="J251" s="59" t="s">
        <v>81</v>
      </c>
      <c r="K251" s="61" t="s">
        <v>34</v>
      </c>
      <c r="L251" s="66">
        <v>4000</v>
      </c>
      <c r="M251" s="67">
        <v>1.6199999999999999</v>
      </c>
      <c r="N251" s="67">
        <v>6480</v>
      </c>
      <c r="O251" s="67">
        <v>6480</v>
      </c>
      <c r="P251" s="59" t="s">
        <v>505</v>
      </c>
    </row>
    <row r="252" spans="1:16" x14ac:dyDescent="0.25">
      <c r="A252" s="76">
        <v>2704039</v>
      </c>
      <c r="B252" s="76">
        <v>108342</v>
      </c>
      <c r="C252" s="59" t="s">
        <v>465</v>
      </c>
      <c r="D252" s="77" t="s">
        <v>372</v>
      </c>
      <c r="E252" s="77" t="s">
        <v>371</v>
      </c>
      <c r="F252" s="76">
        <v>5166</v>
      </c>
      <c r="G252" s="59" t="s">
        <v>504</v>
      </c>
      <c r="H252" s="59">
        <v>4385</v>
      </c>
      <c r="I252" s="60">
        <v>7896112103851</v>
      </c>
      <c r="J252" s="59" t="s">
        <v>180</v>
      </c>
      <c r="K252" s="61" t="s">
        <v>34</v>
      </c>
      <c r="L252" s="66">
        <v>3000</v>
      </c>
      <c r="M252" s="67">
        <v>3.1399999999999997</v>
      </c>
      <c r="N252" s="67">
        <v>9420</v>
      </c>
      <c r="O252" s="67">
        <v>9420</v>
      </c>
      <c r="P252" s="59" t="s">
        <v>505</v>
      </c>
    </row>
    <row r="253" spans="1:16" x14ac:dyDescent="0.25">
      <c r="A253" s="76">
        <v>2703977</v>
      </c>
      <c r="B253" s="76">
        <v>108342</v>
      </c>
      <c r="C253" s="59" t="s">
        <v>465</v>
      </c>
      <c r="D253" s="77" t="s">
        <v>372</v>
      </c>
      <c r="E253" s="77" t="s">
        <v>368</v>
      </c>
      <c r="F253" s="76">
        <v>66746</v>
      </c>
      <c r="G253" s="59" t="s">
        <v>506</v>
      </c>
      <c r="H253" s="59">
        <v>4244</v>
      </c>
      <c r="I253" s="60">
        <v>7896112102441</v>
      </c>
      <c r="J253" s="59" t="s">
        <v>164</v>
      </c>
      <c r="K253" s="61" t="s">
        <v>23</v>
      </c>
      <c r="L253" s="66">
        <v>2400</v>
      </c>
      <c r="M253" s="67">
        <v>9.41</v>
      </c>
      <c r="N253" s="67">
        <v>22584</v>
      </c>
      <c r="O253" s="67">
        <v>22584</v>
      </c>
      <c r="P253" s="59" t="s">
        <v>505</v>
      </c>
    </row>
    <row r="254" spans="1:16" x14ac:dyDescent="0.25">
      <c r="A254" s="76">
        <v>2703977</v>
      </c>
      <c r="B254" s="76">
        <v>108342</v>
      </c>
      <c r="C254" s="59" t="s">
        <v>465</v>
      </c>
      <c r="D254" s="77" t="s">
        <v>372</v>
      </c>
      <c r="E254" s="77" t="s">
        <v>368</v>
      </c>
      <c r="F254" s="76">
        <v>66746</v>
      </c>
      <c r="G254" s="59" t="s">
        <v>506</v>
      </c>
      <c r="H254" s="59">
        <v>4375</v>
      </c>
      <c r="I254" s="60">
        <v>7896112103752</v>
      </c>
      <c r="J254" s="59" t="s">
        <v>175</v>
      </c>
      <c r="K254" s="61" t="s">
        <v>23</v>
      </c>
      <c r="L254" s="66">
        <v>80</v>
      </c>
      <c r="M254" s="67">
        <v>25.82</v>
      </c>
      <c r="N254" s="67">
        <v>2065.6</v>
      </c>
      <c r="O254" s="67">
        <v>2065.6</v>
      </c>
      <c r="P254" s="59" t="s">
        <v>505</v>
      </c>
    </row>
    <row r="255" spans="1:16" x14ac:dyDescent="0.25">
      <c r="A255" s="76">
        <v>2703977</v>
      </c>
      <c r="B255" s="76">
        <v>108342</v>
      </c>
      <c r="C255" s="59" t="s">
        <v>465</v>
      </c>
      <c r="D255" s="77" t="s">
        <v>372</v>
      </c>
      <c r="E255" s="77" t="s">
        <v>368</v>
      </c>
      <c r="F255" s="76">
        <v>66746</v>
      </c>
      <c r="G255" s="59" t="s">
        <v>506</v>
      </c>
      <c r="H255" s="59">
        <v>4380</v>
      </c>
      <c r="I255" s="60">
        <v>7896112103806</v>
      </c>
      <c r="J255" s="59" t="s">
        <v>177</v>
      </c>
      <c r="K255" s="61" t="s">
        <v>23</v>
      </c>
      <c r="L255" s="66">
        <v>480</v>
      </c>
      <c r="M255" s="67">
        <v>8.14</v>
      </c>
      <c r="N255" s="67">
        <v>3907.2</v>
      </c>
      <c r="O255" s="67">
        <v>3907.2</v>
      </c>
      <c r="P255" s="59" t="s">
        <v>505</v>
      </c>
    </row>
    <row r="256" spans="1:16" x14ac:dyDescent="0.25">
      <c r="A256" s="76">
        <v>2703968</v>
      </c>
      <c r="B256" s="76">
        <v>108342</v>
      </c>
      <c r="C256" s="59" t="s">
        <v>465</v>
      </c>
      <c r="D256" s="77" t="s">
        <v>372</v>
      </c>
      <c r="E256" s="77" t="s">
        <v>368</v>
      </c>
      <c r="F256" s="76">
        <v>66777</v>
      </c>
      <c r="G256" s="59" t="s">
        <v>506</v>
      </c>
      <c r="H256" s="59">
        <v>167</v>
      </c>
      <c r="I256" s="60">
        <v>7896112141679</v>
      </c>
      <c r="J256" s="59" t="s">
        <v>30</v>
      </c>
      <c r="K256" s="61" t="s">
        <v>23</v>
      </c>
      <c r="L256" s="66">
        <v>1000</v>
      </c>
      <c r="M256" s="67">
        <v>1.92</v>
      </c>
      <c r="N256" s="67">
        <v>1920</v>
      </c>
      <c r="O256" s="67">
        <v>1920</v>
      </c>
      <c r="P256" s="59" t="s">
        <v>505</v>
      </c>
    </row>
    <row r="257" spans="1:16" x14ac:dyDescent="0.25">
      <c r="A257" s="76">
        <v>2703979</v>
      </c>
      <c r="B257" s="76">
        <v>108342</v>
      </c>
      <c r="C257" s="59" t="s">
        <v>465</v>
      </c>
      <c r="D257" s="77" t="s">
        <v>372</v>
      </c>
      <c r="E257" s="77" t="s">
        <v>368</v>
      </c>
      <c r="F257" s="76">
        <v>66816</v>
      </c>
      <c r="G257" s="59" t="s">
        <v>506</v>
      </c>
      <c r="H257" s="59">
        <v>4862</v>
      </c>
      <c r="I257" s="60">
        <v>7896112108627</v>
      </c>
      <c r="J257" s="59" t="s">
        <v>210</v>
      </c>
      <c r="K257" s="61" t="s">
        <v>23</v>
      </c>
      <c r="L257" s="66">
        <v>2000</v>
      </c>
      <c r="M257" s="67">
        <v>18</v>
      </c>
      <c r="N257" s="67">
        <v>36000</v>
      </c>
      <c r="O257" s="67">
        <v>38808</v>
      </c>
      <c r="P257" s="59" t="s">
        <v>505</v>
      </c>
    </row>
    <row r="258" spans="1:16" x14ac:dyDescent="0.25">
      <c r="A258" s="76">
        <v>2703979</v>
      </c>
      <c r="B258" s="76">
        <v>108342</v>
      </c>
      <c r="C258" s="59" t="s">
        <v>465</v>
      </c>
      <c r="D258" s="77" t="s">
        <v>372</v>
      </c>
      <c r="E258" s="77" t="s">
        <v>368</v>
      </c>
      <c r="F258" s="76">
        <v>66816</v>
      </c>
      <c r="G258" s="59" t="s">
        <v>506</v>
      </c>
      <c r="H258" s="59">
        <v>9833</v>
      </c>
      <c r="I258" s="60">
        <v>7896112198338</v>
      </c>
      <c r="J258" s="59" t="s">
        <v>287</v>
      </c>
      <c r="K258" s="61" t="s">
        <v>23</v>
      </c>
      <c r="L258" s="66">
        <v>100</v>
      </c>
      <c r="M258" s="67">
        <v>17.869999999999997</v>
      </c>
      <c r="N258" s="67">
        <v>1787</v>
      </c>
      <c r="O258" s="67">
        <v>1787</v>
      </c>
      <c r="P258" s="59" t="s">
        <v>505</v>
      </c>
    </row>
    <row r="259" spans="1:16" x14ac:dyDescent="0.25">
      <c r="A259" s="76">
        <v>2704107</v>
      </c>
      <c r="B259" s="76">
        <v>108342</v>
      </c>
      <c r="C259" s="59" t="s">
        <v>465</v>
      </c>
      <c r="D259" s="77" t="s">
        <v>372</v>
      </c>
      <c r="E259" s="77" t="s">
        <v>371</v>
      </c>
      <c r="F259" s="76">
        <v>5209</v>
      </c>
      <c r="G259" s="59" t="s">
        <v>506</v>
      </c>
      <c r="H259" s="59">
        <v>4290</v>
      </c>
      <c r="I259" s="60">
        <v>7896112102908</v>
      </c>
      <c r="J259" s="59" t="s">
        <v>170</v>
      </c>
      <c r="K259" s="61" t="s">
        <v>23</v>
      </c>
      <c r="L259" s="66">
        <v>1200</v>
      </c>
      <c r="M259" s="67">
        <v>23.54</v>
      </c>
      <c r="N259" s="67">
        <v>28248</v>
      </c>
      <c r="O259" s="67">
        <v>28248</v>
      </c>
      <c r="P259" s="59" t="s">
        <v>507</v>
      </c>
    </row>
    <row r="260" spans="1:16" x14ac:dyDescent="0.25">
      <c r="A260" s="76">
        <v>2704107</v>
      </c>
      <c r="B260" s="76">
        <v>108342</v>
      </c>
      <c r="C260" s="59" t="s">
        <v>465</v>
      </c>
      <c r="D260" s="77" t="s">
        <v>372</v>
      </c>
      <c r="E260" s="77" t="s">
        <v>371</v>
      </c>
      <c r="F260" s="76">
        <v>5209</v>
      </c>
      <c r="G260" s="59" t="s">
        <v>506</v>
      </c>
      <c r="H260" s="59">
        <v>2582</v>
      </c>
      <c r="I260" s="60">
        <v>7896112125822</v>
      </c>
      <c r="J260" s="59" t="s">
        <v>105</v>
      </c>
      <c r="K260" s="61" t="s">
        <v>23</v>
      </c>
      <c r="L260" s="66">
        <v>2000</v>
      </c>
      <c r="M260" s="67">
        <v>11.209999999999999</v>
      </c>
      <c r="N260" s="67">
        <v>22420</v>
      </c>
      <c r="O260" s="67">
        <v>22420</v>
      </c>
      <c r="P260" s="59" t="s">
        <v>507</v>
      </c>
    </row>
    <row r="261" spans="1:16" x14ac:dyDescent="0.25">
      <c r="A261" s="76">
        <v>2704107</v>
      </c>
      <c r="B261" s="76">
        <v>108342</v>
      </c>
      <c r="C261" s="59" t="s">
        <v>465</v>
      </c>
      <c r="D261" s="77" t="s">
        <v>372</v>
      </c>
      <c r="E261" s="77" t="s">
        <v>371</v>
      </c>
      <c r="F261" s="76">
        <v>5209</v>
      </c>
      <c r="G261" s="59" t="s">
        <v>506</v>
      </c>
      <c r="H261" s="59">
        <v>3300</v>
      </c>
      <c r="I261" s="60">
        <v>7896112133001</v>
      </c>
      <c r="J261" s="59" t="s">
        <v>138</v>
      </c>
      <c r="K261" s="61" t="s">
        <v>34</v>
      </c>
      <c r="L261" s="66">
        <v>560</v>
      </c>
      <c r="M261" s="67">
        <v>2.7600000000000002</v>
      </c>
      <c r="N261" s="67">
        <v>1545.6</v>
      </c>
      <c r="O261" s="67">
        <v>1545.6</v>
      </c>
      <c r="P261" s="59" t="s">
        <v>507</v>
      </c>
    </row>
    <row r="262" spans="1:16" x14ac:dyDescent="0.25">
      <c r="A262" s="76">
        <v>2704107</v>
      </c>
      <c r="B262" s="76">
        <v>108342</v>
      </c>
      <c r="C262" s="59" t="s">
        <v>465</v>
      </c>
      <c r="D262" s="77" t="s">
        <v>372</v>
      </c>
      <c r="E262" s="77" t="s">
        <v>371</v>
      </c>
      <c r="F262" s="76">
        <v>5209</v>
      </c>
      <c r="G262" s="59" t="s">
        <v>506</v>
      </c>
      <c r="H262" s="59">
        <v>4407</v>
      </c>
      <c r="I262" s="60">
        <v>7896112104070</v>
      </c>
      <c r="J262" s="59" t="s">
        <v>183</v>
      </c>
      <c r="K262" s="61" t="s">
        <v>23</v>
      </c>
      <c r="L262" s="66">
        <v>500</v>
      </c>
      <c r="M262" s="67">
        <v>47.79</v>
      </c>
      <c r="N262" s="67">
        <v>23895</v>
      </c>
      <c r="O262" s="67">
        <v>23895</v>
      </c>
      <c r="P262" s="59" t="s">
        <v>507</v>
      </c>
    </row>
    <row r="263" spans="1:16" x14ac:dyDescent="0.25">
      <c r="A263" s="76">
        <v>2704107</v>
      </c>
      <c r="B263" s="76">
        <v>108342</v>
      </c>
      <c r="C263" s="59" t="s">
        <v>465</v>
      </c>
      <c r="D263" s="77" t="s">
        <v>372</v>
      </c>
      <c r="E263" s="77" t="s">
        <v>371</v>
      </c>
      <c r="F263" s="76">
        <v>5209</v>
      </c>
      <c r="G263" s="59" t="s">
        <v>506</v>
      </c>
      <c r="H263" s="59">
        <v>489</v>
      </c>
      <c r="I263" s="60">
        <v>7896112144892</v>
      </c>
      <c r="J263" s="59" t="s">
        <v>38</v>
      </c>
      <c r="K263" s="61" t="s">
        <v>23</v>
      </c>
      <c r="L263" s="66">
        <v>1000</v>
      </c>
      <c r="M263" s="67">
        <v>3.84</v>
      </c>
      <c r="N263" s="67">
        <v>3840</v>
      </c>
      <c r="O263" s="67">
        <v>3840</v>
      </c>
      <c r="P263" s="59" t="s">
        <v>507</v>
      </c>
    </row>
    <row r="264" spans="1:16" x14ac:dyDescent="0.25">
      <c r="A264" s="76">
        <v>2704107</v>
      </c>
      <c r="B264" s="76">
        <v>108342</v>
      </c>
      <c r="C264" s="59" t="s">
        <v>465</v>
      </c>
      <c r="D264" s="77" t="s">
        <v>372</v>
      </c>
      <c r="E264" s="77" t="s">
        <v>371</v>
      </c>
      <c r="F264" s="76">
        <v>5209</v>
      </c>
      <c r="G264" s="59" t="s">
        <v>506</v>
      </c>
      <c r="H264" s="59">
        <v>2246</v>
      </c>
      <c r="I264" s="60">
        <v>7896112122463</v>
      </c>
      <c r="J264" s="59" t="s">
        <v>469</v>
      </c>
      <c r="K264" s="61" t="s">
        <v>34</v>
      </c>
      <c r="L264" s="66">
        <v>600</v>
      </c>
      <c r="M264" s="67">
        <v>2.88</v>
      </c>
      <c r="N264" s="67">
        <v>1728</v>
      </c>
      <c r="O264" s="67">
        <v>1728</v>
      </c>
      <c r="P264" s="59" t="s">
        <v>507</v>
      </c>
    </row>
    <row r="265" spans="1:16" x14ac:dyDescent="0.25">
      <c r="A265" s="76">
        <v>2704107</v>
      </c>
      <c r="B265" s="76">
        <v>108342</v>
      </c>
      <c r="C265" s="59" t="s">
        <v>465</v>
      </c>
      <c r="D265" s="77" t="s">
        <v>372</v>
      </c>
      <c r="E265" s="77" t="s">
        <v>371</v>
      </c>
      <c r="F265" s="76">
        <v>5209</v>
      </c>
      <c r="G265" s="59" t="s">
        <v>506</v>
      </c>
      <c r="H265" s="59">
        <v>5462</v>
      </c>
      <c r="I265" s="60">
        <v>7896112154624</v>
      </c>
      <c r="J265" s="59" t="s">
        <v>219</v>
      </c>
      <c r="K265" s="61" t="s">
        <v>23</v>
      </c>
      <c r="L265" s="66">
        <v>200</v>
      </c>
      <c r="M265" s="67">
        <v>4.76</v>
      </c>
      <c r="N265" s="67">
        <v>952</v>
      </c>
      <c r="O265" s="67">
        <v>952</v>
      </c>
      <c r="P265" s="59" t="s">
        <v>507</v>
      </c>
    </row>
    <row r="266" spans="1:16" x14ac:dyDescent="0.25">
      <c r="A266" s="76">
        <v>2704107</v>
      </c>
      <c r="B266" s="76">
        <v>108342</v>
      </c>
      <c r="C266" s="59" t="s">
        <v>465</v>
      </c>
      <c r="D266" s="77" t="s">
        <v>372</v>
      </c>
      <c r="E266" s="77" t="s">
        <v>371</v>
      </c>
      <c r="F266" s="76">
        <v>5209</v>
      </c>
      <c r="G266" s="59" t="s">
        <v>506</v>
      </c>
      <c r="H266" s="59">
        <v>2936</v>
      </c>
      <c r="I266" s="60">
        <v>7896112129363</v>
      </c>
      <c r="J266" s="59" t="s">
        <v>132</v>
      </c>
      <c r="K266" s="61" t="s">
        <v>34</v>
      </c>
      <c r="L266" s="66">
        <v>400</v>
      </c>
      <c r="M266" s="67">
        <v>6.32</v>
      </c>
      <c r="N266" s="67">
        <v>2528</v>
      </c>
      <c r="O266" s="67">
        <v>2528</v>
      </c>
      <c r="P266" s="59" t="s">
        <v>507</v>
      </c>
    </row>
    <row r="267" spans="1:16" x14ac:dyDescent="0.25">
      <c r="A267" s="76">
        <v>2704107</v>
      </c>
      <c r="B267" s="76">
        <v>108342</v>
      </c>
      <c r="C267" s="59" t="s">
        <v>465</v>
      </c>
      <c r="D267" s="77" t="s">
        <v>372</v>
      </c>
      <c r="E267" s="77" t="s">
        <v>371</v>
      </c>
      <c r="F267" s="76">
        <v>5209</v>
      </c>
      <c r="G267" s="59" t="s">
        <v>506</v>
      </c>
      <c r="H267" s="59">
        <v>4559</v>
      </c>
      <c r="I267" s="60">
        <v>7896112105596</v>
      </c>
      <c r="J267" s="59" t="s">
        <v>197</v>
      </c>
      <c r="K267" s="61" t="s">
        <v>23</v>
      </c>
      <c r="L267" s="66">
        <v>200</v>
      </c>
      <c r="M267" s="67">
        <v>4.3600000000000003</v>
      </c>
      <c r="N267" s="67">
        <v>872</v>
      </c>
      <c r="O267" s="67">
        <v>872</v>
      </c>
      <c r="P267" s="59" t="s">
        <v>507</v>
      </c>
    </row>
    <row r="268" spans="1:16" x14ac:dyDescent="0.25">
      <c r="A268" s="76">
        <v>2704107</v>
      </c>
      <c r="B268" s="76">
        <v>108342</v>
      </c>
      <c r="C268" s="59" t="s">
        <v>465</v>
      </c>
      <c r="D268" s="77" t="s">
        <v>372</v>
      </c>
      <c r="E268" s="77" t="s">
        <v>371</v>
      </c>
      <c r="F268" s="76">
        <v>5209</v>
      </c>
      <c r="G268" s="59" t="s">
        <v>506</v>
      </c>
      <c r="H268" s="59">
        <v>6834</v>
      </c>
      <c r="I268" s="60">
        <v>7896112168348</v>
      </c>
      <c r="J268" s="59" t="s">
        <v>241</v>
      </c>
      <c r="K268" s="61" t="s">
        <v>34</v>
      </c>
      <c r="L268" s="66">
        <v>500</v>
      </c>
      <c r="M268" s="67">
        <v>5.4</v>
      </c>
      <c r="N268" s="67">
        <v>2700</v>
      </c>
      <c r="O268" s="67">
        <v>2700</v>
      </c>
      <c r="P268" s="59" t="s">
        <v>507</v>
      </c>
    </row>
    <row r="269" spans="1:16" x14ac:dyDescent="0.25">
      <c r="A269" s="76">
        <v>2704107</v>
      </c>
      <c r="B269" s="76">
        <v>108342</v>
      </c>
      <c r="C269" s="59" t="s">
        <v>465</v>
      </c>
      <c r="D269" s="77" t="s">
        <v>372</v>
      </c>
      <c r="E269" s="77" t="s">
        <v>371</v>
      </c>
      <c r="F269" s="76">
        <v>5209</v>
      </c>
      <c r="G269" s="59" t="s">
        <v>506</v>
      </c>
      <c r="H269" s="59">
        <v>6833</v>
      </c>
      <c r="I269" s="60">
        <v>7896112168331</v>
      </c>
      <c r="J269" s="59" t="s">
        <v>240</v>
      </c>
      <c r="K269" s="61" t="s">
        <v>34</v>
      </c>
      <c r="L269" s="66">
        <v>1500</v>
      </c>
      <c r="M269" s="67">
        <v>4.38</v>
      </c>
      <c r="N269" s="67">
        <v>6570</v>
      </c>
      <c r="O269" s="67">
        <v>6570</v>
      </c>
      <c r="P269" s="59" t="s">
        <v>507</v>
      </c>
    </row>
    <row r="270" spans="1:16" x14ac:dyDescent="0.25">
      <c r="A270" s="76">
        <v>2704107</v>
      </c>
      <c r="B270" s="76">
        <v>108342</v>
      </c>
      <c r="C270" s="59" t="s">
        <v>465</v>
      </c>
      <c r="D270" s="77" t="s">
        <v>372</v>
      </c>
      <c r="E270" s="77" t="s">
        <v>371</v>
      </c>
      <c r="F270" s="76">
        <v>5209</v>
      </c>
      <c r="G270" s="59" t="s">
        <v>506</v>
      </c>
      <c r="H270" s="59">
        <v>2766</v>
      </c>
      <c r="I270" s="60">
        <v>7896112127666</v>
      </c>
      <c r="J270" s="59" t="s">
        <v>119</v>
      </c>
      <c r="K270" s="61" t="s">
        <v>34</v>
      </c>
      <c r="L270" s="66">
        <v>1800</v>
      </c>
      <c r="M270" s="67">
        <v>2.4899999999999998</v>
      </c>
      <c r="N270" s="67">
        <v>4482</v>
      </c>
      <c r="O270" s="67">
        <v>4482</v>
      </c>
      <c r="P270" s="59" t="s">
        <v>507</v>
      </c>
    </row>
    <row r="271" spans="1:16" x14ac:dyDescent="0.25">
      <c r="A271" s="76">
        <v>2704107</v>
      </c>
      <c r="B271" s="76">
        <v>108342</v>
      </c>
      <c r="C271" s="59" t="s">
        <v>465</v>
      </c>
      <c r="D271" s="77" t="s">
        <v>372</v>
      </c>
      <c r="E271" s="77" t="s">
        <v>371</v>
      </c>
      <c r="F271" s="76">
        <v>5209</v>
      </c>
      <c r="G271" s="59" t="s">
        <v>506</v>
      </c>
      <c r="H271" s="59">
        <v>2767</v>
      </c>
      <c r="I271" s="60">
        <v>7896112127673</v>
      </c>
      <c r="J271" s="59" t="s">
        <v>120</v>
      </c>
      <c r="K271" s="61" t="s">
        <v>23</v>
      </c>
      <c r="L271" s="66">
        <v>1000</v>
      </c>
      <c r="M271" s="67">
        <v>2.4300000000000002</v>
      </c>
      <c r="N271" s="67">
        <v>2430</v>
      </c>
      <c r="O271" s="67">
        <v>2430</v>
      </c>
      <c r="P271" s="59" t="s">
        <v>507</v>
      </c>
    </row>
    <row r="272" spans="1:16" x14ac:dyDescent="0.25">
      <c r="A272" s="76">
        <v>2704107</v>
      </c>
      <c r="B272" s="76">
        <v>108342</v>
      </c>
      <c r="C272" s="59" t="s">
        <v>465</v>
      </c>
      <c r="D272" s="77" t="s">
        <v>372</v>
      </c>
      <c r="E272" s="77" t="s">
        <v>371</v>
      </c>
      <c r="F272" s="76">
        <v>5209</v>
      </c>
      <c r="G272" s="59" t="s">
        <v>506</v>
      </c>
      <c r="H272" s="59">
        <v>3638</v>
      </c>
      <c r="I272" s="60">
        <v>7896112136385</v>
      </c>
      <c r="J272" s="59" t="s">
        <v>146</v>
      </c>
      <c r="K272" s="61" t="s">
        <v>34</v>
      </c>
      <c r="L272" s="66">
        <v>1000</v>
      </c>
      <c r="M272" s="67">
        <v>1.9300000000000002</v>
      </c>
      <c r="N272" s="67">
        <v>1930</v>
      </c>
      <c r="O272" s="67">
        <v>1930</v>
      </c>
      <c r="P272" s="59" t="s">
        <v>507</v>
      </c>
    </row>
    <row r="273" spans="1:16" x14ac:dyDescent="0.25">
      <c r="A273" s="76">
        <v>2703978</v>
      </c>
      <c r="B273" s="76">
        <v>108342</v>
      </c>
      <c r="C273" s="59" t="s">
        <v>465</v>
      </c>
      <c r="D273" s="77" t="s">
        <v>372</v>
      </c>
      <c r="E273" s="77" t="s">
        <v>368</v>
      </c>
      <c r="F273" s="76">
        <v>66828</v>
      </c>
      <c r="G273" s="59" t="s">
        <v>506</v>
      </c>
      <c r="H273" s="59">
        <v>1504</v>
      </c>
      <c r="I273" s="60">
        <v>7896112115045</v>
      </c>
      <c r="J273" s="59" t="s">
        <v>66</v>
      </c>
      <c r="K273" s="61" t="s">
        <v>23</v>
      </c>
      <c r="L273" s="66">
        <v>500</v>
      </c>
      <c r="M273" s="67">
        <v>5.5</v>
      </c>
      <c r="N273" s="67">
        <v>2750</v>
      </c>
      <c r="O273" s="67">
        <v>2750</v>
      </c>
      <c r="P273" s="59" t="s">
        <v>505</v>
      </c>
    </row>
    <row r="274" spans="1:16" x14ac:dyDescent="0.25">
      <c r="A274" s="76">
        <v>2703978</v>
      </c>
      <c r="B274" s="76">
        <v>108342</v>
      </c>
      <c r="C274" s="59" t="s">
        <v>465</v>
      </c>
      <c r="D274" s="77" t="s">
        <v>372</v>
      </c>
      <c r="E274" s="77" t="s">
        <v>368</v>
      </c>
      <c r="F274" s="76">
        <v>66828</v>
      </c>
      <c r="G274" s="59" t="s">
        <v>506</v>
      </c>
      <c r="H274" s="59">
        <v>1033</v>
      </c>
      <c r="I274" s="60">
        <v>7896112110330</v>
      </c>
      <c r="J274" s="59" t="s">
        <v>50</v>
      </c>
      <c r="K274" s="61" t="s">
        <v>34</v>
      </c>
      <c r="L274" s="66">
        <v>100</v>
      </c>
      <c r="M274" s="67">
        <v>6.9</v>
      </c>
      <c r="N274" s="67">
        <v>690</v>
      </c>
      <c r="O274" s="67">
        <v>690</v>
      </c>
      <c r="P274" s="59" t="s">
        <v>505</v>
      </c>
    </row>
    <row r="275" spans="1:16" x14ac:dyDescent="0.25">
      <c r="A275" s="76">
        <v>2703978</v>
      </c>
      <c r="B275" s="76">
        <v>108342</v>
      </c>
      <c r="C275" s="59" t="s">
        <v>465</v>
      </c>
      <c r="D275" s="77" t="s">
        <v>372</v>
      </c>
      <c r="E275" s="77" t="s">
        <v>368</v>
      </c>
      <c r="F275" s="76">
        <v>66828</v>
      </c>
      <c r="G275" s="59" t="s">
        <v>506</v>
      </c>
      <c r="H275" s="59">
        <v>9115</v>
      </c>
      <c r="I275" s="60">
        <v>7896112191155</v>
      </c>
      <c r="J275" s="59" t="s">
        <v>268</v>
      </c>
      <c r="K275" s="61" t="s">
        <v>23</v>
      </c>
      <c r="L275" s="66">
        <v>1000</v>
      </c>
      <c r="M275" s="67">
        <v>6.58</v>
      </c>
      <c r="N275" s="67">
        <v>6580</v>
      </c>
      <c r="O275" s="67">
        <v>6580</v>
      </c>
      <c r="P275" s="59" t="s">
        <v>505</v>
      </c>
    </row>
    <row r="276" spans="1:16" x14ac:dyDescent="0.25">
      <c r="A276" s="76">
        <v>2704185</v>
      </c>
      <c r="B276" s="76">
        <v>108342</v>
      </c>
      <c r="C276" s="59" t="s">
        <v>465</v>
      </c>
      <c r="D276" s="77" t="s">
        <v>372</v>
      </c>
      <c r="E276" s="77" t="s">
        <v>368</v>
      </c>
      <c r="F276" s="76">
        <v>66860</v>
      </c>
      <c r="G276" s="59" t="s">
        <v>508</v>
      </c>
      <c r="H276" s="59">
        <v>3994</v>
      </c>
      <c r="I276" s="60">
        <v>7896112139942</v>
      </c>
      <c r="J276" s="59" t="s">
        <v>155</v>
      </c>
      <c r="K276" s="61" t="s">
        <v>23</v>
      </c>
      <c r="L276" s="66">
        <v>560</v>
      </c>
      <c r="M276" s="67">
        <v>2.79</v>
      </c>
      <c r="N276" s="67">
        <v>1562.4</v>
      </c>
      <c r="O276" s="67">
        <v>1562.4</v>
      </c>
      <c r="P276" s="59" t="s">
        <v>505</v>
      </c>
    </row>
    <row r="277" spans="1:16" x14ac:dyDescent="0.25">
      <c r="A277" s="76">
        <v>2703967</v>
      </c>
      <c r="B277" s="76">
        <v>108342</v>
      </c>
      <c r="C277" s="59" t="s">
        <v>465</v>
      </c>
      <c r="D277" s="77" t="s">
        <v>372</v>
      </c>
      <c r="E277" s="77" t="s">
        <v>368</v>
      </c>
      <c r="F277" s="76">
        <v>66932</v>
      </c>
      <c r="G277" s="59" t="s">
        <v>508</v>
      </c>
      <c r="H277" s="59">
        <v>1921</v>
      </c>
      <c r="I277" s="60">
        <v>7896112119210</v>
      </c>
      <c r="J277" s="59" t="s">
        <v>73</v>
      </c>
      <c r="K277" s="61" t="s">
        <v>34</v>
      </c>
      <c r="L277" s="66">
        <v>1500</v>
      </c>
      <c r="M277" s="67">
        <v>3.2600000000000002</v>
      </c>
      <c r="N277" s="67">
        <v>4890</v>
      </c>
      <c r="O277" s="67">
        <v>4890</v>
      </c>
      <c r="P277" s="59" t="s">
        <v>505</v>
      </c>
    </row>
    <row r="278" spans="1:16" x14ac:dyDescent="0.25">
      <c r="A278" s="76">
        <v>2703964</v>
      </c>
      <c r="B278" s="76">
        <v>108342</v>
      </c>
      <c r="C278" s="59" t="s">
        <v>465</v>
      </c>
      <c r="D278" s="77" t="s">
        <v>372</v>
      </c>
      <c r="E278" s="77" t="s">
        <v>368</v>
      </c>
      <c r="F278" s="76">
        <v>66947</v>
      </c>
      <c r="G278" s="59" t="s">
        <v>508</v>
      </c>
      <c r="H278" s="59">
        <v>4436</v>
      </c>
      <c r="I278" s="60">
        <v>7896112104360</v>
      </c>
      <c r="J278" s="59" t="s">
        <v>186</v>
      </c>
      <c r="K278" s="61" t="s">
        <v>34</v>
      </c>
      <c r="L278" s="66">
        <v>400</v>
      </c>
      <c r="M278" s="67">
        <v>4.3100000000000005</v>
      </c>
      <c r="N278" s="67">
        <v>1724</v>
      </c>
      <c r="O278" s="67">
        <v>1724</v>
      </c>
      <c r="P278" s="59" t="s">
        <v>505</v>
      </c>
    </row>
    <row r="279" spans="1:16" x14ac:dyDescent="0.25">
      <c r="A279" s="76">
        <v>2703964</v>
      </c>
      <c r="B279" s="76">
        <v>108342</v>
      </c>
      <c r="C279" s="59" t="s">
        <v>465</v>
      </c>
      <c r="D279" s="77" t="s">
        <v>372</v>
      </c>
      <c r="E279" s="77" t="s">
        <v>368</v>
      </c>
      <c r="F279" s="76">
        <v>66947</v>
      </c>
      <c r="G279" s="59" t="s">
        <v>508</v>
      </c>
      <c r="H279" s="59">
        <v>4440</v>
      </c>
      <c r="I279" s="60">
        <v>7896112104407</v>
      </c>
      <c r="J279" s="59" t="s">
        <v>187</v>
      </c>
      <c r="K279" s="61" t="s">
        <v>34</v>
      </c>
      <c r="L279" s="66">
        <v>1400</v>
      </c>
      <c r="M279" s="67">
        <v>5.7200000000000006</v>
      </c>
      <c r="N279" s="67">
        <v>8008</v>
      </c>
      <c r="O279" s="67">
        <v>8008</v>
      </c>
      <c r="P279" s="59" t="s">
        <v>505</v>
      </c>
    </row>
    <row r="280" spans="1:16" x14ac:dyDescent="0.25">
      <c r="A280" s="76">
        <v>2704654</v>
      </c>
      <c r="B280" s="76">
        <v>108342</v>
      </c>
      <c r="C280" s="59" t="s">
        <v>465</v>
      </c>
      <c r="D280" s="77" t="s">
        <v>372</v>
      </c>
      <c r="E280" s="77" t="s">
        <v>368</v>
      </c>
      <c r="F280" s="76">
        <v>67202</v>
      </c>
      <c r="G280" s="59" t="s">
        <v>509</v>
      </c>
      <c r="H280" s="59">
        <v>2128</v>
      </c>
      <c r="I280" s="60">
        <v>7896112121282</v>
      </c>
      <c r="J280" s="59" t="s">
        <v>82</v>
      </c>
      <c r="K280" s="61" t="s">
        <v>34</v>
      </c>
      <c r="L280" s="66">
        <v>4000</v>
      </c>
      <c r="M280" s="67">
        <v>3.2399999999999998</v>
      </c>
      <c r="N280" s="67">
        <v>12960</v>
      </c>
      <c r="O280" s="67">
        <v>12960</v>
      </c>
      <c r="P280" s="59" t="s">
        <v>495</v>
      </c>
    </row>
    <row r="281" spans="1:16" x14ac:dyDescent="0.25">
      <c r="A281" s="76">
        <v>2704475</v>
      </c>
      <c r="B281" s="76">
        <v>108342</v>
      </c>
      <c r="C281" s="59" t="s">
        <v>465</v>
      </c>
      <c r="D281" s="77" t="s">
        <v>372</v>
      </c>
      <c r="E281" s="77" t="s">
        <v>371</v>
      </c>
      <c r="F281" s="76">
        <v>5273</v>
      </c>
      <c r="G281" s="59" t="s">
        <v>509</v>
      </c>
      <c r="H281" s="59">
        <v>9824</v>
      </c>
      <c r="I281" s="60">
        <v>7896112198246</v>
      </c>
      <c r="J281" s="59" t="s">
        <v>286</v>
      </c>
      <c r="K281" s="61" t="s">
        <v>23</v>
      </c>
      <c r="L281" s="66">
        <v>2300</v>
      </c>
      <c r="M281" s="67">
        <v>2.79</v>
      </c>
      <c r="N281" s="67">
        <v>6417</v>
      </c>
      <c r="O281" s="67">
        <v>6417</v>
      </c>
      <c r="P281" s="59" t="s">
        <v>505</v>
      </c>
    </row>
    <row r="282" spans="1:16" x14ac:dyDescent="0.25">
      <c r="A282" s="76">
        <v>2704510</v>
      </c>
      <c r="B282" s="76">
        <v>108342</v>
      </c>
      <c r="C282" s="59" t="s">
        <v>465</v>
      </c>
      <c r="D282" s="77" t="s">
        <v>372</v>
      </c>
      <c r="E282" s="77" t="s">
        <v>368</v>
      </c>
      <c r="F282" s="76">
        <v>67402</v>
      </c>
      <c r="G282" s="59" t="s">
        <v>510</v>
      </c>
      <c r="H282" s="59">
        <v>1418</v>
      </c>
      <c r="I282" s="60">
        <v>7896112114185</v>
      </c>
      <c r="J282" s="59" t="s">
        <v>62</v>
      </c>
      <c r="K282" s="61" t="s">
        <v>34</v>
      </c>
      <c r="L282" s="66">
        <v>30000</v>
      </c>
      <c r="M282" s="67">
        <v>1.35</v>
      </c>
      <c r="N282" s="67">
        <v>40500</v>
      </c>
      <c r="O282" s="67">
        <v>40500</v>
      </c>
      <c r="P282" s="59" t="s">
        <v>505</v>
      </c>
    </row>
    <row r="283" spans="1:16" x14ac:dyDescent="0.25">
      <c r="A283" s="76">
        <v>2705133</v>
      </c>
      <c r="B283" s="76">
        <v>108342</v>
      </c>
      <c r="C283" s="59" t="s">
        <v>465</v>
      </c>
      <c r="D283" s="77" t="s">
        <v>372</v>
      </c>
      <c r="E283" s="77" t="s">
        <v>368</v>
      </c>
      <c r="F283" s="76">
        <v>67621</v>
      </c>
      <c r="G283" s="59" t="s">
        <v>511</v>
      </c>
      <c r="H283" s="59">
        <v>2911</v>
      </c>
      <c r="I283" s="60">
        <v>7896112129110</v>
      </c>
      <c r="J283" s="59" t="s">
        <v>129</v>
      </c>
      <c r="K283" s="61" t="s">
        <v>34</v>
      </c>
      <c r="L283" s="66">
        <v>500</v>
      </c>
      <c r="M283" s="67">
        <v>3.6399999999999997</v>
      </c>
      <c r="N283" s="67">
        <v>1820</v>
      </c>
      <c r="O283" s="67">
        <v>1820</v>
      </c>
      <c r="P283" s="59" t="s">
        <v>495</v>
      </c>
    </row>
    <row r="284" spans="1:16" x14ac:dyDescent="0.25">
      <c r="A284" s="76">
        <v>2705130</v>
      </c>
      <c r="B284" s="76">
        <v>108342</v>
      </c>
      <c r="C284" s="59" t="s">
        <v>465</v>
      </c>
      <c r="D284" s="77" t="s">
        <v>372</v>
      </c>
      <c r="E284" s="77" t="s">
        <v>368</v>
      </c>
      <c r="F284" s="76">
        <v>67685</v>
      </c>
      <c r="G284" s="59" t="s">
        <v>511</v>
      </c>
      <c r="H284" s="59">
        <v>3019</v>
      </c>
      <c r="I284" s="60">
        <v>7896112130192</v>
      </c>
      <c r="J284" s="59" t="s">
        <v>134</v>
      </c>
      <c r="K284" s="61" t="s">
        <v>34</v>
      </c>
      <c r="L284" s="66">
        <v>300</v>
      </c>
      <c r="M284" s="67">
        <v>8.129999999999999</v>
      </c>
      <c r="N284" s="67">
        <v>2439</v>
      </c>
      <c r="O284" s="67">
        <v>2439</v>
      </c>
      <c r="P284" s="59" t="s">
        <v>505</v>
      </c>
    </row>
    <row r="285" spans="1:16" x14ac:dyDescent="0.25">
      <c r="A285" s="76">
        <v>2705116</v>
      </c>
      <c r="B285" s="76">
        <v>108342</v>
      </c>
      <c r="C285" s="59" t="s">
        <v>465</v>
      </c>
      <c r="D285" s="77" t="s">
        <v>372</v>
      </c>
      <c r="E285" s="77" t="s">
        <v>368</v>
      </c>
      <c r="F285" s="76">
        <v>67759</v>
      </c>
      <c r="G285" s="59" t="s">
        <v>511</v>
      </c>
      <c r="H285" s="59">
        <v>6115</v>
      </c>
      <c r="I285" s="60">
        <v>7896112161158</v>
      </c>
      <c r="J285" s="59" t="s">
        <v>231</v>
      </c>
      <c r="K285" s="61" t="s">
        <v>23</v>
      </c>
      <c r="L285" s="66">
        <v>3000</v>
      </c>
      <c r="M285" s="67">
        <v>6.0200000000000005</v>
      </c>
      <c r="N285" s="67">
        <v>18060</v>
      </c>
      <c r="O285" s="67">
        <v>18060</v>
      </c>
      <c r="P285" s="59" t="s">
        <v>495</v>
      </c>
    </row>
    <row r="286" spans="1:16" x14ac:dyDescent="0.25">
      <c r="A286" s="76">
        <v>2704995</v>
      </c>
      <c r="B286" s="76">
        <v>108342</v>
      </c>
      <c r="C286" s="59" t="s">
        <v>465</v>
      </c>
      <c r="D286" s="77" t="s">
        <v>372</v>
      </c>
      <c r="E286" s="77" t="s">
        <v>368</v>
      </c>
      <c r="F286" s="76">
        <v>67856</v>
      </c>
      <c r="G286" s="59" t="s">
        <v>511</v>
      </c>
      <c r="H286" s="59">
        <v>3019</v>
      </c>
      <c r="I286" s="60">
        <v>7896112130192</v>
      </c>
      <c r="J286" s="59" t="s">
        <v>134</v>
      </c>
      <c r="K286" s="61" t="s">
        <v>34</v>
      </c>
      <c r="L286" s="66">
        <v>300</v>
      </c>
      <c r="M286" s="67">
        <v>7.81</v>
      </c>
      <c r="N286" s="67">
        <v>2343</v>
      </c>
      <c r="O286" s="67">
        <v>2343</v>
      </c>
      <c r="P286" s="59" t="s">
        <v>495</v>
      </c>
    </row>
    <row r="287" spans="1:16" x14ac:dyDescent="0.25">
      <c r="A287" s="76">
        <v>2704995</v>
      </c>
      <c r="B287" s="76">
        <v>108342</v>
      </c>
      <c r="C287" s="59" t="s">
        <v>465</v>
      </c>
      <c r="D287" s="77" t="s">
        <v>372</v>
      </c>
      <c r="E287" s="77" t="s">
        <v>368</v>
      </c>
      <c r="F287" s="76">
        <v>67856</v>
      </c>
      <c r="G287" s="59" t="s">
        <v>511</v>
      </c>
      <c r="H287" s="59">
        <v>1382</v>
      </c>
      <c r="I287" s="60">
        <v>7896112113829</v>
      </c>
      <c r="J287" s="59" t="s">
        <v>340</v>
      </c>
      <c r="K287" s="61" t="s">
        <v>23</v>
      </c>
      <c r="L287" s="66">
        <v>1000</v>
      </c>
      <c r="M287" s="67">
        <v>6.15</v>
      </c>
      <c r="N287" s="67">
        <v>6150</v>
      </c>
      <c r="O287" s="67">
        <v>6150</v>
      </c>
      <c r="P287" s="59" t="s">
        <v>495</v>
      </c>
    </row>
    <row r="288" spans="1:16" x14ac:dyDescent="0.25">
      <c r="A288" s="76">
        <v>2705129</v>
      </c>
      <c r="B288" s="76">
        <v>108342</v>
      </c>
      <c r="C288" s="59" t="s">
        <v>465</v>
      </c>
      <c r="D288" s="77" t="s">
        <v>372</v>
      </c>
      <c r="E288" s="77" t="s">
        <v>368</v>
      </c>
      <c r="F288" s="76">
        <v>67858</v>
      </c>
      <c r="G288" s="59" t="s">
        <v>511</v>
      </c>
      <c r="H288" s="59">
        <v>5343</v>
      </c>
      <c r="I288" s="60">
        <v>7896112153436</v>
      </c>
      <c r="J288" s="59" t="s">
        <v>217</v>
      </c>
      <c r="K288" s="61" t="s">
        <v>34</v>
      </c>
      <c r="L288" s="66">
        <v>1800</v>
      </c>
      <c r="M288" s="67">
        <v>24.82</v>
      </c>
      <c r="N288" s="67">
        <v>44676</v>
      </c>
      <c r="O288" s="67">
        <v>44676</v>
      </c>
      <c r="P288" s="59" t="s">
        <v>505</v>
      </c>
    </row>
    <row r="289" spans="1:16" x14ac:dyDescent="0.25">
      <c r="A289" s="76">
        <v>2707077</v>
      </c>
      <c r="B289" s="76">
        <v>108342</v>
      </c>
      <c r="C289" s="59" t="s">
        <v>465</v>
      </c>
      <c r="D289" s="77" t="s">
        <v>372</v>
      </c>
      <c r="E289" s="77" t="s">
        <v>368</v>
      </c>
      <c r="F289" s="76">
        <v>68689</v>
      </c>
      <c r="G289" s="59" t="s">
        <v>512</v>
      </c>
      <c r="H289" s="59">
        <v>9201</v>
      </c>
      <c r="I289" s="60">
        <v>7896112192015</v>
      </c>
      <c r="J289" s="59" t="s">
        <v>273</v>
      </c>
      <c r="K289" s="61" t="s">
        <v>34</v>
      </c>
      <c r="L289" s="66">
        <v>1000</v>
      </c>
      <c r="M289" s="67">
        <v>5.82</v>
      </c>
      <c r="N289" s="67">
        <v>5820</v>
      </c>
      <c r="O289" s="67">
        <v>5820</v>
      </c>
      <c r="P289" s="59" t="s">
        <v>513</v>
      </c>
    </row>
    <row r="290" spans="1:16" x14ac:dyDescent="0.25">
      <c r="A290" s="76">
        <v>2707077</v>
      </c>
      <c r="B290" s="76">
        <v>108342</v>
      </c>
      <c r="C290" s="59" t="s">
        <v>465</v>
      </c>
      <c r="D290" s="77" t="s">
        <v>372</v>
      </c>
      <c r="E290" s="77" t="s">
        <v>368</v>
      </c>
      <c r="F290" s="76">
        <v>68689</v>
      </c>
      <c r="G290" s="59" t="s">
        <v>512</v>
      </c>
      <c r="H290" s="59">
        <v>3515</v>
      </c>
      <c r="I290" s="60">
        <v>7896112135159</v>
      </c>
      <c r="J290" s="59" t="s">
        <v>339</v>
      </c>
      <c r="K290" s="61" t="s">
        <v>23</v>
      </c>
      <c r="L290" s="66">
        <v>1000</v>
      </c>
      <c r="M290" s="67">
        <v>9.1</v>
      </c>
      <c r="N290" s="67">
        <v>9100</v>
      </c>
      <c r="O290" s="67">
        <v>9100</v>
      </c>
      <c r="P290" s="59" t="s">
        <v>513</v>
      </c>
    </row>
    <row r="291" spans="1:16" x14ac:dyDescent="0.25">
      <c r="A291" s="76">
        <v>2707077</v>
      </c>
      <c r="B291" s="76">
        <v>108342</v>
      </c>
      <c r="C291" s="59" t="s">
        <v>465</v>
      </c>
      <c r="D291" s="77" t="s">
        <v>372</v>
      </c>
      <c r="E291" s="77" t="s">
        <v>368</v>
      </c>
      <c r="F291" s="76">
        <v>68689</v>
      </c>
      <c r="G291" s="59" t="s">
        <v>512</v>
      </c>
      <c r="H291" s="59">
        <v>2676</v>
      </c>
      <c r="I291" s="60">
        <v>7896112126768</v>
      </c>
      <c r="J291" s="59" t="s">
        <v>115</v>
      </c>
      <c r="K291" s="61" t="s">
        <v>34</v>
      </c>
      <c r="L291" s="66">
        <v>1500</v>
      </c>
      <c r="M291" s="67">
        <v>1.77</v>
      </c>
      <c r="N291" s="67">
        <v>2655</v>
      </c>
      <c r="O291" s="67">
        <v>2655</v>
      </c>
      <c r="P291" s="59" t="s">
        <v>513</v>
      </c>
    </row>
    <row r="292" spans="1:16" x14ac:dyDescent="0.25">
      <c r="A292" s="76">
        <v>2707077</v>
      </c>
      <c r="B292" s="76">
        <v>108342</v>
      </c>
      <c r="C292" s="59" t="s">
        <v>465</v>
      </c>
      <c r="D292" s="77" t="s">
        <v>372</v>
      </c>
      <c r="E292" s="77" t="s">
        <v>368</v>
      </c>
      <c r="F292" s="76">
        <v>68689</v>
      </c>
      <c r="G292" s="59" t="s">
        <v>512</v>
      </c>
      <c r="H292" s="59">
        <v>1418</v>
      </c>
      <c r="I292" s="60">
        <v>7896112114185</v>
      </c>
      <c r="J292" s="59" t="s">
        <v>62</v>
      </c>
      <c r="K292" s="61" t="s">
        <v>34</v>
      </c>
      <c r="L292" s="66">
        <v>25000</v>
      </c>
      <c r="M292" s="67">
        <v>1.3199999999999998</v>
      </c>
      <c r="N292" s="67">
        <v>33000</v>
      </c>
      <c r="O292" s="67">
        <v>33000</v>
      </c>
      <c r="P292" s="59" t="s">
        <v>513</v>
      </c>
    </row>
    <row r="293" spans="1:16" x14ac:dyDescent="0.25">
      <c r="A293" s="76">
        <v>2707077</v>
      </c>
      <c r="B293" s="76">
        <v>108342</v>
      </c>
      <c r="C293" s="59" t="s">
        <v>465</v>
      </c>
      <c r="D293" s="77" t="s">
        <v>372</v>
      </c>
      <c r="E293" s="77" t="s">
        <v>368</v>
      </c>
      <c r="F293" s="76">
        <v>68689</v>
      </c>
      <c r="G293" s="59" t="s">
        <v>512</v>
      </c>
      <c r="H293" s="59">
        <v>1748</v>
      </c>
      <c r="I293" s="60">
        <v>7896112117483</v>
      </c>
      <c r="J293" s="59" t="s">
        <v>464</v>
      </c>
      <c r="K293" s="61" t="s">
        <v>23</v>
      </c>
      <c r="L293" s="66">
        <v>300</v>
      </c>
      <c r="M293" s="67">
        <v>3.16</v>
      </c>
      <c r="N293" s="67">
        <v>948</v>
      </c>
      <c r="O293" s="67">
        <v>948</v>
      </c>
      <c r="P293" s="59" t="s">
        <v>513</v>
      </c>
    </row>
    <row r="294" spans="1:16" x14ac:dyDescent="0.25">
      <c r="A294" s="76">
        <v>2707077</v>
      </c>
      <c r="B294" s="76">
        <v>108342</v>
      </c>
      <c r="C294" s="59" t="s">
        <v>465</v>
      </c>
      <c r="D294" s="77" t="s">
        <v>372</v>
      </c>
      <c r="E294" s="77" t="s">
        <v>368</v>
      </c>
      <c r="F294" s="76">
        <v>68689</v>
      </c>
      <c r="G294" s="59" t="s">
        <v>512</v>
      </c>
      <c r="H294" s="59">
        <v>2886</v>
      </c>
      <c r="I294" s="60">
        <v>7896112128861</v>
      </c>
      <c r="J294" s="59" t="s">
        <v>127</v>
      </c>
      <c r="K294" s="61" t="s">
        <v>34</v>
      </c>
      <c r="L294" s="66">
        <v>500</v>
      </c>
      <c r="M294" s="67">
        <v>8.5400000000000009</v>
      </c>
      <c r="N294" s="67">
        <v>4270</v>
      </c>
      <c r="O294" s="67">
        <v>4270</v>
      </c>
      <c r="P294" s="59" t="s">
        <v>513</v>
      </c>
    </row>
    <row r="295" spans="1:16" x14ac:dyDescent="0.25">
      <c r="A295" s="76">
        <v>2707077</v>
      </c>
      <c r="B295" s="76">
        <v>108342</v>
      </c>
      <c r="C295" s="59" t="s">
        <v>465</v>
      </c>
      <c r="D295" s="77" t="s">
        <v>372</v>
      </c>
      <c r="E295" s="77" t="s">
        <v>368</v>
      </c>
      <c r="F295" s="76">
        <v>68689</v>
      </c>
      <c r="G295" s="59" t="s">
        <v>512</v>
      </c>
      <c r="H295" s="59">
        <v>5625</v>
      </c>
      <c r="I295" s="60">
        <v>7896112156253</v>
      </c>
      <c r="J295" s="59" t="s">
        <v>479</v>
      </c>
      <c r="K295" s="61" t="s">
        <v>34</v>
      </c>
      <c r="L295" s="66">
        <v>100</v>
      </c>
      <c r="M295" s="67">
        <v>10.459999999999999</v>
      </c>
      <c r="N295" s="67">
        <v>1046</v>
      </c>
      <c r="O295" s="67">
        <v>1046</v>
      </c>
      <c r="P295" s="59" t="s">
        <v>513</v>
      </c>
    </row>
    <row r="296" spans="1:16" x14ac:dyDescent="0.25">
      <c r="A296" s="76">
        <v>2707077</v>
      </c>
      <c r="B296" s="76">
        <v>108342</v>
      </c>
      <c r="C296" s="59" t="s">
        <v>465</v>
      </c>
      <c r="D296" s="77" t="s">
        <v>372</v>
      </c>
      <c r="E296" s="77" t="s">
        <v>368</v>
      </c>
      <c r="F296" s="76">
        <v>68689</v>
      </c>
      <c r="G296" s="59" t="s">
        <v>512</v>
      </c>
      <c r="H296" s="59">
        <v>3994</v>
      </c>
      <c r="I296" s="60">
        <v>7896112139942</v>
      </c>
      <c r="J296" s="59" t="s">
        <v>155</v>
      </c>
      <c r="K296" s="61" t="s">
        <v>23</v>
      </c>
      <c r="L296" s="66">
        <v>1176</v>
      </c>
      <c r="M296" s="67">
        <v>2.7399999999999998</v>
      </c>
      <c r="N296" s="67">
        <v>3222.2400000000002</v>
      </c>
      <c r="O296" s="67">
        <v>3222.2400000000002</v>
      </c>
      <c r="P296" s="59" t="s">
        <v>513</v>
      </c>
    </row>
    <row r="297" spans="1:16" x14ac:dyDescent="0.25">
      <c r="A297" s="76">
        <v>2707077</v>
      </c>
      <c r="B297" s="76">
        <v>108342</v>
      </c>
      <c r="C297" s="59" t="s">
        <v>465</v>
      </c>
      <c r="D297" s="77" t="s">
        <v>372</v>
      </c>
      <c r="E297" s="77" t="s">
        <v>368</v>
      </c>
      <c r="F297" s="76">
        <v>68689</v>
      </c>
      <c r="G297" s="59" t="s">
        <v>512</v>
      </c>
      <c r="H297" s="59">
        <v>2490</v>
      </c>
      <c r="I297" s="60">
        <v>7896112124900</v>
      </c>
      <c r="J297" s="59" t="s">
        <v>99</v>
      </c>
      <c r="K297" s="61" t="s">
        <v>34</v>
      </c>
      <c r="L297" s="66">
        <v>100</v>
      </c>
      <c r="M297" s="67">
        <v>3.7</v>
      </c>
      <c r="N297" s="67">
        <v>370</v>
      </c>
      <c r="O297" s="67">
        <v>370</v>
      </c>
      <c r="P297" s="59" t="s">
        <v>513</v>
      </c>
    </row>
    <row r="298" spans="1:16" x14ac:dyDescent="0.25">
      <c r="A298" s="76">
        <v>2707064</v>
      </c>
      <c r="B298" s="76">
        <v>108342</v>
      </c>
      <c r="C298" s="59" t="s">
        <v>465</v>
      </c>
      <c r="D298" s="77" t="s">
        <v>372</v>
      </c>
      <c r="E298" s="77" t="s">
        <v>368</v>
      </c>
      <c r="F298" s="76">
        <v>68754</v>
      </c>
      <c r="G298" s="59" t="s">
        <v>512</v>
      </c>
      <c r="H298" s="59">
        <v>5949</v>
      </c>
      <c r="I298" s="60">
        <v>7896112159490</v>
      </c>
      <c r="J298" s="59" t="s">
        <v>223</v>
      </c>
      <c r="K298" s="61" t="s">
        <v>34</v>
      </c>
      <c r="L298" s="66">
        <v>600</v>
      </c>
      <c r="M298" s="67">
        <v>4.67</v>
      </c>
      <c r="N298" s="67">
        <v>2802</v>
      </c>
      <c r="O298" s="67">
        <v>2802</v>
      </c>
      <c r="P298" s="59" t="s">
        <v>513</v>
      </c>
    </row>
    <row r="299" spans="1:16" x14ac:dyDescent="0.25">
      <c r="A299" s="76">
        <v>2707064</v>
      </c>
      <c r="B299" s="76">
        <v>108342</v>
      </c>
      <c r="C299" s="59" t="s">
        <v>465</v>
      </c>
      <c r="D299" s="77" t="s">
        <v>372</v>
      </c>
      <c r="E299" s="77" t="s">
        <v>368</v>
      </c>
      <c r="F299" s="76">
        <v>68754</v>
      </c>
      <c r="G299" s="59" t="s">
        <v>512</v>
      </c>
      <c r="H299" s="59">
        <v>4453</v>
      </c>
      <c r="I299" s="60">
        <v>7896112104537</v>
      </c>
      <c r="J299" s="59" t="s">
        <v>188</v>
      </c>
      <c r="K299" s="61" t="s">
        <v>34</v>
      </c>
      <c r="L299" s="66">
        <v>500</v>
      </c>
      <c r="M299" s="67">
        <v>9.1900000000000013</v>
      </c>
      <c r="N299" s="67">
        <v>4595</v>
      </c>
      <c r="O299" s="67">
        <v>4595</v>
      </c>
      <c r="P299" s="59" t="s">
        <v>513</v>
      </c>
    </row>
    <row r="300" spans="1:16" x14ac:dyDescent="0.25">
      <c r="A300" s="76">
        <v>2707064</v>
      </c>
      <c r="B300" s="76">
        <v>108342</v>
      </c>
      <c r="C300" s="59" t="s">
        <v>465</v>
      </c>
      <c r="D300" s="77" t="s">
        <v>372</v>
      </c>
      <c r="E300" s="77" t="s">
        <v>368</v>
      </c>
      <c r="F300" s="76">
        <v>68754</v>
      </c>
      <c r="G300" s="59" t="s">
        <v>512</v>
      </c>
      <c r="H300" s="59">
        <v>1925</v>
      </c>
      <c r="I300" s="60">
        <v>7896112119258</v>
      </c>
      <c r="J300" s="59" t="s">
        <v>74</v>
      </c>
      <c r="K300" s="61" t="s">
        <v>34</v>
      </c>
      <c r="L300" s="66">
        <v>200</v>
      </c>
      <c r="M300" s="67">
        <v>9.36</v>
      </c>
      <c r="N300" s="67">
        <v>1872</v>
      </c>
      <c r="O300" s="67">
        <v>1872</v>
      </c>
      <c r="P300" s="59" t="s">
        <v>513</v>
      </c>
    </row>
    <row r="301" spans="1:16" x14ac:dyDescent="0.25">
      <c r="A301" s="76">
        <v>2707079</v>
      </c>
      <c r="B301" s="76">
        <v>108342</v>
      </c>
      <c r="C301" s="59" t="s">
        <v>465</v>
      </c>
      <c r="D301" s="77" t="s">
        <v>372</v>
      </c>
      <c r="E301" s="77" t="s">
        <v>368</v>
      </c>
      <c r="F301" s="76">
        <v>68757</v>
      </c>
      <c r="G301" s="59" t="s">
        <v>512</v>
      </c>
      <c r="H301" s="59">
        <v>4836</v>
      </c>
      <c r="I301" s="60">
        <v>7896112108368</v>
      </c>
      <c r="J301" s="59" t="s">
        <v>43</v>
      </c>
      <c r="K301" s="61" t="s">
        <v>34</v>
      </c>
      <c r="L301" s="66">
        <v>352</v>
      </c>
      <c r="M301" s="67">
        <v>16.369999999999997</v>
      </c>
      <c r="N301" s="67">
        <v>5762.24</v>
      </c>
      <c r="O301" s="67">
        <v>5762.24</v>
      </c>
      <c r="P301" s="59" t="s">
        <v>513</v>
      </c>
    </row>
    <row r="302" spans="1:16" x14ac:dyDescent="0.25">
      <c r="A302" s="76">
        <v>2707079</v>
      </c>
      <c r="B302" s="76">
        <v>108342</v>
      </c>
      <c r="C302" s="59" t="s">
        <v>465</v>
      </c>
      <c r="D302" s="77" t="s">
        <v>372</v>
      </c>
      <c r="E302" s="77" t="s">
        <v>368</v>
      </c>
      <c r="F302" s="76">
        <v>68757</v>
      </c>
      <c r="G302" s="59" t="s">
        <v>512</v>
      </c>
      <c r="H302" s="59">
        <v>4296</v>
      </c>
      <c r="I302" s="60">
        <v>7896112102960</v>
      </c>
      <c r="J302" s="59" t="s">
        <v>171</v>
      </c>
      <c r="K302" s="61" t="s">
        <v>34</v>
      </c>
      <c r="L302" s="66">
        <v>1200</v>
      </c>
      <c r="M302" s="67">
        <v>4.57</v>
      </c>
      <c r="N302" s="67">
        <v>5484</v>
      </c>
      <c r="O302" s="67">
        <v>5484</v>
      </c>
      <c r="P302" s="59" t="s">
        <v>513</v>
      </c>
    </row>
    <row r="303" spans="1:16" x14ac:dyDescent="0.25">
      <c r="A303" s="76">
        <v>2707078</v>
      </c>
      <c r="B303" s="76">
        <v>108342</v>
      </c>
      <c r="C303" s="59" t="s">
        <v>465</v>
      </c>
      <c r="D303" s="77" t="s">
        <v>372</v>
      </c>
      <c r="E303" s="77" t="s">
        <v>368</v>
      </c>
      <c r="F303" s="76">
        <v>68815</v>
      </c>
      <c r="G303" s="59" t="s">
        <v>514</v>
      </c>
      <c r="H303" s="59">
        <v>4416</v>
      </c>
      <c r="I303" s="60">
        <v>7896112104162</v>
      </c>
      <c r="J303" s="59" t="s">
        <v>184</v>
      </c>
      <c r="K303" s="61" t="s">
        <v>23</v>
      </c>
      <c r="L303" s="66">
        <v>112</v>
      </c>
      <c r="M303" s="67">
        <v>11.040000000000001</v>
      </c>
      <c r="N303" s="67">
        <v>1236.48</v>
      </c>
      <c r="O303" s="67">
        <v>1332.9299999999998</v>
      </c>
      <c r="P303" s="59" t="s">
        <v>513</v>
      </c>
    </row>
    <row r="304" spans="1:16" x14ac:dyDescent="0.25">
      <c r="A304" s="76">
        <v>2707078</v>
      </c>
      <c r="B304" s="76">
        <v>108342</v>
      </c>
      <c r="C304" s="59" t="s">
        <v>465</v>
      </c>
      <c r="D304" s="77" t="s">
        <v>372</v>
      </c>
      <c r="E304" s="77" t="s">
        <v>368</v>
      </c>
      <c r="F304" s="76">
        <v>68815</v>
      </c>
      <c r="G304" s="59" t="s">
        <v>514</v>
      </c>
      <c r="H304" s="59">
        <v>4244</v>
      </c>
      <c r="I304" s="60">
        <v>7896112102441</v>
      </c>
      <c r="J304" s="59" t="s">
        <v>164</v>
      </c>
      <c r="K304" s="61" t="s">
        <v>23</v>
      </c>
      <c r="L304" s="66">
        <v>1200</v>
      </c>
      <c r="M304" s="67">
        <v>9.42</v>
      </c>
      <c r="N304" s="67">
        <v>11304</v>
      </c>
      <c r="O304" s="67">
        <v>11304</v>
      </c>
      <c r="P304" s="59" t="s">
        <v>513</v>
      </c>
    </row>
    <row r="305" spans="1:16" x14ac:dyDescent="0.25">
      <c r="A305" s="76">
        <v>2707078</v>
      </c>
      <c r="B305" s="76">
        <v>108342</v>
      </c>
      <c r="C305" s="59" t="s">
        <v>465</v>
      </c>
      <c r="D305" s="77" t="s">
        <v>372</v>
      </c>
      <c r="E305" s="77" t="s">
        <v>368</v>
      </c>
      <c r="F305" s="76">
        <v>68815</v>
      </c>
      <c r="G305" s="59" t="s">
        <v>514</v>
      </c>
      <c r="H305" s="59">
        <v>4375</v>
      </c>
      <c r="I305" s="60">
        <v>7896112103752</v>
      </c>
      <c r="J305" s="59" t="s">
        <v>175</v>
      </c>
      <c r="K305" s="61" t="s">
        <v>23</v>
      </c>
      <c r="L305" s="66">
        <v>120</v>
      </c>
      <c r="M305" s="67">
        <v>25.31</v>
      </c>
      <c r="N305" s="67">
        <v>3037.2</v>
      </c>
      <c r="O305" s="67">
        <v>3037.2</v>
      </c>
      <c r="P305" s="59" t="s">
        <v>513</v>
      </c>
    </row>
    <row r="306" spans="1:16" x14ac:dyDescent="0.25">
      <c r="A306" s="76">
        <v>2707078</v>
      </c>
      <c r="B306" s="76">
        <v>108342</v>
      </c>
      <c r="C306" s="59" t="s">
        <v>465</v>
      </c>
      <c r="D306" s="77" t="s">
        <v>372</v>
      </c>
      <c r="E306" s="77" t="s">
        <v>368</v>
      </c>
      <c r="F306" s="76">
        <v>68815</v>
      </c>
      <c r="G306" s="59" t="s">
        <v>514</v>
      </c>
      <c r="H306" s="59">
        <v>4380</v>
      </c>
      <c r="I306" s="60">
        <v>7896112103806</v>
      </c>
      <c r="J306" s="59" t="s">
        <v>177</v>
      </c>
      <c r="K306" s="61" t="s">
        <v>23</v>
      </c>
      <c r="L306" s="66">
        <v>240</v>
      </c>
      <c r="M306" s="67">
        <v>8.129999999999999</v>
      </c>
      <c r="N306" s="67">
        <v>1951.2</v>
      </c>
      <c r="O306" s="67">
        <v>1951.2</v>
      </c>
      <c r="P306" s="59" t="s">
        <v>513</v>
      </c>
    </row>
    <row r="307" spans="1:16" x14ac:dyDescent="0.25">
      <c r="A307" s="76">
        <v>2707066</v>
      </c>
      <c r="B307" s="76">
        <v>108342</v>
      </c>
      <c r="C307" s="59" t="s">
        <v>465</v>
      </c>
      <c r="D307" s="77" t="s">
        <v>372</v>
      </c>
      <c r="E307" s="77" t="s">
        <v>368</v>
      </c>
      <c r="F307" s="76">
        <v>68822</v>
      </c>
      <c r="G307" s="59" t="s">
        <v>514</v>
      </c>
      <c r="H307" s="59">
        <v>4440</v>
      </c>
      <c r="I307" s="60">
        <v>7896112104407</v>
      </c>
      <c r="J307" s="59" t="s">
        <v>187</v>
      </c>
      <c r="K307" s="61" t="s">
        <v>34</v>
      </c>
      <c r="L307" s="66">
        <v>1400</v>
      </c>
      <c r="M307" s="67">
        <v>5.7200000000000006</v>
      </c>
      <c r="N307" s="67">
        <v>8008</v>
      </c>
      <c r="O307" s="67">
        <v>8008</v>
      </c>
      <c r="P307" s="59" t="s">
        <v>513</v>
      </c>
    </row>
    <row r="308" spans="1:16" x14ac:dyDescent="0.25">
      <c r="A308" s="76">
        <v>2707082</v>
      </c>
      <c r="B308" s="76">
        <v>108342</v>
      </c>
      <c r="C308" s="59" t="s">
        <v>465</v>
      </c>
      <c r="D308" s="77" t="s">
        <v>372</v>
      </c>
      <c r="E308" s="77" t="s">
        <v>368</v>
      </c>
      <c r="F308" s="76">
        <v>68823</v>
      </c>
      <c r="G308" s="59" t="s">
        <v>514</v>
      </c>
      <c r="H308" s="59">
        <v>167</v>
      </c>
      <c r="I308" s="60">
        <v>7896112141679</v>
      </c>
      <c r="J308" s="59" t="s">
        <v>30</v>
      </c>
      <c r="K308" s="61" t="s">
        <v>23</v>
      </c>
      <c r="L308" s="66">
        <v>600</v>
      </c>
      <c r="M308" s="67">
        <v>1.92</v>
      </c>
      <c r="N308" s="67">
        <v>1152</v>
      </c>
      <c r="O308" s="67">
        <v>1152</v>
      </c>
      <c r="P308" s="59" t="s">
        <v>513</v>
      </c>
    </row>
    <row r="309" spans="1:16" x14ac:dyDescent="0.25">
      <c r="A309" s="76">
        <v>2707281</v>
      </c>
      <c r="B309" s="76">
        <v>108342</v>
      </c>
      <c r="C309" s="59" t="s">
        <v>465</v>
      </c>
      <c r="D309" s="77" t="s">
        <v>372</v>
      </c>
      <c r="E309" s="77" t="s">
        <v>368</v>
      </c>
      <c r="F309" s="76">
        <v>68993</v>
      </c>
      <c r="G309" s="59" t="s">
        <v>514</v>
      </c>
      <c r="H309" s="59">
        <v>2111</v>
      </c>
      <c r="I309" s="60">
        <v>7896112121114</v>
      </c>
      <c r="J309" s="59" t="s">
        <v>80</v>
      </c>
      <c r="K309" s="61" t="s">
        <v>34</v>
      </c>
      <c r="L309" s="66">
        <v>600</v>
      </c>
      <c r="M309" s="67">
        <v>12.28</v>
      </c>
      <c r="N309" s="67">
        <v>7368</v>
      </c>
      <c r="O309" s="67">
        <v>7368</v>
      </c>
      <c r="P309" s="59" t="s">
        <v>495</v>
      </c>
    </row>
    <row r="310" spans="1:16" x14ac:dyDescent="0.25">
      <c r="A310" s="76">
        <v>2707438</v>
      </c>
      <c r="B310" s="76">
        <v>108342</v>
      </c>
      <c r="C310" s="59" t="s">
        <v>465</v>
      </c>
      <c r="D310" s="77" t="s">
        <v>372</v>
      </c>
      <c r="E310" s="77" t="s">
        <v>368</v>
      </c>
      <c r="F310" s="76">
        <v>69142</v>
      </c>
      <c r="G310" s="59" t="s">
        <v>515</v>
      </c>
      <c r="H310" s="59">
        <v>5118</v>
      </c>
      <c r="I310" s="60">
        <v>7896112151180</v>
      </c>
      <c r="J310" s="59" t="s">
        <v>214</v>
      </c>
      <c r="K310" s="61" t="s">
        <v>34</v>
      </c>
      <c r="L310" s="66">
        <v>120</v>
      </c>
      <c r="M310" s="67">
        <v>42.339999999999996</v>
      </c>
      <c r="N310" s="67">
        <v>5080.8</v>
      </c>
      <c r="O310" s="67">
        <v>5080.8</v>
      </c>
      <c r="P310" s="59" t="s">
        <v>513</v>
      </c>
    </row>
    <row r="311" spans="1:16" x14ac:dyDescent="0.25">
      <c r="A311" s="76">
        <v>2706381</v>
      </c>
      <c r="B311" s="76">
        <v>108342</v>
      </c>
      <c r="C311" s="59" t="s">
        <v>465</v>
      </c>
      <c r="D311" s="77" t="s">
        <v>372</v>
      </c>
      <c r="E311" s="77" t="s">
        <v>475</v>
      </c>
      <c r="F311" s="76">
        <v>5714</v>
      </c>
      <c r="G311" s="59" t="s">
        <v>516</v>
      </c>
      <c r="H311" s="59">
        <v>3297</v>
      </c>
      <c r="I311" s="60">
        <v>7896112132974</v>
      </c>
      <c r="J311" s="59" t="s">
        <v>137</v>
      </c>
      <c r="K311" s="61" t="s">
        <v>34</v>
      </c>
      <c r="L311" s="66">
        <v>270</v>
      </c>
      <c r="M311" s="67">
        <v>6.6</v>
      </c>
      <c r="N311" s="67">
        <v>1782</v>
      </c>
      <c r="O311" s="67">
        <v>1782</v>
      </c>
      <c r="P311" s="59" t="s">
        <v>505</v>
      </c>
    </row>
    <row r="312" spans="1:16" x14ac:dyDescent="0.25">
      <c r="A312" s="76">
        <v>2706381</v>
      </c>
      <c r="B312" s="76">
        <v>108342</v>
      </c>
      <c r="C312" s="59" t="s">
        <v>465</v>
      </c>
      <c r="D312" s="77" t="s">
        <v>372</v>
      </c>
      <c r="E312" s="77" t="s">
        <v>475</v>
      </c>
      <c r="F312" s="76">
        <v>5714</v>
      </c>
      <c r="G312" s="59" t="s">
        <v>516</v>
      </c>
      <c r="H312" s="59">
        <v>859</v>
      </c>
      <c r="I312" s="60">
        <v>7896112148593</v>
      </c>
      <c r="J312" s="59" t="s">
        <v>44</v>
      </c>
      <c r="K312" s="61" t="s">
        <v>34</v>
      </c>
      <c r="L312" s="66">
        <v>3000</v>
      </c>
      <c r="M312" s="67">
        <v>4.68</v>
      </c>
      <c r="N312" s="67">
        <v>14040</v>
      </c>
      <c r="O312" s="67">
        <v>14040</v>
      </c>
      <c r="P312" s="59" t="s">
        <v>505</v>
      </c>
    </row>
    <row r="313" spans="1:16" x14ac:dyDescent="0.25">
      <c r="A313" s="76">
        <v>2707080</v>
      </c>
      <c r="B313" s="76">
        <v>108342</v>
      </c>
      <c r="C313" s="59" t="s">
        <v>465</v>
      </c>
      <c r="D313" s="77" t="s">
        <v>372</v>
      </c>
      <c r="E313" s="77" t="s">
        <v>475</v>
      </c>
      <c r="F313" s="76">
        <v>5740</v>
      </c>
      <c r="G313" s="59" t="s">
        <v>517</v>
      </c>
      <c r="H313" s="59">
        <v>6565</v>
      </c>
      <c r="I313" s="60">
        <v>7896112165651</v>
      </c>
      <c r="J313" s="59" t="s">
        <v>235</v>
      </c>
      <c r="K313" s="61" t="s">
        <v>34</v>
      </c>
      <c r="L313" s="66">
        <v>4000</v>
      </c>
      <c r="M313" s="67">
        <v>0.98000000000000009</v>
      </c>
      <c r="N313" s="67">
        <v>3920</v>
      </c>
      <c r="O313" s="67">
        <v>3920</v>
      </c>
      <c r="P313" s="59" t="s">
        <v>513</v>
      </c>
    </row>
    <row r="314" spans="1:16" x14ac:dyDescent="0.25">
      <c r="A314" s="76">
        <v>2707080</v>
      </c>
      <c r="B314" s="76">
        <v>108342</v>
      </c>
      <c r="C314" s="59" t="s">
        <v>465</v>
      </c>
      <c r="D314" s="77" t="s">
        <v>372</v>
      </c>
      <c r="E314" s="77" t="s">
        <v>475</v>
      </c>
      <c r="F314" s="76">
        <v>5740</v>
      </c>
      <c r="G314" s="59" t="s">
        <v>517</v>
      </c>
      <c r="H314" s="59">
        <v>5836</v>
      </c>
      <c r="I314" s="60">
        <v>7896112158363</v>
      </c>
      <c r="J314" s="59" t="s">
        <v>222</v>
      </c>
      <c r="K314" s="61" t="s">
        <v>23</v>
      </c>
      <c r="L314" s="66">
        <v>6000</v>
      </c>
      <c r="M314" s="67">
        <v>2.84</v>
      </c>
      <c r="N314" s="67">
        <v>17040</v>
      </c>
      <c r="O314" s="67">
        <v>17040</v>
      </c>
      <c r="P314" s="59" t="s">
        <v>513</v>
      </c>
    </row>
    <row r="315" spans="1:16" x14ac:dyDescent="0.25">
      <c r="A315" s="76">
        <v>2707080</v>
      </c>
      <c r="B315" s="76">
        <v>108342</v>
      </c>
      <c r="C315" s="59" t="s">
        <v>465</v>
      </c>
      <c r="D315" s="77" t="s">
        <v>372</v>
      </c>
      <c r="E315" s="77" t="s">
        <v>475</v>
      </c>
      <c r="F315" s="76">
        <v>5740</v>
      </c>
      <c r="G315" s="59" t="s">
        <v>517</v>
      </c>
      <c r="H315" s="59">
        <v>4251</v>
      </c>
      <c r="I315" s="60">
        <v>7896112102519</v>
      </c>
      <c r="J315" s="59" t="s">
        <v>165</v>
      </c>
      <c r="K315" s="61" t="s">
        <v>34</v>
      </c>
      <c r="L315" s="66">
        <v>300</v>
      </c>
      <c r="M315" s="67">
        <v>3.9799999999999995</v>
      </c>
      <c r="N315" s="67">
        <v>1194</v>
      </c>
      <c r="O315" s="67">
        <v>1194</v>
      </c>
      <c r="P315" s="59" t="s">
        <v>513</v>
      </c>
    </row>
    <row r="316" spans="1:16" x14ac:dyDescent="0.25">
      <c r="A316" s="76">
        <v>2707080</v>
      </c>
      <c r="B316" s="76">
        <v>108342</v>
      </c>
      <c r="C316" s="59" t="s">
        <v>465</v>
      </c>
      <c r="D316" s="77" t="s">
        <v>372</v>
      </c>
      <c r="E316" s="77" t="s">
        <v>475</v>
      </c>
      <c r="F316" s="76">
        <v>5740</v>
      </c>
      <c r="G316" s="59" t="s">
        <v>517</v>
      </c>
      <c r="H316" s="59">
        <v>868</v>
      </c>
      <c r="I316" s="60">
        <v>7896112148685</v>
      </c>
      <c r="J316" s="59" t="s">
        <v>45</v>
      </c>
      <c r="K316" s="61" t="s">
        <v>23</v>
      </c>
      <c r="L316" s="66">
        <v>1000</v>
      </c>
      <c r="M316" s="67">
        <v>2.4</v>
      </c>
      <c r="N316" s="67">
        <v>2400</v>
      </c>
      <c r="O316" s="67">
        <v>2400</v>
      </c>
      <c r="P316" s="59" t="s">
        <v>513</v>
      </c>
    </row>
    <row r="317" spans="1:16" x14ac:dyDescent="0.25">
      <c r="A317" s="76">
        <v>2707080</v>
      </c>
      <c r="B317" s="76">
        <v>108342</v>
      </c>
      <c r="C317" s="59" t="s">
        <v>465</v>
      </c>
      <c r="D317" s="77" t="s">
        <v>372</v>
      </c>
      <c r="E317" s="77" t="s">
        <v>475</v>
      </c>
      <c r="F317" s="76">
        <v>5740</v>
      </c>
      <c r="G317" s="59" t="s">
        <v>517</v>
      </c>
      <c r="H317" s="59">
        <v>4053</v>
      </c>
      <c r="I317" s="60">
        <v>7896112100539</v>
      </c>
      <c r="J317" s="59" t="s">
        <v>156</v>
      </c>
      <c r="K317" s="61" t="s">
        <v>34</v>
      </c>
      <c r="L317" s="66">
        <v>1000</v>
      </c>
      <c r="M317" s="67">
        <v>2.6100000000000003</v>
      </c>
      <c r="N317" s="67">
        <v>2610</v>
      </c>
      <c r="O317" s="67">
        <v>2610</v>
      </c>
      <c r="P317" s="59" t="s">
        <v>513</v>
      </c>
    </row>
    <row r="318" spans="1:16" x14ac:dyDescent="0.25">
      <c r="A318" s="76">
        <v>2707080</v>
      </c>
      <c r="B318" s="76">
        <v>108342</v>
      </c>
      <c r="C318" s="59" t="s">
        <v>465</v>
      </c>
      <c r="D318" s="77" t="s">
        <v>372</v>
      </c>
      <c r="E318" s="77" t="s">
        <v>475</v>
      </c>
      <c r="F318" s="76">
        <v>5740</v>
      </c>
      <c r="G318" s="59" t="s">
        <v>517</v>
      </c>
      <c r="H318" s="59">
        <v>9739</v>
      </c>
      <c r="I318" s="60">
        <v>7896112197393</v>
      </c>
      <c r="J318" s="59" t="s">
        <v>284</v>
      </c>
      <c r="K318" s="61" t="s">
        <v>23</v>
      </c>
      <c r="L318" s="66">
        <v>200</v>
      </c>
      <c r="M318" s="67">
        <v>2.5300000000000002</v>
      </c>
      <c r="N318" s="67">
        <v>506</v>
      </c>
      <c r="O318" s="67">
        <v>506</v>
      </c>
      <c r="P318" s="59" t="s">
        <v>513</v>
      </c>
    </row>
    <row r="319" spans="1:16" x14ac:dyDescent="0.25">
      <c r="A319" s="76">
        <v>2707080</v>
      </c>
      <c r="B319" s="76">
        <v>108342</v>
      </c>
      <c r="C319" s="59" t="s">
        <v>465</v>
      </c>
      <c r="D319" s="77" t="s">
        <v>372</v>
      </c>
      <c r="E319" s="77" t="s">
        <v>475</v>
      </c>
      <c r="F319" s="76">
        <v>5740</v>
      </c>
      <c r="G319" s="59" t="s">
        <v>517</v>
      </c>
      <c r="H319" s="59">
        <v>2582</v>
      </c>
      <c r="I319" s="60">
        <v>7896112125822</v>
      </c>
      <c r="J319" s="59" t="s">
        <v>105</v>
      </c>
      <c r="K319" s="61" t="s">
        <v>23</v>
      </c>
      <c r="L319" s="66">
        <v>600</v>
      </c>
      <c r="M319" s="67">
        <v>11.209999999999999</v>
      </c>
      <c r="N319" s="67">
        <v>6726</v>
      </c>
      <c r="O319" s="67">
        <v>6726</v>
      </c>
      <c r="P319" s="59" t="s">
        <v>513</v>
      </c>
    </row>
    <row r="320" spans="1:16" x14ac:dyDescent="0.25">
      <c r="A320" s="76">
        <v>2707080</v>
      </c>
      <c r="B320" s="76">
        <v>108342</v>
      </c>
      <c r="C320" s="59" t="s">
        <v>465</v>
      </c>
      <c r="D320" s="77" t="s">
        <v>372</v>
      </c>
      <c r="E320" s="77" t="s">
        <v>475</v>
      </c>
      <c r="F320" s="76">
        <v>5740</v>
      </c>
      <c r="G320" s="59" t="s">
        <v>517</v>
      </c>
      <c r="H320" s="59">
        <v>859</v>
      </c>
      <c r="I320" s="60">
        <v>7896112148593</v>
      </c>
      <c r="J320" s="59" t="s">
        <v>44</v>
      </c>
      <c r="K320" s="61" t="s">
        <v>34</v>
      </c>
      <c r="L320" s="66">
        <v>500</v>
      </c>
      <c r="M320" s="67">
        <v>4.59</v>
      </c>
      <c r="N320" s="67">
        <v>2295</v>
      </c>
      <c r="O320" s="67">
        <v>2295</v>
      </c>
      <c r="P320" s="59" t="s">
        <v>513</v>
      </c>
    </row>
    <row r="321" spans="1:16" x14ac:dyDescent="0.25">
      <c r="A321" s="76">
        <v>2707080</v>
      </c>
      <c r="B321" s="76">
        <v>108342</v>
      </c>
      <c r="C321" s="59" t="s">
        <v>465</v>
      </c>
      <c r="D321" s="77" t="s">
        <v>372</v>
      </c>
      <c r="E321" s="77" t="s">
        <v>475</v>
      </c>
      <c r="F321" s="76">
        <v>5740</v>
      </c>
      <c r="G321" s="59" t="s">
        <v>517</v>
      </c>
      <c r="H321" s="59">
        <v>2743</v>
      </c>
      <c r="I321" s="60">
        <v>7896112127437</v>
      </c>
      <c r="J321" s="59" t="s">
        <v>117</v>
      </c>
      <c r="K321" s="61" t="s">
        <v>34</v>
      </c>
      <c r="L321" s="66">
        <v>600</v>
      </c>
      <c r="M321" s="67">
        <v>3.3200000000000003</v>
      </c>
      <c r="N321" s="67">
        <v>1992</v>
      </c>
      <c r="O321" s="67">
        <v>1992</v>
      </c>
      <c r="P321" s="59" t="s">
        <v>513</v>
      </c>
    </row>
    <row r="322" spans="1:16" x14ac:dyDescent="0.25">
      <c r="A322" s="76">
        <v>2707080</v>
      </c>
      <c r="B322" s="76">
        <v>108342</v>
      </c>
      <c r="C322" s="59" t="s">
        <v>465</v>
      </c>
      <c r="D322" s="77" t="s">
        <v>372</v>
      </c>
      <c r="E322" s="77" t="s">
        <v>475</v>
      </c>
      <c r="F322" s="76">
        <v>5740</v>
      </c>
      <c r="G322" s="59" t="s">
        <v>517</v>
      </c>
      <c r="H322" s="59">
        <v>764</v>
      </c>
      <c r="I322" s="60">
        <v>7896112147640</v>
      </c>
      <c r="J322" s="59" t="s">
        <v>40</v>
      </c>
      <c r="K322" s="61" t="s">
        <v>23</v>
      </c>
      <c r="L322" s="66">
        <v>10000</v>
      </c>
      <c r="M322" s="67">
        <v>10.709999999999999</v>
      </c>
      <c r="N322" s="67">
        <v>107100</v>
      </c>
      <c r="O322" s="67">
        <v>107100</v>
      </c>
      <c r="P322" s="59" t="s">
        <v>513</v>
      </c>
    </row>
    <row r="323" spans="1:16" x14ac:dyDescent="0.25">
      <c r="A323" s="76">
        <v>2707080</v>
      </c>
      <c r="B323" s="76">
        <v>108342</v>
      </c>
      <c r="C323" s="59" t="s">
        <v>465</v>
      </c>
      <c r="D323" s="77" t="s">
        <v>372</v>
      </c>
      <c r="E323" s="77" t="s">
        <v>475</v>
      </c>
      <c r="F323" s="76">
        <v>5740</v>
      </c>
      <c r="G323" s="59" t="s">
        <v>517</v>
      </c>
      <c r="H323" s="59">
        <v>2733</v>
      </c>
      <c r="I323" s="60">
        <v>7896112127338</v>
      </c>
      <c r="J323" s="59" t="s">
        <v>116</v>
      </c>
      <c r="K323" s="61" t="s">
        <v>34</v>
      </c>
      <c r="L323" s="66">
        <v>600</v>
      </c>
      <c r="M323" s="67">
        <v>3.44</v>
      </c>
      <c r="N323" s="67">
        <v>2064</v>
      </c>
      <c r="O323" s="67">
        <v>2064</v>
      </c>
      <c r="P323" s="59" t="s">
        <v>513</v>
      </c>
    </row>
    <row r="324" spans="1:16" x14ac:dyDescent="0.25">
      <c r="A324" s="76">
        <v>2707080</v>
      </c>
      <c r="B324" s="76">
        <v>108342</v>
      </c>
      <c r="C324" s="59" t="s">
        <v>465</v>
      </c>
      <c r="D324" s="77" t="s">
        <v>372</v>
      </c>
      <c r="E324" s="77" t="s">
        <v>475</v>
      </c>
      <c r="F324" s="76">
        <v>5740</v>
      </c>
      <c r="G324" s="59" t="s">
        <v>517</v>
      </c>
      <c r="H324" s="59">
        <v>1427</v>
      </c>
      <c r="I324" s="60">
        <v>7896112114277</v>
      </c>
      <c r="J324" s="59" t="s">
        <v>63</v>
      </c>
      <c r="K324" s="61" t="s">
        <v>34</v>
      </c>
      <c r="L324" s="66">
        <v>200</v>
      </c>
      <c r="M324" s="67">
        <v>4.4700000000000006</v>
      </c>
      <c r="N324" s="67">
        <v>894</v>
      </c>
      <c r="O324" s="67">
        <v>894</v>
      </c>
      <c r="P324" s="59" t="s">
        <v>513</v>
      </c>
    </row>
    <row r="325" spans="1:16" x14ac:dyDescent="0.25">
      <c r="A325" s="76">
        <v>2707080</v>
      </c>
      <c r="B325" s="76">
        <v>108342</v>
      </c>
      <c r="C325" s="59" t="s">
        <v>465</v>
      </c>
      <c r="D325" s="77" t="s">
        <v>372</v>
      </c>
      <c r="E325" s="77" t="s">
        <v>475</v>
      </c>
      <c r="F325" s="76">
        <v>5740</v>
      </c>
      <c r="G325" s="59" t="s">
        <v>517</v>
      </c>
      <c r="H325" s="59">
        <v>169</v>
      </c>
      <c r="I325" s="60">
        <v>7896112141693</v>
      </c>
      <c r="J325" s="59" t="s">
        <v>31</v>
      </c>
      <c r="K325" s="61" t="s">
        <v>23</v>
      </c>
      <c r="L325" s="66">
        <v>500</v>
      </c>
      <c r="M325" s="67">
        <v>2.9</v>
      </c>
      <c r="N325" s="67">
        <v>1450</v>
      </c>
      <c r="O325" s="67">
        <v>1450</v>
      </c>
      <c r="P325" s="59" t="s">
        <v>513</v>
      </c>
    </row>
    <row r="326" spans="1:16" x14ac:dyDescent="0.25">
      <c r="A326" s="76">
        <v>2707080</v>
      </c>
      <c r="B326" s="76">
        <v>108342</v>
      </c>
      <c r="C326" s="59" t="s">
        <v>465</v>
      </c>
      <c r="D326" s="77" t="s">
        <v>372</v>
      </c>
      <c r="E326" s="77" t="s">
        <v>475</v>
      </c>
      <c r="F326" s="76">
        <v>5740</v>
      </c>
      <c r="G326" s="59" t="s">
        <v>517</v>
      </c>
      <c r="H326" s="59">
        <v>7585</v>
      </c>
      <c r="I326" s="60">
        <v>7896112175858</v>
      </c>
      <c r="J326" s="59" t="s">
        <v>255</v>
      </c>
      <c r="K326" s="61" t="s">
        <v>34</v>
      </c>
      <c r="L326" s="66">
        <v>300</v>
      </c>
      <c r="M326" s="67">
        <v>2.96</v>
      </c>
      <c r="N326" s="67">
        <v>888</v>
      </c>
      <c r="O326" s="67">
        <v>888</v>
      </c>
      <c r="P326" s="59" t="s">
        <v>513</v>
      </c>
    </row>
    <row r="327" spans="1:16" x14ac:dyDescent="0.25">
      <c r="A327" s="76">
        <v>2707080</v>
      </c>
      <c r="B327" s="76">
        <v>108342</v>
      </c>
      <c r="C327" s="59" t="s">
        <v>465</v>
      </c>
      <c r="D327" s="77" t="s">
        <v>372</v>
      </c>
      <c r="E327" s="77" t="s">
        <v>475</v>
      </c>
      <c r="F327" s="76">
        <v>5740</v>
      </c>
      <c r="G327" s="59" t="s">
        <v>517</v>
      </c>
      <c r="H327" s="59">
        <v>7266</v>
      </c>
      <c r="I327" s="60">
        <v>7896112172666</v>
      </c>
      <c r="J327" s="59" t="s">
        <v>251</v>
      </c>
      <c r="K327" s="61" t="s">
        <v>34</v>
      </c>
      <c r="L327" s="66">
        <v>600</v>
      </c>
      <c r="M327" s="67">
        <v>3.5200000000000005</v>
      </c>
      <c r="N327" s="67">
        <v>2112</v>
      </c>
      <c r="O327" s="67">
        <v>2112</v>
      </c>
      <c r="P327" s="59" t="s">
        <v>513</v>
      </c>
    </row>
    <row r="328" spans="1:16" x14ac:dyDescent="0.25">
      <c r="A328" s="76">
        <v>2707080</v>
      </c>
      <c r="B328" s="76">
        <v>108342</v>
      </c>
      <c r="C328" s="59" t="s">
        <v>465</v>
      </c>
      <c r="D328" s="77" t="s">
        <v>372</v>
      </c>
      <c r="E328" s="77" t="s">
        <v>475</v>
      </c>
      <c r="F328" s="76">
        <v>5740</v>
      </c>
      <c r="G328" s="59" t="s">
        <v>517</v>
      </c>
      <c r="H328" s="59">
        <v>8992</v>
      </c>
      <c r="I328" s="60">
        <v>7896112189923</v>
      </c>
      <c r="J328" s="59" t="s">
        <v>266</v>
      </c>
      <c r="K328" s="61" t="s">
        <v>23</v>
      </c>
      <c r="L328" s="66">
        <v>300</v>
      </c>
      <c r="M328" s="67">
        <v>10.690000000000001</v>
      </c>
      <c r="N328" s="67">
        <v>3207</v>
      </c>
      <c r="O328" s="67">
        <v>3207</v>
      </c>
      <c r="P328" s="59" t="s">
        <v>513</v>
      </c>
    </row>
    <row r="329" spans="1:16" x14ac:dyDescent="0.25">
      <c r="A329" s="76">
        <v>2707080</v>
      </c>
      <c r="B329" s="76">
        <v>108342</v>
      </c>
      <c r="C329" s="59" t="s">
        <v>465</v>
      </c>
      <c r="D329" s="77" t="s">
        <v>372</v>
      </c>
      <c r="E329" s="77" t="s">
        <v>475</v>
      </c>
      <c r="F329" s="76">
        <v>5740</v>
      </c>
      <c r="G329" s="59" t="s">
        <v>517</v>
      </c>
      <c r="H329" s="59">
        <v>2303</v>
      </c>
      <c r="I329" s="60">
        <v>7896112123033</v>
      </c>
      <c r="J329" s="59" t="s">
        <v>93</v>
      </c>
      <c r="K329" s="61" t="s">
        <v>34</v>
      </c>
      <c r="L329" s="66">
        <v>1000</v>
      </c>
      <c r="M329" s="67">
        <v>11.4</v>
      </c>
      <c r="N329" s="67">
        <v>11400</v>
      </c>
      <c r="O329" s="67">
        <v>11400</v>
      </c>
      <c r="P329" s="59" t="s">
        <v>513</v>
      </c>
    </row>
    <row r="330" spans="1:16" x14ac:dyDescent="0.25">
      <c r="A330" s="76">
        <v>2707080</v>
      </c>
      <c r="B330" s="76">
        <v>108342</v>
      </c>
      <c r="C330" s="59" t="s">
        <v>465</v>
      </c>
      <c r="D330" s="77" t="s">
        <v>372</v>
      </c>
      <c r="E330" s="77" t="s">
        <v>475</v>
      </c>
      <c r="F330" s="76">
        <v>5740</v>
      </c>
      <c r="G330" s="59" t="s">
        <v>517</v>
      </c>
      <c r="H330" s="59">
        <v>2766</v>
      </c>
      <c r="I330" s="60">
        <v>7896112127666</v>
      </c>
      <c r="J330" s="59" t="s">
        <v>119</v>
      </c>
      <c r="K330" s="61" t="s">
        <v>34</v>
      </c>
      <c r="L330" s="66">
        <v>1000</v>
      </c>
      <c r="M330" s="67">
        <v>2.44</v>
      </c>
      <c r="N330" s="67">
        <v>2440</v>
      </c>
      <c r="O330" s="67">
        <v>2440</v>
      </c>
      <c r="P330" s="59" t="s">
        <v>513</v>
      </c>
    </row>
    <row r="331" spans="1:16" x14ac:dyDescent="0.25">
      <c r="A331" s="76">
        <v>2707080</v>
      </c>
      <c r="B331" s="76">
        <v>108342</v>
      </c>
      <c r="C331" s="59" t="s">
        <v>465</v>
      </c>
      <c r="D331" s="77" t="s">
        <v>372</v>
      </c>
      <c r="E331" s="77" t="s">
        <v>475</v>
      </c>
      <c r="F331" s="76">
        <v>5740</v>
      </c>
      <c r="G331" s="59" t="s">
        <v>517</v>
      </c>
      <c r="H331" s="59">
        <v>2767</v>
      </c>
      <c r="I331" s="60">
        <v>7896112127673</v>
      </c>
      <c r="J331" s="59" t="s">
        <v>120</v>
      </c>
      <c r="K331" s="61" t="s">
        <v>23</v>
      </c>
      <c r="L331" s="66">
        <v>1000</v>
      </c>
      <c r="M331" s="67">
        <v>2.38</v>
      </c>
      <c r="N331" s="67">
        <v>2380</v>
      </c>
      <c r="O331" s="67">
        <v>2380</v>
      </c>
      <c r="P331" s="59" t="s">
        <v>513</v>
      </c>
    </row>
    <row r="332" spans="1:16" x14ac:dyDescent="0.25">
      <c r="A332" s="76">
        <v>2707081</v>
      </c>
      <c r="B332" s="76">
        <v>108342</v>
      </c>
      <c r="C332" s="59" t="s">
        <v>465</v>
      </c>
      <c r="D332" s="77" t="s">
        <v>372</v>
      </c>
      <c r="E332" s="77" t="s">
        <v>475</v>
      </c>
      <c r="F332" s="76">
        <v>5754</v>
      </c>
      <c r="G332" s="59" t="s">
        <v>517</v>
      </c>
      <c r="H332" s="59">
        <v>6719</v>
      </c>
      <c r="I332" s="60">
        <v>7896112167198</v>
      </c>
      <c r="J332" s="59" t="s">
        <v>238</v>
      </c>
      <c r="K332" s="61" t="s">
        <v>34</v>
      </c>
      <c r="L332" s="66">
        <v>200</v>
      </c>
      <c r="M332" s="67">
        <v>5.8</v>
      </c>
      <c r="N332" s="67">
        <v>1160</v>
      </c>
      <c r="O332" s="67">
        <v>1160</v>
      </c>
      <c r="P332" s="59" t="s">
        <v>513</v>
      </c>
    </row>
    <row r="333" spans="1:16" x14ac:dyDescent="0.25">
      <c r="A333" s="76">
        <v>2707081</v>
      </c>
      <c r="B333" s="76">
        <v>108342</v>
      </c>
      <c r="C333" s="59" t="s">
        <v>465</v>
      </c>
      <c r="D333" s="77" t="s">
        <v>372</v>
      </c>
      <c r="E333" s="77" t="s">
        <v>475</v>
      </c>
      <c r="F333" s="76">
        <v>5754</v>
      </c>
      <c r="G333" s="59" t="s">
        <v>517</v>
      </c>
      <c r="H333" s="59">
        <v>7220</v>
      </c>
      <c r="I333" s="60">
        <v>7896112172208</v>
      </c>
      <c r="J333" s="59" t="s">
        <v>250</v>
      </c>
      <c r="K333" s="61" t="s">
        <v>34</v>
      </c>
      <c r="L333" s="66">
        <v>500</v>
      </c>
      <c r="M333" s="67">
        <v>6.95</v>
      </c>
      <c r="N333" s="67">
        <v>3475</v>
      </c>
      <c r="O333" s="67">
        <v>3475</v>
      </c>
      <c r="P333" s="59" t="s">
        <v>513</v>
      </c>
    </row>
    <row r="334" spans="1:16" x14ac:dyDescent="0.25">
      <c r="A334" s="76">
        <v>2707081</v>
      </c>
      <c r="B334" s="76">
        <v>108342</v>
      </c>
      <c r="C334" s="59" t="s">
        <v>465</v>
      </c>
      <c r="D334" s="77" t="s">
        <v>372</v>
      </c>
      <c r="E334" s="77" t="s">
        <v>475</v>
      </c>
      <c r="F334" s="76">
        <v>5754</v>
      </c>
      <c r="G334" s="59" t="s">
        <v>517</v>
      </c>
      <c r="H334" s="59">
        <v>2114</v>
      </c>
      <c r="I334" s="60">
        <v>7896112121145</v>
      </c>
      <c r="J334" s="59" t="s">
        <v>81</v>
      </c>
      <c r="K334" s="61" t="s">
        <v>34</v>
      </c>
      <c r="L334" s="66">
        <v>3000</v>
      </c>
      <c r="M334" s="67">
        <v>1.59</v>
      </c>
      <c r="N334" s="67">
        <v>4770</v>
      </c>
      <c r="O334" s="67">
        <v>4770</v>
      </c>
      <c r="P334" s="59" t="s">
        <v>513</v>
      </c>
    </row>
    <row r="335" spans="1:16" x14ac:dyDescent="0.25">
      <c r="A335" s="76">
        <v>2707081</v>
      </c>
      <c r="B335" s="76">
        <v>108342</v>
      </c>
      <c r="C335" s="59" t="s">
        <v>465</v>
      </c>
      <c r="D335" s="77" t="s">
        <v>372</v>
      </c>
      <c r="E335" s="77" t="s">
        <v>475</v>
      </c>
      <c r="F335" s="76">
        <v>5754</v>
      </c>
      <c r="G335" s="59" t="s">
        <v>517</v>
      </c>
      <c r="H335" s="59">
        <v>4647</v>
      </c>
      <c r="I335" s="60">
        <v>7896112106470</v>
      </c>
      <c r="J335" s="59" t="s">
        <v>200</v>
      </c>
      <c r="K335" s="61" t="s">
        <v>34</v>
      </c>
      <c r="L335" s="66">
        <v>1000</v>
      </c>
      <c r="M335" s="67">
        <v>3.94</v>
      </c>
      <c r="N335" s="67">
        <v>3940</v>
      </c>
      <c r="O335" s="67">
        <v>3940</v>
      </c>
      <c r="P335" s="59" t="s">
        <v>513</v>
      </c>
    </row>
  </sheetData>
  <autoFilter ref="A2:P2" xr:uid="{8206DFFC-A0AB-455A-9DA3-28BB5C0DC9D3}"/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2B86F-391B-41BD-9524-AD919913F92A}">
  <sheetPr>
    <tabColor rgb="FFFFC000"/>
  </sheetPr>
  <dimension ref="A1:P2"/>
  <sheetViews>
    <sheetView showGridLines="0" workbookViewId="0">
      <selection activeCell="A2" sqref="A2"/>
    </sheetView>
  </sheetViews>
  <sheetFormatPr defaultRowHeight="15" x14ac:dyDescent="0.25"/>
  <cols>
    <col min="4" max="4" width="28.42578125" style="78" customWidth="1"/>
    <col min="6" max="6" width="4.85546875" customWidth="1"/>
    <col min="7" max="7" width="4.5703125" customWidth="1"/>
    <col min="10" max="10" width="14.140625" style="50" bestFit="1" customWidth="1"/>
    <col min="11" max="11" width="23" style="78" customWidth="1"/>
    <col min="12" max="12" width="10" bestFit="1" customWidth="1"/>
    <col min="14" max="14" width="19.28515625" style="68" bestFit="1" customWidth="1"/>
    <col min="15" max="15" width="16.42578125" style="68" bestFit="1" customWidth="1"/>
    <col min="16" max="16" width="14.42578125" style="84" bestFit="1" customWidth="1"/>
  </cols>
  <sheetData>
    <row r="1" spans="1:16" ht="17.25" x14ac:dyDescent="0.4">
      <c r="A1" s="49" t="s">
        <v>448</v>
      </c>
      <c r="P1" s="79">
        <f>SUBTOTAL(9,P3:P1048576)</f>
        <v>0</v>
      </c>
    </row>
    <row r="2" spans="1:16" x14ac:dyDescent="0.25">
      <c r="A2" s="80" t="s">
        <v>518</v>
      </c>
      <c r="B2" s="80" t="s">
        <v>360</v>
      </c>
      <c r="C2" s="80" t="s">
        <v>519</v>
      </c>
      <c r="D2" s="81" t="s">
        <v>520</v>
      </c>
      <c r="E2" s="80" t="s">
        <v>521</v>
      </c>
      <c r="F2" s="80" t="s">
        <v>522</v>
      </c>
      <c r="G2" s="80" t="s">
        <v>452</v>
      </c>
      <c r="H2" s="80" t="s">
        <v>523</v>
      </c>
      <c r="I2" s="80" t="s">
        <v>355</v>
      </c>
      <c r="J2" s="82" t="s">
        <v>3</v>
      </c>
      <c r="K2" s="81" t="s">
        <v>524</v>
      </c>
      <c r="L2" s="80" t="s">
        <v>5</v>
      </c>
      <c r="M2" s="80" t="s">
        <v>525</v>
      </c>
      <c r="N2" s="83" t="s">
        <v>526</v>
      </c>
      <c r="O2" s="83" t="s">
        <v>527</v>
      </c>
      <c r="P2" s="80" t="s">
        <v>528</v>
      </c>
    </row>
  </sheetData>
  <autoFilter ref="A2:P2" xr:uid="{7302B86F-391B-41BD-9524-AD919913F92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RESUMO</vt:lpstr>
      <vt:lpstr>PND CANCELADA</vt:lpstr>
      <vt:lpstr>PND</vt:lpstr>
      <vt:lpstr>FATURADO</vt:lpstr>
      <vt:lpstr>SEPARAÇÃO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POLLYANA GABRIEL DA COSTA</dc:creator>
  <cp:lastModifiedBy>POLLYANA GABRIEL DA COSTA</cp:lastModifiedBy>
  <dcterms:created xsi:type="dcterms:W3CDTF">2026-07-09T16:29:50Z</dcterms:created>
  <dcterms:modified xsi:type="dcterms:W3CDTF">2026-07-09T16:29:51Z</dcterms:modified>
</cp:coreProperties>
</file>