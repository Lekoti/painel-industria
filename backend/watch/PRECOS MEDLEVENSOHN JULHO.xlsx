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57dd2a3b419c3026/CAREN MATTOS AV/CLIENTES/MAIRA/MEDLEVENSOHN/"/>
    </mc:Choice>
  </mc:AlternateContent>
  <xr:revisionPtr revIDLastSave="482" documentId="8_{749C0524-0E5E-4EEE-A634-204CEF481A01}" xr6:coauthVersionLast="47" xr6:coauthVersionMax="47" xr10:uidLastSave="{3F5C9BEF-20E2-41E2-B102-E26531467978}"/>
  <bookViews>
    <workbookView xWindow="-120" yWindow="-120" windowWidth="20730" windowHeight="11040" xr2:uid="{55F9BE05-FE3D-4743-8451-E043D00EB0F7}"/>
  </bookViews>
  <sheets>
    <sheet name="TABELA VAREJO" sheetId="1" r:id="rId1"/>
    <sheet name="Planilha3" sheetId="4" state="hidden" r:id="rId2"/>
  </sheets>
  <externalReferences>
    <externalReference r:id="rId3"/>
    <externalReference r:id="rId4"/>
  </externalReferences>
  <definedNames>
    <definedName name="_xlnm._FilterDatabase" localSheetId="1" hidden="1">Planilha3!$B$1:$F$6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7" i="1" l="1"/>
  <c r="O26" i="1"/>
  <c r="O59" i="1"/>
  <c r="O58" i="1"/>
  <c r="D59" i="1"/>
  <c r="D58" i="1"/>
  <c r="O61" i="1"/>
  <c r="O60" i="1"/>
  <c r="D61" i="1"/>
  <c r="D60" i="1"/>
  <c r="O71" i="1"/>
  <c r="D71" i="1"/>
  <c r="D74" i="1" l="1"/>
  <c r="D73" i="1"/>
  <c r="D69" i="1"/>
  <c r="D68" i="1"/>
  <c r="D65" i="1"/>
  <c r="D62" i="1"/>
  <c r="D25" i="1"/>
  <c r="D24" i="1"/>
  <c r="D23" i="1"/>
  <c r="D20" i="1"/>
  <c r="O23" i="1" l="1"/>
  <c r="O74" i="1" l="1"/>
  <c r="O73" i="1"/>
  <c r="O69" i="1"/>
  <c r="O68" i="1"/>
  <c r="O62" i="1"/>
  <c r="O18" i="1"/>
  <c r="O20" i="1"/>
  <c r="O24" i="1"/>
  <c r="O25" i="1"/>
  <c r="O34" i="1"/>
</calcChain>
</file>

<file path=xl/sharedStrings.xml><?xml version="1.0" encoding="utf-8"?>
<sst xmlns="http://schemas.openxmlformats.org/spreadsheetml/2006/main" count="747" uniqueCount="264">
  <si>
    <t xml:space="preserve">FABRICANTE  </t>
  </si>
  <si>
    <t>COD                              SAP</t>
  </si>
  <si>
    <t>DESCRIÇÃO</t>
  </si>
  <si>
    <t>Embalagem</t>
  </si>
  <si>
    <t>IPI</t>
  </si>
  <si>
    <t>ST saindo do ES</t>
  </si>
  <si>
    <t>EAN</t>
  </si>
  <si>
    <t>NCM</t>
  </si>
  <si>
    <t>UN</t>
  </si>
  <si>
    <t>N/T</t>
  </si>
  <si>
    <t>MEDTRUST HANDELSGES M.B.H</t>
  </si>
  <si>
    <t>CX</t>
  </si>
  <si>
    <t>STERILANCE MEDICAL (SUZHOU)INC</t>
  </si>
  <si>
    <t>TIANJIN HUAHONG TECHNOLOGY CO.</t>
  </si>
  <si>
    <t>LANCETA SEGURANÇA ML04 21G 0,82X1,8MM CX100</t>
  </si>
  <si>
    <t>LANCETA SEGURANÇA ML04 23G 0,64X1,8MM CX100</t>
  </si>
  <si>
    <t>LANCETA SEGURANÇA ML04 26G 0,46X1,6MM CX100</t>
  </si>
  <si>
    <t xml:space="preserve">  ACON BIOTECH (HANGZHOU)CO.,LTD</t>
  </si>
  <si>
    <t>MONITOR GLICOSE SIMPLES BRANCO OCP2</t>
  </si>
  <si>
    <t>CABO USB PARA MONITOR OCP</t>
  </si>
  <si>
    <t>ACON LABORATORIES, INC</t>
  </si>
  <si>
    <t>Acima de 2000 cxs</t>
  </si>
  <si>
    <t>acima de 1000cxs</t>
  </si>
  <si>
    <t>acima de 300cxs</t>
  </si>
  <si>
    <t>BOLSA TRANSPORTE INSULINA LARGE WELLFRIGOL</t>
  </si>
  <si>
    <t>ONBO ELETRONICS (SHENZEN) CO</t>
  </si>
  <si>
    <t>MEDIDOR AUT PR ART E FIB ATR BPA200 AFIB</t>
  </si>
  <si>
    <t>APARELHO PRESSAO PULSO PRATA BPW100 MICROLIFE</t>
  </si>
  <si>
    <t>HONSUM</t>
  </si>
  <si>
    <t>MONITOR PRESSAO ART DIG AUTO PULSO MEDL ML01</t>
  </si>
  <si>
    <t>TERMOMETRO DIGITAL TESTA NC150 MICROLIFE</t>
  </si>
  <si>
    <t>TERMOMETRO DUAL MODE IFR1DU1 MICROLIFE</t>
  </si>
  <si>
    <t>NEBULIZADOR MEDLEVENSOHN ML01 PORTATIL NB-812B</t>
  </si>
  <si>
    <t>PRODUTOS QUE NÃO CONSTAM NO CATÁLOGO VAREJO, MAS POSSUÍMOS ESTOQUE</t>
  </si>
  <si>
    <t>MEIA CALCANH SILICONE 3444 AMARELA URIEL</t>
  </si>
  <si>
    <t>MEIA UNISEX PARA AVIAO 33-36 BR ITEM 397</t>
  </si>
  <si>
    <t>MEIA UNISEX PARA AVIAO 37-40 BR ITEM 397</t>
  </si>
  <si>
    <t>MULTI BANDAGEM TORNIQUETE MB798S PRATA</t>
  </si>
  <si>
    <t>GREENAIR INC</t>
  </si>
  <si>
    <t>AROMATIZADOR COM CONEX USB 00535</t>
  </si>
  <si>
    <t>BIO BRASIL</t>
  </si>
  <si>
    <t xml:space="preserve">COLETOR P/ PERFUROCORTANTES 7 LITROS CLEAN BOX </t>
  </si>
  <si>
    <t>PROCSEL</t>
  </si>
  <si>
    <t>Condição de Pagamento e Frete:</t>
  </si>
  <si>
    <t>Pagamento antecipado 1% de desconto  ( Favor atentar para tabela de prazos de entregas por região )</t>
  </si>
  <si>
    <t>3822.19.90</t>
  </si>
  <si>
    <t>2106.90.90</t>
  </si>
  <si>
    <t>3822.19.20</t>
  </si>
  <si>
    <t>Número do material</t>
  </si>
  <si>
    <t>Descrição de material</t>
  </si>
  <si>
    <t>9018.31.11</t>
  </si>
  <si>
    <t xml:space="preserve">UN </t>
  </si>
  <si>
    <t>Distribuidor</t>
  </si>
  <si>
    <t>Quantidade</t>
  </si>
  <si>
    <t>Fabricante</t>
  </si>
  <si>
    <t>ICMS</t>
  </si>
  <si>
    <t>LANCETA SIMPLES MEDLEV ML03 28G HUAHONG</t>
  </si>
  <si>
    <t>9018.39.99</t>
  </si>
  <si>
    <t>STERILANCE MEDICAL INC</t>
  </si>
  <si>
    <t>9018.32.19</t>
  </si>
  <si>
    <t>KIT CADEIRA HIPERTENSÃO HYPERCHAIR AFIB</t>
  </si>
  <si>
    <t>9018.90.69</t>
  </si>
  <si>
    <t>PROMISEMED</t>
  </si>
  <si>
    <t>AGULHA CAN INS ML01 29G 0.33 10MM CX100</t>
  </si>
  <si>
    <t>AGULHACANINS29G0.33X12MMIPN-29-12CX100</t>
  </si>
  <si>
    <t>LUVA N/CIR TAM P N/EST C/PO LATEX C/100</t>
  </si>
  <si>
    <t>KEVENOLL</t>
  </si>
  <si>
    <t>LANCETADOR ML03 MEDLEVENSOHN HUAHONG</t>
  </si>
  <si>
    <t>COMP GAZE EST. 7,5X7,5 13F PCT/10UN MEDL</t>
  </si>
  <si>
    <t>N-BOLSA TRANSP INSULINA LARGE WELLFRIGOL</t>
  </si>
  <si>
    <t>LANCETA SEG ML07 21G 1.8MM CX100 STERILA</t>
  </si>
  <si>
    <t>LANCETA SEG ML07 26G 1.8MM CX100 STERILA</t>
  </si>
  <si>
    <t>OO</t>
  </si>
  <si>
    <t>N-SERINGA 3ML LUER LOCK AGULHA 0,7X25 SR ( NACIONAL)</t>
  </si>
  <si>
    <t>N-SERINGA 3ML LUER SLIP AG 0,45X13 SR ( NACIONAL)</t>
  </si>
  <si>
    <t>9018.31.19</t>
  </si>
  <si>
    <t>N-SERINGA 3ML LUER SLIP AGULHA 0,7X25 SR ( NACIONAL)</t>
  </si>
  <si>
    <t>N-SERINGA 5ML L LOCK AG 0,7X25 PROT SR ( NACIONAL)</t>
  </si>
  <si>
    <t>N-SERINGA 10ML L LOCK AG 0,7X25 PROT SR ( NACIONAL)</t>
  </si>
  <si>
    <t>N-SERINGA 20ML LUER LOCK AG 0,7X25 SR ( NACIONAL)</t>
  </si>
  <si>
    <t>ACESSORIO ASPIRACAO NASAL MEDL NB-NA01</t>
  </si>
  <si>
    <t>9019.20.20</t>
  </si>
  <si>
    <t>ADAPTADOR OCULAR P/NEBULIZ MEDL NB201</t>
  </si>
  <si>
    <t>COPO NEBULIZACAO AJUSTAVEL MEDL NB-N107</t>
  </si>
  <si>
    <t>COPO NEBULIZACAO 3X1 MEDLEVEN NB-N101</t>
  </si>
  <si>
    <t>N-SERINGA 20ML LUER LOCK PROTETOR SR</t>
  </si>
  <si>
    <t>N-SERINGA 3ML LUER LOCK 0,7X25 PROT SR</t>
  </si>
  <si>
    <t>9027.89.99</t>
  </si>
  <si>
    <t>MICROTECH</t>
  </si>
  <si>
    <t>MED COLEST MISSION C1112021 REG MEDL</t>
  </si>
  <si>
    <r>
      <t>TIRA COLESTEROL 3-1 25UN MISSION REG MED ( perfil lipídico)</t>
    </r>
    <r>
      <rPr>
        <b/>
        <sz val="11"/>
        <color theme="1"/>
        <rFont val="Calibri"/>
        <family val="2"/>
        <scheme val="minor"/>
      </rPr>
      <t xml:space="preserve"> </t>
    </r>
  </si>
  <si>
    <t>FRETE CIF acima de R$ 800,00 nas capitais do RJ e SP , acima de R$ 1000,00 demais áreas das regiões Sudeste , Sul e Centro-oeste  e acima de R$ 2.000,00 para as regiões Norte e Nordeste    -------- Prazo Médio 60 dias \\\\ Pedido mínimo de R$ 400,00 – FRETE FOB</t>
  </si>
  <si>
    <t>LANCETADOR UNIVERSAL ML 01</t>
  </si>
  <si>
    <t>6115.95.00</t>
  </si>
  <si>
    <t>6115.96.00</t>
  </si>
  <si>
    <t>9021.10.10</t>
  </si>
  <si>
    <t>8479.89.99</t>
  </si>
  <si>
    <t>4819.10.00</t>
  </si>
  <si>
    <t xml:space="preserve">WELLION GOLD SUPLEMENTO ENERG 15G/11ML </t>
  </si>
  <si>
    <t>Código</t>
  </si>
  <si>
    <t>DOENÇAS ARBOVIROSES</t>
  </si>
  <si>
    <t xml:space="preserve">N-MEDTESTE DENGUE NS1 IDEG-C41CX25 </t>
  </si>
  <si>
    <t>MEDTESTE DENGUE NS1 IDEGC41 CX10</t>
  </si>
  <si>
    <t>598</t>
  </si>
  <si>
    <t>MEDTESTE DENGUE IGGIGMIDEN-C42CX25</t>
  </si>
  <si>
    <t>2965</t>
  </si>
  <si>
    <t>A12%-MEDTESTE DENGUE IGGIGM IDENC42 CX10</t>
  </si>
  <si>
    <t>DOENÇAS INFECCIOSAS</t>
  </si>
  <si>
    <t>591</t>
  </si>
  <si>
    <t>A12%-MEDTESTE COVID19 AG INCP-C81CX25</t>
  </si>
  <si>
    <t>614</t>
  </si>
  <si>
    <t>2946</t>
  </si>
  <si>
    <t>DOENÇAS ISTs</t>
  </si>
  <si>
    <t>611</t>
  </si>
  <si>
    <t>MEDTESTE HIV 1.2.0IHIV-C42CX25</t>
  </si>
  <si>
    <t>RASTREIO DE CANCER</t>
  </si>
  <si>
    <t>620</t>
  </si>
  <si>
    <t>MARCADOR CARDIOVASCULAR</t>
  </si>
  <si>
    <t>VITAMINAS _ PREVENÇÃO</t>
  </si>
  <si>
    <t>TESTE GRAVIDEZ - SOMENTE PARA VENDA NO BALCÃO</t>
  </si>
  <si>
    <t>601</t>
  </si>
  <si>
    <t xml:space="preserve">Quantidade na embalagem </t>
  </si>
  <si>
    <t>25 testes</t>
  </si>
  <si>
    <t>10 testes</t>
  </si>
  <si>
    <t>1 unidade</t>
  </si>
  <si>
    <t>20 testes</t>
  </si>
  <si>
    <t>Preço distribuidor varejo</t>
  </si>
  <si>
    <t>3822.12.00</t>
  </si>
  <si>
    <t>3822.11.00</t>
  </si>
  <si>
    <t>BIOTESTE</t>
  </si>
  <si>
    <t>ATENÇÃO - As informações de ST constantes na tabela se referem somente aos produtos que possuem incidencia do tributo na nota na saída do Espirito Santo. No caso de incidencia do tributo(ST) na entrada do produto no estado destino o cálculo deverá ser feito pela contabilidade do comprador.                                                                                                                                                                                                                                                                                                                                                                                                                                                                                                                                              (Os valores abaixo não contemplam IPI nem ST , ao lado dos valores constam os percentuais a serem acrescidos na hora de passar o preço ao cliente)</t>
  </si>
  <si>
    <t>BIOHERMES</t>
  </si>
  <si>
    <t>ANALISADOR HEMOGLOBINA GLICADA BIOHERMES</t>
  </si>
  <si>
    <t>KIT TESTE HEMOGLO GLIC 25UND BIOHERMES</t>
  </si>
  <si>
    <t>1 teste</t>
  </si>
  <si>
    <t>OLEO GIRASSOL 200ML VEROM / VEROMED</t>
  </si>
  <si>
    <t>DESODORANTE LOCAO RELAXANTE 200ML VEROMED</t>
  </si>
  <si>
    <t>DESODORANTE LOCAO HIDR P/ GESTANTE IMA</t>
  </si>
  <si>
    <t>DESODORANTE LOCAO HIDR CORP DIABET 200ML</t>
  </si>
  <si>
    <t>CREME DESODORANTE CALCANHAR 60GR VEROMED</t>
  </si>
  <si>
    <t>CREME DESODORANTE P/ MAOS VEROMED IND</t>
  </si>
  <si>
    <t>VEROMED</t>
  </si>
  <si>
    <t>1512.11.10</t>
  </si>
  <si>
    <t>3307.20.90</t>
  </si>
  <si>
    <t xml:space="preserve">TABELA  DISTRIBUIDOR VAREJO </t>
  </si>
  <si>
    <t>Hemoglobina Glicada</t>
  </si>
  <si>
    <r>
      <t xml:space="preserve">TIRA GLIC FRA 50UN BRANC OCPII G13310C </t>
    </r>
    <r>
      <rPr>
        <b/>
        <sz val="11"/>
        <color theme="4"/>
        <rFont val="Calibri"/>
        <family val="2"/>
        <scheme val="minor"/>
      </rPr>
      <t>com bonificação de um monitor a cada 6 caixas de tiras</t>
    </r>
  </si>
  <si>
    <t xml:space="preserve">MEDTESTE HPYLORI IHPB-C41CX25 </t>
  </si>
  <si>
    <t>MEDTESTE ZIKA IGGIGMIZGM-C42CX25</t>
  </si>
  <si>
    <t>MEDTESTE MALARIA IMPN-C52CX20</t>
  </si>
  <si>
    <t>N-MEDTESTE HCV ML02 IHCV-C31CX25</t>
  </si>
  <si>
    <t>MEDTESTE HPYLORI IGG IHPB-C41 CX10</t>
  </si>
  <si>
    <t>N-MEDTESTE SIFILIS ISYP-C41CX25</t>
  </si>
  <si>
    <r>
      <t>TIRA GLIC FRA 50UN BRANC OCPII G13310C -</t>
    </r>
    <r>
      <rPr>
        <b/>
        <sz val="11"/>
        <color theme="4"/>
        <rFont val="Calibri"/>
        <family val="2"/>
        <scheme val="minor"/>
      </rPr>
      <t>SEM BONIFICAÇÃO</t>
    </r>
  </si>
  <si>
    <r>
      <t xml:space="preserve">TIRA GLIC FRA 50UN BRANC OCPII G13310C </t>
    </r>
    <r>
      <rPr>
        <b/>
        <sz val="11"/>
        <color theme="4"/>
        <rFont val="Calibri"/>
        <family val="2"/>
        <scheme val="minor"/>
      </rPr>
      <t>com bonificação de um monitor a cada 8 caixas de tiras</t>
    </r>
  </si>
  <si>
    <t>MONITOR DE ASMA  PF100 MICROLIFE</t>
  </si>
  <si>
    <t>UM</t>
  </si>
  <si>
    <t>N-AGULHA CAN INS ML02 32G 4MM CX100</t>
  </si>
  <si>
    <t>9018.19.80</t>
  </si>
  <si>
    <t>NEBULIZADOR ULTRA PORTATIL MEDL NB-813B</t>
  </si>
  <si>
    <r>
      <t>TIRA GLIC FRA 50UN ON CALL</t>
    </r>
    <r>
      <rPr>
        <sz val="12"/>
        <color theme="1"/>
        <rFont val="Calibri"/>
        <family val="2"/>
        <scheme val="minor"/>
      </rPr>
      <t xml:space="preserve"> </t>
    </r>
    <r>
      <rPr>
        <b/>
        <sz val="12"/>
        <color theme="1"/>
        <rFont val="Calibri"/>
        <family val="2"/>
        <scheme val="minor"/>
      </rPr>
      <t>EXTRA</t>
    </r>
    <r>
      <rPr>
        <sz val="11"/>
        <color theme="1"/>
        <rFont val="Calibri"/>
        <family val="2"/>
        <scheme val="minor"/>
      </rPr>
      <t xml:space="preserve"> sem bonificação</t>
    </r>
  </si>
  <si>
    <t>MONITOR GLIC SEMI EXTRA ACON G115-12T</t>
  </si>
  <si>
    <r>
      <t xml:space="preserve">TIRA GLIC FRA 50UN ON CALL </t>
    </r>
    <r>
      <rPr>
        <b/>
        <sz val="12"/>
        <color theme="1"/>
        <rFont val="Calibri"/>
        <family val="2"/>
        <scheme val="minor"/>
      </rPr>
      <t>EXTRA</t>
    </r>
    <r>
      <rPr>
        <sz val="11"/>
        <color theme="1"/>
        <rFont val="Calibri"/>
        <family val="2"/>
        <scheme val="minor"/>
      </rPr>
      <t xml:space="preserve"> com bonificação  de um monitor simples a cada 8 caixas de tiras</t>
    </r>
  </si>
  <si>
    <t>SENSOR SMART 2.0 GX-01S</t>
  </si>
  <si>
    <r>
      <t>AGULHA CANETA INS MEDL ML01 31G-0,25 6MM</t>
    </r>
    <r>
      <rPr>
        <sz val="9"/>
        <color rgb="FFFF0000"/>
        <rFont val="Calibri"/>
        <family val="2"/>
        <scheme val="minor"/>
      </rPr>
      <t xml:space="preserve"> </t>
    </r>
    <r>
      <rPr>
        <b/>
        <sz val="9"/>
        <color rgb="FFFF0000"/>
        <rFont val="Calibri"/>
        <family val="2"/>
        <scheme val="minor"/>
      </rPr>
      <t>(venc 30/08/2026) SEM TROCA</t>
    </r>
  </si>
  <si>
    <r>
      <t>AGULHA CANETA INS MEDL ML01 31G-0,25 5MM</t>
    </r>
    <r>
      <rPr>
        <b/>
        <sz val="9"/>
        <color theme="1"/>
        <rFont val="Calibri"/>
        <family val="2"/>
        <scheme val="minor"/>
      </rPr>
      <t xml:space="preserve"> venc 30/03/2027</t>
    </r>
  </si>
  <si>
    <r>
      <t>AGULHA CANETA INS MEDL ML01 31G-0,25 5MM</t>
    </r>
    <r>
      <rPr>
        <b/>
        <sz val="9"/>
        <color rgb="FFFF0000"/>
        <rFont val="Calibri"/>
        <family val="2"/>
        <scheme val="minor"/>
      </rPr>
      <t xml:space="preserve"> (venc 30/08/2026) SEMTROCA</t>
    </r>
  </si>
  <si>
    <r>
      <t>AGULHA CAN INS ML01 32G0.23 4MM CX100</t>
    </r>
    <r>
      <rPr>
        <b/>
        <sz val="9"/>
        <color rgb="FFFF0000"/>
        <rFont val="Calibri"/>
        <family val="2"/>
        <scheme val="minor"/>
      </rPr>
      <t xml:space="preserve"> (venc 30/08/2026) SEMTROCA</t>
    </r>
  </si>
  <si>
    <r>
      <t>AGULHA CAN INS ML01 32G0.23 4MM CX100</t>
    </r>
    <r>
      <rPr>
        <b/>
        <sz val="9"/>
        <color theme="1"/>
        <rFont val="Calibri"/>
        <family val="2"/>
        <scheme val="minor"/>
      </rPr>
      <t xml:space="preserve"> venc 30/03/2027</t>
    </r>
  </si>
  <si>
    <t>BALANCA DIGITAL MEDLEVENSOHN TS-B548</t>
  </si>
  <si>
    <t>8423.10.00</t>
  </si>
  <si>
    <t>SR SALDANHA NACIONAL (necessário consultar Estoque)</t>
  </si>
  <si>
    <r>
      <t>MEDTESTE HBSAG/HCV/HIV/SIFI IMID-C44CX25</t>
    </r>
    <r>
      <rPr>
        <b/>
        <sz val="10"/>
        <color theme="1"/>
        <rFont val="Arial"/>
        <family val="2"/>
      </rPr>
      <t xml:space="preserve"> </t>
    </r>
    <r>
      <rPr>
        <b/>
        <sz val="10"/>
        <color theme="4" tint="-0.249977111117893"/>
        <rFont val="Arial"/>
        <family val="2"/>
      </rPr>
      <t>(LANÇAMENTO)</t>
    </r>
  </si>
  <si>
    <r>
      <t>12%-MEDTEST AUTOTEST COVD AG 1UN ICOVN81H</t>
    </r>
    <r>
      <rPr>
        <b/>
        <sz val="9"/>
        <color rgb="FFFF0000"/>
        <rFont val="Calibri"/>
        <family val="2"/>
        <scheme val="minor"/>
      </rPr>
      <t xml:space="preserve">  Validade 08/2026 sem troca</t>
    </r>
  </si>
  <si>
    <r>
      <t>12%-MEDTEST AUTOTEST COVD AG 1UN ICOVN81H</t>
    </r>
    <r>
      <rPr>
        <b/>
        <sz val="9"/>
        <color rgb="FFFF0000"/>
        <rFont val="Calibri"/>
        <family val="2"/>
        <scheme val="minor"/>
      </rPr>
      <t xml:space="preserve"> </t>
    </r>
  </si>
  <si>
    <t>A12%-MEDTESTE STREP A ISTARS81 CX25</t>
  </si>
  <si>
    <t>A12%-MEDTESTE STREP A ISTARS81 CX10</t>
  </si>
  <si>
    <t>A12%-MEDTESTE SIFI+HIV COMB ISHCC42 CX25</t>
  </si>
  <si>
    <t>A12%-MEDTESTE SIFI+HIV COMB ISHCC42 CX10</t>
  </si>
  <si>
    <t>MEDTESTE D-DIMERO CDIM-C41CX25</t>
  </si>
  <si>
    <t>A12%-MEDTESTE D-DIMERO CDIMC41 CX10</t>
  </si>
  <si>
    <t>A12%-MEDTESTE TROPONINA ICTNI-C41CX25</t>
  </si>
  <si>
    <t>A12%-MEDTESTE TROPONIN CARD CTNIC41 CX10</t>
  </si>
  <si>
    <t>cx</t>
  </si>
  <si>
    <t>7908007902705</t>
  </si>
  <si>
    <t>7908007902781</t>
  </si>
  <si>
    <t>FOSHAN</t>
  </si>
  <si>
    <t>COLCHAO PRESALTERN BOLHA HF6001 110V</t>
  </si>
  <si>
    <t>COLCHAO PRESALTERN BOLHA HF6001 220V</t>
  </si>
  <si>
    <t>COLCHAO LONA AVULSO HF6001 ( sem motor)</t>
  </si>
  <si>
    <t>9019.10.00</t>
  </si>
  <si>
    <r>
      <t xml:space="preserve">TIRA COLEST TOTAL INDIV CX/5UNID MISSION </t>
    </r>
    <r>
      <rPr>
        <b/>
        <sz val="9"/>
        <color theme="1"/>
        <rFont val="Calibri"/>
        <family val="2"/>
        <scheme val="minor"/>
      </rPr>
      <t>ULTRA</t>
    </r>
    <r>
      <rPr>
        <sz val="9"/>
        <color theme="1"/>
        <rFont val="Calibri"/>
        <family val="2"/>
        <scheme val="minor"/>
      </rPr>
      <t xml:space="preserve"> REF. C131-5011</t>
    </r>
    <r>
      <rPr>
        <b/>
        <sz val="9"/>
        <color theme="1"/>
        <rFont val="Calibri"/>
        <family val="2"/>
        <scheme val="minor"/>
      </rPr>
      <t xml:space="preserve"> (Colestero Total)</t>
    </r>
  </si>
  <si>
    <r>
      <t xml:space="preserve">MONITOR COLESTEROL MISSION </t>
    </r>
    <r>
      <rPr>
        <b/>
        <sz val="9"/>
        <color theme="1"/>
        <rFont val="Calibri"/>
        <family val="2"/>
        <scheme val="minor"/>
      </rPr>
      <t xml:space="preserve">ULTRA </t>
    </r>
    <r>
      <rPr>
        <sz val="9"/>
        <color theme="1"/>
        <rFont val="Calibri"/>
        <family val="2"/>
        <scheme val="minor"/>
      </rPr>
      <t>REF. C111-5041</t>
    </r>
    <r>
      <rPr>
        <b/>
        <sz val="9"/>
        <color theme="1"/>
        <rFont val="Calibri"/>
        <family val="2"/>
        <scheme val="minor"/>
      </rPr>
      <t xml:space="preserve"> (colesterol total)</t>
    </r>
  </si>
  <si>
    <r>
      <t>SIST DE MONITOR. CONTINUO GLIC MICROTECH (</t>
    </r>
    <r>
      <rPr>
        <b/>
        <sz val="9"/>
        <color theme="1"/>
        <rFont val="Calibri"/>
        <family val="2"/>
        <scheme val="minor"/>
      </rPr>
      <t>SENSOR</t>
    </r>
    <r>
      <rPr>
        <sz val="9"/>
        <color theme="1"/>
        <rFont val="Calibri"/>
        <family val="2"/>
        <scheme val="minor"/>
      </rPr>
      <t>) - SMART MEDLEVENSOHN</t>
    </r>
  </si>
  <si>
    <r>
      <t>SIST. DE MONITOR. CONT GLIC MICROTECH (</t>
    </r>
    <r>
      <rPr>
        <b/>
        <sz val="9"/>
        <color theme="1"/>
        <rFont val="Calibri"/>
        <family val="2"/>
      </rPr>
      <t>TRANSMISSOR</t>
    </r>
    <r>
      <rPr>
        <sz val="9"/>
        <color theme="1"/>
        <rFont val="Calibri"/>
        <family val="2"/>
      </rPr>
      <t>) - SMART MEDLEVENSOHN</t>
    </r>
  </si>
  <si>
    <t>LANCETA SEG ML04 28G 0.36X1.4MM CX/100UN</t>
  </si>
  <si>
    <t>LANCETA SEG ML04 30G 0.31X1.4MM CX/100UN</t>
  </si>
  <si>
    <t>LANCETA SEG. DE PEZINHO MED 1,05X2,5MM CX 50</t>
  </si>
  <si>
    <t>LANCETA SEG. DE PEZINHO MED 0,85X1,75MM CX 50</t>
  </si>
  <si>
    <t xml:space="preserve"> PI e MA 36,36%, SE, RS, PA e TO 27,3%,  BA 30,30%, MS 21,21% e ES  18,18%. DEMAIS ESTADOS NÃO TEM NA SAÍDA. QUANTO A INCIDÊNCIA DE ST NA ENTRADA A CONTABILIDAE DO CLIENTE DEVE APURAR</t>
  </si>
  <si>
    <t>ES 33,78%</t>
  </si>
  <si>
    <t xml:space="preserve"> MA 36,53%,PI 35,42% , BA 30,37%, RS 28,57%,  SE 28,21%, PA27,27% , TO 25,79% e  MS 21%. DEMAIS ESTADOS NÃO TEM NA SAÍDA. QUANTO A INCIDÊNCIA DE ST NA ENTRADA A CONTABILIDAE DO CLIENTE DEVE APURAR</t>
  </si>
  <si>
    <t xml:space="preserve"> MA 39,79%,PI 38,58% , BA 33,79%, PB 32%, RS 31,15%,  SE 30,78%, PA 30,37% , TO 27,3% e  MS 23%. DEMAIS ESTADOS NÃO TEM NA SAÍDA. QUANTO A INCIDÊNCIA DE ST NA ENTRADA A CONTABILIDAE DO CLIENTE DEVE APURAR</t>
  </si>
  <si>
    <r>
      <t>TIRA GLICOSE INDIV 25UN BRANCA OCPII-ENV</t>
    </r>
    <r>
      <rPr>
        <b/>
        <sz val="11"/>
        <color theme="1"/>
        <rFont val="Calibri"/>
        <family val="2"/>
        <scheme val="minor"/>
      </rPr>
      <t xml:space="preserve"> </t>
    </r>
    <r>
      <rPr>
        <b/>
        <sz val="11"/>
        <color theme="4"/>
        <rFont val="Calibri"/>
        <family val="2"/>
        <scheme val="minor"/>
      </rPr>
      <t>com bonificação de um monitor a cada 12 caixas de tiras</t>
    </r>
  </si>
  <si>
    <r>
      <t>TIRA GLICOSE INDIV 25UN BRANCA OCPII-ENV</t>
    </r>
    <r>
      <rPr>
        <b/>
        <sz val="11"/>
        <color theme="1"/>
        <rFont val="Calibri"/>
        <family val="2"/>
        <scheme val="minor"/>
      </rPr>
      <t xml:space="preserve"> </t>
    </r>
    <r>
      <rPr>
        <b/>
        <sz val="11"/>
        <color theme="4"/>
        <rFont val="Calibri"/>
        <family val="2"/>
        <scheme val="minor"/>
      </rPr>
      <t>com bonificação de um monitor a cada 16 caixas de tiras</t>
    </r>
  </si>
  <si>
    <r>
      <t>TIRA GLICOSE INDIV 25UN BRANCA OCPII-ENV</t>
    </r>
    <r>
      <rPr>
        <sz val="11"/>
        <color theme="4"/>
        <rFont val="Calibri"/>
        <family val="2"/>
        <scheme val="minor"/>
      </rPr>
      <t xml:space="preserve"> </t>
    </r>
    <r>
      <rPr>
        <b/>
        <sz val="11"/>
        <color theme="4"/>
        <rFont val="Calibri"/>
        <family val="2"/>
        <scheme val="minor"/>
      </rPr>
      <t>SEM BONIFICAÇÃO</t>
    </r>
  </si>
  <si>
    <r>
      <t>TIRA GLIC IND CX50 BRA OCPII G13311C-ENV</t>
    </r>
    <r>
      <rPr>
        <b/>
        <sz val="11"/>
        <color theme="1"/>
        <rFont val="Calibri"/>
        <family val="2"/>
        <scheme val="minor"/>
      </rPr>
      <t xml:space="preserve"> </t>
    </r>
    <r>
      <rPr>
        <b/>
        <sz val="11"/>
        <color theme="4"/>
        <rFont val="Calibri"/>
        <family val="2"/>
        <scheme val="minor"/>
      </rPr>
      <t>com bonificação de um monitor a cada 12 caixas de tiras</t>
    </r>
  </si>
  <si>
    <r>
      <t>TIRA GLIC IND CX50 BRA OCPII G13311C-ENV</t>
    </r>
    <r>
      <rPr>
        <b/>
        <sz val="11"/>
        <color theme="1"/>
        <rFont val="Calibri"/>
        <family val="2"/>
        <scheme val="minor"/>
      </rPr>
      <t xml:space="preserve"> </t>
    </r>
    <r>
      <rPr>
        <b/>
        <sz val="11"/>
        <color theme="4"/>
        <rFont val="Calibri"/>
        <family val="2"/>
        <scheme val="minor"/>
      </rPr>
      <t>com bonificação de um monitor a cada 16 caixas de tiras</t>
    </r>
  </si>
  <si>
    <r>
      <t>TIRA GLIC IND CX50 BRA OCPII G13311C-ENV</t>
    </r>
    <r>
      <rPr>
        <sz val="11"/>
        <color theme="4"/>
        <rFont val="Calibri"/>
        <family val="2"/>
        <scheme val="minor"/>
      </rPr>
      <t xml:space="preserve"> </t>
    </r>
    <r>
      <rPr>
        <b/>
        <sz val="11"/>
        <color theme="4"/>
        <rFont val="Calibri"/>
        <family val="2"/>
        <scheme val="minor"/>
      </rPr>
      <t>SEM BONIFICAÇÃO</t>
    </r>
  </si>
  <si>
    <t>AGULHA SEG CAN INSUL 31G 4MM ML02 CX100 ( COM DISPOSITIVO DE SEGURANÇA QUE IMPEDE A REUTILIZAÇÂO)</t>
  </si>
  <si>
    <t>Promoção</t>
  </si>
  <si>
    <t>N-MEDTESTE DENGUE ABAG COMB IDGCC43 CX25 - (consultar estoque)</t>
  </si>
  <si>
    <r>
      <t>MEDTESTE DENGUE ABAG COMB IDGCC43 CX10</t>
    </r>
    <r>
      <rPr>
        <b/>
        <sz val="11"/>
        <color rgb="FFFF0000"/>
        <rFont val="Calibri"/>
        <family val="2"/>
        <scheme val="minor"/>
      </rPr>
      <t xml:space="preserve"> </t>
    </r>
    <r>
      <rPr>
        <sz val="11"/>
        <color theme="1"/>
        <rFont val="Calibri"/>
        <family val="2"/>
        <scheme val="minor"/>
      </rPr>
      <t xml:space="preserve"> ( consultar estoque)</t>
    </r>
  </si>
  <si>
    <t>N-MEDTESTE CHIKUNGUN IGGIGM ICKGC42 CX25  (consultar estoque)</t>
  </si>
  <si>
    <t>N-MEDTESTE CHIKUNGUNYA IGGI ICKGC42 CX10  (consultar estoque)</t>
  </si>
  <si>
    <r>
      <t>MEDTESTE COVID19+FLU+RSV CX20 ICFR-MC84</t>
    </r>
    <r>
      <rPr>
        <sz val="11"/>
        <color theme="3" tint="0.249977111117893"/>
        <rFont val="Calibri"/>
        <family val="2"/>
        <scheme val="minor"/>
      </rPr>
      <t xml:space="preserve"> </t>
    </r>
    <r>
      <rPr>
        <sz val="11"/>
        <color theme="1"/>
        <rFont val="Calibri"/>
        <family val="2"/>
        <scheme val="minor"/>
      </rPr>
      <t xml:space="preserve"> (consultar estoque)</t>
    </r>
  </si>
  <si>
    <t>MEDTESTE HCV ML02 IHCVC41 CX10  (consultar estoque)</t>
  </si>
  <si>
    <t>MEDTESTE COVID19 INGM-MC42 CX25  (consultar estoque)</t>
  </si>
  <si>
    <t>MEDTESTE INFLUENZA A+BH1N1IFLU-C82CX25  (consultar estoque)</t>
  </si>
  <si>
    <t>A12%-MEDTESTE INFLUN ABH1N1 IFLUC82 CX10  (consultar estoque)</t>
  </si>
  <si>
    <t>12%MEDTESTE COV19+INFL COMB ICFGMC83CX25  (consultar estoque)</t>
  </si>
  <si>
    <t>12%-MEDTESTE COVID+INFL COM ICFGMC83CX10  (consultar estoque)</t>
  </si>
  <si>
    <t>12%-MEDTESTE RSV ANTIGENO IRSV-C81 CX25  (consultar estoque)</t>
  </si>
  <si>
    <t>12%-MEDTESTE RSV ANTIGENO IRSV-C81 CX10  (consultar estoque)</t>
  </si>
  <si>
    <t>A12%-MEDTESTE SIFILI IGGIGM ISYPC41 CX10  (consultar estoque)</t>
  </si>
  <si>
    <t>A12%-MEDTESTE HIV 1.2.0 IHIV-C42 CX10  (consultar estoque)</t>
  </si>
  <si>
    <t>A12%-MEDTESTE HBSAG ML02 IHBSGC41 CX10 (consultar estoque)</t>
  </si>
  <si>
    <t>A12%-MEDTESTE HBSAGML-02 IHBSG-C41 CX25  (consultar estoque)</t>
  </si>
  <si>
    <t>A12%-MEDTESTE PSA OPSA-C42CX25  (consultar estoque)</t>
  </si>
  <si>
    <t>A12%-MEDTESTE PSA OPSA-C42 CX10 (consultar estoque)</t>
  </si>
  <si>
    <t>MEDTESTE CEA AG CARCINO OCEAC41 CX25 (consultar estoque)</t>
  </si>
  <si>
    <t>MEDTESTE ALFAFETOPROTEINA OAFPC41 CX25 (consultar estoque)</t>
  </si>
  <si>
    <t>MEDTESTE CA15-3 AG OCA15-C42 CX25 (consultar estoque)</t>
  </si>
  <si>
    <t>MEDTESTE VITAMINA D SVD-C42 CX10  (consultar estoque)</t>
  </si>
  <si>
    <t>A12%MEDTESTE GRAVIDEZ HCGWHCG-S11H UNID  (consultar estoque)</t>
  </si>
  <si>
    <t>Tabela baseada no DÓLAR a R$ 5,00, podendo variar de 5% tanto para cima ou para baixo, superando estes percentuais iremos proceder em alterações nos preços.</t>
  </si>
  <si>
    <t>KIT PROMO 100TIRAS+01MONIT+100LANC+01LCTD+01SOL</t>
  </si>
  <si>
    <t>URIEL</t>
  </si>
  <si>
    <t>DATA EMISSÃO: 17/06/2026                                             TABELA VÁLIDA ATÉ 30/06/2026</t>
  </si>
  <si>
    <t>lpress</t>
  </si>
  <si>
    <t>7908007900701</t>
  </si>
  <si>
    <t>9120015782119</t>
  </si>
  <si>
    <t>7908007901531</t>
  </si>
  <si>
    <t>7908007903535</t>
  </si>
  <si>
    <t>7908007903542</t>
  </si>
  <si>
    <t>7908007903559</t>
  </si>
  <si>
    <t>7908007903566</t>
  </si>
  <si>
    <t>7908007903573</t>
  </si>
  <si>
    <t>1000000593815</t>
  </si>
  <si>
    <t>7908007901456</t>
  </si>
  <si>
    <t>7908007901470</t>
  </si>
  <si>
    <t>7908007901487</t>
  </si>
  <si>
    <t>4719003310530</t>
  </si>
  <si>
    <t>4719003330040</t>
  </si>
  <si>
    <t>7908007903825</t>
  </si>
  <si>
    <t>7908007903979</t>
  </si>
  <si>
    <t>4719003402419</t>
  </si>
  <si>
    <t>4719003400613</t>
  </si>
  <si>
    <t>1000000311419</t>
  </si>
  <si>
    <t>7297046114393</t>
  </si>
  <si>
    <t>7297046124392</t>
  </si>
  <si>
    <t>7297046114010</t>
  </si>
  <si>
    <t>811909015350</t>
  </si>
  <si>
    <t>7893590833560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</si>
</sst>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R$&quot;\ #,##0.00;[Red]\-&quot;R$&quot;\ #,##0.00"/>
    <numFmt numFmtId="44" formatCode="_-&quot;R$&quot;\ * #,##0.00_-;\-&quot;R$&quot;\ * #,##0.00_-;_-&quot;R$&quot;\ * &quot;-&quot;??_-;_-@_-"/>
    <numFmt numFmtId="43" formatCode="_-* #,##0.00_-;\-* #,##0.00_-;_-* &quot;-&quot;??_-;_-@_-"/>
    <numFmt numFmtId="164" formatCode="_-&quot;R$&quot;* #,##0.00_-;\-&quot;R$&quot;* #,##0.00_-;_-&quot;R$&quot;* &quot;-&quot;??_-;_-@_-"/>
    <numFmt numFmtId="165" formatCode="&quot;R$&quot;\ #,##0.00"/>
    <numFmt numFmtId="166" formatCode="0_ ;\-0\ "/>
    <numFmt numFmtId="167" formatCode="0000000000000"/>
  </numFmts>
  <fonts count="40" x14ac:knownFonts="1">
    <font>
      <sz val="11"/>
      <color theme="1"/>
      <name val="Calibri"/>
      <family val="2"/>
      <scheme val="minor"/>
    </font>
    <font>
      <sz val="11"/>
      <color theme="1"/>
      <name val="Calibri"/>
      <family val="2"/>
      <scheme val="minor"/>
    </font>
    <font>
      <b/>
      <sz val="11"/>
      <color theme="1"/>
      <name val="Calibri"/>
      <family val="2"/>
      <scheme val="minor"/>
    </font>
    <font>
      <b/>
      <sz val="22"/>
      <color theme="1"/>
      <name val="Calibri"/>
      <family val="2"/>
      <scheme val="minor"/>
    </font>
    <font>
      <b/>
      <sz val="14"/>
      <name val="Calibri"/>
      <family val="2"/>
      <scheme val="minor"/>
    </font>
    <font>
      <b/>
      <sz val="11"/>
      <name val="Calibri"/>
      <family val="2"/>
      <scheme val="minor"/>
    </font>
    <font>
      <sz val="11"/>
      <name val="Calibri"/>
      <family val="2"/>
      <scheme val="minor"/>
    </font>
    <font>
      <sz val="10"/>
      <color rgb="FF000000"/>
      <name val="Tahoma"/>
      <family val="2"/>
    </font>
    <font>
      <sz val="10"/>
      <color theme="1"/>
      <name val="Calibri"/>
      <family val="2"/>
      <scheme val="minor"/>
    </font>
    <font>
      <b/>
      <sz val="16"/>
      <name val="Calibri"/>
      <family val="2"/>
      <scheme val="minor"/>
    </font>
    <font>
      <b/>
      <sz val="9"/>
      <name val="Calibri"/>
      <family val="2"/>
      <scheme val="minor"/>
    </font>
    <font>
      <sz val="9"/>
      <name val="Calibri"/>
      <family val="2"/>
      <scheme val="minor"/>
    </font>
    <font>
      <sz val="10"/>
      <color rgb="FF000000"/>
      <name val="Arial"/>
      <family val="2"/>
    </font>
    <font>
      <b/>
      <sz val="9"/>
      <color theme="1"/>
      <name val="Calibri"/>
      <family val="2"/>
      <scheme val="minor"/>
    </font>
    <font>
      <sz val="5"/>
      <color theme="1"/>
      <name val="Calibri"/>
      <family val="2"/>
      <scheme val="minor"/>
    </font>
    <font>
      <sz val="6"/>
      <color theme="1"/>
      <name val="Calibri"/>
      <family val="2"/>
      <scheme val="minor"/>
    </font>
    <font>
      <sz val="11"/>
      <color theme="1"/>
      <name val="Calibri"/>
      <family val="2"/>
    </font>
    <font>
      <b/>
      <sz val="11"/>
      <color rgb="FFFF0000"/>
      <name val="Calibri"/>
      <family val="2"/>
      <scheme val="minor"/>
    </font>
    <font>
      <u/>
      <sz val="11"/>
      <color theme="1"/>
      <name val="Calibri"/>
      <family val="2"/>
      <scheme val="minor"/>
    </font>
    <font>
      <b/>
      <sz val="15"/>
      <color theme="1"/>
      <name val="Calibri"/>
      <family val="2"/>
      <scheme val="minor"/>
    </font>
    <font>
      <sz val="9"/>
      <color theme="1"/>
      <name val="Calibri"/>
      <family val="2"/>
      <scheme val="minor"/>
    </font>
    <font>
      <b/>
      <sz val="8"/>
      <color theme="1"/>
      <name val="Calibri"/>
      <family val="2"/>
      <scheme val="minor"/>
    </font>
    <font>
      <sz val="7"/>
      <color theme="1"/>
      <name val="Calibri"/>
      <family val="2"/>
      <scheme val="minor"/>
    </font>
    <font>
      <b/>
      <sz val="18"/>
      <color rgb="FFFF0000"/>
      <name val="Calibri"/>
      <family val="2"/>
      <scheme val="minor"/>
    </font>
    <font>
      <sz val="11"/>
      <color rgb="FF000000"/>
      <name val="Calibri"/>
      <family val="2"/>
      <scheme val="minor"/>
    </font>
    <font>
      <sz val="11"/>
      <color theme="4"/>
      <name val="Calibri"/>
      <family val="2"/>
      <scheme val="minor"/>
    </font>
    <font>
      <b/>
      <sz val="11"/>
      <color theme="4"/>
      <name val="Calibri"/>
      <family val="2"/>
      <scheme val="minor"/>
    </font>
    <font>
      <sz val="11"/>
      <color rgb="FFFF0000"/>
      <name val="Calibri"/>
      <family val="2"/>
      <scheme val="minor"/>
    </font>
    <font>
      <sz val="10"/>
      <color theme="1"/>
      <name val="Arial"/>
      <family val="2"/>
    </font>
    <font>
      <sz val="12"/>
      <color theme="1"/>
      <name val="Calibri"/>
      <family val="2"/>
      <scheme val="minor"/>
    </font>
    <font>
      <b/>
      <sz val="12"/>
      <color theme="1"/>
      <name val="Calibri"/>
      <family val="2"/>
      <scheme val="minor"/>
    </font>
    <font>
      <b/>
      <sz val="9"/>
      <color rgb="FFFF0000"/>
      <name val="Calibri"/>
      <family val="2"/>
      <scheme val="minor"/>
    </font>
    <font>
      <sz val="9"/>
      <color rgb="FFFF0000"/>
      <name val="Calibri"/>
      <family val="2"/>
      <scheme val="minor"/>
    </font>
    <font>
      <sz val="11"/>
      <color theme="3" tint="0.249977111117893"/>
      <name val="Calibri"/>
      <family val="2"/>
      <scheme val="minor"/>
    </font>
    <font>
      <b/>
      <sz val="10"/>
      <color theme="1"/>
      <name val="Arial"/>
      <family val="2"/>
    </font>
    <font>
      <b/>
      <sz val="10"/>
      <color theme="4" tint="-0.249977111117893"/>
      <name val="Arial"/>
      <family val="2"/>
    </font>
    <font>
      <sz val="9"/>
      <color theme="1"/>
      <name val="Calibri"/>
      <family val="2"/>
    </font>
    <font>
      <b/>
      <sz val="9"/>
      <color theme="1"/>
      <name val="Calibri"/>
      <family val="2"/>
    </font>
    <font>
      <sz val="10"/>
      <color theme="1"/>
      <name val="Arial"/>
      <family val="2"/>
    </font>
    <font>
      <sz val="8"/>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1"/>
        <bgColor indexed="64"/>
      </patternFill>
    </fill>
    <fill>
      <patternFill patternType="solid">
        <fgColor rgb="FFFFC000"/>
        <bgColor indexed="64"/>
      </patternFill>
    </fill>
    <fill>
      <patternFill patternType="solid">
        <fgColor theme="0" tint="-0.14999847407452621"/>
        <bgColor indexed="64"/>
      </patternFill>
    </fill>
  </fills>
  <borders count="8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diagonal/>
    </border>
    <border>
      <left style="thin">
        <color indexed="64"/>
      </left>
      <right/>
      <top style="medium">
        <color indexed="64"/>
      </top>
      <bottom style="thin">
        <color indexed="64"/>
      </bottom>
      <diagonal/>
    </border>
    <border>
      <left style="medium">
        <color indexed="64"/>
      </left>
      <right/>
      <top style="thin">
        <color indexed="64"/>
      </top>
      <bottom/>
      <diagonal/>
    </border>
    <border>
      <left/>
      <right style="thin">
        <color indexed="64"/>
      </right>
      <top/>
      <bottom/>
      <diagonal/>
    </border>
    <border>
      <left style="thin">
        <color indexed="64"/>
      </left>
      <right/>
      <top/>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diagonal/>
    </border>
    <border>
      <left style="medium">
        <color indexed="64"/>
      </left>
      <right/>
      <top/>
      <bottom style="thin">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thin">
        <color indexed="64"/>
      </left>
      <right/>
      <top style="thin">
        <color indexed="64"/>
      </top>
      <bottom style="medium">
        <color indexed="64"/>
      </bottom>
      <diagonal/>
    </border>
    <border>
      <left style="medium">
        <color indexed="64"/>
      </left>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bottom style="thin">
        <color indexed="64"/>
      </bottom>
      <diagonal/>
    </border>
    <border>
      <left/>
      <right/>
      <top style="thin">
        <color indexed="64"/>
      </top>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top/>
      <bottom style="medium">
        <color indexed="64"/>
      </bottom>
      <diagonal/>
    </border>
    <border>
      <left/>
      <right style="medium">
        <color theme="1"/>
      </right>
      <top style="medium">
        <color indexed="64"/>
      </top>
      <bottom/>
      <diagonal/>
    </border>
    <border>
      <left/>
      <right style="medium">
        <color theme="1"/>
      </right>
      <top/>
      <bottom style="medium">
        <color indexed="64"/>
      </bottom>
      <diagonal/>
    </border>
    <border>
      <left style="thin">
        <color indexed="64"/>
      </left>
      <right style="medium">
        <color theme="1"/>
      </right>
      <top style="medium">
        <color indexed="64"/>
      </top>
      <bottom style="thin">
        <color indexed="64"/>
      </bottom>
      <diagonal/>
    </border>
    <border>
      <left style="thin">
        <color indexed="64"/>
      </left>
      <right style="medium">
        <color theme="1"/>
      </right>
      <top style="thin">
        <color indexed="64"/>
      </top>
      <bottom style="medium">
        <color indexed="64"/>
      </bottom>
      <diagonal/>
    </border>
    <border>
      <left style="thin">
        <color indexed="64"/>
      </left>
      <right style="medium">
        <color theme="1"/>
      </right>
      <top style="thin">
        <color indexed="64"/>
      </top>
      <bottom style="thin">
        <color indexed="64"/>
      </bottom>
      <diagonal/>
    </border>
    <border>
      <left style="thin">
        <color indexed="64"/>
      </left>
      <right style="medium">
        <color theme="1"/>
      </right>
      <top style="medium">
        <color indexed="64"/>
      </top>
      <bottom/>
      <diagonal/>
    </border>
    <border>
      <left style="thin">
        <color indexed="64"/>
      </left>
      <right style="medium">
        <color theme="1"/>
      </right>
      <top style="medium">
        <color indexed="64"/>
      </top>
      <bottom style="medium">
        <color indexed="64"/>
      </bottom>
      <diagonal/>
    </border>
    <border>
      <left style="thin">
        <color indexed="64"/>
      </left>
      <right style="medium">
        <color theme="1"/>
      </right>
      <top style="thin">
        <color indexed="64"/>
      </top>
      <bottom/>
      <diagonal/>
    </border>
    <border>
      <left style="thin">
        <color indexed="64"/>
      </left>
      <right style="medium">
        <color theme="1"/>
      </right>
      <top/>
      <bottom/>
      <diagonal/>
    </border>
    <border>
      <left style="thin">
        <color indexed="64"/>
      </left>
      <right style="medium">
        <color theme="1"/>
      </right>
      <top/>
      <bottom style="thin">
        <color indexed="64"/>
      </bottom>
      <diagonal/>
    </border>
    <border>
      <left style="thin">
        <color indexed="64"/>
      </left>
      <right style="medium">
        <color theme="1"/>
      </right>
      <top/>
      <bottom style="medium">
        <color indexed="64"/>
      </bottom>
      <diagonal/>
    </border>
    <border>
      <left/>
      <right style="medium">
        <color theme="1"/>
      </right>
      <top/>
      <bottom/>
      <diagonal/>
    </border>
    <border>
      <left style="medium">
        <color indexed="64"/>
      </left>
      <right style="medium">
        <color theme="1"/>
      </right>
      <top style="medium">
        <color indexed="64"/>
      </top>
      <bottom style="medium">
        <color indexed="64"/>
      </bottom>
      <diagonal/>
    </border>
    <border>
      <left style="medium">
        <color indexed="64"/>
      </left>
      <right style="medium">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654">
    <xf numFmtId="0" fontId="0" fillId="0" borderId="0" xfId="0"/>
    <xf numFmtId="0" fontId="0" fillId="0" borderId="0" xfId="0" applyAlignment="1">
      <alignment horizontal="center"/>
    </xf>
    <xf numFmtId="4" fontId="0" fillId="0" borderId="6" xfId="0" applyNumberFormat="1" applyBorder="1" applyAlignment="1">
      <alignment horizontal="center" vertical="center" wrapText="1"/>
    </xf>
    <xf numFmtId="0" fontId="0" fillId="3" borderId="6" xfId="0" applyFill="1" applyBorder="1" applyAlignment="1">
      <alignment horizontal="center" vertical="center" wrapText="1"/>
    </xf>
    <xf numFmtId="0" fontId="0" fillId="0" borderId="0" xfId="0" applyAlignment="1">
      <alignment horizontal="center" vertical="center"/>
    </xf>
    <xf numFmtId="0" fontId="0" fillId="0" borderId="6" xfId="0" applyBorder="1" applyAlignment="1">
      <alignment horizontal="center" vertical="center"/>
    </xf>
    <xf numFmtId="1" fontId="6" fillId="0" borderId="6" xfId="0" applyNumberFormat="1" applyFont="1" applyBorder="1" applyAlignment="1">
      <alignment horizontal="center" vertical="center" wrapText="1"/>
    </xf>
    <xf numFmtId="0" fontId="0" fillId="0" borderId="6" xfId="0" applyBorder="1" applyAlignment="1">
      <alignment horizontal="center"/>
    </xf>
    <xf numFmtId="1" fontId="6" fillId="3" borderId="6" xfId="0" applyNumberFormat="1" applyFont="1" applyFill="1" applyBorder="1" applyAlignment="1">
      <alignment horizontal="center" vertical="center" wrapText="1"/>
    </xf>
    <xf numFmtId="1" fontId="6" fillId="0" borderId="2" xfId="0" applyNumberFormat="1" applyFont="1" applyBorder="1" applyAlignment="1">
      <alignment horizontal="center" vertical="center" wrapText="1"/>
    </xf>
    <xf numFmtId="1" fontId="6" fillId="0" borderId="3"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4" fontId="0" fillId="0" borderId="12" xfId="0" applyNumberFormat="1" applyBorder="1" applyAlignment="1">
      <alignment horizontal="center" vertical="center" wrapText="1"/>
    </xf>
    <xf numFmtId="1" fontId="6" fillId="0" borderId="12" xfId="0" applyNumberFormat="1" applyFont="1" applyBorder="1" applyAlignment="1">
      <alignment horizontal="center" vertical="center" wrapText="1"/>
    </xf>
    <xf numFmtId="1" fontId="6" fillId="0" borderId="13" xfId="0" applyNumberFormat="1" applyFont="1" applyBorder="1" applyAlignment="1">
      <alignment horizontal="center" vertical="center" wrapText="1"/>
    </xf>
    <xf numFmtId="4" fontId="0" fillId="0" borderId="2" xfId="0" applyNumberFormat="1" applyBorder="1" applyAlignment="1">
      <alignment horizontal="center" vertical="center" wrapText="1"/>
    </xf>
    <xf numFmtId="44" fontId="0" fillId="0" borderId="2" xfId="3" applyFont="1" applyBorder="1" applyAlignment="1">
      <alignment horizontal="center" vertical="center"/>
    </xf>
    <xf numFmtId="1" fontId="6" fillId="0" borderId="4" xfId="0" applyNumberFormat="1" applyFont="1" applyBorder="1" applyAlignment="1">
      <alignment horizontal="center" vertical="center" wrapText="1"/>
    </xf>
    <xf numFmtId="1" fontId="6" fillId="0" borderId="5" xfId="0" applyNumberFormat="1" applyFont="1" applyBorder="1" applyAlignment="1">
      <alignment horizontal="center" vertical="center" wrapText="1"/>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17" xfId="0" applyBorder="1" applyAlignment="1">
      <alignment horizontal="center" vertical="center"/>
    </xf>
    <xf numFmtId="1" fontId="6" fillId="3" borderId="10" xfId="0" applyNumberFormat="1" applyFont="1" applyFill="1" applyBorder="1" applyAlignment="1">
      <alignment horizontal="center" vertical="center" wrapText="1"/>
    </xf>
    <xf numFmtId="1" fontId="6" fillId="3" borderId="3" xfId="0" applyNumberFormat="1" applyFont="1" applyFill="1" applyBorder="1" applyAlignment="1">
      <alignment horizontal="center" vertical="center" wrapText="1"/>
    </xf>
    <xf numFmtId="165" fontId="6" fillId="3" borderId="26" xfId="0" applyNumberFormat="1" applyFont="1" applyFill="1" applyBorder="1" applyAlignment="1">
      <alignment horizontal="center" vertical="center" wrapText="1"/>
    </xf>
    <xf numFmtId="1" fontId="6" fillId="0" borderId="26" xfId="0" applyNumberFormat="1" applyFont="1" applyBorder="1" applyAlignment="1">
      <alignment horizontal="center" vertical="center" wrapText="1"/>
    </xf>
    <xf numFmtId="1" fontId="6" fillId="0" borderId="33" xfId="0" applyNumberFormat="1" applyFont="1" applyBorder="1" applyAlignment="1">
      <alignment horizontal="center" vertical="center" wrapText="1"/>
    </xf>
    <xf numFmtId="1" fontId="6" fillId="0" borderId="7" xfId="0" applyNumberFormat="1" applyFont="1" applyBorder="1" applyAlignment="1">
      <alignment horizontal="center" vertical="center" wrapText="1"/>
    </xf>
    <xf numFmtId="1" fontId="6" fillId="0" borderId="8" xfId="0" applyNumberFormat="1" applyFont="1" applyBorder="1" applyAlignment="1">
      <alignment horizontal="center" vertical="center" wrapText="1"/>
    </xf>
    <xf numFmtId="9" fontId="0" fillId="0" borderId="0" xfId="2" applyFont="1" applyAlignment="1">
      <alignment horizontal="center"/>
    </xf>
    <xf numFmtId="4" fontId="0" fillId="0" borderId="7" xfId="0" applyNumberFormat="1" applyBorder="1" applyAlignment="1">
      <alignment horizontal="center" vertical="center" wrapText="1"/>
    </xf>
    <xf numFmtId="0" fontId="0" fillId="0" borderId="37" xfId="0" applyBorder="1" applyAlignment="1">
      <alignment horizontal="center" vertical="center"/>
    </xf>
    <xf numFmtId="165" fontId="6" fillId="3" borderId="12" xfId="0" applyNumberFormat="1" applyFont="1" applyFill="1" applyBorder="1" applyAlignment="1">
      <alignment horizontal="center" vertical="center" wrapText="1"/>
    </xf>
    <xf numFmtId="0" fontId="0" fillId="3" borderId="13" xfId="0" applyFill="1" applyBorder="1" applyAlignment="1">
      <alignment horizontal="center" vertical="center"/>
    </xf>
    <xf numFmtId="9" fontId="0" fillId="0" borderId="20" xfId="2" applyFont="1" applyBorder="1" applyAlignment="1">
      <alignment horizontal="center" vertical="center"/>
    </xf>
    <xf numFmtId="9" fontId="0" fillId="0" borderId="22" xfId="2" applyFont="1" applyBorder="1" applyAlignment="1">
      <alignment horizontal="center" vertical="center"/>
    </xf>
    <xf numFmtId="9" fontId="0" fillId="0" borderId="21" xfId="2" applyFont="1" applyBorder="1" applyAlignment="1">
      <alignment horizontal="center" vertical="center"/>
    </xf>
    <xf numFmtId="0" fontId="0" fillId="0" borderId="20" xfId="0" applyBorder="1" applyAlignment="1">
      <alignment horizontal="center"/>
    </xf>
    <xf numFmtId="0" fontId="0" fillId="0" borderId="22" xfId="0" applyBorder="1" applyAlignment="1">
      <alignment horizontal="center"/>
    </xf>
    <xf numFmtId="0" fontId="0" fillId="0" borderId="21" xfId="0" applyBorder="1" applyAlignment="1">
      <alignment horizontal="center" vertical="center"/>
    </xf>
    <xf numFmtId="0" fontId="0" fillId="0" borderId="20" xfId="0" applyBorder="1" applyAlignment="1">
      <alignment horizontal="center" vertical="center"/>
    </xf>
    <xf numFmtId="0" fontId="0" fillId="0" borderId="27" xfId="0" applyBorder="1" applyAlignment="1">
      <alignment horizontal="center" vertical="center"/>
    </xf>
    <xf numFmtId="0" fontId="0" fillId="0" borderId="21" xfId="0" applyBorder="1" applyAlignment="1">
      <alignment horizontal="center"/>
    </xf>
    <xf numFmtId="9" fontId="0" fillId="3" borderId="20" xfId="2" applyFont="1" applyFill="1" applyBorder="1" applyAlignment="1">
      <alignment horizontal="center" vertical="center"/>
    </xf>
    <xf numFmtId="0" fontId="0" fillId="0" borderId="56" xfId="0" applyBorder="1" applyAlignment="1">
      <alignment horizontal="center" vertical="center"/>
    </xf>
    <xf numFmtId="0" fontId="0" fillId="0" borderId="51" xfId="0" applyBorder="1" applyAlignment="1">
      <alignment horizontal="center" vertical="center" wrapText="1"/>
    </xf>
    <xf numFmtId="1" fontId="6" fillId="0" borderId="52" xfId="0" applyNumberFormat="1" applyFont="1" applyBorder="1" applyAlignment="1">
      <alignment horizontal="center" vertical="center" wrapText="1"/>
    </xf>
    <xf numFmtId="0" fontId="0" fillId="0" borderId="12" xfId="0" applyBorder="1" applyAlignment="1">
      <alignment horizontal="center" vertical="center" wrapText="1"/>
    </xf>
    <xf numFmtId="0" fontId="0" fillId="0" borderId="41" xfId="0" applyBorder="1" applyAlignment="1">
      <alignment horizontal="center"/>
    </xf>
    <xf numFmtId="1" fontId="6" fillId="0" borderId="41" xfId="0" applyNumberFormat="1" applyFont="1" applyBorder="1" applyAlignment="1">
      <alignment horizontal="center" vertical="center" wrapText="1"/>
    </xf>
    <xf numFmtId="1" fontId="6" fillId="0" borderId="42" xfId="0" applyNumberFormat="1" applyFont="1" applyBorder="1" applyAlignment="1">
      <alignment horizontal="center" vertical="center" wrapText="1"/>
    </xf>
    <xf numFmtId="1" fontId="6" fillId="3" borderId="4" xfId="0" applyNumberFormat="1" applyFont="1" applyFill="1" applyBorder="1" applyAlignment="1">
      <alignment horizontal="center" vertical="center" wrapText="1"/>
    </xf>
    <xf numFmtId="1" fontId="6" fillId="0" borderId="50" xfId="0" applyNumberFormat="1" applyFont="1" applyBorder="1" applyAlignment="1">
      <alignment horizontal="center" vertical="center" wrapText="1"/>
    </xf>
    <xf numFmtId="165" fontId="5" fillId="3" borderId="19" xfId="0" applyNumberFormat="1" applyFont="1" applyFill="1" applyBorder="1" applyAlignment="1">
      <alignment horizontal="center" vertical="center" wrapText="1"/>
    </xf>
    <xf numFmtId="10" fontId="5" fillId="3" borderId="23" xfId="2" applyNumberFormat="1" applyFont="1" applyFill="1" applyBorder="1" applyAlignment="1">
      <alignment horizontal="center" vertical="center" wrapText="1"/>
    </xf>
    <xf numFmtId="10" fontId="5" fillId="3" borderId="18" xfId="2" applyNumberFormat="1" applyFont="1" applyFill="1" applyBorder="1" applyAlignment="1">
      <alignment horizontal="center" vertical="center" wrapText="1"/>
    </xf>
    <xf numFmtId="10" fontId="5" fillId="3" borderId="17" xfId="2" applyNumberFormat="1" applyFont="1" applyFill="1" applyBorder="1" applyAlignment="1">
      <alignment horizontal="center" vertical="center" wrapText="1"/>
    </xf>
    <xf numFmtId="10" fontId="5" fillId="3" borderId="59" xfId="2" applyNumberFormat="1" applyFont="1" applyFill="1" applyBorder="1" applyAlignment="1">
      <alignment horizontal="center" vertical="center" wrapText="1"/>
    </xf>
    <xf numFmtId="10" fontId="5" fillId="3" borderId="46" xfId="2" applyNumberFormat="1" applyFont="1" applyFill="1" applyBorder="1" applyAlignment="1">
      <alignment horizontal="center" vertical="center" wrapText="1"/>
    </xf>
    <xf numFmtId="10" fontId="5" fillId="3" borderId="30" xfId="2" applyNumberFormat="1" applyFont="1" applyFill="1" applyBorder="1" applyAlignment="1">
      <alignment horizontal="center" vertical="center" wrapText="1"/>
    </xf>
    <xf numFmtId="10" fontId="5" fillId="3" borderId="58" xfId="2" applyNumberFormat="1" applyFont="1" applyFill="1"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1" fontId="0" fillId="0" borderId="6" xfId="0" applyNumberFormat="1" applyBorder="1" applyAlignment="1">
      <alignment horizontal="center"/>
    </xf>
    <xf numFmtId="0" fontId="0" fillId="0" borderId="10" xfId="0" applyBorder="1" applyAlignment="1">
      <alignment horizontal="center"/>
    </xf>
    <xf numFmtId="0" fontId="0" fillId="2" borderId="0" xfId="0" applyFill="1" applyAlignment="1">
      <alignment horizontal="center"/>
    </xf>
    <xf numFmtId="0" fontId="0" fillId="0" borderId="0" xfId="0" applyAlignment="1">
      <alignment horizontal="left"/>
    </xf>
    <xf numFmtId="0" fontId="0" fillId="3" borderId="20" xfId="0" applyFill="1" applyBorder="1" applyAlignment="1">
      <alignment horizontal="center" vertical="center" wrapText="1"/>
    </xf>
    <xf numFmtId="1" fontId="6" fillId="0" borderId="53" xfId="0" applyNumberFormat="1" applyFont="1" applyBorder="1" applyAlignment="1">
      <alignment horizontal="center" vertical="center" wrapText="1"/>
    </xf>
    <xf numFmtId="10" fontId="2" fillId="3" borderId="18" xfId="0" applyNumberFormat="1" applyFont="1" applyFill="1" applyBorder="1" applyAlignment="1">
      <alignment horizontal="center" vertical="center" wrapText="1"/>
    </xf>
    <xf numFmtId="10" fontId="5" fillId="3" borderId="60" xfId="2" applyNumberFormat="1" applyFont="1" applyFill="1" applyBorder="1" applyAlignment="1">
      <alignment horizontal="center" vertical="center" wrapText="1"/>
    </xf>
    <xf numFmtId="0" fontId="0" fillId="0" borderId="55" xfId="0" applyBorder="1" applyAlignment="1">
      <alignment horizontal="center" vertical="center"/>
    </xf>
    <xf numFmtId="0" fontId="0" fillId="3" borderId="21" xfId="0" applyFill="1" applyBorder="1" applyAlignment="1">
      <alignment horizontal="center" vertical="center" wrapText="1"/>
    </xf>
    <xf numFmtId="0" fontId="6" fillId="0" borderId="20" xfId="0" applyFont="1" applyBorder="1" applyAlignment="1">
      <alignment horizontal="center" vertical="center" wrapText="1"/>
    </xf>
    <xf numFmtId="0" fontId="6" fillId="0" borderId="21" xfId="0" applyFont="1" applyBorder="1" applyAlignment="1">
      <alignment horizontal="center" vertical="center" wrapText="1"/>
    </xf>
    <xf numFmtId="0" fontId="0" fillId="3" borderId="2" xfId="0" applyFill="1" applyBorder="1" applyAlignment="1">
      <alignment horizontal="center" vertical="center" wrapText="1"/>
    </xf>
    <xf numFmtId="10" fontId="2" fillId="3" borderId="18" xfId="0" applyNumberFormat="1" applyFont="1" applyFill="1" applyBorder="1" applyAlignment="1">
      <alignment horizontal="center" vertical="center"/>
    </xf>
    <xf numFmtId="10" fontId="2" fillId="3" borderId="19" xfId="0" applyNumberFormat="1" applyFont="1" applyFill="1" applyBorder="1" applyAlignment="1">
      <alignment horizontal="center" vertical="center"/>
    </xf>
    <xf numFmtId="0" fontId="0" fillId="0" borderId="22" xfId="0" applyBorder="1" applyAlignment="1">
      <alignment horizontal="center" vertical="center"/>
    </xf>
    <xf numFmtId="165" fontId="6" fillId="3" borderId="2" xfId="0" applyNumberFormat="1" applyFont="1" applyFill="1" applyBorder="1" applyAlignment="1">
      <alignment horizontal="center" vertical="center" wrapText="1"/>
    </xf>
    <xf numFmtId="10" fontId="5" fillId="3" borderId="65" xfId="2" applyNumberFormat="1" applyFont="1" applyFill="1" applyBorder="1" applyAlignment="1">
      <alignment horizontal="center" vertical="center" wrapText="1"/>
    </xf>
    <xf numFmtId="10" fontId="5" fillId="3" borderId="67" xfId="2" applyNumberFormat="1" applyFont="1" applyFill="1" applyBorder="1" applyAlignment="1">
      <alignment horizontal="center" vertical="center" wrapText="1"/>
    </xf>
    <xf numFmtId="1" fontId="6" fillId="3" borderId="18" xfId="0" applyNumberFormat="1" applyFont="1" applyFill="1" applyBorder="1" applyAlignment="1">
      <alignment horizontal="center" vertical="center" wrapText="1"/>
    </xf>
    <xf numFmtId="1" fontId="6" fillId="0" borderId="60" xfId="0" applyNumberFormat="1" applyFont="1" applyBorder="1" applyAlignment="1">
      <alignment horizontal="center" vertical="center" wrapText="1"/>
    </xf>
    <xf numFmtId="1" fontId="6" fillId="0" borderId="18" xfId="0" applyNumberFormat="1" applyFont="1" applyBorder="1" applyAlignment="1">
      <alignment horizontal="center" vertical="center" wrapText="1"/>
    </xf>
    <xf numFmtId="1" fontId="0" fillId="0" borderId="18" xfId="0" applyNumberFormat="1" applyBorder="1" applyAlignment="1">
      <alignment horizontal="center"/>
    </xf>
    <xf numFmtId="165" fontId="5" fillId="3" borderId="17" xfId="0" applyNumberFormat="1" applyFont="1" applyFill="1" applyBorder="1" applyAlignment="1">
      <alignment horizontal="center" vertical="center" wrapText="1"/>
    </xf>
    <xf numFmtId="0" fontId="16" fillId="0" borderId="20" xfId="5" applyNumberFormat="1" applyFont="1" applyBorder="1" applyAlignment="1" applyProtection="1">
      <alignment horizontal="center" vertical="center"/>
      <protection locked="0"/>
    </xf>
    <xf numFmtId="0" fontId="16" fillId="0" borderId="22" xfId="5" applyNumberFormat="1" applyFont="1" applyBorder="1" applyAlignment="1" applyProtection="1">
      <alignment horizontal="center" vertical="center"/>
      <protection locked="0"/>
    </xf>
    <xf numFmtId="0" fontId="0" fillId="0" borderId="2" xfId="0" applyBorder="1" applyAlignment="1">
      <alignment horizontal="center" vertical="center" wrapText="1"/>
    </xf>
    <xf numFmtId="0" fontId="0" fillId="3" borderId="3" xfId="0" applyFill="1" applyBorder="1" applyAlignment="1">
      <alignment horizontal="center" vertical="center"/>
    </xf>
    <xf numFmtId="1" fontId="16" fillId="0" borderId="12" xfId="0" quotePrefix="1" applyNumberFormat="1" applyFont="1" applyBorder="1" applyAlignment="1">
      <alignment horizontal="center"/>
    </xf>
    <xf numFmtId="4" fontId="0" fillId="0" borderId="50" xfId="0" applyNumberFormat="1" applyBorder="1" applyAlignment="1">
      <alignment horizontal="center" vertical="center" wrapText="1"/>
    </xf>
    <xf numFmtId="0" fontId="5" fillId="0" borderId="20" xfId="0" applyFont="1" applyBorder="1" applyAlignment="1">
      <alignment horizontal="center" vertical="center" wrapText="1"/>
    </xf>
    <xf numFmtId="0" fontId="5" fillId="0" borderId="22" xfId="0" applyFont="1" applyBorder="1" applyAlignment="1">
      <alignment horizontal="center" vertical="center" wrapText="1"/>
    </xf>
    <xf numFmtId="0" fontId="8" fillId="3" borderId="22" xfId="0" applyFont="1" applyFill="1" applyBorder="1" applyAlignment="1">
      <alignment horizontal="center"/>
    </xf>
    <xf numFmtId="0" fontId="0" fillId="0" borderId="32" xfId="0" applyBorder="1" applyAlignment="1">
      <alignment horizontal="center" vertical="center"/>
    </xf>
    <xf numFmtId="0" fontId="0" fillId="0" borderId="54" xfId="0" applyBorder="1" applyAlignment="1">
      <alignment horizontal="center" vertical="center"/>
    </xf>
    <xf numFmtId="44" fontId="0" fillId="0" borderId="20" xfId="3" applyFont="1" applyBorder="1" applyAlignment="1">
      <alignment horizontal="center" vertical="center"/>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0" fillId="3" borderId="22" xfId="0" applyFill="1" applyBorder="1" applyAlignment="1">
      <alignment horizontal="center"/>
    </xf>
    <xf numFmtId="0" fontId="0" fillId="0" borderId="54" xfId="0" applyBorder="1" applyAlignment="1">
      <alignment horizontal="center" vertical="center" wrapText="1"/>
    </xf>
    <xf numFmtId="0" fontId="0" fillId="3" borderId="22" xfId="0" applyFill="1" applyBorder="1" applyAlignment="1">
      <alignment horizontal="center" vertical="center" wrapText="1"/>
    </xf>
    <xf numFmtId="0" fontId="0" fillId="0" borderId="37" xfId="0" applyBorder="1" applyAlignment="1">
      <alignment horizontal="center" vertical="center" wrapText="1"/>
    </xf>
    <xf numFmtId="164" fontId="0" fillId="5" borderId="6" xfId="1" applyFont="1" applyFill="1" applyBorder="1" applyAlignment="1">
      <alignment horizontal="center" vertical="center"/>
    </xf>
    <xf numFmtId="164" fontId="0" fillId="5" borderId="12" xfId="1" applyFont="1" applyFill="1" applyBorder="1" applyAlignment="1">
      <alignment horizontal="center" vertical="center"/>
    </xf>
    <xf numFmtId="164" fontId="0" fillId="5" borderId="2" xfId="1" applyFont="1" applyFill="1" applyBorder="1" applyAlignment="1">
      <alignment horizontal="center" vertical="center"/>
    </xf>
    <xf numFmtId="164" fontId="0" fillId="4" borderId="6" xfId="1" applyFont="1" applyFill="1" applyBorder="1" applyAlignment="1">
      <alignment horizontal="center" vertical="center"/>
    </xf>
    <xf numFmtId="164" fontId="0" fillId="4" borderId="12" xfId="1" applyFont="1" applyFill="1" applyBorder="1" applyAlignment="1">
      <alignment horizontal="center" vertical="center"/>
    </xf>
    <xf numFmtId="164" fontId="1" fillId="4" borderId="2" xfId="1" applyFont="1" applyFill="1" applyBorder="1" applyAlignment="1">
      <alignment horizontal="center" vertical="center"/>
    </xf>
    <xf numFmtId="164" fontId="1" fillId="4" borderId="6" xfId="1" applyFont="1" applyFill="1" applyBorder="1" applyAlignment="1">
      <alignment horizontal="center" vertical="center"/>
    </xf>
    <xf numFmtId="164" fontId="0" fillId="6" borderId="9" xfId="1" applyFont="1" applyFill="1" applyBorder="1" applyAlignment="1">
      <alignment horizontal="center" vertical="center"/>
    </xf>
    <xf numFmtId="164" fontId="0" fillId="6" borderId="11" xfId="1" applyFont="1" applyFill="1" applyBorder="1" applyAlignment="1">
      <alignment horizontal="center" vertical="center"/>
    </xf>
    <xf numFmtId="164" fontId="0" fillId="6" borderId="1" xfId="1" applyFont="1" applyFill="1" applyBorder="1" applyAlignment="1">
      <alignment horizontal="center" vertical="center"/>
    </xf>
    <xf numFmtId="44" fontId="1" fillId="6" borderId="22" xfId="1" applyNumberFormat="1" applyFont="1" applyFill="1" applyBorder="1" applyAlignment="1">
      <alignment horizontal="center" vertical="center"/>
    </xf>
    <xf numFmtId="0" fontId="0" fillId="0" borderId="28" xfId="0" applyBorder="1" applyAlignment="1">
      <alignment horizontal="center" vertical="center" wrapText="1"/>
    </xf>
    <xf numFmtId="0" fontId="0" fillId="0" borderId="47" xfId="0" applyBorder="1" applyAlignment="1">
      <alignment horizontal="center" vertical="center" wrapText="1"/>
    </xf>
    <xf numFmtId="0" fontId="0" fillId="0" borderId="35" xfId="0" applyBorder="1" applyAlignment="1">
      <alignment horizontal="center" vertical="center" wrapText="1"/>
    </xf>
    <xf numFmtId="0" fontId="0" fillId="0" borderId="0" xfId="0" applyAlignment="1">
      <alignment horizontal="center" wrapText="1"/>
    </xf>
    <xf numFmtId="0" fontId="0" fillId="0" borderId="20" xfId="0" applyBorder="1" applyAlignment="1">
      <alignment horizontal="center" vertical="center" wrapText="1"/>
    </xf>
    <xf numFmtId="9" fontId="0" fillId="3" borderId="22" xfId="2" applyFont="1" applyFill="1" applyBorder="1" applyAlignment="1">
      <alignment horizontal="center" vertical="center"/>
    </xf>
    <xf numFmtId="0" fontId="0" fillId="0" borderId="22" xfId="0" applyBorder="1" applyAlignment="1">
      <alignment horizontal="center" vertical="center" wrapText="1"/>
    </xf>
    <xf numFmtId="0" fontId="0" fillId="3" borderId="22" xfId="0" applyFill="1" applyBorder="1" applyAlignment="1">
      <alignment horizontal="center" vertical="center"/>
    </xf>
    <xf numFmtId="164" fontId="0" fillId="5" borderId="64" xfId="1" applyFont="1" applyFill="1" applyBorder="1" applyAlignment="1">
      <alignment horizontal="center" vertical="center"/>
    </xf>
    <xf numFmtId="164" fontId="0" fillId="5" borderId="65" xfId="1" applyFont="1" applyFill="1" applyBorder="1" applyAlignment="1">
      <alignment horizontal="center" vertical="center"/>
    </xf>
    <xf numFmtId="164" fontId="0" fillId="5" borderId="68" xfId="1" applyFont="1" applyFill="1" applyBorder="1" applyAlignment="1">
      <alignment horizontal="center" vertical="center"/>
    </xf>
    <xf numFmtId="164" fontId="0" fillId="5" borderId="66" xfId="1" applyFont="1" applyFill="1" applyBorder="1" applyAlignment="1">
      <alignment horizontal="center" vertical="center"/>
    </xf>
    <xf numFmtId="44" fontId="1" fillId="5" borderId="67" xfId="1" applyNumberFormat="1" applyFont="1" applyFill="1" applyBorder="1" applyAlignment="1">
      <alignment horizontal="center" vertical="center"/>
    </xf>
    <xf numFmtId="44" fontId="1" fillId="5" borderId="65" xfId="1" applyNumberFormat="1" applyFont="1" applyFill="1" applyBorder="1" applyAlignment="1">
      <alignment horizontal="center" vertical="center"/>
    </xf>
    <xf numFmtId="164" fontId="0" fillId="5" borderId="67" xfId="1" applyFont="1" applyFill="1" applyBorder="1" applyAlignment="1">
      <alignment horizontal="center" vertical="center"/>
    </xf>
    <xf numFmtId="44" fontId="1" fillId="4" borderId="11" xfId="1" applyNumberFormat="1" applyFont="1" applyFill="1" applyBorder="1" applyAlignment="1">
      <alignment horizontal="center" vertical="center"/>
    </xf>
    <xf numFmtId="44" fontId="1" fillId="4" borderId="12" xfId="1" applyNumberFormat="1" applyFont="1" applyFill="1" applyBorder="1" applyAlignment="1">
      <alignment horizontal="center" vertical="center"/>
    </xf>
    <xf numFmtId="164" fontId="1" fillId="4" borderId="1" xfId="1" applyFont="1" applyFill="1" applyBorder="1" applyAlignment="1">
      <alignment horizontal="center" vertical="center"/>
    </xf>
    <xf numFmtId="44" fontId="0" fillId="4" borderId="9" xfId="1" applyNumberFormat="1" applyFont="1" applyFill="1" applyBorder="1" applyAlignment="1">
      <alignment horizontal="center" vertical="center"/>
    </xf>
    <xf numFmtId="44" fontId="0" fillId="4" borderId="6" xfId="1" applyNumberFormat="1" applyFont="1" applyFill="1" applyBorder="1" applyAlignment="1">
      <alignment horizontal="center" vertical="center"/>
    </xf>
    <xf numFmtId="44" fontId="0" fillId="4" borderId="72" xfId="1" applyNumberFormat="1" applyFont="1" applyFill="1" applyBorder="1" applyAlignment="1">
      <alignment horizontal="center" vertical="center"/>
    </xf>
    <xf numFmtId="44" fontId="0" fillId="4" borderId="4" xfId="1" applyNumberFormat="1" applyFont="1" applyFill="1" applyBorder="1" applyAlignment="1">
      <alignment horizontal="center" vertical="center"/>
    </xf>
    <xf numFmtId="164" fontId="0" fillId="4" borderId="9" xfId="1" applyFont="1" applyFill="1" applyBorder="1" applyAlignment="1">
      <alignment horizontal="center" vertical="center"/>
    </xf>
    <xf numFmtId="164" fontId="1" fillId="4" borderId="11" xfId="1" applyFont="1" applyFill="1" applyBorder="1" applyAlignment="1">
      <alignment horizontal="center" vertical="center"/>
    </xf>
    <xf numFmtId="164" fontId="1" fillId="4" borderId="12" xfId="1" applyFont="1" applyFill="1" applyBorder="1" applyAlignment="1">
      <alignment horizontal="center" vertical="center"/>
    </xf>
    <xf numFmtId="164" fontId="1" fillId="4" borderId="13" xfId="1" applyFont="1" applyFill="1" applyBorder="1" applyAlignment="1">
      <alignment horizontal="center" vertical="center"/>
    </xf>
    <xf numFmtId="164" fontId="0" fillId="4" borderId="11" xfId="1" applyFont="1" applyFill="1" applyBorder="1" applyAlignment="1">
      <alignment horizontal="center" vertical="center"/>
    </xf>
    <xf numFmtId="164" fontId="2" fillId="4" borderId="2" xfId="1" applyFont="1" applyFill="1" applyBorder="1" applyAlignment="1">
      <alignment horizontal="center" vertical="center"/>
    </xf>
    <xf numFmtId="164" fontId="2" fillId="4" borderId="6" xfId="1" applyFont="1" applyFill="1" applyBorder="1" applyAlignment="1">
      <alignment horizontal="center" vertical="center"/>
    </xf>
    <xf numFmtId="164" fontId="1" fillId="4" borderId="41" xfId="1" applyFont="1" applyFill="1" applyBorder="1" applyAlignment="1">
      <alignment horizontal="center" vertical="center"/>
    </xf>
    <xf numFmtId="164" fontId="1" fillId="4" borderId="26" xfId="1" applyFont="1" applyFill="1" applyBorder="1" applyAlignment="1">
      <alignment horizontal="center" vertical="center"/>
    </xf>
    <xf numFmtId="164" fontId="1" fillId="4" borderId="4" xfId="1" applyFont="1" applyFill="1" applyBorder="1" applyAlignment="1">
      <alignment horizontal="center" vertical="center"/>
    </xf>
    <xf numFmtId="164" fontId="1" fillId="4" borderId="50" xfId="1" applyFont="1" applyFill="1" applyBorder="1" applyAlignment="1">
      <alignment horizontal="center" vertical="center"/>
    </xf>
    <xf numFmtId="164" fontId="1" fillId="4" borderId="7" xfId="1" applyFont="1" applyFill="1" applyBorder="1" applyAlignment="1">
      <alignment horizontal="center" vertical="center"/>
    </xf>
    <xf numFmtId="164" fontId="1" fillId="4" borderId="9" xfId="1" applyFont="1" applyFill="1" applyBorder="1" applyAlignment="1">
      <alignment horizontal="center" vertical="center"/>
    </xf>
    <xf numFmtId="164" fontId="1" fillId="4" borderId="10" xfId="1" applyFont="1" applyFill="1" applyBorder="1" applyAlignment="1">
      <alignment horizontal="center" vertical="center"/>
    </xf>
    <xf numFmtId="44" fontId="1" fillId="4" borderId="49" xfId="1" applyNumberFormat="1" applyFont="1" applyFill="1" applyBorder="1" applyAlignment="1">
      <alignment horizontal="center" vertical="center"/>
    </xf>
    <xf numFmtId="44" fontId="1" fillId="4" borderId="50" xfId="1" applyNumberFormat="1" applyFont="1" applyFill="1" applyBorder="1" applyAlignment="1">
      <alignment horizontal="center" vertical="center"/>
    </xf>
    <xf numFmtId="44" fontId="1" fillId="4" borderId="9" xfId="1" applyNumberFormat="1" applyFont="1" applyFill="1" applyBorder="1" applyAlignment="1">
      <alignment horizontal="center" vertical="center"/>
    </xf>
    <xf numFmtId="44" fontId="1" fillId="4" borderId="6" xfId="1" applyNumberFormat="1" applyFont="1" applyFill="1" applyBorder="1" applyAlignment="1">
      <alignment horizontal="center" vertical="center"/>
    </xf>
    <xf numFmtId="0" fontId="0" fillId="3" borderId="12" xfId="0" applyFill="1" applyBorder="1" applyAlignment="1">
      <alignment horizontal="center" vertical="center" wrapText="1"/>
    </xf>
    <xf numFmtId="10" fontId="2" fillId="3" borderId="17" xfId="0" applyNumberFormat="1" applyFont="1" applyFill="1" applyBorder="1" applyAlignment="1">
      <alignment horizontal="center" vertical="center" wrapText="1"/>
    </xf>
    <xf numFmtId="10" fontId="2" fillId="3" borderId="23" xfId="0" applyNumberFormat="1" applyFont="1" applyFill="1" applyBorder="1" applyAlignment="1">
      <alignment horizontal="center" vertical="center" wrapText="1"/>
    </xf>
    <xf numFmtId="9" fontId="1" fillId="0" borderId="20" xfId="2" applyFont="1" applyBorder="1" applyAlignment="1">
      <alignment horizontal="center" vertical="center"/>
    </xf>
    <xf numFmtId="9" fontId="1" fillId="0" borderId="21" xfId="2" applyFont="1" applyBorder="1" applyAlignment="1">
      <alignment horizontal="center" vertical="center"/>
    </xf>
    <xf numFmtId="9" fontId="1" fillId="0" borderId="22" xfId="2" applyFont="1" applyBorder="1" applyAlignment="1">
      <alignment horizontal="center" vertical="center"/>
    </xf>
    <xf numFmtId="167" fontId="0" fillId="0" borderId="2" xfId="0" applyNumberFormat="1" applyBorder="1" applyAlignment="1">
      <alignment horizontal="center"/>
    </xf>
    <xf numFmtId="164" fontId="21" fillId="4" borderId="9" xfId="1" applyFont="1" applyFill="1" applyBorder="1" applyAlignment="1">
      <alignment horizontal="center" vertical="center" wrapText="1"/>
    </xf>
    <xf numFmtId="164" fontId="21" fillId="4" borderId="6" xfId="1" applyFont="1" applyFill="1" applyBorder="1" applyAlignment="1">
      <alignment horizontal="center" vertical="center" wrapText="1"/>
    </xf>
    <xf numFmtId="44" fontId="0" fillId="4" borderId="11" xfId="1" applyNumberFormat="1" applyFont="1" applyFill="1" applyBorder="1" applyAlignment="1">
      <alignment horizontal="center" vertical="center"/>
    </xf>
    <xf numFmtId="44" fontId="0" fillId="4" borderId="12" xfId="1" applyNumberFormat="1" applyFont="1" applyFill="1" applyBorder="1" applyAlignment="1">
      <alignment horizontal="center" vertical="center"/>
    </xf>
    <xf numFmtId="164" fontId="0" fillId="5" borderId="56" xfId="1" applyFont="1" applyFill="1" applyBorder="1" applyAlignment="1">
      <alignment horizontal="center" vertical="center"/>
    </xf>
    <xf numFmtId="0" fontId="0" fillId="5" borderId="22" xfId="0" applyFill="1" applyBorder="1" applyAlignment="1">
      <alignment horizontal="center"/>
    </xf>
    <xf numFmtId="164" fontId="0" fillId="5" borderId="16" xfId="1" applyFont="1" applyFill="1" applyBorder="1" applyAlignment="1">
      <alignment horizontal="center" vertical="center"/>
    </xf>
    <xf numFmtId="164" fontId="1" fillId="4" borderId="51" xfId="1" applyFont="1" applyFill="1" applyBorder="1" applyAlignment="1">
      <alignment horizontal="center" vertical="center"/>
    </xf>
    <xf numFmtId="164" fontId="0" fillId="4" borderId="3" xfId="1" applyFont="1" applyFill="1" applyBorder="1" applyAlignment="1">
      <alignment horizontal="center" vertical="center"/>
    </xf>
    <xf numFmtId="9" fontId="0" fillId="0" borderId="55" xfId="2" applyFont="1" applyBorder="1" applyAlignment="1">
      <alignment horizontal="center" vertical="center"/>
    </xf>
    <xf numFmtId="0" fontId="0" fillId="0" borderId="55" xfId="0" applyBorder="1" applyAlignment="1">
      <alignment horizontal="center"/>
    </xf>
    <xf numFmtId="164" fontId="0" fillId="4" borderId="2" xfId="1" applyFont="1" applyFill="1" applyBorder="1" applyAlignment="1">
      <alignment horizontal="center" vertical="center"/>
    </xf>
    <xf numFmtId="0" fontId="0" fillId="0" borderId="59" xfId="0" applyBorder="1" applyAlignment="1">
      <alignment horizontal="center" vertical="center"/>
    </xf>
    <xf numFmtId="0" fontId="0" fillId="0" borderId="73" xfId="0" applyBorder="1" applyAlignment="1">
      <alignment horizontal="center" vertical="center" wrapText="1"/>
    </xf>
    <xf numFmtId="9" fontId="0" fillId="3" borderId="54" xfId="2" applyFont="1" applyFill="1" applyBorder="1" applyAlignment="1">
      <alignment horizontal="center" vertical="center"/>
    </xf>
    <xf numFmtId="164" fontId="0" fillId="6" borderId="40" xfId="1" applyFont="1" applyFill="1" applyBorder="1" applyAlignment="1">
      <alignment horizontal="center" vertical="center"/>
    </xf>
    <xf numFmtId="164" fontId="0" fillId="5" borderId="41" xfId="1" applyFont="1" applyFill="1" applyBorder="1" applyAlignment="1">
      <alignment horizontal="center" vertical="center"/>
    </xf>
    <xf numFmtId="9" fontId="0" fillId="0" borderId="37" xfId="2" applyFont="1" applyBorder="1" applyAlignment="1">
      <alignment horizontal="center" vertical="center"/>
    </xf>
    <xf numFmtId="0" fontId="0" fillId="0" borderId="37" xfId="0" applyBorder="1" applyAlignment="1">
      <alignment horizontal="center"/>
    </xf>
    <xf numFmtId="0" fontId="2" fillId="2" borderId="56" xfId="0" applyFont="1" applyFill="1" applyBorder="1" applyAlignment="1">
      <alignment horizontal="center" vertical="center"/>
    </xf>
    <xf numFmtId="0" fontId="0" fillId="0" borderId="21" xfId="0" applyBorder="1" applyAlignment="1">
      <alignment horizontal="center" vertical="center" wrapText="1"/>
    </xf>
    <xf numFmtId="0" fontId="0" fillId="3" borderId="21" xfId="0" applyFill="1" applyBorder="1" applyAlignment="1">
      <alignment horizontal="center"/>
    </xf>
    <xf numFmtId="0" fontId="0" fillId="3" borderId="55" xfId="0" applyFill="1" applyBorder="1" applyAlignment="1">
      <alignment horizontal="center"/>
    </xf>
    <xf numFmtId="44" fontId="1" fillId="5" borderId="10" xfId="1" applyNumberFormat="1" applyFont="1" applyFill="1" applyBorder="1" applyAlignment="1">
      <alignment horizontal="center" vertical="center"/>
    </xf>
    <xf numFmtId="10" fontId="5" fillId="2" borderId="17" xfId="2" applyNumberFormat="1" applyFont="1" applyFill="1" applyBorder="1" applyAlignment="1">
      <alignment horizontal="center" vertical="center" wrapText="1"/>
    </xf>
    <xf numFmtId="44" fontId="1" fillId="5" borderId="5" xfId="1" applyNumberFormat="1" applyFont="1" applyFill="1" applyBorder="1" applyAlignment="1">
      <alignment horizontal="center" vertical="center"/>
    </xf>
    <xf numFmtId="10" fontId="5" fillId="3" borderId="19" xfId="2" applyNumberFormat="1" applyFont="1" applyFill="1" applyBorder="1" applyAlignment="1">
      <alignment horizontal="center" vertical="center" wrapText="1"/>
    </xf>
    <xf numFmtId="44" fontId="1" fillId="5" borderId="53" xfId="1" applyNumberFormat="1" applyFont="1" applyFill="1" applyBorder="1" applyAlignment="1">
      <alignment horizontal="center" vertical="center"/>
    </xf>
    <xf numFmtId="164" fontId="22" fillId="5" borderId="52" xfId="1" applyFont="1" applyFill="1" applyBorder="1" applyAlignment="1">
      <alignment horizontal="center" vertical="center" wrapText="1"/>
    </xf>
    <xf numFmtId="10" fontId="5" fillId="2" borderId="58" xfId="2" applyNumberFormat="1" applyFont="1" applyFill="1" applyBorder="1" applyAlignment="1">
      <alignment horizontal="center" vertical="center" wrapText="1"/>
    </xf>
    <xf numFmtId="0" fontId="0" fillId="2" borderId="51" xfId="0" applyFill="1" applyBorder="1" applyAlignment="1">
      <alignment horizontal="center"/>
    </xf>
    <xf numFmtId="0" fontId="6" fillId="2" borderId="51" xfId="0" applyFont="1" applyFill="1" applyBorder="1" applyAlignment="1">
      <alignment horizontal="center" vertical="center" wrapText="1"/>
    </xf>
    <xf numFmtId="1" fontId="6" fillId="2" borderId="52" xfId="0" applyNumberFormat="1" applyFont="1" applyFill="1" applyBorder="1" applyAlignment="1">
      <alignment horizontal="center" vertical="center" wrapText="1"/>
    </xf>
    <xf numFmtId="0" fontId="0" fillId="0" borderId="27" xfId="0" applyBorder="1" applyAlignment="1">
      <alignment horizontal="center"/>
    </xf>
    <xf numFmtId="44" fontId="1" fillId="5" borderId="8" xfId="1" applyNumberFormat="1" applyFont="1" applyFill="1" applyBorder="1" applyAlignment="1">
      <alignment horizontal="center" vertical="center"/>
    </xf>
    <xf numFmtId="0" fontId="6" fillId="0" borderId="10" xfId="0" applyFont="1" applyBorder="1" applyAlignment="1">
      <alignment horizontal="center" vertical="center" wrapText="1"/>
    </xf>
    <xf numFmtId="0" fontId="6" fillId="0" borderId="5" xfId="0" applyFont="1" applyBorder="1" applyAlignment="1">
      <alignment horizontal="center" vertical="center" wrapText="1"/>
    </xf>
    <xf numFmtId="0" fontId="6" fillId="2" borderId="52" xfId="0" applyFont="1" applyFill="1" applyBorder="1" applyAlignment="1">
      <alignment horizontal="center" vertical="center" wrapText="1"/>
    </xf>
    <xf numFmtId="0" fontId="6" fillId="0" borderId="53" xfId="0" applyFont="1" applyBorder="1" applyAlignment="1">
      <alignment horizontal="center" vertical="center" wrapText="1"/>
    </xf>
    <xf numFmtId="164" fontId="1" fillId="5" borderId="8" xfId="1" applyFont="1" applyFill="1" applyBorder="1" applyAlignment="1">
      <alignment horizontal="center" vertical="center"/>
    </xf>
    <xf numFmtId="0" fontId="7" fillId="0" borderId="20" xfId="0" applyFont="1" applyBorder="1" applyAlignment="1">
      <alignment horizontal="center" vertical="center" wrapText="1"/>
    </xf>
    <xf numFmtId="0" fontId="0" fillId="0" borderId="0" xfId="0" applyAlignment="1">
      <alignment horizontal="center" vertical="center" wrapText="1"/>
    </xf>
    <xf numFmtId="10" fontId="5" fillId="3" borderId="1" xfId="2" applyNumberFormat="1" applyFont="1" applyFill="1" applyBorder="1" applyAlignment="1">
      <alignment horizontal="center" vertical="center" wrapText="1"/>
    </xf>
    <xf numFmtId="10" fontId="5" fillId="3" borderId="11" xfId="2" applyNumberFormat="1" applyFont="1" applyFill="1" applyBorder="1" applyAlignment="1">
      <alignment horizontal="center" vertical="center" wrapText="1"/>
    </xf>
    <xf numFmtId="10" fontId="5" fillId="3" borderId="9" xfId="2" applyNumberFormat="1" applyFont="1" applyFill="1" applyBorder="1" applyAlignment="1">
      <alignment horizontal="center" vertical="center" wrapText="1"/>
    </xf>
    <xf numFmtId="0" fontId="0" fillId="0" borderId="50" xfId="0" applyBorder="1" applyAlignment="1">
      <alignment horizontal="center" vertical="center" wrapText="1"/>
    </xf>
    <xf numFmtId="164" fontId="6" fillId="6" borderId="63" xfId="1" applyFont="1" applyFill="1" applyBorder="1" applyAlignment="1">
      <alignment horizontal="center" vertical="center" wrapText="1"/>
    </xf>
    <xf numFmtId="164" fontId="6" fillId="6" borderId="62" xfId="1" applyFont="1" applyFill="1" applyBorder="1" applyAlignment="1">
      <alignment horizontal="center" vertical="center" wrapText="1"/>
    </xf>
    <xf numFmtId="44" fontId="1" fillId="6" borderId="69" xfId="1" applyNumberFormat="1" applyFont="1" applyFill="1" applyBorder="1" applyAlignment="1">
      <alignment horizontal="center" vertical="center"/>
    </xf>
    <xf numFmtId="44" fontId="1" fillId="6" borderId="61" xfId="1" applyNumberFormat="1" applyFont="1" applyFill="1" applyBorder="1" applyAlignment="1">
      <alignment horizontal="center" vertical="center"/>
    </xf>
    <xf numFmtId="0" fontId="23" fillId="7" borderId="0" xfId="0" applyFont="1" applyFill="1" applyAlignment="1">
      <alignment horizontal="center" vertical="center" wrapText="1"/>
    </xf>
    <xf numFmtId="9" fontId="19" fillId="7" borderId="14" xfId="0" applyNumberFormat="1" applyFont="1" applyFill="1" applyBorder="1" applyAlignment="1">
      <alignment horizontal="center" vertical="center"/>
    </xf>
    <xf numFmtId="9" fontId="19" fillId="7" borderId="15" xfId="0" applyNumberFormat="1" applyFont="1" applyFill="1" applyBorder="1" applyAlignment="1">
      <alignment horizontal="center" vertical="center"/>
    </xf>
    <xf numFmtId="8" fontId="6" fillId="7" borderId="64" xfId="1" applyNumberFormat="1" applyFont="1" applyFill="1" applyBorder="1" applyAlignment="1">
      <alignment horizontal="center" vertical="center" wrapText="1"/>
    </xf>
    <xf numFmtId="8" fontId="6" fillId="7" borderId="66" xfId="1" applyNumberFormat="1" applyFont="1" applyFill="1" applyBorder="1" applyAlignment="1">
      <alignment horizontal="center" vertical="center" wrapText="1"/>
    </xf>
    <xf numFmtId="9" fontId="13" fillId="7" borderId="64" xfId="0" applyNumberFormat="1" applyFont="1" applyFill="1" applyBorder="1" applyAlignment="1">
      <alignment horizontal="center" vertical="center" wrapText="1"/>
    </xf>
    <xf numFmtId="9" fontId="13" fillId="7" borderId="65" xfId="0" applyNumberFormat="1" applyFont="1" applyFill="1" applyBorder="1" applyAlignment="1">
      <alignment horizontal="center" vertical="center" wrapText="1"/>
    </xf>
    <xf numFmtId="9" fontId="13" fillId="7" borderId="66" xfId="0" applyNumberFormat="1" applyFont="1" applyFill="1" applyBorder="1" applyAlignment="1">
      <alignment horizontal="center" vertical="center" wrapText="1"/>
    </xf>
    <xf numFmtId="44" fontId="1" fillId="7" borderId="14" xfId="1" applyNumberFormat="1" applyFont="1" applyFill="1" applyBorder="1" applyAlignment="1">
      <alignment horizontal="center" vertical="center"/>
    </xf>
    <xf numFmtId="44" fontId="1" fillId="7" borderId="66" xfId="1" applyNumberFormat="1" applyFont="1" applyFill="1" applyBorder="1" applyAlignment="1">
      <alignment horizontal="center" vertical="center"/>
    </xf>
    <xf numFmtId="164" fontId="1" fillId="7" borderId="64" xfId="1" applyFont="1" applyFill="1" applyBorder="1" applyAlignment="1">
      <alignment horizontal="center" vertical="center"/>
    </xf>
    <xf numFmtId="44" fontId="0" fillId="7" borderId="65" xfId="1" applyNumberFormat="1" applyFont="1" applyFill="1" applyBorder="1" applyAlignment="1">
      <alignment horizontal="center" vertical="center"/>
    </xf>
    <xf numFmtId="44" fontId="0" fillId="7" borderId="68" xfId="1" applyNumberFormat="1" applyFont="1" applyFill="1" applyBorder="1" applyAlignment="1">
      <alignment horizontal="center" vertical="center"/>
    </xf>
    <xf numFmtId="44" fontId="0" fillId="7" borderId="64" xfId="1" applyNumberFormat="1" applyFont="1" applyFill="1" applyBorder="1" applyAlignment="1">
      <alignment horizontal="center" vertical="center"/>
    </xf>
    <xf numFmtId="164" fontId="0" fillId="7" borderId="65" xfId="1" applyFont="1" applyFill="1" applyBorder="1" applyAlignment="1">
      <alignment horizontal="center" vertical="center"/>
    </xf>
    <xf numFmtId="164" fontId="1" fillId="7" borderId="66" xfId="1" applyFont="1" applyFill="1" applyBorder="1" applyAlignment="1">
      <alignment horizontal="center" vertical="center"/>
    </xf>
    <xf numFmtId="9" fontId="13" fillId="7" borderId="0" xfId="0" applyNumberFormat="1" applyFont="1" applyFill="1" applyAlignment="1">
      <alignment horizontal="center" vertical="center" wrapText="1"/>
    </xf>
    <xf numFmtId="44" fontId="0" fillId="7" borderId="67" xfId="1" applyNumberFormat="1" applyFont="1" applyFill="1" applyBorder="1" applyAlignment="1">
      <alignment horizontal="center" vertical="center"/>
    </xf>
    <xf numFmtId="44" fontId="0" fillId="7" borderId="66" xfId="1" applyNumberFormat="1" applyFont="1" applyFill="1" applyBorder="1" applyAlignment="1">
      <alignment horizontal="center" vertical="center"/>
    </xf>
    <xf numFmtId="164" fontId="2" fillId="7" borderId="64" xfId="1" applyFont="1" applyFill="1" applyBorder="1" applyAlignment="1">
      <alignment horizontal="center" vertical="center"/>
    </xf>
    <xf numFmtId="164" fontId="2" fillId="7" borderId="65" xfId="1" applyFont="1" applyFill="1" applyBorder="1" applyAlignment="1">
      <alignment horizontal="center" vertical="center"/>
    </xf>
    <xf numFmtId="164" fontId="1" fillId="7" borderId="15" xfId="1" applyFont="1" applyFill="1" applyBorder="1" applyAlignment="1">
      <alignment horizontal="center" vertical="center"/>
    </xf>
    <xf numFmtId="164" fontId="1" fillId="7" borderId="14" xfId="1" applyFont="1" applyFill="1" applyBorder="1" applyAlignment="1">
      <alignment horizontal="center" vertical="center"/>
    </xf>
    <xf numFmtId="164" fontId="1" fillId="7" borderId="16" xfId="1" applyFont="1" applyFill="1" applyBorder="1" applyAlignment="1">
      <alignment horizontal="center" vertical="center"/>
    </xf>
    <xf numFmtId="164" fontId="1" fillId="7" borderId="67" xfId="1" applyFont="1" applyFill="1" applyBorder="1" applyAlignment="1">
      <alignment horizontal="center" vertical="center"/>
    </xf>
    <xf numFmtId="164" fontId="1" fillId="7" borderId="65" xfId="1" applyFont="1" applyFill="1" applyBorder="1" applyAlignment="1">
      <alignment horizontal="center" vertical="center"/>
    </xf>
    <xf numFmtId="164" fontId="1" fillId="7" borderId="68" xfId="1" applyFont="1" applyFill="1" applyBorder="1" applyAlignment="1">
      <alignment horizontal="center" vertical="center"/>
    </xf>
    <xf numFmtId="44" fontId="1" fillId="7" borderId="67" xfId="1" applyNumberFormat="1" applyFont="1" applyFill="1" applyBorder="1" applyAlignment="1">
      <alignment horizontal="center" vertical="center"/>
    </xf>
    <xf numFmtId="44" fontId="1" fillId="7" borderId="65" xfId="1" applyNumberFormat="1" applyFont="1" applyFill="1" applyBorder="1" applyAlignment="1">
      <alignment horizontal="center" vertical="center"/>
    </xf>
    <xf numFmtId="164" fontId="1" fillId="7" borderId="0" xfId="1" applyFont="1" applyFill="1" applyBorder="1" applyAlignment="1">
      <alignment horizontal="center" vertical="center"/>
    </xf>
    <xf numFmtId="164" fontId="0" fillId="7" borderId="64" xfId="1" applyFont="1" applyFill="1" applyBorder="1" applyAlignment="1">
      <alignment horizontal="center" vertical="center"/>
    </xf>
    <xf numFmtId="164" fontId="1" fillId="4" borderId="76" xfId="1" applyFont="1" applyFill="1" applyBorder="1" applyAlignment="1">
      <alignment horizontal="center" vertical="center"/>
    </xf>
    <xf numFmtId="164" fontId="0" fillId="4" borderId="78" xfId="1" applyFont="1" applyFill="1" applyBorder="1" applyAlignment="1">
      <alignment horizontal="center" vertical="center"/>
    </xf>
    <xf numFmtId="164" fontId="1" fillId="4" borderId="77" xfId="1" applyFont="1" applyFill="1" applyBorder="1" applyAlignment="1">
      <alignment horizontal="center" vertical="center"/>
    </xf>
    <xf numFmtId="164" fontId="21" fillId="4" borderId="78" xfId="1" applyFont="1" applyFill="1" applyBorder="1" applyAlignment="1">
      <alignment horizontal="center" vertical="center" wrapText="1"/>
    </xf>
    <xf numFmtId="164" fontId="0" fillId="4" borderId="77" xfId="1" applyFont="1" applyFill="1" applyBorder="1" applyAlignment="1">
      <alignment horizontal="center" vertical="center"/>
    </xf>
    <xf numFmtId="44" fontId="0" fillId="4" borderId="77" xfId="1" applyNumberFormat="1" applyFont="1" applyFill="1" applyBorder="1" applyAlignment="1">
      <alignment horizontal="center" vertical="center"/>
    </xf>
    <xf numFmtId="164" fontId="2" fillId="4" borderId="76" xfId="1" applyFont="1" applyFill="1" applyBorder="1" applyAlignment="1">
      <alignment horizontal="center" vertical="center"/>
    </xf>
    <xf numFmtId="164" fontId="2" fillId="4" borderId="78" xfId="1" applyFont="1" applyFill="1" applyBorder="1" applyAlignment="1">
      <alignment horizontal="center" vertical="center"/>
    </xf>
    <xf numFmtId="164" fontId="1" fillId="4" borderId="84" xfId="1" applyFont="1" applyFill="1" applyBorder="1" applyAlignment="1">
      <alignment horizontal="center" vertical="center"/>
    </xf>
    <xf numFmtId="164" fontId="1" fillId="4" borderId="79" xfId="1" applyFont="1" applyFill="1" applyBorder="1" applyAlignment="1">
      <alignment horizontal="center" vertical="center"/>
    </xf>
    <xf numFmtId="164" fontId="1" fillId="4" borderId="80" xfId="1" applyFont="1" applyFill="1" applyBorder="1" applyAlignment="1">
      <alignment horizontal="center" vertical="center"/>
    </xf>
    <xf numFmtId="164" fontId="1" fillId="4" borderId="83" xfId="1" applyFont="1" applyFill="1" applyBorder="1" applyAlignment="1">
      <alignment horizontal="center" vertical="center"/>
    </xf>
    <xf numFmtId="164" fontId="1" fillId="4" borderId="78" xfId="1" applyFont="1" applyFill="1" applyBorder="1" applyAlignment="1">
      <alignment horizontal="center" vertical="center"/>
    </xf>
    <xf numFmtId="44" fontId="1" fillId="4" borderId="83" xfId="1" applyNumberFormat="1" applyFont="1" applyFill="1" applyBorder="1" applyAlignment="1">
      <alignment horizontal="center" vertical="center"/>
    </xf>
    <xf numFmtId="44" fontId="1" fillId="4" borderId="78" xfId="1" applyNumberFormat="1" applyFont="1" applyFill="1" applyBorder="1" applyAlignment="1">
      <alignment horizontal="center" vertical="center"/>
    </xf>
    <xf numFmtId="164" fontId="1" fillId="4" borderId="81" xfId="1" applyFont="1" applyFill="1" applyBorder="1" applyAlignment="1">
      <alignment horizontal="center" vertical="center"/>
    </xf>
    <xf numFmtId="164" fontId="1" fillId="4" borderId="82" xfId="1" applyFont="1" applyFill="1" applyBorder="1" applyAlignment="1">
      <alignment horizontal="center" vertical="center"/>
    </xf>
    <xf numFmtId="0" fontId="0" fillId="0" borderId="27" xfId="0" applyBorder="1" applyAlignment="1">
      <alignment horizontal="center" vertical="center" wrapText="1"/>
    </xf>
    <xf numFmtId="9" fontId="0" fillId="0" borderId="27" xfId="2" applyFont="1" applyBorder="1" applyAlignment="1">
      <alignment horizontal="center" vertical="center"/>
    </xf>
    <xf numFmtId="0" fontId="0" fillId="3" borderId="37" xfId="0" applyFill="1" applyBorder="1" applyAlignment="1">
      <alignment horizontal="center"/>
    </xf>
    <xf numFmtId="1" fontId="0" fillId="0" borderId="31" xfId="0" applyNumberFormat="1" applyBorder="1" applyAlignment="1">
      <alignment horizontal="center"/>
    </xf>
    <xf numFmtId="0" fontId="6" fillId="0" borderId="8" xfId="0" applyFont="1" applyBorder="1" applyAlignment="1">
      <alignment horizontal="center" vertical="center" wrapText="1"/>
    </xf>
    <xf numFmtId="0" fontId="2" fillId="2" borderId="57" xfId="0" applyFont="1" applyFill="1" applyBorder="1" applyAlignment="1">
      <alignment horizontal="center" vertical="center"/>
    </xf>
    <xf numFmtId="9" fontId="0" fillId="3" borderId="21" xfId="0" applyNumberFormat="1" applyFill="1" applyBorder="1" applyAlignment="1">
      <alignment horizontal="center"/>
    </xf>
    <xf numFmtId="9" fontId="0" fillId="3" borderId="22" xfId="0" applyNumberFormat="1" applyFill="1" applyBorder="1" applyAlignment="1">
      <alignment horizontal="center"/>
    </xf>
    <xf numFmtId="0" fontId="0" fillId="0" borderId="21" xfId="0" applyBorder="1" applyAlignment="1">
      <alignment horizontal="center" wrapText="1"/>
    </xf>
    <xf numFmtId="0" fontId="0" fillId="0" borderId="22" xfId="0" applyBorder="1" applyAlignment="1">
      <alignment horizontal="center" wrapText="1"/>
    </xf>
    <xf numFmtId="0" fontId="0" fillId="3" borderId="55" xfId="0" applyFill="1" applyBorder="1" applyAlignment="1">
      <alignment horizontal="center" vertical="center" wrapText="1"/>
    </xf>
    <xf numFmtId="0" fontId="0" fillId="0" borderId="56" xfId="0" applyBorder="1" applyAlignment="1">
      <alignment horizontal="center" vertical="center" wrapText="1"/>
    </xf>
    <xf numFmtId="0" fontId="0" fillId="0" borderId="55" xfId="0" applyBorder="1" applyAlignment="1">
      <alignment horizontal="center" wrapText="1"/>
    </xf>
    <xf numFmtId="0" fontId="0" fillId="0" borderId="55" xfId="0" applyBorder="1" applyAlignment="1">
      <alignment horizontal="center" vertical="center" wrapText="1"/>
    </xf>
    <xf numFmtId="0" fontId="12" fillId="0" borderId="55" xfId="0" applyFont="1" applyBorder="1" applyAlignment="1">
      <alignment horizontal="center" wrapText="1"/>
    </xf>
    <xf numFmtId="0" fontId="12" fillId="0" borderId="21" xfId="0" applyFont="1" applyBorder="1" applyAlignment="1">
      <alignment horizontal="center" wrapText="1"/>
    </xf>
    <xf numFmtId="0" fontId="0" fillId="3" borderId="22" xfId="0" applyFill="1" applyBorder="1" applyAlignment="1">
      <alignment horizontal="center" wrapText="1"/>
    </xf>
    <xf numFmtId="0" fontId="20" fillId="0" borderId="21" xfId="0" applyFont="1" applyBorder="1" applyAlignment="1">
      <alignment horizontal="center" vertical="center" wrapText="1"/>
    </xf>
    <xf numFmtId="0" fontId="2" fillId="2" borderId="56" xfId="0" applyFont="1" applyFill="1" applyBorder="1" applyAlignment="1">
      <alignment horizontal="center" vertical="center" wrapText="1"/>
    </xf>
    <xf numFmtId="0" fontId="0" fillId="0" borderId="37" xfId="0" applyBorder="1" applyAlignment="1">
      <alignment horizontal="center" wrapText="1"/>
    </xf>
    <xf numFmtId="0" fontId="0" fillId="3" borderId="37" xfId="0" applyFill="1" applyBorder="1" applyAlignment="1">
      <alignment horizontal="center" wrapText="1"/>
    </xf>
    <xf numFmtId="9" fontId="0" fillId="3" borderId="21" xfId="2" applyFont="1" applyFill="1" applyBorder="1" applyAlignment="1">
      <alignment horizontal="center" vertical="center"/>
    </xf>
    <xf numFmtId="9" fontId="0" fillId="0" borderId="27" xfId="0" applyNumberFormat="1" applyBorder="1" applyAlignment="1">
      <alignment horizontal="center" vertical="center"/>
    </xf>
    <xf numFmtId="9" fontId="0" fillId="0" borderId="20" xfId="2" applyFont="1" applyFill="1" applyBorder="1" applyAlignment="1">
      <alignment horizontal="center" vertical="center"/>
    </xf>
    <xf numFmtId="9" fontId="0" fillId="0" borderId="21" xfId="2" applyFont="1" applyFill="1" applyBorder="1" applyAlignment="1">
      <alignment horizontal="center" vertical="center"/>
    </xf>
    <xf numFmtId="9" fontId="0" fillId="0" borderId="21" xfId="2" applyFont="1" applyFill="1" applyBorder="1" applyAlignment="1">
      <alignment horizontal="center"/>
    </xf>
    <xf numFmtId="9" fontId="0" fillId="0" borderId="22" xfId="2" applyFont="1" applyFill="1" applyBorder="1" applyAlignment="1">
      <alignment horizontal="center" vertical="center"/>
    </xf>
    <xf numFmtId="9" fontId="0" fillId="0" borderId="56" xfId="2" applyFont="1" applyBorder="1" applyAlignment="1">
      <alignment horizontal="center" vertical="center"/>
    </xf>
    <xf numFmtId="164" fontId="1" fillId="6" borderId="63" xfId="1" applyFont="1" applyFill="1" applyBorder="1" applyAlignment="1">
      <alignment horizontal="center" vertical="center" wrapText="1"/>
    </xf>
    <xf numFmtId="164" fontId="1" fillId="6" borderId="61" xfId="1" applyFont="1" applyFill="1" applyBorder="1" applyAlignment="1">
      <alignment horizontal="center" vertical="center" wrapText="1"/>
    </xf>
    <xf numFmtId="164" fontId="1" fillId="6" borderId="62" xfId="1" applyFont="1" applyFill="1" applyBorder="1" applyAlignment="1">
      <alignment horizontal="center" vertical="center" wrapText="1"/>
    </xf>
    <xf numFmtId="164" fontId="1" fillId="6" borderId="63" xfId="1" applyFont="1" applyFill="1" applyBorder="1" applyAlignment="1">
      <alignment horizontal="center" vertical="center"/>
    </xf>
    <xf numFmtId="164" fontId="1" fillId="6" borderId="62" xfId="1" applyFont="1" applyFill="1" applyBorder="1" applyAlignment="1">
      <alignment horizontal="center" vertical="center"/>
    </xf>
    <xf numFmtId="164" fontId="1" fillId="6" borderId="61" xfId="1" applyFont="1" applyFill="1" applyBorder="1" applyAlignment="1">
      <alignment horizontal="center" vertical="center"/>
    </xf>
    <xf numFmtId="164" fontId="1" fillId="6" borderId="70" xfId="1" applyFont="1" applyFill="1" applyBorder="1" applyAlignment="1">
      <alignment horizontal="center" vertical="center"/>
    </xf>
    <xf numFmtId="164" fontId="1" fillId="6" borderId="70" xfId="1" applyFont="1" applyFill="1" applyBorder="1" applyAlignment="1">
      <alignment horizontal="center" vertical="center" wrapText="1"/>
    </xf>
    <xf numFmtId="164" fontId="1" fillId="6" borderId="69" xfId="1" applyFont="1" applyFill="1" applyBorder="1" applyAlignment="1">
      <alignment horizontal="center" vertical="center"/>
    </xf>
    <xf numFmtId="164" fontId="1" fillId="6" borderId="43" xfId="1" applyFont="1" applyFill="1" applyBorder="1" applyAlignment="1">
      <alignment horizontal="center" vertical="center"/>
    </xf>
    <xf numFmtId="164" fontId="1" fillId="6" borderId="71" xfId="1" applyFont="1" applyFill="1" applyBorder="1" applyAlignment="1">
      <alignment horizontal="center" vertical="center"/>
    </xf>
    <xf numFmtId="164" fontId="1" fillId="6" borderId="58" xfId="1" applyFont="1" applyFill="1" applyBorder="1" applyAlignment="1">
      <alignment horizontal="center" vertical="center"/>
    </xf>
    <xf numFmtId="164" fontId="1" fillId="6" borderId="60" xfId="1" applyFont="1" applyFill="1" applyBorder="1" applyAlignment="1">
      <alignment horizontal="center" vertical="center"/>
    </xf>
    <xf numFmtId="164" fontId="1" fillId="6" borderId="18" xfId="1" applyFont="1" applyFill="1" applyBorder="1" applyAlignment="1">
      <alignment horizontal="center" vertical="center"/>
    </xf>
    <xf numFmtId="164" fontId="1" fillId="6" borderId="19" xfId="1" applyFont="1" applyFill="1" applyBorder="1" applyAlignment="1">
      <alignment horizontal="center" vertical="center"/>
    </xf>
    <xf numFmtId="164" fontId="1" fillId="6" borderId="30" xfId="1" applyFont="1" applyFill="1" applyBorder="1" applyAlignment="1">
      <alignment horizontal="center" vertical="center"/>
    </xf>
    <xf numFmtId="0" fontId="6" fillId="0" borderId="22" xfId="0" applyFont="1" applyBorder="1" applyAlignment="1">
      <alignment horizontal="center" vertical="center" wrapText="1"/>
    </xf>
    <xf numFmtId="0" fontId="21" fillId="2" borderId="56" xfId="0" applyFont="1" applyFill="1" applyBorder="1" applyAlignment="1">
      <alignment horizontal="center" vertical="center" wrapText="1"/>
    </xf>
    <xf numFmtId="0" fontId="0" fillId="0" borderId="27" xfId="0" applyBorder="1" applyAlignment="1">
      <alignment horizontal="center" wrapText="1"/>
    </xf>
    <xf numFmtId="0" fontId="21" fillId="2" borderId="56" xfId="0" applyFont="1" applyFill="1" applyBorder="1" applyAlignment="1">
      <alignment horizontal="center" wrapText="1"/>
    </xf>
    <xf numFmtId="164" fontId="20" fillId="4" borderId="9" xfId="1" applyFont="1" applyFill="1" applyBorder="1" applyAlignment="1">
      <alignment horizontal="center" vertical="center"/>
    </xf>
    <xf numFmtId="0" fontId="2" fillId="0" borderId="23" xfId="0" applyFont="1" applyBorder="1" applyAlignment="1">
      <alignment horizontal="center" vertical="center" wrapText="1"/>
    </xf>
    <xf numFmtId="164" fontId="1" fillId="6" borderId="23" xfId="1" applyFont="1" applyFill="1" applyBorder="1" applyAlignment="1">
      <alignment horizontal="center" vertical="center"/>
    </xf>
    <xf numFmtId="44" fontId="1" fillId="5" borderId="13" xfId="1" applyNumberFormat="1" applyFont="1" applyFill="1" applyBorder="1" applyAlignment="1">
      <alignment horizontal="center" vertical="center"/>
    </xf>
    <xf numFmtId="0" fontId="6" fillId="0" borderId="13" xfId="0" applyFont="1" applyBorder="1" applyAlignment="1">
      <alignment horizontal="center" vertical="center" wrapText="1"/>
    </xf>
    <xf numFmtId="0" fontId="24" fillId="0" borderId="37" xfId="0" applyFont="1" applyBorder="1" applyAlignment="1">
      <alignment horizontal="center" vertical="center"/>
    </xf>
    <xf numFmtId="0" fontId="24" fillId="0" borderId="21" xfId="0" applyFont="1" applyBorder="1" applyAlignment="1">
      <alignment horizontal="center" vertical="center"/>
    </xf>
    <xf numFmtId="0" fontId="24" fillId="0" borderId="22" xfId="0" applyFont="1" applyBorder="1" applyAlignment="1">
      <alignment horizontal="center" vertical="center"/>
    </xf>
    <xf numFmtId="0" fontId="6" fillId="0" borderId="33" xfId="0" applyFont="1" applyBorder="1" applyAlignment="1">
      <alignment horizontal="center" vertical="center" wrapText="1"/>
    </xf>
    <xf numFmtId="44" fontId="1" fillId="5" borderId="43" xfId="1" applyNumberFormat="1" applyFont="1" applyFill="1" applyBorder="1" applyAlignment="1">
      <alignment horizontal="center" vertical="center"/>
    </xf>
    <xf numFmtId="44" fontId="1" fillId="5" borderId="70" xfId="1" applyNumberFormat="1" applyFont="1" applyFill="1" applyBorder="1" applyAlignment="1">
      <alignment horizontal="center" vertical="center"/>
    </xf>
    <xf numFmtId="44" fontId="1" fillId="5" borderId="62" xfId="1" applyNumberFormat="1" applyFont="1" applyFill="1" applyBorder="1" applyAlignment="1">
      <alignment horizontal="center" vertical="center"/>
    </xf>
    <xf numFmtId="44" fontId="1" fillId="6" borderId="32" xfId="1" applyNumberFormat="1" applyFont="1" applyFill="1" applyBorder="1" applyAlignment="1">
      <alignment horizontal="center" vertical="center"/>
    </xf>
    <xf numFmtId="44" fontId="1" fillId="6" borderId="27" xfId="1" applyNumberFormat="1" applyFont="1" applyFill="1" applyBorder="1" applyAlignment="1">
      <alignment horizontal="center" vertical="center"/>
    </xf>
    <xf numFmtId="167" fontId="6" fillId="0" borderId="26" xfId="0" applyNumberFormat="1" applyFont="1" applyBorder="1" applyAlignment="1">
      <alignment horizontal="center" vertical="center" wrapText="1"/>
    </xf>
    <xf numFmtId="167" fontId="6" fillId="0" borderId="4" xfId="0" applyNumberFormat="1" applyFont="1" applyBorder="1" applyAlignment="1">
      <alignment horizontal="center" vertical="center" wrapText="1"/>
    </xf>
    <xf numFmtId="167" fontId="6" fillId="0" borderId="12" xfId="0" applyNumberFormat="1" applyFont="1" applyBorder="1" applyAlignment="1">
      <alignment horizontal="center" vertical="center" wrapText="1"/>
    </xf>
    <xf numFmtId="9" fontId="0" fillId="3" borderId="55" xfId="0" applyNumberFormat="1" applyFill="1" applyBorder="1" applyAlignment="1">
      <alignment horizontal="center"/>
    </xf>
    <xf numFmtId="9" fontId="1" fillId="3" borderId="21" xfId="2" applyFont="1" applyFill="1" applyBorder="1" applyAlignment="1">
      <alignment horizontal="center"/>
    </xf>
    <xf numFmtId="9" fontId="1" fillId="0" borderId="21" xfId="2" applyFont="1" applyBorder="1" applyAlignment="1">
      <alignment horizontal="center" vertical="center" wrapText="1"/>
    </xf>
    <xf numFmtId="9" fontId="1" fillId="0" borderId="27" xfId="2" applyFont="1" applyBorder="1" applyAlignment="1">
      <alignment horizontal="center" vertical="center"/>
    </xf>
    <xf numFmtId="9" fontId="1" fillId="0" borderId="55" xfId="2" applyFont="1" applyBorder="1" applyAlignment="1">
      <alignment horizontal="center" vertical="center"/>
    </xf>
    <xf numFmtId="9" fontId="0" fillId="0" borderId="21" xfId="0" applyNumberFormat="1" applyBorder="1" applyAlignment="1">
      <alignment horizontal="center"/>
    </xf>
    <xf numFmtId="9" fontId="1" fillId="0" borderId="21" xfId="2" applyFont="1" applyBorder="1" applyAlignment="1">
      <alignment horizontal="center"/>
    </xf>
    <xf numFmtId="9" fontId="1" fillId="3" borderId="21" xfId="2" applyFont="1" applyFill="1" applyBorder="1" applyAlignment="1">
      <alignment horizontal="center" vertical="center"/>
    </xf>
    <xf numFmtId="9" fontId="1" fillId="0" borderId="21" xfId="2" applyFont="1" applyFill="1" applyBorder="1" applyAlignment="1">
      <alignment horizontal="center" vertical="center"/>
    </xf>
    <xf numFmtId="9" fontId="1" fillId="0" borderId="21" xfId="2" applyFont="1" applyFill="1" applyBorder="1" applyAlignment="1">
      <alignment horizontal="center"/>
    </xf>
    <xf numFmtId="9" fontId="1" fillId="0" borderId="27" xfId="2" applyFont="1" applyFill="1" applyBorder="1" applyAlignment="1">
      <alignment horizontal="center" vertical="center"/>
    </xf>
    <xf numFmtId="9" fontId="1" fillId="0" borderId="55" xfId="2" applyFont="1" applyFill="1" applyBorder="1" applyAlignment="1">
      <alignment horizontal="center" vertical="center"/>
    </xf>
    <xf numFmtId="9" fontId="1" fillId="3" borderId="55" xfId="2" applyFont="1" applyFill="1" applyBorder="1" applyAlignment="1">
      <alignment horizontal="center"/>
    </xf>
    <xf numFmtId="9" fontId="1" fillId="3" borderId="27" xfId="2" applyFont="1" applyFill="1" applyBorder="1" applyAlignment="1">
      <alignment horizontal="center"/>
    </xf>
    <xf numFmtId="0" fontId="0" fillId="2" borderId="56" xfId="0" applyFill="1" applyBorder="1" applyAlignment="1">
      <alignment horizontal="center" vertical="center"/>
    </xf>
    <xf numFmtId="9" fontId="1" fillId="3" borderId="37" xfId="2" applyFont="1" applyFill="1" applyBorder="1" applyAlignment="1">
      <alignment horizontal="center"/>
    </xf>
    <xf numFmtId="0" fontId="2" fillId="2" borderId="54" xfId="0" applyFont="1" applyFill="1" applyBorder="1" applyAlignment="1">
      <alignment horizontal="center" vertical="center"/>
    </xf>
    <xf numFmtId="0" fontId="2" fillId="2" borderId="54" xfId="0" applyFont="1" applyFill="1" applyBorder="1" applyAlignment="1">
      <alignment horizontal="center" vertical="center" wrapText="1"/>
    </xf>
    <xf numFmtId="0" fontId="21" fillId="2" borderId="54" xfId="0" applyFont="1" applyFill="1" applyBorder="1" applyAlignment="1">
      <alignment horizontal="center" vertical="center" wrapText="1"/>
    </xf>
    <xf numFmtId="164" fontId="1" fillId="6" borderId="59" xfId="1" applyFont="1" applyFill="1" applyBorder="1" applyAlignment="1">
      <alignment horizontal="center" vertical="center"/>
    </xf>
    <xf numFmtId="164" fontId="22" fillId="5" borderId="42" xfId="1" applyFont="1" applyFill="1" applyBorder="1" applyAlignment="1">
      <alignment horizontal="center" vertical="center" wrapText="1"/>
    </xf>
    <xf numFmtId="10" fontId="5" fillId="2" borderId="60" xfId="2" applyNumberFormat="1" applyFont="1" applyFill="1" applyBorder="1" applyAlignment="1">
      <alignment horizontal="center" vertical="center" wrapText="1"/>
    </xf>
    <xf numFmtId="0" fontId="0" fillId="2" borderId="41" xfId="0" applyFill="1" applyBorder="1" applyAlignment="1">
      <alignment horizontal="center"/>
    </xf>
    <xf numFmtId="0" fontId="6" fillId="2" borderId="41" xfId="0" applyFont="1" applyFill="1" applyBorder="1" applyAlignment="1">
      <alignment horizontal="center" vertical="center" wrapText="1"/>
    </xf>
    <xf numFmtId="0" fontId="6" fillId="2" borderId="42" xfId="0" applyFont="1" applyFill="1" applyBorder="1" applyAlignment="1">
      <alignment horizontal="center" vertical="center" wrapText="1"/>
    </xf>
    <xf numFmtId="44" fontId="1" fillId="7" borderId="64" xfId="1" applyNumberFormat="1" applyFont="1" applyFill="1" applyBorder="1" applyAlignment="1">
      <alignment horizontal="center" vertical="center"/>
    </xf>
    <xf numFmtId="0" fontId="0" fillId="6" borderId="61" xfId="0" applyFill="1" applyBorder="1" applyAlignment="1">
      <alignment horizontal="center"/>
    </xf>
    <xf numFmtId="0" fontId="0" fillId="5" borderId="21" xfId="0" applyFill="1" applyBorder="1" applyAlignment="1">
      <alignment horizontal="center"/>
    </xf>
    <xf numFmtId="164" fontId="21" fillId="7" borderId="65" xfId="1" applyFont="1" applyFill="1" applyBorder="1" applyAlignment="1">
      <alignment horizontal="center" vertical="center" wrapText="1"/>
    </xf>
    <xf numFmtId="0" fontId="0" fillId="5" borderId="65" xfId="0" applyFill="1" applyBorder="1" applyAlignment="1">
      <alignment horizontal="center"/>
    </xf>
    <xf numFmtId="0" fontId="0" fillId="6" borderId="62" xfId="0" applyFill="1" applyBorder="1" applyAlignment="1">
      <alignment horizontal="center"/>
    </xf>
    <xf numFmtId="0" fontId="0" fillId="5" borderId="66" xfId="0" applyFill="1" applyBorder="1" applyAlignment="1">
      <alignment horizontal="center"/>
    </xf>
    <xf numFmtId="164" fontId="0" fillId="7" borderId="66" xfId="1" applyFont="1" applyFill="1" applyBorder="1" applyAlignment="1">
      <alignment horizontal="center" vertical="center"/>
    </xf>
    <xf numFmtId="0" fontId="8" fillId="3" borderId="56" xfId="0" applyFont="1" applyFill="1" applyBorder="1" applyAlignment="1">
      <alignment horizontal="center" vertical="center"/>
    </xf>
    <xf numFmtId="44" fontId="1" fillId="7" borderId="16" xfId="1" applyNumberFormat="1" applyFont="1" applyFill="1" applyBorder="1" applyAlignment="1">
      <alignment horizontal="center" vertical="center"/>
    </xf>
    <xf numFmtId="4" fontId="0" fillId="0" borderId="51" xfId="0" applyNumberFormat="1" applyBorder="1" applyAlignment="1">
      <alignment horizontal="center" vertical="center" wrapText="1"/>
    </xf>
    <xf numFmtId="1" fontId="6" fillId="0" borderId="51" xfId="0" applyNumberFormat="1" applyFont="1" applyBorder="1" applyAlignment="1">
      <alignment horizontal="center" vertical="center" wrapText="1"/>
    </xf>
    <xf numFmtId="0" fontId="0" fillId="6" borderId="63" xfId="0" applyFill="1" applyBorder="1" applyAlignment="1">
      <alignment horizontal="center"/>
    </xf>
    <xf numFmtId="0" fontId="0" fillId="5" borderId="20" xfId="0" applyFill="1" applyBorder="1" applyAlignment="1">
      <alignment horizontal="center"/>
    </xf>
    <xf numFmtId="164" fontId="21" fillId="4" borderId="1" xfId="1" applyFont="1" applyFill="1" applyBorder="1" applyAlignment="1">
      <alignment horizontal="center" vertical="center" wrapText="1"/>
    </xf>
    <xf numFmtId="164" fontId="21" fillId="4" borderId="2" xfId="1" applyFont="1" applyFill="1" applyBorder="1" applyAlignment="1">
      <alignment horizontal="center" vertical="center" wrapText="1"/>
    </xf>
    <xf numFmtId="164" fontId="21" fillId="4" borderId="76" xfId="1" applyFont="1" applyFill="1" applyBorder="1" applyAlignment="1">
      <alignment horizontal="center" vertical="center" wrapText="1"/>
    </xf>
    <xf numFmtId="0" fontId="0" fillId="5" borderId="64" xfId="0" applyFill="1" applyBorder="1" applyAlignment="1">
      <alignment horizontal="center"/>
    </xf>
    <xf numFmtId="164" fontId="20" fillId="4" borderId="49" xfId="1" applyFont="1" applyFill="1" applyBorder="1" applyAlignment="1">
      <alignment horizontal="center" vertical="center"/>
    </xf>
    <xf numFmtId="164" fontId="2" fillId="4" borderId="50" xfId="1" applyFont="1" applyFill="1" applyBorder="1" applyAlignment="1">
      <alignment horizontal="center" vertical="center"/>
    </xf>
    <xf numFmtId="164" fontId="2" fillId="4" borderId="83" xfId="1" applyFont="1" applyFill="1" applyBorder="1" applyAlignment="1">
      <alignment horizontal="center" vertical="center"/>
    </xf>
    <xf numFmtId="164" fontId="2" fillId="7" borderId="67" xfId="1" applyFont="1" applyFill="1" applyBorder="1" applyAlignment="1">
      <alignment horizontal="center" vertical="center"/>
    </xf>
    <xf numFmtId="0" fontId="0" fillId="0" borderId="7" xfId="0" applyBorder="1" applyAlignment="1">
      <alignment horizontal="center" vertical="center" wrapText="1"/>
    </xf>
    <xf numFmtId="0" fontId="0" fillId="3" borderId="37" xfId="0" applyFill="1" applyBorder="1" applyAlignment="1">
      <alignment horizontal="center" vertical="center" wrapText="1"/>
    </xf>
    <xf numFmtId="9" fontId="2" fillId="0" borderId="37" xfId="2" applyFont="1" applyBorder="1" applyAlignment="1">
      <alignment horizontal="center" vertical="center"/>
    </xf>
    <xf numFmtId="9" fontId="19" fillId="7" borderId="0" xfId="0" applyNumberFormat="1" applyFont="1" applyFill="1" applyAlignment="1">
      <alignment horizontal="center" vertical="center"/>
    </xf>
    <xf numFmtId="0" fontId="2" fillId="0" borderId="60" xfId="0" applyFont="1" applyBorder="1" applyAlignment="1">
      <alignment horizontal="center" vertical="center" wrapText="1"/>
    </xf>
    <xf numFmtId="165" fontId="6" fillId="3" borderId="4" xfId="0" applyNumberFormat="1" applyFont="1" applyFill="1" applyBorder="1" applyAlignment="1">
      <alignment horizontal="center" vertical="center" wrapText="1"/>
    </xf>
    <xf numFmtId="0" fontId="0" fillId="3" borderId="5" xfId="0" applyFill="1" applyBorder="1" applyAlignment="1">
      <alignment horizontal="center" vertical="center"/>
    </xf>
    <xf numFmtId="1" fontId="6" fillId="3" borderId="12" xfId="0" applyNumberFormat="1" applyFont="1" applyFill="1" applyBorder="1" applyAlignment="1">
      <alignment horizontal="center" vertical="center" wrapText="1"/>
    </xf>
    <xf numFmtId="1" fontId="6" fillId="3" borderId="13" xfId="0" applyNumberFormat="1" applyFont="1" applyFill="1" applyBorder="1" applyAlignment="1">
      <alignment horizontal="center" vertical="center" wrapText="1"/>
    </xf>
    <xf numFmtId="44" fontId="6" fillId="4" borderId="72" xfId="1" applyNumberFormat="1" applyFont="1" applyFill="1" applyBorder="1" applyAlignment="1">
      <alignment horizontal="center" vertical="center"/>
    </xf>
    <xf numFmtId="44" fontId="1" fillId="4" borderId="4" xfId="1" applyNumberFormat="1" applyFont="1" applyFill="1" applyBorder="1" applyAlignment="1">
      <alignment horizontal="center" vertical="center"/>
    </xf>
    <xf numFmtId="44" fontId="1" fillId="7" borderId="68" xfId="1" applyNumberFormat="1" applyFont="1" applyFill="1" applyBorder="1" applyAlignment="1">
      <alignment horizontal="center" vertical="center"/>
    </xf>
    <xf numFmtId="0" fontId="0" fillId="3" borderId="50" xfId="0" applyFill="1" applyBorder="1" applyAlignment="1">
      <alignment horizontal="center" vertical="center"/>
    </xf>
    <xf numFmtId="165" fontId="5" fillId="3" borderId="12" xfId="0" applyNumberFormat="1" applyFont="1" applyFill="1" applyBorder="1" applyAlignment="1">
      <alignment horizontal="center" vertical="center" wrapText="1"/>
    </xf>
    <xf numFmtId="164" fontId="1" fillId="6" borderId="22" xfId="1" applyFont="1" applyFill="1" applyBorder="1" applyAlignment="1">
      <alignment horizontal="center" vertical="center"/>
    </xf>
    <xf numFmtId="44" fontId="1" fillId="7" borderId="23" xfId="1" applyNumberFormat="1" applyFont="1" applyFill="1" applyBorder="1" applyAlignment="1">
      <alignment horizontal="center" vertical="center"/>
    </xf>
    <xf numFmtId="44" fontId="1" fillId="4" borderId="13" xfId="1" applyNumberFormat="1" applyFont="1" applyFill="1" applyBorder="1" applyAlignment="1">
      <alignment horizontal="center" vertical="center"/>
    </xf>
    <xf numFmtId="0" fontId="20" fillId="0" borderId="56" xfId="0" applyFont="1" applyBorder="1" applyAlignment="1">
      <alignment horizontal="center" vertical="center" wrapText="1"/>
    </xf>
    <xf numFmtId="9" fontId="0" fillId="0" borderId="56" xfId="2" applyFont="1" applyFill="1" applyBorder="1" applyAlignment="1">
      <alignment horizontal="center" vertical="center"/>
    </xf>
    <xf numFmtId="164" fontId="27" fillId="6" borderId="56" xfId="1" applyFont="1" applyFill="1" applyBorder="1" applyAlignment="1">
      <alignment horizontal="center" vertical="center"/>
    </xf>
    <xf numFmtId="44" fontId="0" fillId="4" borderId="56" xfId="1" applyNumberFormat="1" applyFont="1" applyFill="1" applyBorder="1" applyAlignment="1">
      <alignment horizontal="center" vertical="center"/>
    </xf>
    <xf numFmtId="44" fontId="0" fillId="4" borderId="86" xfId="1" applyNumberFormat="1" applyFont="1" applyFill="1" applyBorder="1" applyAlignment="1">
      <alignment horizontal="center" vertical="center"/>
    </xf>
    <xf numFmtId="164" fontId="1" fillId="6" borderId="56" xfId="1" applyFont="1" applyFill="1" applyBorder="1" applyAlignment="1">
      <alignment horizontal="center" vertical="center"/>
    </xf>
    <xf numFmtId="0" fontId="20" fillId="0" borderId="20" xfId="0" applyFont="1" applyBorder="1" applyAlignment="1">
      <alignment horizontal="center" vertical="center" wrapText="1"/>
    </xf>
    <xf numFmtId="0" fontId="0" fillId="0" borderId="39" xfId="0" applyBorder="1" applyAlignment="1">
      <alignment horizontal="center" vertical="center"/>
    </xf>
    <xf numFmtId="9" fontId="0" fillId="0" borderId="43" xfId="2" applyFont="1" applyBorder="1" applyAlignment="1">
      <alignment horizontal="center" vertical="center"/>
    </xf>
    <xf numFmtId="0" fontId="28" fillId="0" borderId="56" xfId="0" applyFont="1" applyBorder="1" applyAlignment="1">
      <alignment horizontal="center"/>
    </xf>
    <xf numFmtId="164" fontId="1" fillId="4" borderId="72" xfId="1" applyFont="1" applyFill="1" applyBorder="1" applyAlignment="1">
      <alignment horizontal="center" vertical="center"/>
    </xf>
    <xf numFmtId="0" fontId="0" fillId="3" borderId="61" xfId="0" applyFill="1" applyBorder="1" applyAlignment="1">
      <alignment horizontal="center" vertical="center"/>
    </xf>
    <xf numFmtId="0" fontId="12" fillId="3" borderId="69" xfId="0" applyFont="1" applyFill="1" applyBorder="1" applyAlignment="1">
      <alignment horizontal="center" wrapText="1"/>
    </xf>
    <xf numFmtId="0" fontId="12" fillId="3" borderId="61" xfId="0" applyFont="1" applyFill="1" applyBorder="1" applyAlignment="1">
      <alignment horizontal="center" wrapText="1"/>
    </xf>
    <xf numFmtId="0" fontId="8" fillId="0" borderId="55" xfId="0" applyFont="1" applyBorder="1" applyAlignment="1">
      <alignment horizontal="center" vertical="center" wrapText="1"/>
    </xf>
    <xf numFmtId="0" fontId="28" fillId="0" borderId="56" xfId="0" applyFont="1" applyBorder="1" applyAlignment="1">
      <alignment horizontal="center" vertical="center"/>
    </xf>
    <xf numFmtId="1" fontId="0" fillId="0" borderId="56" xfId="0" applyNumberFormat="1" applyBorder="1" applyAlignment="1">
      <alignment horizontal="center" vertical="center"/>
    </xf>
    <xf numFmtId="0" fontId="20" fillId="0" borderId="56" xfId="0" applyFont="1" applyBorder="1" applyAlignment="1">
      <alignment horizontal="center" vertical="center"/>
    </xf>
    <xf numFmtId="10" fontId="5" fillId="3" borderId="50" xfId="2" applyNumberFormat="1" applyFont="1" applyFill="1" applyBorder="1" applyAlignment="1">
      <alignment horizontal="center" vertical="center" wrapText="1"/>
    </xf>
    <xf numFmtId="44" fontId="0" fillId="7" borderId="60" xfId="1" applyNumberFormat="1" applyFont="1" applyFill="1" applyBorder="1" applyAlignment="1">
      <alignment horizontal="center" vertical="center"/>
    </xf>
    <xf numFmtId="44" fontId="1" fillId="6" borderId="55" xfId="1" applyNumberFormat="1" applyFont="1" applyFill="1" applyBorder="1" applyAlignment="1">
      <alignment horizontal="center" vertical="center"/>
    </xf>
    <xf numFmtId="164" fontId="1" fillId="6" borderId="21" xfId="1" applyFont="1" applyFill="1" applyBorder="1" applyAlignment="1">
      <alignment horizontal="center" vertical="center"/>
    </xf>
    <xf numFmtId="165" fontId="5" fillId="3" borderId="6" xfId="0" applyNumberFormat="1" applyFont="1" applyFill="1" applyBorder="1" applyAlignment="1">
      <alignment horizontal="center" vertical="center" wrapText="1"/>
    </xf>
    <xf numFmtId="9" fontId="0" fillId="3" borderId="55" xfId="2" applyFont="1" applyFill="1" applyBorder="1" applyAlignment="1">
      <alignment horizontal="center" vertical="center"/>
    </xf>
    <xf numFmtId="165" fontId="6" fillId="3" borderId="6" xfId="0" applyNumberFormat="1" applyFont="1" applyFill="1" applyBorder="1" applyAlignment="1">
      <alignment horizontal="center" vertical="center" wrapText="1"/>
    </xf>
    <xf numFmtId="9" fontId="0" fillId="0" borderId="21" xfId="0" applyNumberFormat="1" applyBorder="1" applyAlignment="1">
      <alignment horizontal="center" vertical="center"/>
    </xf>
    <xf numFmtId="44" fontId="0" fillId="0" borderId="66" xfId="8" applyFont="1" applyBorder="1" applyAlignment="1">
      <alignment horizontal="center" vertical="center"/>
    </xf>
    <xf numFmtId="164" fontId="6" fillId="6" borderId="70" xfId="1" applyFont="1" applyFill="1" applyBorder="1" applyAlignment="1">
      <alignment horizontal="center" vertical="center" wrapText="1"/>
    </xf>
    <xf numFmtId="44" fontId="0" fillId="0" borderId="4" xfId="3" applyFont="1" applyBorder="1" applyAlignment="1">
      <alignment horizontal="center" vertical="center"/>
    </xf>
    <xf numFmtId="164" fontId="6" fillId="6" borderId="21" xfId="1" applyFont="1" applyFill="1" applyBorder="1" applyAlignment="1">
      <alignment horizontal="center" vertical="center" wrapText="1"/>
    </xf>
    <xf numFmtId="164" fontId="1" fillId="4" borderId="21" xfId="1" applyFont="1" applyFill="1" applyBorder="1" applyAlignment="1">
      <alignment horizontal="center" vertical="center"/>
    </xf>
    <xf numFmtId="164" fontId="1" fillId="7" borderId="21" xfId="1" applyFont="1" applyFill="1" applyBorder="1" applyAlignment="1">
      <alignment horizontal="center" vertical="center"/>
    </xf>
    <xf numFmtId="10" fontId="5" fillId="2" borderId="6" xfId="2" applyNumberFormat="1" applyFont="1" applyFill="1" applyBorder="1" applyAlignment="1">
      <alignment horizontal="center" vertical="center" wrapText="1"/>
    </xf>
    <xf numFmtId="0" fontId="36" fillId="0" borderId="22" xfId="0" quotePrefix="1" applyFont="1" applyBorder="1" applyAlignment="1">
      <alignment horizontal="center" vertical="center" wrapText="1"/>
    </xf>
    <xf numFmtId="0" fontId="8" fillId="0" borderId="37" xfId="0" applyFont="1" applyBorder="1" applyAlignment="1">
      <alignment horizontal="center" vertical="center" wrapText="1"/>
    </xf>
    <xf numFmtId="167" fontId="0" fillId="0" borderId="2" xfId="0" applyNumberFormat="1" applyBorder="1" applyAlignment="1">
      <alignment horizontal="center" vertical="center"/>
    </xf>
    <xf numFmtId="0" fontId="8" fillId="0" borderId="20" xfId="0" applyFont="1" applyBorder="1" applyAlignment="1">
      <alignment horizontal="center" vertical="center"/>
    </xf>
    <xf numFmtId="0" fontId="8" fillId="0" borderId="56" xfId="0" applyFont="1" applyBorder="1" applyAlignment="1">
      <alignment horizontal="center" vertical="center"/>
    </xf>
    <xf numFmtId="0" fontId="8" fillId="0" borderId="56" xfId="0" applyFont="1" applyBorder="1" applyAlignment="1">
      <alignment horizontal="center" vertical="center" wrapText="1"/>
    </xf>
    <xf numFmtId="10" fontId="5" fillId="3" borderId="6" xfId="2" applyNumberFormat="1" applyFont="1" applyFill="1" applyBorder="1" applyAlignment="1">
      <alignment horizontal="center" vertical="center" wrapText="1"/>
    </xf>
    <xf numFmtId="0" fontId="0" fillId="0" borderId="54" xfId="0" applyBorder="1" applyAlignment="1">
      <alignment horizontal="center"/>
    </xf>
    <xf numFmtId="164" fontId="1" fillId="6" borderId="20" xfId="1" applyFont="1" applyFill="1" applyBorder="1" applyAlignment="1">
      <alignment horizontal="center" vertical="center"/>
    </xf>
    <xf numFmtId="0" fontId="28" fillId="0" borderId="87" xfId="0" applyFont="1" applyBorder="1" applyAlignment="1">
      <alignment horizontal="center"/>
    </xf>
    <xf numFmtId="0" fontId="0" fillId="2" borderId="12" xfId="0" applyFill="1" applyBorder="1" applyAlignment="1">
      <alignment horizontal="center" vertical="center" wrapText="1"/>
    </xf>
    <xf numFmtId="0" fontId="38" fillId="0" borderId="88" xfId="0" applyFont="1" applyBorder="1" applyAlignment="1">
      <alignment horizontal="center" vertical="center" wrapText="1"/>
    </xf>
    <xf numFmtId="164" fontId="6" fillId="6" borderId="61" xfId="1" applyFont="1" applyFill="1" applyBorder="1" applyAlignment="1">
      <alignment horizontal="center" vertical="center"/>
    </xf>
    <xf numFmtId="164" fontId="2" fillId="4" borderId="41" xfId="1" applyFont="1" applyFill="1" applyBorder="1" applyAlignment="1">
      <alignment horizontal="center" vertical="center"/>
    </xf>
    <xf numFmtId="164" fontId="0" fillId="5" borderId="36" xfId="1" applyFont="1" applyFill="1" applyBorder="1" applyAlignment="1">
      <alignment horizontal="center" vertical="center"/>
    </xf>
    <xf numFmtId="44" fontId="1" fillId="7" borderId="18" xfId="1" applyNumberFormat="1" applyFont="1" applyFill="1" applyBorder="1" applyAlignment="1">
      <alignment horizontal="center" vertical="center"/>
    </xf>
    <xf numFmtId="44" fontId="1" fillId="4" borderId="5" xfId="1" applyNumberFormat="1" applyFont="1" applyFill="1" applyBorder="1" applyAlignment="1">
      <alignment horizontal="center" vertical="center"/>
    </xf>
    <xf numFmtId="44" fontId="6" fillId="4" borderId="9" xfId="1" applyNumberFormat="1" applyFont="1" applyFill="1" applyBorder="1" applyAlignment="1">
      <alignment horizontal="center" vertical="center"/>
    </xf>
    <xf numFmtId="44" fontId="1" fillId="4" borderId="10" xfId="1" applyNumberFormat="1" applyFont="1" applyFill="1" applyBorder="1" applyAlignment="1">
      <alignment horizontal="center" vertical="center"/>
    </xf>
    <xf numFmtId="44" fontId="6" fillId="4" borderId="11" xfId="1" applyNumberFormat="1" applyFont="1" applyFill="1" applyBorder="1" applyAlignment="1">
      <alignment horizontal="center" vertical="center"/>
    </xf>
    <xf numFmtId="164" fontId="1" fillId="4" borderId="3" xfId="1" applyFont="1" applyFill="1" applyBorder="1" applyAlignment="1">
      <alignment horizontal="center" vertical="center"/>
    </xf>
    <xf numFmtId="44" fontId="0" fillId="4" borderId="10" xfId="1" applyNumberFormat="1" applyFont="1" applyFill="1" applyBorder="1" applyAlignment="1">
      <alignment horizontal="center" vertical="center"/>
    </xf>
    <xf numFmtId="164" fontId="1" fillId="7" borderId="18" xfId="1" applyFont="1" applyFill="1" applyBorder="1" applyAlignment="1">
      <alignment horizontal="center" vertical="center"/>
    </xf>
    <xf numFmtId="44" fontId="0" fillId="4" borderId="3" xfId="1" applyNumberFormat="1" applyFont="1" applyFill="1" applyBorder="1" applyAlignment="1">
      <alignment horizontal="center" vertical="center"/>
    </xf>
    <xf numFmtId="164" fontId="0" fillId="4" borderId="10" xfId="1" applyFont="1" applyFill="1" applyBorder="1" applyAlignment="1">
      <alignment horizontal="center" vertical="center"/>
    </xf>
    <xf numFmtId="164" fontId="0" fillId="5" borderId="24" xfId="1" applyFont="1" applyFill="1" applyBorder="1" applyAlignment="1">
      <alignment horizontal="center" vertical="center"/>
    </xf>
    <xf numFmtId="164" fontId="0" fillId="5" borderId="25" xfId="1" applyFont="1" applyFill="1" applyBorder="1" applyAlignment="1">
      <alignment horizontal="center" vertical="center"/>
    </xf>
    <xf numFmtId="164" fontId="0" fillId="5" borderId="44" xfId="1" applyFont="1" applyFill="1" applyBorder="1" applyAlignment="1">
      <alignment horizontal="center" vertical="center"/>
    </xf>
    <xf numFmtId="44" fontId="0" fillId="4" borderId="5" xfId="1" applyNumberFormat="1" applyFont="1" applyFill="1" applyBorder="1" applyAlignment="1">
      <alignment horizontal="center" vertical="center"/>
    </xf>
    <xf numFmtId="44" fontId="0" fillId="4" borderId="1" xfId="1" applyNumberFormat="1" applyFont="1" applyFill="1" applyBorder="1" applyAlignment="1">
      <alignment horizontal="center" vertical="center"/>
    </xf>
    <xf numFmtId="44" fontId="0" fillId="4" borderId="2" xfId="1" applyNumberFormat="1" applyFont="1" applyFill="1" applyBorder="1" applyAlignment="1">
      <alignment horizontal="center" vertical="center"/>
    </xf>
    <xf numFmtId="164" fontId="1" fillId="4" borderId="5" xfId="1" applyFont="1" applyFill="1" applyBorder="1" applyAlignment="1">
      <alignment horizontal="center" vertical="center"/>
    </xf>
    <xf numFmtId="44" fontId="1" fillId="4" borderId="40" xfId="1" applyNumberFormat="1" applyFont="1" applyFill="1" applyBorder="1" applyAlignment="1">
      <alignment horizontal="center" vertical="center"/>
    </xf>
    <xf numFmtId="44" fontId="1" fillId="4" borderId="41" xfId="1" applyNumberFormat="1" applyFont="1" applyFill="1" applyBorder="1" applyAlignment="1">
      <alignment horizontal="center" vertical="center"/>
    </xf>
    <xf numFmtId="44" fontId="1" fillId="4" borderId="84" xfId="1" applyNumberFormat="1" applyFont="1" applyFill="1" applyBorder="1" applyAlignment="1">
      <alignment horizontal="center" vertical="center"/>
    </xf>
    <xf numFmtId="164" fontId="1" fillId="5" borderId="66" xfId="1" applyFont="1" applyFill="1" applyBorder="1" applyAlignment="1">
      <alignment horizontal="center" vertical="center"/>
    </xf>
    <xf numFmtId="164" fontId="1" fillId="5" borderId="68" xfId="1" applyFont="1" applyFill="1" applyBorder="1" applyAlignment="1">
      <alignment horizontal="center" vertical="center" wrapText="1"/>
    </xf>
    <xf numFmtId="164" fontId="1" fillId="4" borderId="1" xfId="1" applyFont="1" applyFill="1" applyBorder="1" applyAlignment="1">
      <alignment horizontal="center" vertical="center" wrapText="1"/>
    </xf>
    <xf numFmtId="164" fontId="1" fillId="4" borderId="2" xfId="1" applyFont="1" applyFill="1" applyBorder="1" applyAlignment="1">
      <alignment horizontal="center" vertical="center" wrapText="1"/>
    </xf>
    <xf numFmtId="164" fontId="1" fillId="4" borderId="3" xfId="1" applyFont="1" applyFill="1" applyBorder="1" applyAlignment="1">
      <alignment horizontal="center" vertical="center" wrapText="1"/>
    </xf>
    <xf numFmtId="164" fontId="1" fillId="4" borderId="9" xfId="1" applyFont="1" applyFill="1" applyBorder="1" applyAlignment="1">
      <alignment horizontal="center" vertical="center" wrapText="1"/>
    </xf>
    <xf numFmtId="164" fontId="1" fillId="4" borderId="6" xfId="1" applyFont="1" applyFill="1" applyBorder="1" applyAlignment="1">
      <alignment horizontal="center" vertical="center" wrapText="1"/>
    </xf>
    <xf numFmtId="164" fontId="1" fillId="4" borderId="10" xfId="1" applyFont="1" applyFill="1" applyBorder="1" applyAlignment="1">
      <alignment horizontal="center" vertical="center" wrapText="1"/>
    </xf>
    <xf numFmtId="164" fontId="1" fillId="5" borderId="64" xfId="1" applyFont="1" applyFill="1" applyBorder="1" applyAlignment="1">
      <alignment horizontal="center" vertical="center" wrapText="1"/>
    </xf>
    <xf numFmtId="164" fontId="0" fillId="5" borderId="48" xfId="1" applyFont="1" applyFill="1" applyBorder="1" applyAlignment="1">
      <alignment horizontal="center" vertical="center"/>
    </xf>
    <xf numFmtId="164" fontId="6" fillId="5" borderId="24" xfId="1" applyFont="1" applyFill="1" applyBorder="1" applyAlignment="1">
      <alignment horizontal="center" vertical="center" wrapText="1"/>
    </xf>
    <xf numFmtId="164" fontId="6" fillId="4" borderId="1" xfId="1" applyFont="1" applyFill="1" applyBorder="1" applyAlignment="1">
      <alignment horizontal="center" vertical="center" wrapText="1"/>
    </xf>
    <xf numFmtId="164" fontId="6" fillId="4" borderId="2" xfId="1" applyFont="1" applyFill="1" applyBorder="1" applyAlignment="1">
      <alignment horizontal="center" vertical="center" wrapText="1"/>
    </xf>
    <xf numFmtId="164" fontId="6" fillId="5" borderId="36" xfId="1" applyFont="1" applyFill="1" applyBorder="1" applyAlignment="1">
      <alignment horizontal="center" vertical="center" wrapText="1"/>
    </xf>
    <xf numFmtId="164" fontId="6" fillId="4" borderId="11" xfId="1" applyFont="1" applyFill="1" applyBorder="1" applyAlignment="1">
      <alignment horizontal="center" vertical="center" wrapText="1"/>
    </xf>
    <xf numFmtId="164" fontId="6" fillId="4" borderId="12" xfId="1" applyFont="1" applyFill="1" applyBorder="1" applyAlignment="1">
      <alignment horizontal="center" vertical="center" wrapText="1"/>
    </xf>
    <xf numFmtId="164" fontId="0" fillId="5" borderId="24" xfId="1" applyFont="1" applyFill="1" applyBorder="1" applyAlignment="1">
      <alignment horizontal="center" vertical="center" wrapText="1"/>
    </xf>
    <xf numFmtId="164" fontId="0" fillId="4" borderId="2" xfId="1" applyFont="1" applyFill="1" applyBorder="1" applyAlignment="1">
      <alignment horizontal="center" vertical="center" wrapText="1"/>
    </xf>
    <xf numFmtId="164" fontId="0" fillId="4" borderId="3" xfId="1" applyFont="1" applyFill="1" applyBorder="1" applyAlignment="1">
      <alignment horizontal="center" vertical="center" wrapText="1"/>
    </xf>
    <xf numFmtId="164" fontId="0" fillId="5" borderId="25" xfId="1" applyFont="1" applyFill="1" applyBorder="1" applyAlignment="1">
      <alignment horizontal="center" vertical="center" wrapText="1"/>
    </xf>
    <xf numFmtId="164" fontId="6" fillId="4" borderId="9" xfId="1" applyFont="1" applyFill="1" applyBorder="1" applyAlignment="1">
      <alignment horizontal="center" vertical="center" wrapText="1"/>
    </xf>
    <xf numFmtId="164" fontId="0" fillId="4" borderId="6" xfId="1" applyFont="1" applyFill="1" applyBorder="1" applyAlignment="1">
      <alignment horizontal="center" vertical="center" wrapText="1"/>
    </xf>
    <xf numFmtId="164" fontId="0" fillId="4" borderId="10" xfId="1" applyFont="1" applyFill="1" applyBorder="1" applyAlignment="1">
      <alignment horizontal="center" vertical="center" wrapText="1"/>
    </xf>
    <xf numFmtId="164" fontId="0" fillId="5" borderId="36" xfId="1" applyFont="1" applyFill="1" applyBorder="1" applyAlignment="1">
      <alignment horizontal="center" vertical="center" wrapText="1"/>
    </xf>
    <xf numFmtId="164" fontId="0" fillId="4" borderId="12" xfId="1" applyFont="1" applyFill="1" applyBorder="1" applyAlignment="1">
      <alignment horizontal="center" vertical="center" wrapText="1"/>
    </xf>
    <xf numFmtId="164" fontId="0" fillId="4" borderId="13" xfId="1" applyFont="1" applyFill="1" applyBorder="1" applyAlignment="1">
      <alignment horizontal="center" vertical="center" wrapText="1"/>
    </xf>
    <xf numFmtId="164" fontId="6" fillId="4" borderId="1" xfId="1" applyFont="1" applyFill="1" applyBorder="1" applyAlignment="1">
      <alignment horizontal="center" vertical="center"/>
    </xf>
    <xf numFmtId="164" fontId="1" fillId="4" borderId="33" xfId="1" applyFont="1" applyFill="1" applyBorder="1" applyAlignment="1">
      <alignment horizontal="center" vertical="center"/>
    </xf>
    <xf numFmtId="164" fontId="1" fillId="5" borderId="65" xfId="1" applyFont="1" applyFill="1" applyBorder="1" applyAlignment="1">
      <alignment horizontal="center" vertical="center" wrapText="1"/>
    </xf>
    <xf numFmtId="44" fontId="1" fillId="5" borderId="38" xfId="1" applyNumberFormat="1" applyFont="1" applyFill="1" applyBorder="1" applyAlignment="1">
      <alignment horizontal="center" vertical="center"/>
    </xf>
    <xf numFmtId="44" fontId="1" fillId="4" borderId="53" xfId="1" applyNumberFormat="1" applyFont="1" applyFill="1" applyBorder="1" applyAlignment="1">
      <alignment horizontal="center" vertical="center"/>
    </xf>
    <xf numFmtId="164" fontId="0" fillId="4" borderId="39" xfId="1" applyFont="1" applyFill="1" applyBorder="1" applyAlignment="1">
      <alignment horizontal="center" vertical="center"/>
    </xf>
    <xf numFmtId="164" fontId="0" fillId="4" borderId="14" xfId="1" applyFont="1" applyFill="1" applyBorder="1" applyAlignment="1">
      <alignment horizontal="center" vertical="center"/>
    </xf>
    <xf numFmtId="164" fontId="0" fillId="4" borderId="43" xfId="1" applyFont="1" applyFill="1" applyBorder="1" applyAlignment="1">
      <alignment horizontal="center" vertical="center"/>
    </xf>
    <xf numFmtId="164" fontId="6" fillId="4" borderId="3" xfId="1" applyFont="1" applyFill="1" applyBorder="1" applyAlignment="1">
      <alignment horizontal="center" vertical="center" wrapText="1"/>
    </xf>
    <xf numFmtId="164" fontId="6" fillId="4" borderId="13" xfId="1" applyFont="1" applyFill="1" applyBorder="1" applyAlignment="1">
      <alignment horizontal="center" vertical="center" wrapText="1"/>
    </xf>
    <xf numFmtId="0" fontId="0" fillId="3" borderId="63" xfId="0" applyFill="1" applyBorder="1" applyAlignment="1">
      <alignment horizontal="center" vertical="center"/>
    </xf>
    <xf numFmtId="10" fontId="5" fillId="3" borderId="64" xfId="2" applyNumberFormat="1" applyFont="1" applyFill="1" applyBorder="1" applyAlignment="1">
      <alignment horizontal="center" vertical="center" wrapText="1"/>
    </xf>
    <xf numFmtId="1" fontId="6" fillId="3" borderId="17" xfId="0" applyNumberFormat="1" applyFont="1" applyFill="1" applyBorder="1" applyAlignment="1">
      <alignment horizontal="center" vertical="center" wrapText="1"/>
    </xf>
    <xf numFmtId="0" fontId="12" fillId="3" borderId="62" xfId="0" applyFont="1" applyFill="1" applyBorder="1" applyAlignment="1">
      <alignment horizontal="center" wrapText="1"/>
    </xf>
    <xf numFmtId="0" fontId="12" fillId="0" borderId="22" xfId="0" applyFont="1" applyBorder="1" applyAlignment="1">
      <alignment horizontal="center" wrapText="1"/>
    </xf>
    <xf numFmtId="44" fontId="1" fillId="6" borderId="62" xfId="1" applyNumberFormat="1" applyFont="1" applyFill="1" applyBorder="1" applyAlignment="1">
      <alignment horizontal="center" vertical="center"/>
    </xf>
    <xf numFmtId="44" fontId="1" fillId="5" borderId="66" xfId="1" applyNumberFormat="1" applyFont="1" applyFill="1" applyBorder="1" applyAlignment="1">
      <alignment horizontal="center" vertical="center"/>
    </xf>
    <xf numFmtId="44" fontId="1" fillId="4" borderId="77" xfId="1" applyNumberFormat="1" applyFont="1" applyFill="1" applyBorder="1" applyAlignment="1">
      <alignment horizontal="center" vertical="center"/>
    </xf>
    <xf numFmtId="10" fontId="5" fillId="3" borderId="66" xfId="2" applyNumberFormat="1" applyFont="1" applyFill="1" applyBorder="1" applyAlignment="1">
      <alignment horizontal="center" vertical="center" wrapText="1"/>
    </xf>
    <xf numFmtId="1" fontId="0" fillId="0" borderId="23" xfId="0" applyNumberFormat="1" applyBorder="1" applyAlignment="1">
      <alignment horizontal="center"/>
    </xf>
    <xf numFmtId="0" fontId="8" fillId="0" borderId="27" xfId="0" applyFont="1" applyBorder="1" applyAlignment="1">
      <alignment horizontal="center" vertical="center"/>
    </xf>
    <xf numFmtId="0" fontId="8" fillId="0" borderId="27" xfId="0" applyFont="1" applyBorder="1" applyAlignment="1">
      <alignment horizontal="center" vertical="center" wrapText="1"/>
    </xf>
    <xf numFmtId="44" fontId="0" fillId="0" borderId="27" xfId="3" applyFont="1" applyBorder="1" applyAlignment="1">
      <alignment horizontal="center" vertical="center"/>
    </xf>
    <xf numFmtId="44" fontId="0" fillId="0" borderId="16" xfId="8" applyFont="1" applyBorder="1" applyAlignment="1">
      <alignment horizontal="center" vertical="center"/>
    </xf>
    <xf numFmtId="164" fontId="6" fillId="6" borderId="20" xfId="1" applyFont="1" applyFill="1" applyBorder="1" applyAlignment="1">
      <alignment horizontal="center" vertical="center" wrapText="1"/>
    </xf>
    <xf numFmtId="164" fontId="1" fillId="4" borderId="20" xfId="1" applyFont="1" applyFill="1" applyBorder="1" applyAlignment="1">
      <alignment horizontal="center" vertical="center"/>
    </xf>
    <xf numFmtId="164" fontId="1" fillId="7" borderId="20" xfId="1" applyFont="1" applyFill="1" applyBorder="1" applyAlignment="1">
      <alignment horizontal="center" vertical="center"/>
    </xf>
    <xf numFmtId="10" fontId="5" fillId="2" borderId="2" xfId="2" applyNumberFormat="1" applyFont="1" applyFill="1" applyBorder="1" applyAlignment="1">
      <alignment horizontal="center" vertical="center" wrapText="1"/>
    </xf>
    <xf numFmtId="0" fontId="0" fillId="3" borderId="10" xfId="0" applyFill="1" applyBorder="1" applyAlignment="1">
      <alignment horizontal="center" vertical="center"/>
    </xf>
    <xf numFmtId="164" fontId="6" fillId="6" borderId="22" xfId="1" applyFont="1" applyFill="1" applyBorder="1" applyAlignment="1">
      <alignment horizontal="center" vertical="center" wrapText="1"/>
    </xf>
    <xf numFmtId="164" fontId="1" fillId="4" borderId="22" xfId="1" applyFont="1" applyFill="1" applyBorder="1" applyAlignment="1">
      <alignment horizontal="center" vertical="center"/>
    </xf>
    <xf numFmtId="164" fontId="1" fillId="7" borderId="22" xfId="1" applyFont="1" applyFill="1" applyBorder="1" applyAlignment="1">
      <alignment horizontal="center" vertical="center"/>
    </xf>
    <xf numFmtId="10" fontId="5" fillId="2" borderId="12" xfId="2" applyNumberFormat="1" applyFont="1" applyFill="1" applyBorder="1" applyAlignment="1">
      <alignment horizontal="center" vertical="center" wrapText="1"/>
    </xf>
    <xf numFmtId="164" fontId="31" fillId="4" borderId="49" xfId="1" applyFont="1" applyFill="1" applyBorder="1" applyAlignment="1">
      <alignment horizontal="center" vertical="center"/>
    </xf>
    <xf numFmtId="164" fontId="0" fillId="5" borderId="66" xfId="1" applyFont="1" applyFill="1" applyBorder="1" applyAlignment="1">
      <alignment horizontal="left" vertical="center"/>
    </xf>
    <xf numFmtId="164" fontId="0" fillId="5" borderId="56" xfId="1" applyFont="1" applyFill="1" applyBorder="1" applyAlignment="1">
      <alignment horizontal="left" vertical="center"/>
    </xf>
    <xf numFmtId="164" fontId="0" fillId="5" borderId="32" xfId="1" applyFont="1" applyFill="1" applyBorder="1" applyAlignment="1">
      <alignment horizontal="left" vertical="center"/>
    </xf>
    <xf numFmtId="164" fontId="0" fillId="5" borderId="64" xfId="1" applyFont="1" applyFill="1" applyBorder="1" applyAlignment="1">
      <alignment horizontal="left" vertical="center"/>
    </xf>
    <xf numFmtId="164" fontId="6" fillId="5" borderId="20" xfId="1" applyFont="1" applyFill="1" applyBorder="1" applyAlignment="1">
      <alignment horizontal="left" vertical="center" wrapText="1"/>
    </xf>
    <xf numFmtId="164" fontId="0" fillId="5" borderId="27" xfId="1" applyFont="1" applyFill="1" applyBorder="1" applyAlignment="1">
      <alignment horizontal="left"/>
    </xf>
    <xf numFmtId="164" fontId="0" fillId="5" borderId="20" xfId="1" applyFont="1" applyFill="1" applyBorder="1" applyAlignment="1">
      <alignment horizontal="left"/>
    </xf>
    <xf numFmtId="164" fontId="0" fillId="5" borderId="21" xfId="1" applyFont="1" applyFill="1" applyBorder="1" applyAlignment="1">
      <alignment horizontal="left"/>
    </xf>
    <xf numFmtId="164" fontId="0" fillId="5" borderId="22" xfId="1" applyFont="1" applyFill="1" applyBorder="1" applyAlignment="1">
      <alignment horizontal="left"/>
    </xf>
    <xf numFmtId="164" fontId="1" fillId="5" borderId="64" xfId="1" applyFont="1" applyFill="1" applyBorder="1" applyAlignment="1">
      <alignment horizontal="left" vertical="center"/>
    </xf>
    <xf numFmtId="164" fontId="1" fillId="5" borderId="67" xfId="1" applyFont="1" applyFill="1" applyBorder="1" applyAlignment="1">
      <alignment horizontal="left" vertical="center"/>
    </xf>
    <xf numFmtId="164" fontId="1" fillId="5" borderId="65" xfId="1" applyFont="1" applyFill="1" applyBorder="1" applyAlignment="1">
      <alignment horizontal="left" vertical="center"/>
    </xf>
    <xf numFmtId="164" fontId="1" fillId="5" borderId="66" xfId="1" applyFont="1" applyFill="1" applyBorder="1" applyAlignment="1">
      <alignment horizontal="left" vertical="center"/>
    </xf>
    <xf numFmtId="9" fontId="0" fillId="0" borderId="20" xfId="0" applyNumberFormat="1" applyBorder="1" applyAlignment="1">
      <alignment horizontal="center" vertical="center"/>
    </xf>
    <xf numFmtId="9" fontId="0" fillId="0" borderId="22" xfId="0" applyNumberFormat="1" applyBorder="1" applyAlignment="1">
      <alignment horizontal="center" vertical="center"/>
    </xf>
    <xf numFmtId="165" fontId="6" fillId="3" borderId="26" xfId="0" applyNumberFormat="1" applyFont="1" applyFill="1" applyBorder="1" applyAlignment="1">
      <alignment vertical="center" wrapText="1"/>
    </xf>
    <xf numFmtId="165" fontId="6" fillId="3" borderId="7" xfId="0" applyNumberFormat="1" applyFont="1" applyFill="1" applyBorder="1" applyAlignment="1">
      <alignment vertical="center" wrapText="1"/>
    </xf>
    <xf numFmtId="165" fontId="6" fillId="3" borderId="41" xfId="0" applyNumberFormat="1" applyFont="1" applyFill="1" applyBorder="1" applyAlignment="1">
      <alignment vertical="center" wrapText="1"/>
    </xf>
    <xf numFmtId="1" fontId="6" fillId="0" borderId="26" xfId="1" applyNumberFormat="1" applyFont="1" applyBorder="1" applyAlignment="1">
      <alignment vertical="center" wrapText="1"/>
    </xf>
    <xf numFmtId="1" fontId="6" fillId="0" borderId="7" xfId="1" applyNumberFormat="1" applyFont="1" applyBorder="1" applyAlignment="1">
      <alignment vertical="center" wrapText="1"/>
    </xf>
    <xf numFmtId="1" fontId="6" fillId="0" borderId="41" xfId="1" applyNumberFormat="1" applyFont="1" applyBorder="1" applyAlignment="1">
      <alignment vertical="center" wrapText="1"/>
    </xf>
    <xf numFmtId="0" fontId="0" fillId="3" borderId="33" xfId="0" applyFill="1" applyBorder="1" applyAlignment="1">
      <alignment vertical="center"/>
    </xf>
    <xf numFmtId="0" fontId="0" fillId="3" borderId="8" xfId="0" applyFill="1" applyBorder="1" applyAlignment="1">
      <alignment vertical="center"/>
    </xf>
    <xf numFmtId="0" fontId="0" fillId="3" borderId="42" xfId="0" applyFill="1"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0" xfId="0" applyBorder="1" applyAlignment="1">
      <alignment vertical="center" wrapText="1"/>
    </xf>
    <xf numFmtId="0" fontId="0" fillId="0" borderId="21" xfId="0" applyBorder="1" applyAlignment="1">
      <alignment vertical="center" wrapText="1"/>
    </xf>
    <xf numFmtId="0" fontId="0" fillId="0" borderId="22" xfId="0" applyBorder="1" applyAlignment="1">
      <alignment vertical="center" wrapText="1"/>
    </xf>
    <xf numFmtId="165" fontId="5" fillId="3" borderId="46" xfId="0" applyNumberFormat="1" applyFont="1" applyFill="1" applyBorder="1" applyAlignment="1">
      <alignment vertical="center" wrapText="1"/>
    </xf>
    <xf numFmtId="165" fontId="5" fillId="3" borderId="30" xfId="0" applyNumberFormat="1" applyFont="1" applyFill="1" applyBorder="1" applyAlignment="1">
      <alignment vertical="center" wrapText="1"/>
    </xf>
    <xf numFmtId="165" fontId="5" fillId="3" borderId="59" xfId="0" applyNumberFormat="1" applyFont="1" applyFill="1" applyBorder="1" applyAlignment="1">
      <alignment vertical="center" wrapText="1"/>
    </xf>
    <xf numFmtId="9" fontId="0" fillId="0" borderId="21" xfId="2" applyFont="1" applyBorder="1" applyAlignment="1">
      <alignment vertical="center" wrapText="1"/>
    </xf>
    <xf numFmtId="9" fontId="0" fillId="0" borderId="22" xfId="2" applyFont="1" applyBorder="1" applyAlignment="1">
      <alignment vertical="center" wrapText="1"/>
    </xf>
    <xf numFmtId="0" fontId="0" fillId="0" borderId="20" xfId="0" applyBorder="1" applyAlignment="1">
      <alignment vertical="center"/>
    </xf>
    <xf numFmtId="0" fontId="0" fillId="0" borderId="32" xfId="0" applyBorder="1" applyAlignment="1">
      <alignment vertical="center" wrapText="1"/>
    </xf>
    <xf numFmtId="0" fontId="0" fillId="0" borderId="37" xfId="0" applyBorder="1" applyAlignment="1">
      <alignment vertical="center" wrapText="1"/>
    </xf>
    <xf numFmtId="0" fontId="0" fillId="0" borderId="44" xfId="0" applyBorder="1" applyAlignment="1">
      <alignment vertical="center" wrapText="1"/>
    </xf>
    <xf numFmtId="0" fontId="0" fillId="0" borderId="48" xfId="0" applyBorder="1" applyAlignment="1">
      <alignment vertical="center" wrapText="1"/>
    </xf>
    <xf numFmtId="0" fontId="0" fillId="0" borderId="24" xfId="0" applyBorder="1" applyAlignment="1">
      <alignment vertical="center" wrapText="1"/>
    </xf>
    <xf numFmtId="0" fontId="0" fillId="0" borderId="25" xfId="0" applyBorder="1" applyAlignment="1">
      <alignment vertical="center" wrapText="1"/>
    </xf>
    <xf numFmtId="0" fontId="0" fillId="0" borderId="29" xfId="0" applyBorder="1" applyAlignment="1">
      <alignment vertical="center" wrapText="1"/>
    </xf>
    <xf numFmtId="0" fontId="0" fillId="0" borderId="36" xfId="0" applyBorder="1" applyAlignment="1">
      <alignment vertical="center" wrapText="1"/>
    </xf>
    <xf numFmtId="1" fontId="6" fillId="0" borderId="33" xfId="0" applyNumberFormat="1" applyFont="1" applyBorder="1" applyAlignment="1">
      <alignment vertical="center" wrapText="1"/>
    </xf>
    <xf numFmtId="1" fontId="6" fillId="0" borderId="42" xfId="0" applyNumberFormat="1" applyFont="1" applyBorder="1" applyAlignment="1">
      <alignment vertical="center" wrapText="1"/>
    </xf>
    <xf numFmtId="1" fontId="6" fillId="0" borderId="26" xfId="0" applyNumberFormat="1" applyFont="1" applyBorder="1" applyAlignment="1">
      <alignment vertical="center" wrapText="1"/>
    </xf>
    <xf numFmtId="1" fontId="6" fillId="0" borderId="41" xfId="0" applyNumberFormat="1" applyFont="1" applyBorder="1" applyAlignment="1">
      <alignment vertical="center" wrapText="1"/>
    </xf>
    <xf numFmtId="4" fontId="0" fillId="0" borderId="26" xfId="0" applyNumberFormat="1" applyBorder="1" applyAlignment="1">
      <alignment vertical="center" wrapText="1"/>
    </xf>
    <xf numFmtId="4" fontId="0" fillId="0" borderId="41" xfId="0" applyNumberFormat="1" applyBorder="1" applyAlignment="1">
      <alignment vertical="center" wrapText="1"/>
    </xf>
    <xf numFmtId="164" fontId="0" fillId="5" borderId="32" xfId="1" applyFont="1" applyFill="1" applyBorder="1" applyAlignment="1">
      <alignment vertical="center"/>
    </xf>
    <xf numFmtId="164" fontId="0" fillId="5" borderId="54" xfId="1" applyFont="1" applyFill="1" applyBorder="1" applyAlignment="1">
      <alignment vertical="center"/>
    </xf>
    <xf numFmtId="164" fontId="1" fillId="6" borderId="32" xfId="1" applyFont="1" applyFill="1" applyBorder="1" applyAlignment="1">
      <alignment vertical="center"/>
    </xf>
    <xf numFmtId="164" fontId="1" fillId="6" borderId="54" xfId="1" applyFont="1" applyFill="1" applyBorder="1" applyAlignment="1">
      <alignment vertical="center"/>
    </xf>
    <xf numFmtId="0" fontId="0" fillId="0" borderId="32" xfId="0" applyBorder="1" applyAlignment="1">
      <alignment vertical="center"/>
    </xf>
    <xf numFmtId="0" fontId="0" fillId="0" borderId="37" xfId="0" applyBorder="1" applyAlignment="1">
      <alignment vertical="center"/>
    </xf>
    <xf numFmtId="0" fontId="0" fillId="0" borderId="54" xfId="0" applyBorder="1" applyAlignment="1">
      <alignment vertical="center"/>
    </xf>
    <xf numFmtId="10" fontId="5" fillId="3" borderId="46" xfId="2" applyNumberFormat="1" applyFont="1" applyFill="1" applyBorder="1" applyAlignment="1">
      <alignment vertical="center" wrapText="1"/>
    </xf>
    <xf numFmtId="10" fontId="5" fillId="3" borderId="59" xfId="2" applyNumberFormat="1" applyFont="1" applyFill="1" applyBorder="1" applyAlignment="1">
      <alignment vertical="center" wrapText="1"/>
    </xf>
    <xf numFmtId="9" fontId="0" fillId="0" borderId="32" xfId="2" applyFont="1" applyBorder="1" applyAlignment="1">
      <alignment vertical="center"/>
    </xf>
    <xf numFmtId="9" fontId="0" fillId="0" borderId="54" xfId="2" applyFont="1" applyBorder="1" applyAlignment="1">
      <alignment vertical="center"/>
    </xf>
    <xf numFmtId="0" fontId="8" fillId="0" borderId="24" xfId="0" applyFont="1" applyBorder="1" applyAlignment="1">
      <alignment vertical="center" wrapText="1"/>
    </xf>
    <xf numFmtId="0" fontId="8" fillId="0" borderId="29" xfId="0" applyFont="1" applyBorder="1" applyAlignment="1">
      <alignment vertical="center" wrapText="1"/>
    </xf>
    <xf numFmtId="0" fontId="0" fillId="3" borderId="32" xfId="0" applyFill="1" applyBorder="1" applyAlignment="1">
      <alignment vertical="center"/>
    </xf>
    <xf numFmtId="0" fontId="0" fillId="3" borderId="37" xfId="0" applyFill="1" applyBorder="1" applyAlignment="1">
      <alignment vertical="center"/>
    </xf>
    <xf numFmtId="0" fontId="0" fillId="3" borderId="54" xfId="0" applyFill="1" applyBorder="1" applyAlignment="1">
      <alignment vertical="center"/>
    </xf>
    <xf numFmtId="0" fontId="0" fillId="0" borderId="54" xfId="0" applyBorder="1" applyAlignment="1">
      <alignment vertical="center" wrapText="1"/>
    </xf>
    <xf numFmtId="9" fontId="0" fillId="0" borderId="55" xfId="2" applyFont="1" applyBorder="1" applyAlignment="1">
      <alignment vertical="center"/>
    </xf>
    <xf numFmtId="0" fontId="3" fillId="0" borderId="39" xfId="0" applyFont="1" applyBorder="1" applyAlignment="1">
      <alignment vertical="center"/>
    </xf>
    <xf numFmtId="0" fontId="3" fillId="0" borderId="14" xfId="0" applyFont="1" applyBorder="1" applyAlignment="1">
      <alignment vertical="center"/>
    </xf>
    <xf numFmtId="0" fontId="3" fillId="0" borderId="43" xfId="0" applyFont="1" applyBorder="1" applyAlignment="1">
      <alignment vertical="center"/>
    </xf>
    <xf numFmtId="0" fontId="4" fillId="0" borderId="44" xfId="0" applyFont="1" applyBorder="1" applyAlignment="1">
      <alignment vertical="center"/>
    </xf>
    <xf numFmtId="0" fontId="4" fillId="0" borderId="15" xfId="0" applyFont="1" applyBorder="1" applyAlignment="1">
      <alignment vertical="center"/>
    </xf>
    <xf numFmtId="0" fontId="4" fillId="0" borderId="45" xfId="0" applyFont="1" applyBorder="1" applyAlignment="1">
      <alignment vertical="center"/>
    </xf>
    <xf numFmtId="0" fontId="10" fillId="2" borderId="34" xfId="0" applyFont="1" applyFill="1" applyBorder="1" applyAlignment="1">
      <alignment vertical="center" wrapText="1"/>
    </xf>
    <xf numFmtId="0" fontId="10" fillId="2" borderId="16" xfId="0" applyFont="1" applyFill="1" applyBorder="1" applyAlignment="1">
      <alignment vertical="center" wrapText="1"/>
    </xf>
    <xf numFmtId="0" fontId="10" fillId="2" borderId="14" xfId="0" applyFont="1" applyFill="1" applyBorder="1" applyAlignment="1">
      <alignment vertical="center" wrapText="1"/>
    </xf>
    <xf numFmtId="0" fontId="10" fillId="2" borderId="71" xfId="0" applyFont="1" applyFill="1" applyBorder="1" applyAlignment="1">
      <alignment vertical="center" wrapText="1"/>
    </xf>
    <xf numFmtId="0" fontId="23" fillId="8" borderId="0" xfId="0" applyFont="1" applyFill="1" applyAlignment="1">
      <alignment vertical="center" wrapText="1"/>
    </xf>
    <xf numFmtId="0" fontId="23" fillId="8" borderId="85" xfId="0" applyFont="1" applyFill="1" applyBorder="1" applyAlignment="1">
      <alignment vertical="center" wrapText="1"/>
    </xf>
    <xf numFmtId="9" fontId="30" fillId="4" borderId="39" xfId="0" applyNumberFormat="1" applyFont="1" applyFill="1" applyBorder="1" applyAlignment="1">
      <alignment vertical="center"/>
    </xf>
    <xf numFmtId="9" fontId="30" fillId="4" borderId="14" xfId="0" applyNumberFormat="1" applyFont="1" applyFill="1" applyBorder="1" applyAlignment="1">
      <alignment vertical="center"/>
    </xf>
    <xf numFmtId="9" fontId="30" fillId="4" borderId="74" xfId="0" applyNumberFormat="1" applyFont="1" applyFill="1" applyBorder="1" applyAlignment="1">
      <alignment vertical="center"/>
    </xf>
    <xf numFmtId="9" fontId="30" fillId="4" borderId="44" xfId="0" applyNumberFormat="1" applyFont="1" applyFill="1" applyBorder="1" applyAlignment="1">
      <alignment vertical="center"/>
    </xf>
    <xf numFmtId="9" fontId="30" fillId="4" borderId="15" xfId="0" applyNumberFormat="1" applyFont="1" applyFill="1" applyBorder="1" applyAlignment="1">
      <alignment vertical="center"/>
    </xf>
    <xf numFmtId="9" fontId="30" fillId="4" borderId="75" xfId="0" applyNumberFormat="1" applyFont="1" applyFill="1" applyBorder="1" applyAlignment="1">
      <alignment vertical="center"/>
    </xf>
    <xf numFmtId="0" fontId="0" fillId="0" borderId="38" xfId="0" applyBorder="1" applyAlignment="1">
      <alignment vertical="center" wrapText="1"/>
    </xf>
    <xf numFmtId="0" fontId="2" fillId="0" borderId="7" xfId="0" applyFont="1" applyBorder="1" applyAlignment="1">
      <alignment vertical="center" wrapText="1"/>
    </xf>
    <xf numFmtId="0" fontId="2" fillId="0" borderId="41" xfId="0" applyFont="1" applyBorder="1" applyAlignment="1">
      <alignment vertical="center" wrapText="1"/>
    </xf>
    <xf numFmtId="9" fontId="30" fillId="6" borderId="43" xfId="0" applyNumberFormat="1" applyFont="1" applyFill="1" applyBorder="1" applyAlignment="1">
      <alignment vertical="center"/>
    </xf>
    <xf numFmtId="9" fontId="30" fillId="6" borderId="45" xfId="0" applyNumberFormat="1" applyFont="1" applyFill="1" applyBorder="1" applyAlignment="1">
      <alignment vertical="center"/>
    </xf>
    <xf numFmtId="9" fontId="30" fillId="5" borderId="32" xfId="0" applyNumberFormat="1" applyFont="1" applyFill="1" applyBorder="1" applyAlignment="1">
      <alignment vertical="center"/>
    </xf>
    <xf numFmtId="9" fontId="30" fillId="5" borderId="54" xfId="0" applyNumberFormat="1" applyFont="1" applyFill="1" applyBorder="1" applyAlignment="1">
      <alignment vertical="center"/>
    </xf>
    <xf numFmtId="0" fontId="2" fillId="0" borderId="8" xfId="0" applyFont="1" applyBorder="1" applyAlignment="1">
      <alignment vertical="center"/>
    </xf>
    <xf numFmtId="0" fontId="2" fillId="0" borderId="42" xfId="0" applyFont="1" applyBorder="1" applyAlignment="1">
      <alignment vertical="center"/>
    </xf>
    <xf numFmtId="0" fontId="2" fillId="0" borderId="37" xfId="0" applyFont="1" applyBorder="1" applyAlignment="1">
      <alignment vertical="center" wrapText="1"/>
    </xf>
    <xf numFmtId="0" fontId="2" fillId="0" borderId="54" xfId="0" applyFont="1" applyBorder="1" applyAlignment="1">
      <alignment vertical="center" wrapText="1"/>
    </xf>
    <xf numFmtId="0" fontId="2" fillId="0" borderId="32" xfId="0" applyFont="1" applyBorder="1" applyAlignment="1">
      <alignment vertical="center" wrapText="1"/>
    </xf>
    <xf numFmtId="9" fontId="2" fillId="0" borderId="32" xfId="2" applyFont="1" applyBorder="1" applyAlignment="1">
      <alignment vertical="center"/>
    </xf>
    <xf numFmtId="9" fontId="2" fillId="0" borderId="37" xfId="2" applyFont="1" applyBorder="1" applyAlignment="1">
      <alignment vertical="center"/>
    </xf>
    <xf numFmtId="9" fontId="2" fillId="0" borderId="54" xfId="2" applyFont="1" applyBorder="1" applyAlignment="1">
      <alignment vertical="center"/>
    </xf>
    <xf numFmtId="0" fontId="5" fillId="0" borderId="32" xfId="0" applyFont="1" applyBorder="1" applyAlignment="1">
      <alignment vertical="center" wrapText="1"/>
    </xf>
    <xf numFmtId="0" fontId="5" fillId="0" borderId="37" xfId="0" applyFont="1" applyBorder="1" applyAlignment="1">
      <alignment vertical="center" wrapText="1"/>
    </xf>
    <xf numFmtId="0" fontId="5" fillId="0" borderId="54" xfId="0" applyFont="1" applyBorder="1" applyAlignment="1">
      <alignment vertical="center" wrapText="1"/>
    </xf>
    <xf numFmtId="0" fontId="2" fillId="3" borderId="6" xfId="0" applyFont="1" applyFill="1" applyBorder="1" applyAlignment="1">
      <alignment vertical="center" wrapText="1"/>
    </xf>
    <xf numFmtId="0" fontId="11" fillId="0" borderId="34" xfId="0" applyFont="1" applyBorder="1" applyAlignment="1">
      <alignment vertical="center" wrapText="1"/>
    </xf>
    <xf numFmtId="0" fontId="11" fillId="0" borderId="16" xfId="0" applyFont="1" applyBorder="1" applyAlignment="1">
      <alignment vertical="center" wrapText="1"/>
    </xf>
    <xf numFmtId="0" fontId="11" fillId="0" borderId="71" xfId="0" applyFont="1" applyBorder="1" applyAlignment="1">
      <alignment vertical="center" wrapText="1"/>
    </xf>
    <xf numFmtId="0" fontId="11" fillId="3" borderId="34" xfId="0" applyFont="1" applyFill="1" applyBorder="1" applyAlignment="1">
      <alignment vertical="center" wrapText="1"/>
    </xf>
    <xf numFmtId="0" fontId="11" fillId="3" borderId="16" xfId="0" applyFont="1" applyFill="1" applyBorder="1" applyAlignment="1">
      <alignment vertical="center" wrapText="1"/>
    </xf>
    <xf numFmtId="0" fontId="11" fillId="3" borderId="71" xfId="0" applyFont="1" applyFill="1" applyBorder="1" applyAlignment="1">
      <alignment vertical="center" wrapText="1"/>
    </xf>
    <xf numFmtId="0" fontId="10" fillId="3" borderId="34" xfId="0" applyFont="1" applyFill="1" applyBorder="1" applyAlignment="1">
      <alignment vertical="center" wrapText="1"/>
    </xf>
    <xf numFmtId="0" fontId="10" fillId="3" borderId="16" xfId="0" applyFont="1" applyFill="1" applyBorder="1" applyAlignment="1">
      <alignment vertical="center" wrapText="1"/>
    </xf>
    <xf numFmtId="0" fontId="10" fillId="3" borderId="71" xfId="0" applyFont="1" applyFill="1" applyBorder="1" applyAlignment="1">
      <alignment vertical="center" wrapText="1"/>
    </xf>
    <xf numFmtId="0" fontId="9" fillId="2" borderId="34" xfId="0" applyFont="1" applyFill="1" applyBorder="1" applyAlignment="1">
      <alignment vertical="center" wrapText="1"/>
    </xf>
    <xf numFmtId="0" fontId="9" fillId="2" borderId="16" xfId="0" applyFont="1" applyFill="1" applyBorder="1" applyAlignment="1">
      <alignment vertical="center" wrapText="1"/>
    </xf>
    <xf numFmtId="0" fontId="9" fillId="2" borderId="71" xfId="0" applyFont="1" applyFill="1" applyBorder="1" applyAlignment="1">
      <alignment vertical="center" wrapText="1"/>
    </xf>
    <xf numFmtId="166" fontId="6" fillId="0" borderId="26" xfId="1" applyNumberFormat="1" applyFont="1" applyBorder="1" applyAlignment="1">
      <alignment vertical="center" wrapText="1"/>
    </xf>
    <xf numFmtId="166" fontId="6" fillId="0" borderId="7" xfId="1" applyNumberFormat="1" applyFont="1" applyBorder="1" applyAlignment="1">
      <alignment vertical="center" wrapText="1"/>
    </xf>
    <xf numFmtId="166" fontId="6" fillId="0" borderId="41" xfId="1" applyNumberFormat="1" applyFont="1" applyBorder="1" applyAlignment="1">
      <alignment vertical="center" wrapText="1"/>
    </xf>
    <xf numFmtId="9" fontId="0" fillId="0" borderId="21" xfId="2" applyFont="1" applyBorder="1" applyAlignment="1">
      <alignment vertical="center"/>
    </xf>
    <xf numFmtId="9" fontId="0" fillId="0" borderId="22" xfId="2" applyFont="1" applyBorder="1" applyAlignment="1">
      <alignment vertical="center"/>
    </xf>
    <xf numFmtId="44" fontId="8" fillId="9" borderId="32" xfId="8" applyFont="1" applyFill="1" applyBorder="1" applyAlignment="1">
      <alignment vertical="center" wrapText="1"/>
    </xf>
    <xf numFmtId="44" fontId="8" fillId="9" borderId="37" xfId="8" applyFont="1" applyFill="1" applyBorder="1" applyAlignment="1">
      <alignment vertical="center" wrapText="1"/>
    </xf>
    <xf numFmtId="44" fontId="8" fillId="9" borderId="54" xfId="8" applyFont="1" applyFill="1" applyBorder="1" applyAlignment="1">
      <alignment vertical="center" wrapText="1"/>
    </xf>
    <xf numFmtId="0" fontId="0" fillId="0" borderId="27" xfId="0" applyBorder="1" applyAlignment="1">
      <alignment vertical="center" wrapText="1"/>
    </xf>
    <xf numFmtId="0" fontId="14" fillId="2" borderId="7" xfId="0" applyFont="1" applyFill="1" applyBorder="1" applyAlignment="1">
      <alignment vertical="center" wrapText="1"/>
    </xf>
    <xf numFmtId="0" fontId="14" fillId="2" borderId="41" xfId="0" applyFont="1" applyFill="1" applyBorder="1" applyAlignment="1">
      <alignment vertical="center" wrapText="1"/>
    </xf>
    <xf numFmtId="0" fontId="15" fillId="2" borderId="26" xfId="0" applyFont="1" applyFill="1" applyBorder="1" applyAlignment="1">
      <alignment vertical="center" wrapText="1"/>
    </xf>
    <xf numFmtId="0" fontId="15" fillId="2" borderId="7" xfId="0" applyFont="1" applyFill="1" applyBorder="1" applyAlignment="1">
      <alignment vertical="center" wrapText="1"/>
    </xf>
    <xf numFmtId="0" fontId="15" fillId="2" borderId="32" xfId="0" applyFont="1" applyFill="1" applyBorder="1" applyAlignment="1">
      <alignment vertical="center" wrapText="1"/>
    </xf>
    <xf numFmtId="0" fontId="15" fillId="2" borderId="37" xfId="0" applyFont="1" applyFill="1" applyBorder="1" applyAlignment="1">
      <alignment vertical="center" wrapText="1"/>
    </xf>
    <xf numFmtId="0" fontId="15" fillId="2" borderId="54" xfId="0" applyFont="1" applyFill="1" applyBorder="1" applyAlignment="1">
      <alignment vertical="center" wrapText="1"/>
    </xf>
    <xf numFmtId="0" fontId="18" fillId="0" borderId="38" xfId="0" applyFont="1" applyBorder="1" applyAlignment="1">
      <alignment vertical="center" wrapText="1"/>
    </xf>
    <xf numFmtId="0" fontId="18" fillId="0" borderId="25" xfId="0" applyFont="1" applyBorder="1" applyAlignment="1">
      <alignment vertical="center" wrapText="1"/>
    </xf>
    <xf numFmtId="0" fontId="0" fillId="0" borderId="39" xfId="0" applyBorder="1" applyAlignment="1">
      <alignment vertical="center" wrapText="1"/>
    </xf>
  </cellXfs>
  <cellStyles count="9">
    <cellStyle name="Moeda" xfId="1" builtinId="4"/>
    <cellStyle name="Moeda 2" xfId="3" xr:uid="{88AF55BE-E3EA-4754-B171-804DD29C54E7}"/>
    <cellStyle name="Moeda 2 2" xfId="8" xr:uid="{A14E276A-6AA6-46C4-8777-ECC7F0073C7E}"/>
    <cellStyle name="Moeda 2 3" xfId="6" xr:uid="{CBB18AA5-8071-4956-9081-D5A7CF45E0BE}"/>
    <cellStyle name="Moeda 6" xfId="4" xr:uid="{EF496E0B-5079-4FE5-947D-F9C49EAC7B49}"/>
    <cellStyle name="Normal" xfId="0" builtinId="0"/>
    <cellStyle name="Porcentagem" xfId="2" builtinId="5"/>
    <cellStyle name="Vírgula 2" xfId="5" xr:uid="{945810E3-D836-4FB0-993C-426A51220637}"/>
    <cellStyle name="Vírgula 2 2" xfId="7" xr:uid="{9ED3ABC7-7669-449B-B29D-E8E41676D8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162254</xdr:colOff>
      <xdr:row>0</xdr:row>
      <xdr:rowOff>62442</xdr:rowOff>
    </xdr:from>
    <xdr:to>
      <xdr:col>1</xdr:col>
      <xdr:colOff>445134</xdr:colOff>
      <xdr:row>1</xdr:row>
      <xdr:rowOff>133015</xdr:rowOff>
    </xdr:to>
    <xdr:pic>
      <xdr:nvPicPr>
        <xdr:cNvPr id="2" name="Imagem 1">
          <a:extLst>
            <a:ext uri="{FF2B5EF4-FFF2-40B4-BE49-F238E27FC236}">
              <a16:creationId xmlns:a16="http://schemas.microsoft.com/office/drawing/2014/main" id="{C92171EA-1D36-4282-9511-645304A2D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2254" y="62442"/>
          <a:ext cx="1582725" cy="4401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116534</xdr:colOff>
      <xdr:row>0</xdr:row>
      <xdr:rowOff>47202</xdr:rowOff>
    </xdr:from>
    <xdr:to>
      <xdr:col>14</xdr:col>
      <xdr:colOff>647699</xdr:colOff>
      <xdr:row>1</xdr:row>
      <xdr:rowOff>134920</xdr:rowOff>
    </xdr:to>
    <xdr:pic>
      <xdr:nvPicPr>
        <xdr:cNvPr id="3" name="Imagem 2">
          <a:extLst>
            <a:ext uri="{FF2B5EF4-FFF2-40B4-BE49-F238E27FC236}">
              <a16:creationId xmlns:a16="http://schemas.microsoft.com/office/drawing/2014/main" id="{6BD75528-D7E2-42A2-B52F-AACB8F4EE90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775634" y="47202"/>
          <a:ext cx="1582725" cy="4401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ingrid/Desktop/Cadastro%20de%20materiais%20SAP.xlsx" TargetMode="External"/><Relationship Id="rId1" Type="http://schemas.openxmlformats.org/officeDocument/2006/relationships/externalLinkPath" Target="/Users/ingrid/Desktop/Cadastro%20de%20materiais%20SAP.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Ingrid/Desktop/Ficha%20Cadastral%20Produtos-%20New%202023%20ATUALIZADO%20(1).xlsx" TargetMode="External"/><Relationship Id="rId1" Type="http://schemas.openxmlformats.org/officeDocument/2006/relationships/externalLinkPath" Target="/Users/Ingrid/Desktop/Ficha%20Cadastral%20Produtos-%20New%202023%20ATUALIZADO%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s>
    <sheetDataSet>
      <sheetData sheetId="0" refreshError="1">
        <row r="1">
          <cell r="A1" t="str">
            <v>Material</v>
          </cell>
          <cell r="B1" t="str">
            <v>Texto breve material</v>
          </cell>
          <cell r="C1" t="str">
            <v>Texto breve material</v>
          </cell>
          <cell r="D1" t="str">
            <v>Código EAN/UPC</v>
          </cell>
          <cell r="E1" t="str">
            <v>Código de controle</v>
          </cell>
        </row>
        <row r="2">
          <cell r="A2">
            <v>5</v>
          </cell>
          <cell r="B2" t="str">
            <v>COLETEPOSCIRURGICO5PAINEIS170-57XG</v>
          </cell>
          <cell r="C2" t="str">
            <v>COLETEPOSCIRURGICO5PAINEIS170-57XG</v>
          </cell>
          <cell r="D2" t="str">
            <v/>
          </cell>
          <cell r="E2" t="str">
            <v>9021.10.10</v>
          </cell>
        </row>
        <row r="3">
          <cell r="A3">
            <v>7</v>
          </cell>
          <cell r="B3" t="str">
            <v>AGUA MICELAR 120ML</v>
          </cell>
          <cell r="C3" t="str">
            <v>AGUA MICELAR 120ML</v>
          </cell>
          <cell r="D3" t="str">
            <v>7899032208132</v>
          </cell>
          <cell r="E3" t="str">
            <v>3401.30.00</v>
          </cell>
        </row>
        <row r="4">
          <cell r="A4">
            <v>8</v>
          </cell>
          <cell r="B4" t="str">
            <v>AGULHA CAN INS 31G 5MM CX10</v>
          </cell>
          <cell r="C4" t="str">
            <v>AGULHA CAN INS 31G 5MM CX10</v>
          </cell>
          <cell r="D4" t="str">
            <v>7898919506224</v>
          </cell>
          <cell r="E4" t="str">
            <v>9018.32.19</v>
          </cell>
        </row>
        <row r="5">
          <cell r="A5">
            <v>9</v>
          </cell>
          <cell r="B5" t="str">
            <v>BOTAIMOBILIZADORAROBOCOPINFESTAMPADO</v>
          </cell>
          <cell r="C5" t="str">
            <v>BOTAIMOBILIZADORAROBOCOPINFESTAMPADO</v>
          </cell>
          <cell r="D5" t="str">
            <v>7898452523146</v>
          </cell>
          <cell r="E5" t="str">
            <v>9021.10.10</v>
          </cell>
        </row>
        <row r="6">
          <cell r="A6">
            <v>10</v>
          </cell>
          <cell r="B6" t="str">
            <v>BOTAIMOBILIZADORASUPERCURTAPRETOP</v>
          </cell>
          <cell r="C6" t="str">
            <v>BOTAIMOBILIZADORASUPERCURTAPRETOP</v>
          </cell>
          <cell r="D6" t="str">
            <v/>
          </cell>
          <cell r="E6" t="str">
            <v>9021.10.10</v>
          </cell>
        </row>
        <row r="7">
          <cell r="A7">
            <v>11</v>
          </cell>
          <cell r="B7" t="str">
            <v>BOTAIMOBILIZADORASUPERLONGAMSHIMPAX</v>
          </cell>
          <cell r="C7" t="str">
            <v>BOTAIMOBILIZADORASUPERLONGAMSHIMPAX</v>
          </cell>
          <cell r="D7" t="str">
            <v/>
          </cell>
          <cell r="E7" t="str">
            <v>9021.10.10</v>
          </cell>
        </row>
        <row r="8">
          <cell r="A8">
            <v>12</v>
          </cell>
          <cell r="B8" t="str">
            <v>BOTAIMOBILIZADORASUPERLONGAPSHIMPAX</v>
          </cell>
          <cell r="C8" t="str">
            <v>BOTAIMOBILIZADORASUPERLONGAPSHIMPAX</v>
          </cell>
          <cell r="D8" t="str">
            <v>1000000572216</v>
          </cell>
          <cell r="E8" t="str">
            <v>9021.10.10</v>
          </cell>
        </row>
        <row r="9">
          <cell r="A9">
            <v>13</v>
          </cell>
          <cell r="B9" t="str">
            <v>BRACADEIRA WATCHBPHOME A G 32X42 ADULTO</v>
          </cell>
          <cell r="C9" t="str">
            <v>BRACADEIRA WATCHBPHOME A G 32X42 ADULTO</v>
          </cell>
          <cell r="D9" t="str">
            <v>1000000597516</v>
          </cell>
          <cell r="E9" t="str">
            <v>9018.90.69</v>
          </cell>
        </row>
        <row r="10">
          <cell r="A10">
            <v>14</v>
          </cell>
          <cell r="B10" t="str">
            <v>BRACADEIRA WATCHBPHOMEA G-X G32X52 ADULT</v>
          </cell>
          <cell r="C10" t="str">
            <v>BRACADEIRA WATCHBPHOMEA G-X G32X52 ADULT</v>
          </cell>
          <cell r="D10" t="str">
            <v>1000000597615</v>
          </cell>
          <cell r="E10" t="str">
            <v>9018.90.69</v>
          </cell>
        </row>
        <row r="11">
          <cell r="A11">
            <v>15</v>
          </cell>
          <cell r="B11" t="str">
            <v>BRACADEIRA WATCHBPHOMEA P 17X22 ADULTO</v>
          </cell>
          <cell r="C11" t="str">
            <v>BRACADEIRA WATCHBPHOMEA P 17X22 ADULTO</v>
          </cell>
          <cell r="D11" t="str">
            <v>1000000597417</v>
          </cell>
          <cell r="E11" t="str">
            <v>9018.90.69</v>
          </cell>
        </row>
        <row r="12">
          <cell r="A12">
            <v>16</v>
          </cell>
          <cell r="B12" t="str">
            <v>BRACADEIRA WATCHBPO3 AFIB G-XG 32X52ADUL</v>
          </cell>
          <cell r="C12" t="str">
            <v>BRACADEIRA WATCHBPO3 AFIB G-XG 32X52ADUL</v>
          </cell>
          <cell r="D12" t="str">
            <v>1000000597813</v>
          </cell>
          <cell r="E12" t="str">
            <v>9018.90.69</v>
          </cell>
        </row>
        <row r="13">
          <cell r="A13">
            <v>17</v>
          </cell>
          <cell r="B13" t="str">
            <v>BRACADEIRA WATCHBPO3 AFIB P 17X22 ADULTO</v>
          </cell>
          <cell r="C13" t="str">
            <v>BRACADEIRA WATCHBPO3 AFIB P 17X22 ADULTO</v>
          </cell>
          <cell r="D13" t="str">
            <v>1000000597714</v>
          </cell>
          <cell r="E13" t="str">
            <v>9018.90.69</v>
          </cell>
        </row>
        <row r="14">
          <cell r="A14">
            <v>18</v>
          </cell>
          <cell r="B14" t="str">
            <v>CABO USB MONITOR OCP</v>
          </cell>
          <cell r="C14" t="str">
            <v>CABO USB MONITOR OCP</v>
          </cell>
          <cell r="D14" t="str">
            <v>1000000593815</v>
          </cell>
          <cell r="E14" t="str">
            <v>8544.42.00</v>
          </cell>
        </row>
        <row r="15">
          <cell r="A15">
            <v>19</v>
          </cell>
          <cell r="B15" t="str">
            <v>AGUL CAN INS 32G 4MM 100UN SC/10 IPN3204</v>
          </cell>
          <cell r="C15" t="str">
            <v>AGUL CAN INS 32G 4MM 100UN SC/10 IPN3204</v>
          </cell>
          <cell r="D15" t="str">
            <v>7908007905126</v>
          </cell>
          <cell r="E15" t="str">
            <v>9018.32.19</v>
          </cell>
        </row>
        <row r="16">
          <cell r="A16">
            <v>20</v>
          </cell>
          <cell r="B16" t="str">
            <v>CADEIRA HIPERTENSAO MILLA ACOSKY</v>
          </cell>
          <cell r="C16" t="str">
            <v>CADEIRA HIPERTENSAO MILLA ACOSKY</v>
          </cell>
          <cell r="D16" t="str">
            <v>1000000156010</v>
          </cell>
          <cell r="E16" t="str">
            <v>9403.90.90</v>
          </cell>
        </row>
        <row r="17">
          <cell r="A17">
            <v>21</v>
          </cell>
          <cell r="B17" t="str">
            <v>CADEIRA HIPERTENSAO APA CAD001</v>
          </cell>
          <cell r="C17" t="str">
            <v>CADEIRA HIPERTENSAO APA CAD001</v>
          </cell>
          <cell r="D17" t="str">
            <v>7891746029614</v>
          </cell>
          <cell r="E17" t="str">
            <v>9018.90.69</v>
          </cell>
        </row>
        <row r="18">
          <cell r="A18">
            <v>22</v>
          </cell>
          <cell r="B18" t="str">
            <v>CADEIRA HIPERTENSAO CHAIR 01</v>
          </cell>
          <cell r="C18" t="str">
            <v>CADEIRA HIPERTENSAO CHAIR 01</v>
          </cell>
          <cell r="D18" t="str">
            <v/>
          </cell>
          <cell r="E18" t="str">
            <v>9401.69.00</v>
          </cell>
        </row>
        <row r="19">
          <cell r="A19">
            <v>23</v>
          </cell>
          <cell r="B19" t="str">
            <v>CADEIRA HIPERTENSAO CHAIR 02</v>
          </cell>
          <cell r="C19" t="str">
            <v>CADEIRA HIPERTENSAO CHAIR 02</v>
          </cell>
          <cell r="D19" t="str">
            <v/>
          </cell>
          <cell r="E19" t="str">
            <v>9403.30.00</v>
          </cell>
        </row>
        <row r="20">
          <cell r="A20">
            <v>24</v>
          </cell>
          <cell r="B20" t="str">
            <v>CAIXA DOBRAVEL PAPEL NAO ONDULADO</v>
          </cell>
          <cell r="C20" t="str">
            <v>CAIXA DOBRAVEL PAPEL NAO ONDULADO</v>
          </cell>
          <cell r="D20" t="str">
            <v/>
          </cell>
          <cell r="E20" t="str">
            <v>4819.20.00</v>
          </cell>
        </row>
        <row r="21">
          <cell r="A21">
            <v>25</v>
          </cell>
          <cell r="B21" t="str">
            <v>CAIXA VEROM TAM M</v>
          </cell>
          <cell r="C21" t="str">
            <v>CAIXA VEROM TAM M</v>
          </cell>
          <cell r="D21" t="str">
            <v>1000000001129</v>
          </cell>
          <cell r="E21" t="str">
            <v>4819.20.00</v>
          </cell>
        </row>
        <row r="22">
          <cell r="A22">
            <v>26</v>
          </cell>
          <cell r="B22" t="str">
            <v>CALCACINTASPERNAABERTALATERALCHOCPP</v>
          </cell>
          <cell r="C22" t="str">
            <v>CALCACINTASPERNAABERTALATERALCHOCPP</v>
          </cell>
          <cell r="D22" t="str">
            <v/>
          </cell>
          <cell r="E22" t="str">
            <v>6212.10.00</v>
          </cell>
        </row>
        <row r="23">
          <cell r="A23">
            <v>27</v>
          </cell>
          <cell r="B23" t="str">
            <v>CALCALEGGINGLONGATECIDOBIOATIVOPRETAP</v>
          </cell>
          <cell r="C23" t="str">
            <v>CALCALEGGINGLONGATECIDOBIOATIVOPRETAP</v>
          </cell>
          <cell r="D23" t="str">
            <v/>
          </cell>
          <cell r="E23" t="str">
            <v>6212.10.00</v>
          </cell>
        </row>
        <row r="24">
          <cell r="A24">
            <v>28</v>
          </cell>
          <cell r="B24" t="str">
            <v>CALCALEGGINGLONGATECIDOBIOATIVOPRETAPP</v>
          </cell>
          <cell r="C24" t="str">
            <v>CALCALEGGINGLONGATECIDOBIOATIVOPRETAPP</v>
          </cell>
          <cell r="D24" t="str">
            <v/>
          </cell>
          <cell r="E24" t="str">
            <v>6212.10.00</v>
          </cell>
        </row>
        <row r="25">
          <cell r="A25">
            <v>29</v>
          </cell>
          <cell r="B25" t="str">
            <v>CALCALEGGINGLONGATECIDOBIOATIVOPRETAXP</v>
          </cell>
          <cell r="C25" t="str">
            <v>CALCALEGGINGLONGATECIDOBIOATIVOPRETAXP</v>
          </cell>
          <cell r="D25" t="str">
            <v/>
          </cell>
          <cell r="E25" t="str">
            <v>6212.10.00</v>
          </cell>
        </row>
        <row r="26">
          <cell r="A26">
            <v>30</v>
          </cell>
          <cell r="B26" t="str">
            <v>AGUL CAN INS 32G 5MM 100UN SC/10 IPN3205</v>
          </cell>
          <cell r="C26" t="str">
            <v>AGUL CAN INS 32G 5MM 100UN SC/10 IPN3205</v>
          </cell>
          <cell r="D26" t="str">
            <v>7908007905133</v>
          </cell>
          <cell r="E26" t="str">
            <v>9018.32.19</v>
          </cell>
        </row>
        <row r="27">
          <cell r="A27">
            <v>31</v>
          </cell>
          <cell r="B27" t="str">
            <v>CALCAPLASTICAINCONTCOMBOTAO48/50</v>
          </cell>
          <cell r="C27" t="str">
            <v>CALCAPLASTICAINCONTCOMBOTAO48/50</v>
          </cell>
          <cell r="D27" t="str">
            <v>7898935899492</v>
          </cell>
          <cell r="E27" t="str">
            <v>3926.20.00</v>
          </cell>
        </row>
        <row r="28">
          <cell r="A28">
            <v>32</v>
          </cell>
          <cell r="B28" t="str">
            <v>CALCAPLASTICAINCONTCOMBOTAO52/54</v>
          </cell>
          <cell r="C28" t="str">
            <v>CALCAPLASTICAINCONTCOMBOTAO52/54</v>
          </cell>
          <cell r="D28" t="str">
            <v>7898935899614</v>
          </cell>
          <cell r="E28" t="str">
            <v>3926.20.00</v>
          </cell>
        </row>
        <row r="29">
          <cell r="A29">
            <v>33</v>
          </cell>
          <cell r="B29" t="str">
            <v>CALCAPLASTICAINCONTSEMBOTAO44</v>
          </cell>
          <cell r="C29" t="str">
            <v>CALCAPLASTICAINCONTSEMBOTAO44</v>
          </cell>
          <cell r="D29" t="str">
            <v>1000000581010</v>
          </cell>
          <cell r="E29" t="str">
            <v>3926.20.00</v>
          </cell>
        </row>
        <row r="30">
          <cell r="A30">
            <v>34</v>
          </cell>
          <cell r="B30" t="str">
            <v>CALCAPLASTICASEMBOTAOSTANDARDG</v>
          </cell>
          <cell r="C30" t="str">
            <v>CALCAPLASTICASEMBOTAOSTANDARDG</v>
          </cell>
          <cell r="D30" t="str">
            <v>7898568930302</v>
          </cell>
          <cell r="E30" t="str">
            <v>6114.30.00</v>
          </cell>
        </row>
        <row r="31">
          <cell r="A31">
            <v>35</v>
          </cell>
          <cell r="B31" t="str">
            <v>CALCADOORTESESANNABEMSTEPPERPRETO34</v>
          </cell>
          <cell r="C31" t="str">
            <v>CALCADOORTESESANNABEMSTEPPERPRETO34</v>
          </cell>
          <cell r="D31" t="str">
            <v>1000000551815</v>
          </cell>
          <cell r="E31" t="str">
            <v>9021.10.10</v>
          </cell>
        </row>
        <row r="32">
          <cell r="A32">
            <v>36</v>
          </cell>
          <cell r="B32" t="str">
            <v>CALCADOORTESESANNABEMSTEPPERPRETO35</v>
          </cell>
          <cell r="C32" t="str">
            <v>CALCADOORTESESANNABEMSTEPPERPRETO35</v>
          </cell>
          <cell r="D32" t="str">
            <v>1000000551914</v>
          </cell>
          <cell r="E32" t="str">
            <v>9021.10.10</v>
          </cell>
        </row>
        <row r="33">
          <cell r="A33">
            <v>37</v>
          </cell>
          <cell r="B33" t="str">
            <v>CALCADOORTESESANNABEMSTEPPERPRETO36</v>
          </cell>
          <cell r="C33" t="str">
            <v>CALCADOORTESESANNABEMSTEPPERPRETO36</v>
          </cell>
          <cell r="D33" t="str">
            <v>1000000552119</v>
          </cell>
          <cell r="E33" t="str">
            <v>9021.10.10</v>
          </cell>
        </row>
        <row r="34">
          <cell r="A34">
            <v>38</v>
          </cell>
          <cell r="B34" t="str">
            <v>CALCADOORTESESANNABEMSTEPPERPRETO37</v>
          </cell>
          <cell r="C34" t="str">
            <v>CALCADOORTESESANNABEMSTEPPERPRETO37</v>
          </cell>
          <cell r="D34" t="str">
            <v>1000000552010</v>
          </cell>
          <cell r="E34" t="str">
            <v>9021.10.10</v>
          </cell>
        </row>
        <row r="35">
          <cell r="A35">
            <v>39</v>
          </cell>
          <cell r="B35" t="str">
            <v>CALCADOORTESESANNABEMSTEPPERPRETO38</v>
          </cell>
          <cell r="C35" t="str">
            <v>CALCADOORTESESANNABEMSTEPPERPRETO38</v>
          </cell>
          <cell r="D35" t="str">
            <v>1000000552218</v>
          </cell>
          <cell r="E35" t="str">
            <v>9021.10.10</v>
          </cell>
        </row>
        <row r="36">
          <cell r="A36">
            <v>40</v>
          </cell>
          <cell r="B36" t="str">
            <v>CALCADOORTESESANNABEMSTEPPERPRETO39</v>
          </cell>
          <cell r="C36" t="str">
            <v>CALCADOORTESESANNABEMSTEPPERPRETO39</v>
          </cell>
          <cell r="D36" t="str">
            <v>1000000552317</v>
          </cell>
          <cell r="E36" t="str">
            <v>9021.10.10</v>
          </cell>
        </row>
        <row r="37">
          <cell r="A37">
            <v>41</v>
          </cell>
          <cell r="B37" t="str">
            <v>AGULHA CAN INS 32G 4MM CX10</v>
          </cell>
          <cell r="C37" t="str">
            <v>AGULHA CAN INS 32G 4MM CX10</v>
          </cell>
          <cell r="D37" t="str">
            <v>7898919506095</v>
          </cell>
          <cell r="E37" t="str">
            <v>9018.32.19</v>
          </cell>
        </row>
        <row r="38">
          <cell r="A38">
            <v>42</v>
          </cell>
          <cell r="B38" t="str">
            <v>CALCADOORTESESANNABEMSTEPPERPRETO40</v>
          </cell>
          <cell r="C38" t="str">
            <v>CALCADOORTESESANNABEMSTEPPERPRETO40</v>
          </cell>
          <cell r="D38" t="str">
            <v>1000000552416</v>
          </cell>
          <cell r="E38" t="str">
            <v>9021.10.10</v>
          </cell>
        </row>
        <row r="39">
          <cell r="A39">
            <v>43</v>
          </cell>
          <cell r="B39" t="str">
            <v>CALCADOORTESESANNABEMSTEPPERPRETO41</v>
          </cell>
          <cell r="C39" t="str">
            <v>CALCADOORTESESANNABEMSTEPPERPRETO41</v>
          </cell>
          <cell r="D39" t="str">
            <v>1000000552515</v>
          </cell>
          <cell r="E39" t="str">
            <v>9021.10.10</v>
          </cell>
        </row>
        <row r="40">
          <cell r="A40">
            <v>44</v>
          </cell>
          <cell r="B40" t="str">
            <v>CALCADOORTESESANNABEMSTEPPERPRETO42</v>
          </cell>
          <cell r="C40" t="str">
            <v>CALCADOORTESESANNABEMSTEPPERPRETO42</v>
          </cell>
          <cell r="D40" t="str">
            <v>1000000552614</v>
          </cell>
          <cell r="E40" t="str">
            <v>9021.10.10</v>
          </cell>
        </row>
        <row r="41">
          <cell r="A41">
            <v>45</v>
          </cell>
          <cell r="B41" t="str">
            <v>CALCADOORTESESANNABEMSTEPPERPRETO43</v>
          </cell>
          <cell r="C41" t="str">
            <v>CALCADOORTESESANNABEMSTEPPERPRETO43</v>
          </cell>
          <cell r="D41" t="str">
            <v>1000000552713</v>
          </cell>
          <cell r="E41" t="str">
            <v>9021.10.10</v>
          </cell>
        </row>
        <row r="42">
          <cell r="A42">
            <v>46</v>
          </cell>
          <cell r="B42" t="str">
            <v>CALCADOORTESESANNABEMSTEPPERPRETO45</v>
          </cell>
          <cell r="C42" t="str">
            <v>CALCADOORTESESANNABEMSTEPPERPRETO45</v>
          </cell>
          <cell r="D42" t="str">
            <v>1000000552911</v>
          </cell>
          <cell r="E42" t="str">
            <v>9021.10.10</v>
          </cell>
        </row>
        <row r="43">
          <cell r="A43">
            <v>47</v>
          </cell>
          <cell r="B43" t="str">
            <v>CAMPO OPERATORIO 45X50CM 17G COMRX PC50</v>
          </cell>
          <cell r="C43" t="str">
            <v>CAMPO OPERATORIO 45X50CM 17G COMRX PC50</v>
          </cell>
          <cell r="D43" t="str">
            <v>7898361300036</v>
          </cell>
          <cell r="E43" t="str">
            <v>3005.90.90</v>
          </cell>
        </row>
        <row r="44">
          <cell r="A44">
            <v>48</v>
          </cell>
          <cell r="B44" t="str">
            <v>CAMPO OPERATORIO 45X50CM 17G SEMRX PC50</v>
          </cell>
          <cell r="C44" t="str">
            <v>CAMPO OPERATORIO 45X50CM 17G SEMRX PC50</v>
          </cell>
          <cell r="D44" t="str">
            <v>7898361300043</v>
          </cell>
          <cell r="E44" t="str">
            <v>3005.90.90</v>
          </cell>
        </row>
        <row r="45">
          <cell r="A45">
            <v>49</v>
          </cell>
          <cell r="B45" t="str">
            <v>CAMPO OPERATORIO 45X50CM 18G COMRX PC50</v>
          </cell>
          <cell r="C45" t="str">
            <v>CAMPO OPERATORIO 45X50CM 18G COMRX PC50</v>
          </cell>
          <cell r="D45" t="str">
            <v>7898914865333</v>
          </cell>
          <cell r="E45" t="str">
            <v>3005.90.90</v>
          </cell>
        </row>
        <row r="46">
          <cell r="A46">
            <v>50</v>
          </cell>
          <cell r="B46" t="str">
            <v>CAMPO OPERATORIO 45X50CM 25GCOMRXPC50</v>
          </cell>
          <cell r="C46" t="str">
            <v>CAMPO OPERATORIO 45X50CM 25GCOMRXPC50</v>
          </cell>
          <cell r="D46" t="str">
            <v/>
          </cell>
          <cell r="E46" t="str">
            <v>3005.90.90</v>
          </cell>
        </row>
        <row r="47">
          <cell r="A47">
            <v>51</v>
          </cell>
          <cell r="B47" t="str">
            <v>CAPAELASTICAREVESTIDASILICONE369XL</v>
          </cell>
          <cell r="C47" t="str">
            <v>CAPAELASTICAREVESTIDASILICONE369XL</v>
          </cell>
          <cell r="D47" t="str">
            <v>7297046112146</v>
          </cell>
          <cell r="E47" t="str">
            <v>6406.90.20</v>
          </cell>
        </row>
        <row r="48">
          <cell r="A48">
            <v>52</v>
          </cell>
          <cell r="B48" t="str">
            <v>AGULHA CAN INS 4MM 31G0.25X4MMIPN31-04</v>
          </cell>
          <cell r="C48" t="str">
            <v>AGULHA CAN INS 4MM 31G0.25X4MMIPN31-04</v>
          </cell>
          <cell r="D48" t="str">
            <v>7908007903900</v>
          </cell>
          <cell r="E48" t="str">
            <v>9018.32.19</v>
          </cell>
        </row>
        <row r="49">
          <cell r="A49">
            <v>53</v>
          </cell>
          <cell r="B49" t="str">
            <v>CAPA REMOVIVEL COLCHAO J001C</v>
          </cell>
          <cell r="C49" t="str">
            <v>CAPA REMOVIVEL COLCHAO J001C</v>
          </cell>
          <cell r="D49" t="str">
            <v>7908007900404</v>
          </cell>
          <cell r="E49" t="str">
            <v>9404.90.00</v>
          </cell>
        </row>
        <row r="50">
          <cell r="A50">
            <v>54</v>
          </cell>
          <cell r="B50" t="str">
            <v>CARREGADORBATERIANACIONAL</v>
          </cell>
          <cell r="C50" t="str">
            <v>CARREGADORBATERIANACIONAL</v>
          </cell>
          <cell r="D50" t="str">
            <v/>
          </cell>
          <cell r="E50" t="str">
            <v>8504.40.10</v>
          </cell>
        </row>
        <row r="51">
          <cell r="A51">
            <v>55</v>
          </cell>
          <cell r="B51" t="str">
            <v>CHIPCALIBRADORCODIFICADORMPS-001</v>
          </cell>
          <cell r="C51" t="str">
            <v>CHIPCALIBRADORCODIFICADORMPS-001</v>
          </cell>
          <cell r="D51" t="str">
            <v>1000000385717</v>
          </cell>
          <cell r="E51" t="str">
            <v>9027.90.99</v>
          </cell>
        </row>
        <row r="52">
          <cell r="A52">
            <v>56</v>
          </cell>
          <cell r="B52" t="str">
            <v>CINTAACTIVITYCSUSP187-00PRTSALVAPE</v>
          </cell>
          <cell r="C52" t="str">
            <v>CINTAACTIVITYCSUSP187-00PRTSALVAPE</v>
          </cell>
          <cell r="D52" t="str">
            <v>7891746028785</v>
          </cell>
          <cell r="E52" t="str">
            <v>9021.10.10</v>
          </cell>
        </row>
        <row r="53">
          <cell r="A53">
            <v>57</v>
          </cell>
          <cell r="B53" t="str">
            <v>CINTAMODELADAMARELOUKSN062-AMKESTAL</v>
          </cell>
          <cell r="C53" t="str">
            <v>CINTAMODELADAMARELOUKSN062-AMKESTAL</v>
          </cell>
          <cell r="D53" t="str">
            <v>7898601063516</v>
          </cell>
          <cell r="E53" t="str">
            <v>9021.10.10</v>
          </cell>
        </row>
        <row r="54">
          <cell r="A54">
            <v>58</v>
          </cell>
          <cell r="B54" t="str">
            <v>CINTAMODELADCORALUKSN062-CRKESTAL</v>
          </cell>
          <cell r="C54" t="str">
            <v>CINTAMODELADCORALUKSN062-CRKESTAL</v>
          </cell>
          <cell r="D54" t="str">
            <v>7898601063523</v>
          </cell>
          <cell r="E54" t="str">
            <v>9021.10.10</v>
          </cell>
        </row>
        <row r="55">
          <cell r="A55">
            <v>59</v>
          </cell>
          <cell r="B55" t="str">
            <v>CINTAMODELADPINKUKSN062-PKKESTAL</v>
          </cell>
          <cell r="C55" t="str">
            <v>CINTAMODELADPINKUKSN062-PKKESTAL</v>
          </cell>
          <cell r="D55" t="str">
            <v>7898601063530</v>
          </cell>
          <cell r="E55" t="str">
            <v>9021.10.10</v>
          </cell>
        </row>
        <row r="56">
          <cell r="A56">
            <v>60</v>
          </cell>
          <cell r="B56" t="str">
            <v>CINTASEGTRABSUSPENSPRETAGG127PGG</v>
          </cell>
          <cell r="C56" t="str">
            <v>CINTASEGTRABSUSPENSPRETAGG127PGG</v>
          </cell>
          <cell r="D56" t="str">
            <v/>
          </cell>
          <cell r="E56" t="str">
            <v>9021.10.10</v>
          </cell>
        </row>
        <row r="57">
          <cell r="A57">
            <v>61</v>
          </cell>
          <cell r="B57" t="str">
            <v>CINTAPOSTURALFITESTREITA166-03PSALVAPE</v>
          </cell>
          <cell r="C57" t="str">
            <v>CINTAPOSTURALFITESTREITA166-03PSALVAPE</v>
          </cell>
          <cell r="D57" t="str">
            <v>7891746042279</v>
          </cell>
          <cell r="E57" t="str">
            <v>9021.10.10</v>
          </cell>
        </row>
        <row r="58">
          <cell r="A58">
            <v>62</v>
          </cell>
          <cell r="B58" t="str">
            <v>CINTAPOSTURALFITESTREITA166-04MSALVAPE</v>
          </cell>
          <cell r="C58" t="str">
            <v>CINTAPOSTURALFITESTREITA166-04MSALVAPE</v>
          </cell>
          <cell r="D58" t="str">
            <v>7891746042286</v>
          </cell>
          <cell r="E58" t="str">
            <v>9021.10.10</v>
          </cell>
        </row>
        <row r="59">
          <cell r="A59">
            <v>63</v>
          </cell>
          <cell r="B59" t="str">
            <v>AGULHA CAN INS 4MM 32G0.23X4MMIPN32-04</v>
          </cell>
          <cell r="C59" t="str">
            <v>AGULHA CAN INS 4MM 32G0.23X4MMIPN32-04</v>
          </cell>
          <cell r="D59" t="str">
            <v>7908007903948</v>
          </cell>
          <cell r="E59" t="str">
            <v>9018.32.19</v>
          </cell>
        </row>
        <row r="60">
          <cell r="A60">
            <v>64</v>
          </cell>
          <cell r="B60" t="str">
            <v>CINTAPOSTURALFITESTREITA166-05GSALVAPE</v>
          </cell>
          <cell r="C60" t="str">
            <v>CINTAPOSTURALFITESTREITA166-05GSALVAPE</v>
          </cell>
          <cell r="D60" t="str">
            <v>7891746042293</v>
          </cell>
          <cell r="E60" t="str">
            <v>9021.10.10</v>
          </cell>
        </row>
        <row r="61">
          <cell r="A61">
            <v>65</v>
          </cell>
          <cell r="B61" t="str">
            <v>CINTAPOSTURALFITESTREITA166-06XGSALVAPE</v>
          </cell>
          <cell r="C61" t="str">
            <v>CINTAPOSTURALFITESTREITA166-06XGSALVAPE</v>
          </cell>
          <cell r="D61" t="str">
            <v>7891746042309</v>
          </cell>
          <cell r="E61" t="str">
            <v>9021.10.10</v>
          </cell>
        </row>
        <row r="62">
          <cell r="A62">
            <v>66</v>
          </cell>
          <cell r="B62" t="str">
            <v>CINTAPOSTURALFITLARGA166-13PSALVAPE</v>
          </cell>
          <cell r="C62" t="str">
            <v>CINTAPOSTURALFITLARGA166-13PSALVAPE</v>
          </cell>
          <cell r="D62" t="str">
            <v>7891746046130</v>
          </cell>
          <cell r="E62" t="str">
            <v>9021.10.10</v>
          </cell>
        </row>
        <row r="63">
          <cell r="A63">
            <v>67</v>
          </cell>
          <cell r="B63" t="str">
            <v>CINTAPOSTURALFITLARGA166-14MSALVAPE</v>
          </cell>
          <cell r="C63" t="str">
            <v>CINTAPOSTURALFITLARGA166-14MSALVAPE</v>
          </cell>
          <cell r="D63" t="str">
            <v>7891746042354</v>
          </cell>
          <cell r="E63" t="str">
            <v>9021.10.10</v>
          </cell>
        </row>
        <row r="64">
          <cell r="A64">
            <v>68</v>
          </cell>
          <cell r="B64" t="str">
            <v>CINTAPOSTURALFITLARGA166-15GSALVAPE</v>
          </cell>
          <cell r="C64" t="str">
            <v>CINTAPOSTURALFITLARGA166-15GSALVAPE</v>
          </cell>
          <cell r="D64" t="str">
            <v>7891746042408</v>
          </cell>
          <cell r="E64" t="str">
            <v>9021.10.10</v>
          </cell>
        </row>
        <row r="65">
          <cell r="A65">
            <v>69</v>
          </cell>
          <cell r="B65" t="str">
            <v>CINTAPOSTURALFITLARGA166-16XGSALVAPE</v>
          </cell>
          <cell r="C65" t="str">
            <v>CINTAPOSTURALFITLARGA166-16XGSALVAPE</v>
          </cell>
          <cell r="D65" t="str">
            <v>7891746042378</v>
          </cell>
          <cell r="E65" t="str">
            <v>9021.10.10</v>
          </cell>
        </row>
        <row r="66">
          <cell r="A66">
            <v>70</v>
          </cell>
          <cell r="B66" t="str">
            <v>CINTAPROTETCOSTACINTURAPRETOKSN061P</v>
          </cell>
          <cell r="C66" t="str">
            <v>CINTAPROTETCOSTACINTURAPRETOKSN061P</v>
          </cell>
          <cell r="D66" t="str">
            <v>7898601063172</v>
          </cell>
          <cell r="E66" t="str">
            <v>9021.10.10</v>
          </cell>
        </row>
        <row r="67">
          <cell r="A67">
            <v>71</v>
          </cell>
          <cell r="B67" t="str">
            <v>CINTASEGTRABSUSPENSPRETAP127PGG</v>
          </cell>
          <cell r="C67" t="str">
            <v>CINTASEGTRABSUSPENSPRETAP127PGG</v>
          </cell>
          <cell r="D67" t="str">
            <v/>
          </cell>
          <cell r="E67" t="str">
            <v>9021.10.10</v>
          </cell>
        </row>
        <row r="68">
          <cell r="A68">
            <v>72</v>
          </cell>
          <cell r="B68" t="str">
            <v>COLAGENOHIDROLISADOCOMCHAVERDE300G</v>
          </cell>
          <cell r="C68" t="str">
            <v>COLAGENOHIDROLISADOCOMCHAVERDE300G</v>
          </cell>
          <cell r="D68" t="str">
            <v>7896874704600</v>
          </cell>
          <cell r="E68" t="str">
            <v>2106.90.30</v>
          </cell>
        </row>
        <row r="69">
          <cell r="A69">
            <v>73</v>
          </cell>
          <cell r="B69" t="str">
            <v>COLAGENOHIDROLISADOCOMGOJIBERRY300G</v>
          </cell>
          <cell r="C69" t="str">
            <v>COLAGENOHIDROLISADOCOMGOJIBERRY300G</v>
          </cell>
          <cell r="D69" t="str">
            <v>7896874704587</v>
          </cell>
          <cell r="E69" t="str">
            <v>2106.90.30</v>
          </cell>
        </row>
        <row r="70">
          <cell r="A70">
            <v>74</v>
          </cell>
          <cell r="B70" t="str">
            <v>AGULHA CAN INS 5MM 32G0.23X5MMIPN32-05</v>
          </cell>
          <cell r="C70" t="str">
            <v>AGULHA CAN INS 5MM 32G0.23X5MMIPN32-05</v>
          </cell>
          <cell r="D70" t="str">
            <v>7908007903955</v>
          </cell>
          <cell r="E70" t="str">
            <v>9018.32.19</v>
          </cell>
        </row>
        <row r="71">
          <cell r="A71">
            <v>75</v>
          </cell>
          <cell r="B71" t="str">
            <v>COLAGENOHIDROLISADOCOMHIBISCO300G</v>
          </cell>
          <cell r="C71" t="str">
            <v>COLAGENOHIDROLISADOCOMHIBISCO300G</v>
          </cell>
          <cell r="D71" t="str">
            <v>7896874704617</v>
          </cell>
          <cell r="E71" t="str">
            <v>2106.90.30</v>
          </cell>
        </row>
        <row r="72">
          <cell r="A72">
            <v>76</v>
          </cell>
          <cell r="B72" t="str">
            <v>COLAGENOHIDROLISADOCRANBERRY300G</v>
          </cell>
          <cell r="C72" t="str">
            <v>COLAGENOHIDROLISADOCRANBERRY300G</v>
          </cell>
          <cell r="D72" t="str">
            <v>7896874704594</v>
          </cell>
          <cell r="E72" t="str">
            <v>2106.90.30</v>
          </cell>
        </row>
        <row r="73">
          <cell r="A73">
            <v>77</v>
          </cell>
          <cell r="B73" t="str">
            <v>COLAGENOTIPO2-30CAPS</v>
          </cell>
          <cell r="C73" t="str">
            <v>COLAGENOTIPO2-30CAPS</v>
          </cell>
          <cell r="D73" t="str">
            <v>7896874704037</v>
          </cell>
          <cell r="E73" t="str">
            <v>2106.90.29</v>
          </cell>
        </row>
        <row r="74">
          <cell r="A74">
            <v>78</v>
          </cell>
          <cell r="B74" t="str">
            <v>COLAGENOTIPO2-60CAPS</v>
          </cell>
          <cell r="C74" t="str">
            <v>COLAGENOTIPO2-60CAPS</v>
          </cell>
          <cell r="D74" t="str">
            <v>7896874706352</v>
          </cell>
          <cell r="E74" t="str">
            <v>2106.90.29</v>
          </cell>
        </row>
        <row r="75">
          <cell r="A75">
            <v>79</v>
          </cell>
          <cell r="B75" t="str">
            <v>COLAGENOVERISOLSABORNEUTRO300G</v>
          </cell>
          <cell r="C75" t="str">
            <v>COLAGENOVERISOLSABORNEUTRO300G</v>
          </cell>
          <cell r="D75" t="str">
            <v>7896874704570</v>
          </cell>
          <cell r="E75" t="str">
            <v>2106.90.30</v>
          </cell>
        </row>
        <row r="76">
          <cell r="A76">
            <v>80</v>
          </cell>
          <cell r="B76" t="str">
            <v>COLARCERVICALAPOIOMENTONIANOP020</v>
          </cell>
          <cell r="C76" t="str">
            <v>COLARCERVICALAPOIOMENTONIANOP020</v>
          </cell>
          <cell r="D76" t="str">
            <v>7899515606806</v>
          </cell>
          <cell r="E76" t="str">
            <v>9021.10.10</v>
          </cell>
        </row>
        <row r="77">
          <cell r="A77">
            <v>81</v>
          </cell>
          <cell r="B77" t="str">
            <v>COLARCERVICALESPUMANOTAZULGGC120AZGG</v>
          </cell>
          <cell r="C77" t="str">
            <v>COLARCERVICALESPUMANOTAZULGGC120AZGG</v>
          </cell>
          <cell r="D77" t="str">
            <v>7898440160124</v>
          </cell>
          <cell r="E77" t="str">
            <v>9021.10.10</v>
          </cell>
        </row>
        <row r="78">
          <cell r="A78">
            <v>82</v>
          </cell>
          <cell r="B78" t="str">
            <v>COLARCERVICALESPUMANOTAZULPC120AZP</v>
          </cell>
          <cell r="C78" t="str">
            <v>COLARCERVICALESPUMANOTAZULPC120AZP</v>
          </cell>
          <cell r="D78" t="str">
            <v>7898440160094</v>
          </cell>
          <cell r="E78" t="str">
            <v>9021.10.10</v>
          </cell>
        </row>
        <row r="79">
          <cell r="A79">
            <v>83</v>
          </cell>
          <cell r="B79" t="str">
            <v>COLARCERVICALESPUMANOTAZULPPC120AZPP</v>
          </cell>
          <cell r="C79" t="str">
            <v>COLARCERVICALESPUMANOTAZULPPC120AZPP</v>
          </cell>
          <cell r="D79" t="str">
            <v>7898440160087</v>
          </cell>
          <cell r="E79" t="str">
            <v>9021.10.10</v>
          </cell>
        </row>
        <row r="80">
          <cell r="A80">
            <v>84</v>
          </cell>
          <cell r="B80" t="str">
            <v>COLARCERVICALPHILADELPHIACORIFICIOGG</v>
          </cell>
          <cell r="C80" t="str">
            <v>COLARCERVICALPHILADELPHIACORIFICIOGG</v>
          </cell>
          <cell r="D80" t="str">
            <v>7899515606684</v>
          </cell>
          <cell r="E80" t="str">
            <v>9021.10.10</v>
          </cell>
        </row>
        <row r="81">
          <cell r="A81">
            <v>85</v>
          </cell>
          <cell r="B81" t="str">
            <v>AGULHA CAN INS 6MM 31G0.25X6MMIPN31-06</v>
          </cell>
          <cell r="C81" t="str">
            <v>AGULHA CAN INS 6MM 31G0.25X6MMIPN31-06</v>
          </cell>
          <cell r="D81" t="str">
            <v>7908007903924</v>
          </cell>
          <cell r="E81" t="str">
            <v>9018.32.19</v>
          </cell>
        </row>
        <row r="82">
          <cell r="A82">
            <v>86</v>
          </cell>
          <cell r="B82" t="str">
            <v>COLARCERVICALPHILADELPHIACORIFICIOP040P</v>
          </cell>
          <cell r="C82" t="str">
            <v>COLARCERVICALPHILADELPHIACORIFICIOP040P</v>
          </cell>
          <cell r="D82" t="str">
            <v>7899515606653</v>
          </cell>
          <cell r="E82" t="str">
            <v>9021.10.10</v>
          </cell>
        </row>
        <row r="83">
          <cell r="A83">
            <v>87</v>
          </cell>
          <cell r="B83" t="str">
            <v>COLARCERVICALESPUMA051-03AZPSALVAPE</v>
          </cell>
          <cell r="C83" t="str">
            <v>COLARCERVICALESPUMA051-03AZPSALVAPE</v>
          </cell>
          <cell r="D83" t="str">
            <v>7891746041449</v>
          </cell>
          <cell r="E83" t="str">
            <v>9021.10.10</v>
          </cell>
        </row>
        <row r="84">
          <cell r="A84">
            <v>88</v>
          </cell>
          <cell r="B84" t="str">
            <v>COLARCERVICALESPUMA051-03PRPSALVAPE</v>
          </cell>
          <cell r="C84" t="str">
            <v>COLARCERVICALESPUMA051-03PRPSALVAPE</v>
          </cell>
          <cell r="D84" t="str">
            <v>7891746041487</v>
          </cell>
          <cell r="E84" t="str">
            <v>9021.10.10</v>
          </cell>
        </row>
        <row r="85">
          <cell r="A85">
            <v>89</v>
          </cell>
          <cell r="B85" t="str">
            <v>COLARCERVICALESPUMA051-04AZMSALVAPE</v>
          </cell>
          <cell r="C85" t="str">
            <v>COLARCERVICALESPUMA051-04AZMSALVAPE</v>
          </cell>
          <cell r="D85" t="str">
            <v>7891746041456</v>
          </cell>
          <cell r="E85" t="str">
            <v>9021.10.10</v>
          </cell>
        </row>
        <row r="86">
          <cell r="A86">
            <v>90</v>
          </cell>
          <cell r="B86" t="str">
            <v>COLARSERVICALESPUMA051-04PRMSALVAPE</v>
          </cell>
          <cell r="C86" t="str">
            <v>COLARSERVICALESPUMA051-04PRMSALVAPE</v>
          </cell>
          <cell r="D86" t="str">
            <v>7891746033864</v>
          </cell>
          <cell r="E86" t="str">
            <v>9021.10.10</v>
          </cell>
        </row>
        <row r="87">
          <cell r="A87">
            <v>91</v>
          </cell>
          <cell r="B87" t="str">
            <v>COLARCERVICALESPUMA051-05AZGSALVAPE</v>
          </cell>
          <cell r="C87" t="str">
            <v>COLARCERVICALESPUMA051-05AZGSALVAPE</v>
          </cell>
          <cell r="D87" t="str">
            <v>7891746041463</v>
          </cell>
          <cell r="E87" t="str">
            <v>9021.10.10</v>
          </cell>
        </row>
        <row r="88">
          <cell r="A88">
            <v>92</v>
          </cell>
          <cell r="B88" t="str">
            <v>COLARSERVICALESPUMA051-05PRGSALVAPE</v>
          </cell>
          <cell r="C88" t="str">
            <v>COLARSERVICALESPUMA051-05PRGSALVAPE</v>
          </cell>
          <cell r="D88" t="str">
            <v>7891746041494</v>
          </cell>
          <cell r="E88" t="str">
            <v>9021.10.10</v>
          </cell>
        </row>
        <row r="89">
          <cell r="A89">
            <v>93</v>
          </cell>
          <cell r="B89" t="str">
            <v>COLCHAO LONA 2,5 DOMUS1 AVULSO APEX</v>
          </cell>
          <cell r="C89" t="str">
            <v>COLCHAO LONA 2,5 DOMUS1 AVULSO APEX</v>
          </cell>
          <cell r="D89" t="str">
            <v>1000000535129</v>
          </cell>
          <cell r="E89" t="str">
            <v>9404.29.00</v>
          </cell>
        </row>
        <row r="90">
          <cell r="A90">
            <v>94</v>
          </cell>
          <cell r="B90" t="str">
            <v>COLCHAO LONA AR4" DOMUS2 APEX</v>
          </cell>
          <cell r="C90" t="str">
            <v>COLCHAO LONA AR4" DOMUS2 APEX</v>
          </cell>
          <cell r="D90" t="str">
            <v>1047130250020</v>
          </cell>
          <cell r="E90" t="str">
            <v>9019.10.00</v>
          </cell>
        </row>
        <row r="91">
          <cell r="A91">
            <v>95</v>
          </cell>
          <cell r="B91" t="str">
            <v>COLCHAO LONA BORRACHA AVULSO J001</v>
          </cell>
          <cell r="C91" t="str">
            <v>COLCHAO LONA BORRACHA AVULSO J001</v>
          </cell>
          <cell r="D91" t="str">
            <v>1000000065923</v>
          </cell>
          <cell r="E91" t="str">
            <v>9404.29.00</v>
          </cell>
        </row>
        <row r="92">
          <cell r="A92">
            <v>96</v>
          </cell>
          <cell r="B92" t="str">
            <v>AGULHA CAN INS 6MM 32G0.23X6MMIPN32-06</v>
          </cell>
          <cell r="C92" t="str">
            <v>AGULHA CAN INS 6MM 32G0.23X6MMIPN32-06</v>
          </cell>
          <cell r="D92" t="str">
            <v>7908007903962</v>
          </cell>
          <cell r="E92" t="str">
            <v>9018.32.19</v>
          </cell>
        </row>
        <row r="93">
          <cell r="A93">
            <v>97</v>
          </cell>
          <cell r="B93" t="str">
            <v>COLCHAO LONA DE AR4" DOMUS 2S APEX</v>
          </cell>
          <cell r="C93" t="str">
            <v>COLCHAO LONA DE AR4" DOMUS 2S APEX</v>
          </cell>
          <cell r="D93" t="str">
            <v>1000000542516</v>
          </cell>
          <cell r="E93" t="str">
            <v>9019.10.00</v>
          </cell>
        </row>
        <row r="94">
          <cell r="A94">
            <v>98</v>
          </cell>
          <cell r="B94" t="str">
            <v>COLCHAO PRES ALTERN 120V/602,5" DOMUS 1</v>
          </cell>
          <cell r="C94" t="str">
            <v>COLCHAO PRES ALTERN 120V/602,5" DOMUS 1</v>
          </cell>
          <cell r="D94" t="str">
            <v>7908007904099</v>
          </cell>
          <cell r="E94" t="str">
            <v>9019.10.00</v>
          </cell>
        </row>
        <row r="95">
          <cell r="A95">
            <v>99</v>
          </cell>
          <cell r="B95" t="str">
            <v>COLCHAO PRES ALTERN 120V/604" DOMUS 2</v>
          </cell>
          <cell r="C95" t="str">
            <v>COLCHAO PRES ALTERN 120V/604" DOMUS 2</v>
          </cell>
          <cell r="D95" t="str">
            <v>7908007904112</v>
          </cell>
          <cell r="E95" t="str">
            <v>9019.10.00</v>
          </cell>
        </row>
        <row r="96">
          <cell r="A96">
            <v>100</v>
          </cell>
          <cell r="B96" t="str">
            <v>COLCHAO PRES ALTERN 100-120V/605"DOMUS2S</v>
          </cell>
          <cell r="C96" t="str">
            <v>COLCHAO PRES ALTERN 100-120V/605"DOMUS2S</v>
          </cell>
          <cell r="D96" t="str">
            <v>7908007904136</v>
          </cell>
          <cell r="E96" t="str">
            <v>9019.10.00</v>
          </cell>
        </row>
        <row r="97">
          <cell r="A97">
            <v>101</v>
          </cell>
          <cell r="B97" t="str">
            <v>COLCHAO PRESALTERN 220-240V/602,5"DOMUS1</v>
          </cell>
          <cell r="C97" t="str">
            <v>COLCHAO PRESALTERN 220-240V/602,5"DOMUS1</v>
          </cell>
          <cell r="D97" t="str">
            <v>7908007904105</v>
          </cell>
          <cell r="E97" t="str">
            <v>9019.10.00</v>
          </cell>
        </row>
        <row r="98">
          <cell r="A98">
            <v>102</v>
          </cell>
          <cell r="B98" t="str">
            <v>COLCHAO PRES ALTERN 220-240V/604" DOMUS2</v>
          </cell>
          <cell r="C98" t="str">
            <v>COLCHAO PRES ALTERN 220-240V/604" DOMUS2</v>
          </cell>
          <cell r="D98" t="str">
            <v>7908007904129</v>
          </cell>
          <cell r="E98" t="str">
            <v>9019.10.00</v>
          </cell>
        </row>
        <row r="99">
          <cell r="A99">
            <v>103</v>
          </cell>
          <cell r="B99" t="str">
            <v>COLCHAO PRES ALTERN 220-240V/605"DOMUS2S</v>
          </cell>
          <cell r="C99" t="str">
            <v>COLCHAO PRES ALTERN 220-240V/605"DOMUS2S</v>
          </cell>
          <cell r="D99" t="str">
            <v>7908007904143</v>
          </cell>
          <cell r="E99" t="str">
            <v>9019.10.00</v>
          </cell>
        </row>
        <row r="100">
          <cell r="A100">
            <v>104</v>
          </cell>
          <cell r="B100" t="str">
            <v>COLCHAO PRESALTERN BOLHAJ001 110VSEMCAPA</v>
          </cell>
          <cell r="C100" t="str">
            <v>COLCHAO PRESALTERN BOLHAJ001 110VSEMCAPA</v>
          </cell>
          <cell r="D100" t="str">
            <v>7899032201553</v>
          </cell>
          <cell r="E100" t="str">
            <v>9019.10.00</v>
          </cell>
        </row>
        <row r="101">
          <cell r="A101">
            <v>105</v>
          </cell>
          <cell r="B101" t="str">
            <v>COLCHAO PRESALTERN BOLHAJ001 220VSEMCAPA</v>
          </cell>
          <cell r="C101" t="str">
            <v>COLCHAO PRESALTERN BOLHAJ001 220VSEMCAPA</v>
          </cell>
          <cell r="D101" t="str">
            <v>7899032201706</v>
          </cell>
          <cell r="E101" t="str">
            <v>9019.10.00</v>
          </cell>
        </row>
        <row r="102">
          <cell r="A102">
            <v>106</v>
          </cell>
          <cell r="B102" t="str">
            <v>COLCHAO PRESALTERNBOLHAJ001 110VP</v>
          </cell>
          <cell r="C102" t="str">
            <v>COLCHAO PRESALTERNBOLHAJ001 110VP</v>
          </cell>
          <cell r="D102" t="str">
            <v>1000000383126</v>
          </cell>
          <cell r="E102" t="str">
            <v>9019.10.00</v>
          </cell>
        </row>
        <row r="103">
          <cell r="A103">
            <v>107</v>
          </cell>
          <cell r="B103" t="str">
            <v>AGULHA CAN INS 8MM 31G0.25X8MMIPN31-08</v>
          </cell>
          <cell r="C103" t="str">
            <v>AGULHA CAN INS 8MM 31G0.25X8MMIPN31-08</v>
          </cell>
          <cell r="D103" t="str">
            <v>7908007903931</v>
          </cell>
          <cell r="E103" t="str">
            <v>9018.32.19</v>
          </cell>
        </row>
        <row r="104">
          <cell r="A104">
            <v>108</v>
          </cell>
          <cell r="B104" t="str">
            <v>COLCHAO PRES ALTERN BOLHA J001 220VP</v>
          </cell>
          <cell r="C104" t="str">
            <v>COLCHAO PRES ALTERN BOLHA J001 220VP</v>
          </cell>
          <cell r="D104" t="str">
            <v>1000000383218</v>
          </cell>
          <cell r="E104" t="str">
            <v>9019.10.00</v>
          </cell>
        </row>
        <row r="105">
          <cell r="A105">
            <v>109</v>
          </cell>
          <cell r="B105" t="str">
            <v>COLCHAO PRESSAO LINEAR 110V J006</v>
          </cell>
          <cell r="C105" t="str">
            <v>COLCHAO PRESSAO LINEAR 110V J006</v>
          </cell>
          <cell r="D105" t="str">
            <v>7899032202529</v>
          </cell>
          <cell r="E105" t="str">
            <v>9021.10.10</v>
          </cell>
        </row>
        <row r="106">
          <cell r="A106">
            <v>110</v>
          </cell>
          <cell r="B106" t="str">
            <v>COLETEELASTICOPUTTIALTOM135M</v>
          </cell>
          <cell r="C106" t="str">
            <v>COLETEELASTICOPUTTIALTOM135M</v>
          </cell>
          <cell r="D106" t="str">
            <v>7898937861152</v>
          </cell>
          <cell r="E106" t="str">
            <v>9021.10.10</v>
          </cell>
        </row>
        <row r="107">
          <cell r="A107">
            <v>111</v>
          </cell>
          <cell r="B107" t="str">
            <v>COLETEELASTICOPUTTIALTOM</v>
          </cell>
          <cell r="C107" t="str">
            <v>COLETEELASTICOPUTTIALTOM</v>
          </cell>
          <cell r="D107" t="str">
            <v>7898601063967</v>
          </cell>
          <cell r="E107" t="str">
            <v>9021.10.10</v>
          </cell>
        </row>
        <row r="108">
          <cell r="A108">
            <v>112</v>
          </cell>
          <cell r="B108" t="str">
            <v>COLETEELASTICOPUTTIALTOTAMPGLC</v>
          </cell>
          <cell r="C108" t="str">
            <v>COLETEELASTICOPUTTIALTOTAMPGLC</v>
          </cell>
          <cell r="D108" t="str">
            <v>7898937861145</v>
          </cell>
          <cell r="E108" t="str">
            <v>9021.10.10</v>
          </cell>
        </row>
        <row r="109">
          <cell r="A109">
            <v>113</v>
          </cell>
          <cell r="B109" t="str">
            <v>COLETEELASTICOTIPOPUTTIALTOGG</v>
          </cell>
          <cell r="C109" t="str">
            <v>COLETEELASTICOTIPOPUTTIALTOGG</v>
          </cell>
          <cell r="D109" t="str">
            <v>7898937861992</v>
          </cell>
          <cell r="E109" t="str">
            <v>9021.10.10</v>
          </cell>
        </row>
        <row r="110">
          <cell r="A110">
            <v>114</v>
          </cell>
          <cell r="B110" t="str">
            <v>COLETEELASTICOTIPOPUTTIBAIXOP</v>
          </cell>
          <cell r="C110" t="str">
            <v>COLETEELASTICOTIPOPUTTIBAIXOP</v>
          </cell>
          <cell r="D110" t="str">
            <v>7898937861176</v>
          </cell>
          <cell r="E110" t="str">
            <v>9021.10.10</v>
          </cell>
        </row>
        <row r="111">
          <cell r="A111">
            <v>115</v>
          </cell>
          <cell r="B111" t="str">
            <v>COLETEPOSCIRURGICO3PAINEIS170-33P</v>
          </cell>
          <cell r="C111" t="str">
            <v>COLETEPOSCIRURGICO3PAINEIS170-33P</v>
          </cell>
          <cell r="D111" t="str">
            <v>7891746030252</v>
          </cell>
          <cell r="E111" t="str">
            <v>9021.10.10</v>
          </cell>
        </row>
        <row r="112">
          <cell r="A112">
            <v>116</v>
          </cell>
          <cell r="B112" t="str">
            <v>COLETEPOSCIRURGICO3PAINEIS170-35G</v>
          </cell>
          <cell r="C112" t="str">
            <v>COLETEPOSCIRURGICO3PAINEIS170-35G</v>
          </cell>
          <cell r="D112" t="str">
            <v>7891746030269</v>
          </cell>
          <cell r="E112" t="str">
            <v>9021.10.10</v>
          </cell>
        </row>
        <row r="113">
          <cell r="A113">
            <v>117</v>
          </cell>
          <cell r="B113" t="str">
            <v>COLETEPOSCIRURGICO3PAINEIS170-37XG</v>
          </cell>
          <cell r="C113" t="str">
            <v>COLETEPOSCIRURGICO3PAINEIS170-37XG</v>
          </cell>
          <cell r="D113" t="str">
            <v>7891746041357</v>
          </cell>
          <cell r="E113" t="str">
            <v>9021.10.10</v>
          </cell>
        </row>
        <row r="114">
          <cell r="A114">
            <v>118</v>
          </cell>
          <cell r="B114" t="str">
            <v>AGUA PERF ROUPA AMBIENTE ALECRIM 345ML</v>
          </cell>
          <cell r="C114" t="str">
            <v>AGUA PERF ROUPA AMBIENTE ALECRIM 345ML</v>
          </cell>
          <cell r="D114" t="str">
            <v>7899032207937</v>
          </cell>
          <cell r="E114" t="str">
            <v>3307.49.00</v>
          </cell>
        </row>
        <row r="115">
          <cell r="A115">
            <v>119</v>
          </cell>
          <cell r="B115" t="str">
            <v>AGULHA CAN INS ML01 29G 0.33 10MM CX100</v>
          </cell>
          <cell r="C115" t="str">
            <v>AGULHA CAN INS ML01 29G 0.33 10MM CX100</v>
          </cell>
          <cell r="D115" t="str">
            <v>7908007901920</v>
          </cell>
          <cell r="E115" t="str">
            <v>9018.32.19</v>
          </cell>
        </row>
        <row r="116">
          <cell r="A116">
            <v>120</v>
          </cell>
          <cell r="B116" t="str">
            <v>COLETEPOSCIRURGICO3PAINEIS170-38XGG</v>
          </cell>
          <cell r="C116" t="str">
            <v>COLETEPOSCIRURGICO3PAINEIS170-38XGG</v>
          </cell>
          <cell r="D116" t="str">
            <v>7891746042170</v>
          </cell>
          <cell r="E116" t="str">
            <v>9021.10.10</v>
          </cell>
        </row>
        <row r="117">
          <cell r="A117">
            <v>121</v>
          </cell>
          <cell r="B117" t="str">
            <v>COLETEPOSCIRURGICO4PAINEIS170-43P</v>
          </cell>
          <cell r="C117" t="str">
            <v>COLETEPOSCIRURGICO4PAINEIS170-43P</v>
          </cell>
          <cell r="D117" t="str">
            <v>7891746030276</v>
          </cell>
          <cell r="E117" t="str">
            <v>9021.10.10</v>
          </cell>
        </row>
        <row r="118">
          <cell r="A118">
            <v>122</v>
          </cell>
          <cell r="B118" t="str">
            <v>COLETEPOSCIRURGICO4PAINEIS170-45G</v>
          </cell>
          <cell r="C118" t="str">
            <v>COLETEPOSCIRURGICO4PAINEIS170-45G</v>
          </cell>
          <cell r="D118" t="str">
            <v>7891746030283</v>
          </cell>
          <cell r="E118" t="str">
            <v>9021.10.10</v>
          </cell>
        </row>
        <row r="119">
          <cell r="A119">
            <v>123</v>
          </cell>
          <cell r="B119" t="str">
            <v>COLETEPOSCIRURGICO4PAINEIS170-47XG</v>
          </cell>
          <cell r="C119" t="str">
            <v>COLETEPOSCIRURGICO4PAINEIS170-47XG</v>
          </cell>
          <cell r="D119" t="str">
            <v>7891746030290</v>
          </cell>
          <cell r="E119" t="str">
            <v>9021.10.10</v>
          </cell>
        </row>
        <row r="120">
          <cell r="A120">
            <v>124</v>
          </cell>
          <cell r="B120" t="str">
            <v>COLETEPOSCIRURGICO4PAINEIS170-48XGG</v>
          </cell>
          <cell r="C120" t="str">
            <v>COLETEPOSCIRURGICO4PAINEIS170-48XGG</v>
          </cell>
          <cell r="D120" t="str">
            <v>7891746042187</v>
          </cell>
          <cell r="E120" t="str">
            <v>9021.10.10</v>
          </cell>
        </row>
        <row r="121">
          <cell r="A121">
            <v>125</v>
          </cell>
          <cell r="B121" t="str">
            <v>COLETEPOSCIRURGICO5PAINEIS170-55G</v>
          </cell>
          <cell r="C121" t="str">
            <v>COLETEPOSCIRURGICO5PAINEIS170-55G</v>
          </cell>
          <cell r="D121" t="str">
            <v>7891746030306</v>
          </cell>
          <cell r="E121" t="str">
            <v>9021.10.10</v>
          </cell>
        </row>
        <row r="122">
          <cell r="A122">
            <v>126</v>
          </cell>
          <cell r="B122" t="str">
            <v>COLETEPOSCIRURGICO5PAINEIS170-57XG</v>
          </cell>
          <cell r="C122" t="str">
            <v>COLETEPOSCIRURGICO5PAINEIS170-57XG</v>
          </cell>
          <cell r="D122" t="str">
            <v>7891746030313</v>
          </cell>
          <cell r="E122" t="str">
            <v>9021.10.10</v>
          </cell>
        </row>
        <row r="123">
          <cell r="A123">
            <v>127</v>
          </cell>
          <cell r="B123" t="str">
            <v>COLETEPOSCIRURGICO5PAINEIS170-58XGG</v>
          </cell>
          <cell r="C123" t="str">
            <v>COLETEPOSCIRURGICO5PAINEIS170-58XGG</v>
          </cell>
          <cell r="D123" t="str">
            <v>7891746030801</v>
          </cell>
          <cell r="E123" t="str">
            <v>9021.10.10</v>
          </cell>
        </row>
        <row r="124">
          <cell r="A124">
            <v>128</v>
          </cell>
          <cell r="B124" t="str">
            <v>COLETEPUTTIALTOELASTICOGC325GCHANTAL</v>
          </cell>
          <cell r="C124" t="str">
            <v>COLETEPUTTIALTOELASTICOGC325GCHANTAL</v>
          </cell>
          <cell r="D124" t="str">
            <v>7898440162210</v>
          </cell>
          <cell r="E124" t="str">
            <v>9021.10.10</v>
          </cell>
        </row>
        <row r="125">
          <cell r="A125">
            <v>129</v>
          </cell>
          <cell r="B125" t="str">
            <v>COLETEPUTTIBAIXOELASTICOPC324PCHANTAL</v>
          </cell>
          <cell r="C125" t="str">
            <v>COLETEPUTTIBAIXOELASTICOPC324PCHANTAL</v>
          </cell>
          <cell r="D125" t="str">
            <v>7898440162135</v>
          </cell>
          <cell r="E125" t="str">
            <v>9021.10.10</v>
          </cell>
        </row>
        <row r="126">
          <cell r="A126">
            <v>130</v>
          </cell>
          <cell r="B126" t="str">
            <v>AGULHA CAN INS ML01 29G 0.33 12MM CX100</v>
          </cell>
          <cell r="C126" t="str">
            <v>AGULHA CAN INS ML01 29G 0.33 12MM CX100</v>
          </cell>
          <cell r="D126" t="str">
            <v>7908007901500</v>
          </cell>
          <cell r="E126" t="str">
            <v>9018.32.19</v>
          </cell>
        </row>
        <row r="127">
          <cell r="A127">
            <v>131</v>
          </cell>
          <cell r="B127" t="str">
            <v>COLETEPUTTIELASTICOALTOBEGEPC325P</v>
          </cell>
          <cell r="C127" t="str">
            <v>COLETEPUTTIELASTICOALTOBEGEPC325P</v>
          </cell>
          <cell r="D127" t="str">
            <v>7898440162197</v>
          </cell>
          <cell r="E127" t="str">
            <v>9021.10.10</v>
          </cell>
        </row>
        <row r="128">
          <cell r="A128">
            <v>132</v>
          </cell>
          <cell r="B128" t="str">
            <v>COLETEPUTTIELASTICOALTOMC325MBEGE</v>
          </cell>
          <cell r="C128" t="str">
            <v>COLETEPUTTIELASTICOALTOMC325MBEGE</v>
          </cell>
          <cell r="D128" t="str">
            <v>7898440162203</v>
          </cell>
          <cell r="E128" t="str">
            <v>9021.10.10</v>
          </cell>
        </row>
        <row r="129">
          <cell r="A129">
            <v>133</v>
          </cell>
          <cell r="B129" t="str">
            <v>COLETEPUTTIELASTICOBAIXOGBEGEKSO115-BG</v>
          </cell>
          <cell r="C129" t="str">
            <v>COLETEPUTTIELASTICOBAIXOGBEGEKSO115-BG</v>
          </cell>
          <cell r="D129" t="str">
            <v>7898601064018</v>
          </cell>
          <cell r="E129" t="str">
            <v>9021.10.10</v>
          </cell>
        </row>
        <row r="130">
          <cell r="A130">
            <v>134</v>
          </cell>
          <cell r="B130" t="str">
            <v>COLETEPUTTIELASTICOLONGOBEGEGKSO106-BG</v>
          </cell>
          <cell r="C130" t="str">
            <v>COLETEPUTTIELASTICOLONGOBEGEGKSO106-BG</v>
          </cell>
          <cell r="D130" t="str">
            <v>7898601063974</v>
          </cell>
          <cell r="E130" t="str">
            <v>9021.10.10</v>
          </cell>
        </row>
        <row r="131">
          <cell r="A131">
            <v>135</v>
          </cell>
          <cell r="B131" t="str">
            <v>COLETOR PERFUROCORTANTE 13L CLEANBOX</v>
          </cell>
          <cell r="C131" t="str">
            <v>COLETOR PERFUROCORTANTE 13L CLEANBOX</v>
          </cell>
          <cell r="D131" t="str">
            <v>7893590833553</v>
          </cell>
          <cell r="E131" t="str">
            <v>4819.10.00</v>
          </cell>
        </row>
        <row r="132">
          <cell r="A132">
            <v>136</v>
          </cell>
          <cell r="B132" t="str">
            <v>COLETORPERFUROCORTANTE3LGRANDESC</v>
          </cell>
          <cell r="C132" t="str">
            <v>COLETORPERFUROCORTANTE3LGRANDESC</v>
          </cell>
          <cell r="D132" t="str">
            <v>7898415521295</v>
          </cell>
          <cell r="E132" t="str">
            <v>4819.10.00</v>
          </cell>
        </row>
        <row r="133">
          <cell r="A133">
            <v>137</v>
          </cell>
          <cell r="B133" t="str">
            <v>COLETOR PERFUROCORTANTE 7L CLEANBOX</v>
          </cell>
          <cell r="C133" t="str">
            <v>COLETOR PERFUROCORTANTE 7L CLEANBOX</v>
          </cell>
          <cell r="D133" t="str">
            <v>7893590833560</v>
          </cell>
          <cell r="E133" t="str">
            <v>4819.10.00</v>
          </cell>
        </row>
        <row r="134">
          <cell r="A134">
            <v>138</v>
          </cell>
          <cell r="B134" t="str">
            <v>COLETOR URINA COM ROSCA BRANCA</v>
          </cell>
          <cell r="C134" t="str">
            <v>COLETOR URINA COM ROSCA BRANCA</v>
          </cell>
          <cell r="D134" t="str">
            <v>1000000420012</v>
          </cell>
          <cell r="E134" t="str">
            <v>3926.90.40</v>
          </cell>
        </row>
        <row r="135">
          <cell r="A135">
            <v>139</v>
          </cell>
          <cell r="B135" t="str">
            <v>COMPRESSA7.5X7.5TNTPROCSELKURATI35GPC10</v>
          </cell>
          <cell r="C135" t="str">
            <v>COMPRESSA7.5X7.5TNTPROCSELKURATI35GPC10</v>
          </cell>
          <cell r="D135" t="str">
            <v>7898361307202</v>
          </cell>
          <cell r="E135" t="str">
            <v>3005.90.90</v>
          </cell>
        </row>
        <row r="136">
          <cell r="A136">
            <v>140</v>
          </cell>
          <cell r="B136" t="str">
            <v>COMPRESSA GAZE NEST7.5X7.5 9F500UNDLINA</v>
          </cell>
          <cell r="C136" t="str">
            <v>COMPRESSA GAZE NEST7.5X7.5 9F500UNDLINA</v>
          </cell>
          <cell r="D136" t="str">
            <v>7898361300197</v>
          </cell>
          <cell r="E136" t="str">
            <v>3005.90.90</v>
          </cell>
        </row>
        <row r="137">
          <cell r="A137">
            <v>141</v>
          </cell>
          <cell r="B137" t="str">
            <v>AGULHA CAN INS ML01 31G0.25 5MMCX100</v>
          </cell>
          <cell r="C137" t="str">
            <v>AGULHA CAN INS ML01 31G0.25 5MMCX100</v>
          </cell>
          <cell r="D137" t="str">
            <v>7908007901470</v>
          </cell>
          <cell r="E137" t="str">
            <v>9018.32.19</v>
          </cell>
        </row>
        <row r="138">
          <cell r="A138">
            <v>142</v>
          </cell>
          <cell r="B138" t="str">
            <v>COMPRESSA GAZE NEST7.5X7.5 11F500UNDTEXM</v>
          </cell>
          <cell r="C138" t="str">
            <v>COMPRESSA GAZE NEST7.5X7.5 11F500UNDTEXM</v>
          </cell>
          <cell r="D138" t="str">
            <v>7893590484137</v>
          </cell>
          <cell r="E138" t="str">
            <v>3005.90.90</v>
          </cell>
        </row>
        <row r="139">
          <cell r="A139">
            <v>143</v>
          </cell>
          <cell r="B139" t="str">
            <v>COMPRESSA GAZE NEST7.5X7.5 13F500UNDTEXM</v>
          </cell>
          <cell r="C139" t="str">
            <v>COMPRESSA GAZE NEST7.5X7.5 13F500UNDTEXM</v>
          </cell>
          <cell r="D139" t="str">
            <v>7893590484120</v>
          </cell>
          <cell r="E139" t="str">
            <v>3005.90.90</v>
          </cell>
        </row>
        <row r="140">
          <cell r="A140">
            <v>144</v>
          </cell>
          <cell r="B140" t="str">
            <v>CONDICIONADORSEMIDILINO250MLVEROMED</v>
          </cell>
          <cell r="C140" t="str">
            <v>CONDICIONADORSEMIDILINO250MLVEROMED</v>
          </cell>
          <cell r="D140" t="str">
            <v>7899032206909</v>
          </cell>
          <cell r="E140" t="str">
            <v>3304.99.10</v>
          </cell>
        </row>
        <row r="141">
          <cell r="A141">
            <v>145</v>
          </cell>
          <cell r="B141" t="str">
            <v>CONDICIONADORREPDIARIA300MLVEROMED</v>
          </cell>
          <cell r="C141" t="str">
            <v>CONDICIONADORREPDIARIA300MLVEROMED</v>
          </cell>
          <cell r="D141" t="str">
            <v>7899032206787</v>
          </cell>
          <cell r="E141" t="str">
            <v>3303.00.10</v>
          </cell>
        </row>
        <row r="142">
          <cell r="A142">
            <v>146</v>
          </cell>
          <cell r="B142" t="str">
            <v>CONDICIONADORARGANTREAT300MLAFFINITA</v>
          </cell>
          <cell r="C142" t="str">
            <v>CONDICIONADORARGANTREAT300MLAFFINITA</v>
          </cell>
          <cell r="D142" t="str">
            <v>7899032208378</v>
          </cell>
          <cell r="E142" t="str">
            <v>3304.99.10</v>
          </cell>
        </row>
        <row r="143">
          <cell r="A143">
            <v>147</v>
          </cell>
          <cell r="B143" t="str">
            <v>CONDICIONADORMATIZADOR300MLVEROMED</v>
          </cell>
          <cell r="C143" t="str">
            <v>CONDICIONADORMATIZADOR300MLVEROMED</v>
          </cell>
          <cell r="D143" t="str">
            <v>7899032206749</v>
          </cell>
          <cell r="E143" t="str">
            <v>3304.99.10</v>
          </cell>
        </row>
        <row r="144">
          <cell r="A144">
            <v>148</v>
          </cell>
          <cell r="B144" t="str">
            <v>CONDICIONADORNEUTRO500MLPATAS&amp;RACAS</v>
          </cell>
          <cell r="C144" t="str">
            <v>CONDICIONADORNEUTRO500MLPATAS&amp;RACAS</v>
          </cell>
          <cell r="D144" t="str">
            <v>7899032206169</v>
          </cell>
          <cell r="E144" t="str">
            <v>3002.90.91</v>
          </cell>
        </row>
        <row r="145">
          <cell r="A145">
            <v>149</v>
          </cell>
          <cell r="B145" t="str">
            <v>CONDICIONADORSEMIDILINO300MLAFFINITA</v>
          </cell>
          <cell r="C145" t="str">
            <v>CONDICIONADORSEMIDILINO300MLAFFINITA</v>
          </cell>
          <cell r="D145" t="str">
            <v>7899032208330</v>
          </cell>
          <cell r="E145" t="str">
            <v>3304.99.10</v>
          </cell>
        </row>
        <row r="146">
          <cell r="A146">
            <v>150</v>
          </cell>
          <cell r="B146" t="str">
            <v>CONECTOR WATCHBPO3 AFIB MICROLIFE</v>
          </cell>
          <cell r="C146" t="str">
            <v>CONECTOR WATCHBPO3 AFIB MICROLIFE</v>
          </cell>
          <cell r="D146" t="str">
            <v>1000000598117</v>
          </cell>
          <cell r="E146" t="str">
            <v>9018.90.69</v>
          </cell>
        </row>
        <row r="147">
          <cell r="A147">
            <v>151</v>
          </cell>
          <cell r="B147" t="str">
            <v>CONECTOR TESTE BPA200 AFIB MICROLIFE</v>
          </cell>
          <cell r="C147" t="str">
            <v>CONECTOR TESTE BPA200 AFIB MICROLIFE</v>
          </cell>
          <cell r="D147" t="str">
            <v/>
          </cell>
          <cell r="E147" t="str">
            <v>9018.90.92</v>
          </cell>
        </row>
        <row r="148">
          <cell r="A148">
            <v>152</v>
          </cell>
          <cell r="B148" t="str">
            <v>AGULHA CAN INS ML01 31G0.25 6MM CX100</v>
          </cell>
          <cell r="C148" t="str">
            <v>AGULHA CAN INS ML01 31G0.25 6MM CX100</v>
          </cell>
          <cell r="D148" t="str">
            <v>7908007901487</v>
          </cell>
          <cell r="E148" t="str">
            <v>9018.32.19</v>
          </cell>
        </row>
        <row r="149">
          <cell r="A149">
            <v>153</v>
          </cell>
          <cell r="B149" t="str">
            <v>COTOVELEIRAPRETOGKSN028-PRKESTAL</v>
          </cell>
          <cell r="C149" t="str">
            <v>COTOVELEIRAPRETOGKSN028-PRKESTAL</v>
          </cell>
          <cell r="D149" t="str">
            <v>7898601060836</v>
          </cell>
          <cell r="E149" t="str">
            <v>9021.10.10</v>
          </cell>
        </row>
        <row r="150">
          <cell r="A150">
            <v>154</v>
          </cell>
          <cell r="B150" t="str">
            <v>COTOVELEIRAPRETOPKSN028-PRKESTAL</v>
          </cell>
          <cell r="C150" t="str">
            <v>COTOVELEIRAPRETOPKSN028-PRKESTAL</v>
          </cell>
          <cell r="D150" t="str">
            <v>7898601060812</v>
          </cell>
          <cell r="E150" t="str">
            <v>9021.10.10</v>
          </cell>
        </row>
        <row r="151">
          <cell r="A151">
            <v>155</v>
          </cell>
          <cell r="B151" t="str">
            <v>COXALAJUSTAVELPRETOUKSN001-PRKESTAL</v>
          </cell>
          <cell r="C151" t="str">
            <v>COXALAJUSTAVELPRETOUKSN001-PRKESTAL</v>
          </cell>
          <cell r="D151" t="str">
            <v>7898601060249</v>
          </cell>
          <cell r="E151" t="str">
            <v>9021.10.10</v>
          </cell>
        </row>
        <row r="152">
          <cell r="A152">
            <v>156</v>
          </cell>
          <cell r="B152" t="str">
            <v>CREAMAFTERTATOOREGEN250GAFFINITA</v>
          </cell>
          <cell r="C152" t="str">
            <v>CREAMAFTERTATOOREGEN250GAFFINITA</v>
          </cell>
          <cell r="D152" t="str">
            <v>7899032208637</v>
          </cell>
          <cell r="E152" t="str">
            <v>3304.99.10</v>
          </cell>
        </row>
        <row r="153">
          <cell r="A153">
            <v>157</v>
          </cell>
          <cell r="B153" t="str">
            <v>CREME CALCANHAR 60GR VEROMED</v>
          </cell>
          <cell r="C153" t="str">
            <v>CREME CALCANHAR 60GR VEROMED</v>
          </cell>
          <cell r="D153" t="str">
            <v>7899032201720</v>
          </cell>
          <cell r="E153" t="str">
            <v>3304.99.10</v>
          </cell>
        </row>
        <row r="154">
          <cell r="A154">
            <v>158</v>
          </cell>
          <cell r="B154" t="str">
            <v>CREMEMASSAGEMALGAS650G</v>
          </cell>
          <cell r="C154" t="str">
            <v>CREMEMASSAGEMALGAS650G</v>
          </cell>
          <cell r="D154" t="str">
            <v>7896196702056</v>
          </cell>
          <cell r="E154" t="str">
            <v>3307.20.90</v>
          </cell>
        </row>
        <row r="155">
          <cell r="A155">
            <v>159</v>
          </cell>
          <cell r="B155" t="str">
            <v>CREMEMASSAGEMCAFEINA7ATIVOS650G</v>
          </cell>
          <cell r="C155" t="str">
            <v>CREMEMASSAGEMCAFEINA7ATIVOS650G</v>
          </cell>
          <cell r="D155" t="str">
            <v>7896196702797</v>
          </cell>
          <cell r="E155" t="str">
            <v>3307.20.90</v>
          </cell>
        </row>
        <row r="156">
          <cell r="A156">
            <v>160</v>
          </cell>
          <cell r="B156" t="str">
            <v>CREMEESFOLAPRICOTFORTEABRASAO650G</v>
          </cell>
          <cell r="C156" t="str">
            <v>CREMEESFOLAPRICOTFORTEABRASAO650G</v>
          </cell>
          <cell r="D156" t="str">
            <v>7896196700052</v>
          </cell>
          <cell r="E156" t="str">
            <v>3307.20.90</v>
          </cell>
        </row>
        <row r="157">
          <cell r="A157">
            <v>161</v>
          </cell>
          <cell r="B157" t="str">
            <v>CREME MAOS LUVA SILICONE 60G</v>
          </cell>
          <cell r="C157" t="str">
            <v>CREME MAOS LUVA SILICONE 60G</v>
          </cell>
          <cell r="D157" t="str">
            <v>7899032201737</v>
          </cell>
          <cell r="E157" t="str">
            <v>3304.99.10</v>
          </cell>
        </row>
        <row r="158">
          <cell r="A158">
            <v>162</v>
          </cell>
          <cell r="B158" t="str">
            <v>CURATIVOINDIVIDUALPOROSO10X161.5MM</v>
          </cell>
          <cell r="C158" t="str">
            <v>CURATIVOINDIVIDUALPOROSO10X161.5MM</v>
          </cell>
          <cell r="D158" t="str">
            <v>7898914974233</v>
          </cell>
          <cell r="E158" t="str">
            <v>3005.90.90</v>
          </cell>
        </row>
        <row r="159">
          <cell r="A159">
            <v>163</v>
          </cell>
          <cell r="B159" t="str">
            <v>AGULHA CAN INS ML01 31G0.25 8MM CX100</v>
          </cell>
          <cell r="C159" t="str">
            <v>AGULHA CAN INS ML01 31G0.25 8MM CX100</v>
          </cell>
          <cell r="D159" t="str">
            <v>7908007901494</v>
          </cell>
          <cell r="E159" t="str">
            <v>9018.32.19</v>
          </cell>
        </row>
        <row r="160">
          <cell r="A160">
            <v>164</v>
          </cell>
          <cell r="B160" t="str">
            <v>CURATIVOLISO08X10CX12</v>
          </cell>
          <cell r="C160" t="str">
            <v>CURATIVOLISO08X10CX12</v>
          </cell>
          <cell r="D160" t="str">
            <v>7898914974134</v>
          </cell>
          <cell r="E160" t="str">
            <v>3005.90.90</v>
          </cell>
        </row>
        <row r="161">
          <cell r="A161">
            <v>165</v>
          </cell>
          <cell r="B161" t="str">
            <v>CURATIVOPOROSO10X161.5MMCX12</v>
          </cell>
          <cell r="C161" t="str">
            <v>CURATIVOPOROSO10X161.5MMCX12</v>
          </cell>
          <cell r="D161" t="str">
            <v>7898914974172</v>
          </cell>
          <cell r="E161" t="str">
            <v>3005.90.90</v>
          </cell>
        </row>
        <row r="162">
          <cell r="A162">
            <v>166</v>
          </cell>
          <cell r="B162" t="str">
            <v>DIFUSORAMBIENTEEQUILIBRIOVIDRO</v>
          </cell>
          <cell r="C162" t="str">
            <v>DIFUSORAMBIENTEEQUILIBRIOVIDRO</v>
          </cell>
          <cell r="D162" t="str">
            <v>7899032208835</v>
          </cell>
          <cell r="E162" t="str">
            <v>3307.49.00</v>
          </cell>
        </row>
        <row r="163">
          <cell r="A163">
            <v>167</v>
          </cell>
          <cell r="B163" t="str">
            <v>DIFUSORAMBIENTEFLORDOORIENTEVIDRO</v>
          </cell>
          <cell r="C163" t="str">
            <v>DIFUSORAMBIENTEFLORDOORIENTEVIDRO</v>
          </cell>
          <cell r="D163" t="str">
            <v>7899032208682</v>
          </cell>
          <cell r="E163" t="str">
            <v>3307.49.00</v>
          </cell>
        </row>
        <row r="164">
          <cell r="A164">
            <v>168</v>
          </cell>
          <cell r="B164" t="str">
            <v>DIFUSORAMBIENTEPIMENTANEGRAVIDRO</v>
          </cell>
          <cell r="C164" t="str">
            <v>DIFUSORAMBIENTEPIMENTANEGRAVIDRO</v>
          </cell>
          <cell r="D164" t="str">
            <v>7899032208675</v>
          </cell>
          <cell r="E164" t="str">
            <v>3307.49.00</v>
          </cell>
        </row>
        <row r="165">
          <cell r="A165">
            <v>169</v>
          </cell>
          <cell r="B165" t="str">
            <v>DISTANCIADORDEDOSILICONE364S-L</v>
          </cell>
          <cell r="C165" t="str">
            <v>DISTANCIADORDEDOSILICONE364S-L</v>
          </cell>
          <cell r="D165" t="str">
            <v>7297046112054</v>
          </cell>
          <cell r="E165" t="str">
            <v>6406.90.20</v>
          </cell>
        </row>
        <row r="166">
          <cell r="A166">
            <v>170</v>
          </cell>
          <cell r="B166" t="str">
            <v>EDUCADORPOSTURALPRETOGKSO119-PR</v>
          </cell>
          <cell r="C166" t="str">
            <v>EDUCADORPOSTURALPRETOGKSO119-PR</v>
          </cell>
          <cell r="D166" t="str">
            <v>7898601064049</v>
          </cell>
          <cell r="E166" t="str">
            <v>9021.10.10</v>
          </cell>
        </row>
        <row r="167">
          <cell r="A167">
            <v>171</v>
          </cell>
          <cell r="B167" t="str">
            <v>EDUCADORPOSTURALPRETOPKSO119-PR</v>
          </cell>
          <cell r="C167" t="str">
            <v>EDUCADORPOSTURALPRETOPKSO119-PR</v>
          </cell>
          <cell r="D167" t="str">
            <v>7898601064025</v>
          </cell>
          <cell r="E167" t="str">
            <v>9021.10.10</v>
          </cell>
        </row>
        <row r="168">
          <cell r="A168">
            <v>172</v>
          </cell>
          <cell r="B168" t="str">
            <v>ELETRODO ECGDESC INFANTILHS03UN</v>
          </cell>
          <cell r="C168" t="str">
            <v>ELETRODO ECGDESC INFANTILHS03UN</v>
          </cell>
          <cell r="D168" t="str">
            <v>7908007904853</v>
          </cell>
          <cell r="E168" t="str">
            <v>9018.19.90</v>
          </cell>
        </row>
        <row r="169">
          <cell r="A169">
            <v>173</v>
          </cell>
          <cell r="B169" t="str">
            <v>ELETRODO ECGDESCL ADULTO HS02UN</v>
          </cell>
          <cell r="C169" t="str">
            <v>ELETRODO ECGDESCL ADULTO HS02UN</v>
          </cell>
          <cell r="D169" t="str">
            <v>7908007904846</v>
          </cell>
          <cell r="E169" t="str">
            <v>9018.19.90</v>
          </cell>
        </row>
        <row r="170">
          <cell r="A170">
            <v>174</v>
          </cell>
          <cell r="B170" t="str">
            <v>AGULHA CAN INS ML01 32G0.23 4MM CX100</v>
          </cell>
          <cell r="C170" t="str">
            <v>AGULHA CAN INS ML01 32G0.23 4MM CX100</v>
          </cell>
          <cell r="D170" t="str">
            <v>7908007901456</v>
          </cell>
          <cell r="E170" t="str">
            <v>9018.32.19</v>
          </cell>
        </row>
        <row r="171">
          <cell r="A171">
            <v>175</v>
          </cell>
          <cell r="B171" t="str">
            <v>ELETRODO ECGDESC ADULTO INFANTIL HASF48</v>
          </cell>
          <cell r="C171" t="str">
            <v>ELETRODO ECGDESC ADULTO INFANTIL HASF48</v>
          </cell>
          <cell r="D171" t="str">
            <v>7908007903504</v>
          </cell>
          <cell r="E171" t="str">
            <v>9018.19.90</v>
          </cell>
        </row>
        <row r="172">
          <cell r="A172">
            <v>176</v>
          </cell>
          <cell r="B172" t="str">
            <v>ELETRODO ECGDESC ADULTO INFANTIL HASF55</v>
          </cell>
          <cell r="C172" t="str">
            <v>ELETRODO ECGDESC ADULTO INFANTIL HASF55</v>
          </cell>
          <cell r="D172" t="str">
            <v>7908007903528</v>
          </cell>
          <cell r="E172" t="str">
            <v>9018.19.90</v>
          </cell>
        </row>
        <row r="173">
          <cell r="A173">
            <v>177</v>
          </cell>
          <cell r="B173" t="str">
            <v>ELETRODOECGDESCADULTOML02SF05</v>
          </cell>
          <cell r="C173" t="str">
            <v>ELETRODOECGDESCADULTOML02SF05</v>
          </cell>
          <cell r="D173" t="str">
            <v>7908007901432</v>
          </cell>
          <cell r="E173" t="str">
            <v>9018.19.90</v>
          </cell>
        </row>
        <row r="174">
          <cell r="A174">
            <v>178</v>
          </cell>
          <cell r="B174" t="str">
            <v>ELETRODOECGDESCADULTOPEDIATRICOPREMIER</v>
          </cell>
          <cell r="C174" t="str">
            <v>ELETRODOECGDESCADULTOPEDIATRICOPREMIER</v>
          </cell>
          <cell r="D174" t="str">
            <v>7899032205117</v>
          </cell>
          <cell r="E174" t="str">
            <v>9018.90.99</v>
          </cell>
        </row>
        <row r="175">
          <cell r="A175">
            <v>179</v>
          </cell>
          <cell r="B175" t="str">
            <v>ELETRODOECGDESCINFANTILML02SF01UN</v>
          </cell>
          <cell r="C175" t="str">
            <v>ELETRODOECGDESCINFANTILML02SF01UN</v>
          </cell>
          <cell r="D175" t="str">
            <v>7908007901449</v>
          </cell>
          <cell r="E175" t="str">
            <v>9018.19.90</v>
          </cell>
        </row>
        <row r="176">
          <cell r="A176">
            <v>180</v>
          </cell>
          <cell r="B176" t="str">
            <v>ESPALDEIRAPOSTURALMOCHILAM/GBRANCO</v>
          </cell>
          <cell r="C176" t="str">
            <v>ESPALDEIRAPOSTURALMOCHILAM/GBRANCO</v>
          </cell>
          <cell r="D176" t="str">
            <v>7891746276056</v>
          </cell>
          <cell r="E176" t="str">
            <v>9021.10.10</v>
          </cell>
        </row>
        <row r="177">
          <cell r="A177">
            <v>181</v>
          </cell>
          <cell r="B177" t="str">
            <v>ESPALDEIRAPOSTURALMOCHILAP276-03SALVAPE</v>
          </cell>
          <cell r="C177" t="str">
            <v>ESPALDEIRAPOSTURALMOCHILAP276-03SALVAPE</v>
          </cell>
          <cell r="D177" t="str">
            <v>7891746276032</v>
          </cell>
          <cell r="E177" t="str">
            <v>9021.10.10</v>
          </cell>
        </row>
        <row r="178">
          <cell r="A178">
            <v>182</v>
          </cell>
          <cell r="B178" t="str">
            <v>ESPALDEIRAPOSTURALMOCHILAG276-05SALVAPE</v>
          </cell>
          <cell r="C178" t="str">
            <v>ESPALDEIRAPOSTURALMOCHILAG276-05SALVAPE</v>
          </cell>
          <cell r="D178" t="str">
            <v>7891746276056</v>
          </cell>
          <cell r="E178" t="str">
            <v>9021.10.10</v>
          </cell>
        </row>
        <row r="179">
          <cell r="A179">
            <v>183</v>
          </cell>
          <cell r="B179" t="str">
            <v>ESPALDEIRASIMPLESGG175GLCORTOPEDIA</v>
          </cell>
          <cell r="C179" t="str">
            <v>ESPALDEIRASIMPLESGG175GLCORTOPEDIA</v>
          </cell>
          <cell r="D179" t="str">
            <v>7898937862432</v>
          </cell>
          <cell r="E179" t="str">
            <v>9021.10.10</v>
          </cell>
        </row>
        <row r="180">
          <cell r="A180">
            <v>184</v>
          </cell>
          <cell r="B180" t="str">
            <v>ESPALDEIRASIMPLESP175GLCORTOPEDIA</v>
          </cell>
          <cell r="C180" t="str">
            <v>ESPALDEIRASIMPLESP175GLCORTOPEDIA</v>
          </cell>
          <cell r="D180" t="str">
            <v>7898937862401</v>
          </cell>
          <cell r="E180" t="str">
            <v>9021.10.10</v>
          </cell>
        </row>
        <row r="181">
          <cell r="A181">
            <v>185</v>
          </cell>
          <cell r="B181" t="str">
            <v>AGULHA CAN INS ML02 31G 4MM CX100</v>
          </cell>
          <cell r="C181" t="str">
            <v>AGULHA CAN INS ML02 31G 4MM CX100</v>
          </cell>
          <cell r="D181" t="str">
            <v>7908007905089</v>
          </cell>
          <cell r="E181" t="str">
            <v>9018.32.19</v>
          </cell>
        </row>
        <row r="182">
          <cell r="A182">
            <v>186</v>
          </cell>
          <cell r="B182" t="str">
            <v>ESPARTILHOFECHOCOLCHETEPPPRETO</v>
          </cell>
          <cell r="C182" t="str">
            <v>ESPARTILHOFECHOCOLCHETEPPPRETO</v>
          </cell>
          <cell r="D182" t="str">
            <v/>
          </cell>
          <cell r="E182" t="str">
            <v>6114.30.00</v>
          </cell>
        </row>
        <row r="183">
          <cell r="A183">
            <v>187</v>
          </cell>
          <cell r="B183" t="str">
            <v>ESPARTILHOFECHOCOLCHETEGPRETO</v>
          </cell>
          <cell r="C183" t="str">
            <v>ESPARTILHOFECHOCOLCHETEGPRETO</v>
          </cell>
          <cell r="D183" t="str">
            <v/>
          </cell>
          <cell r="E183" t="str">
            <v>6114.30.00</v>
          </cell>
        </row>
        <row r="184">
          <cell r="A184">
            <v>188</v>
          </cell>
          <cell r="B184" t="str">
            <v>ESPARTILHOFECHOCOLCHETEGGPRETO</v>
          </cell>
          <cell r="C184" t="str">
            <v>ESPARTILHOFECHOCOLCHETEGGPRETO</v>
          </cell>
          <cell r="D184" t="str">
            <v/>
          </cell>
          <cell r="E184" t="str">
            <v>6114.30.00</v>
          </cell>
        </row>
        <row r="185">
          <cell r="A185">
            <v>189</v>
          </cell>
          <cell r="B185" t="str">
            <v>ESPARTILHOFECHOCOLCHETE86000BGPRETO</v>
          </cell>
          <cell r="C185" t="str">
            <v>ESPARTILHOFECHOCOLCHETE86000BGPRETO</v>
          </cell>
          <cell r="D185" t="str">
            <v/>
          </cell>
          <cell r="E185" t="str">
            <v>6114.30.00</v>
          </cell>
        </row>
        <row r="186">
          <cell r="A186">
            <v>190</v>
          </cell>
          <cell r="B186" t="str">
            <v>ESPARTILHOFECHOCOLCHETE86000MPRETO</v>
          </cell>
          <cell r="C186" t="str">
            <v>ESPARTILHOFECHOCOLCHETE86000MPRETO</v>
          </cell>
          <cell r="D186" t="str">
            <v/>
          </cell>
          <cell r="E186" t="str">
            <v>6114.30.00</v>
          </cell>
        </row>
        <row r="187">
          <cell r="A187">
            <v>191</v>
          </cell>
          <cell r="B187" t="str">
            <v>ESPARTILHOFECHOCOLCHETE86000PPRETO</v>
          </cell>
          <cell r="C187" t="str">
            <v>ESPARTILHOFECHOCOLCHETE86000PPRETO</v>
          </cell>
          <cell r="D187" t="str">
            <v/>
          </cell>
          <cell r="E187" t="str">
            <v>6114.30.00</v>
          </cell>
        </row>
        <row r="188">
          <cell r="A188">
            <v>192</v>
          </cell>
          <cell r="B188" t="str">
            <v>ESPARTILHOFECHOCOLCHETE86000GGPRETO</v>
          </cell>
          <cell r="C188" t="str">
            <v>ESPARTILHOFECHOCOLCHETE86000GGPRETO</v>
          </cell>
          <cell r="D188" t="str">
            <v/>
          </cell>
          <cell r="E188" t="str">
            <v>6114.30.00</v>
          </cell>
        </row>
        <row r="189">
          <cell r="A189">
            <v>193</v>
          </cell>
          <cell r="B189" t="str">
            <v>ESPARTILHOFECHOCOLCHETE86000PPCHAMPAG</v>
          </cell>
          <cell r="C189" t="str">
            <v>ESPARTILHOFECHOCOLCHETE86000PPCHAMPAG</v>
          </cell>
          <cell r="D189" t="str">
            <v/>
          </cell>
          <cell r="E189" t="str">
            <v>6114.30.00</v>
          </cell>
        </row>
        <row r="190">
          <cell r="A190">
            <v>194</v>
          </cell>
          <cell r="B190" t="str">
            <v>ESPARTILHOFECHOCOLCHETE86000PPPRETO</v>
          </cell>
          <cell r="C190" t="str">
            <v>ESPARTILHOFECHOCOLCHETE86000PPPRETO</v>
          </cell>
          <cell r="D190" t="str">
            <v/>
          </cell>
          <cell r="E190" t="str">
            <v>6114.30.00</v>
          </cell>
        </row>
        <row r="191">
          <cell r="A191">
            <v>195</v>
          </cell>
          <cell r="B191" t="str">
            <v>ESPARTILHOFECHOCOLCHETEPPRETO</v>
          </cell>
          <cell r="C191" t="str">
            <v>ESPARTILHOFECHOCOLCHETEPPRETO</v>
          </cell>
          <cell r="D191" t="str">
            <v/>
          </cell>
          <cell r="E191" t="str">
            <v>6114.30.00</v>
          </cell>
        </row>
        <row r="192">
          <cell r="A192">
            <v>196</v>
          </cell>
          <cell r="B192" t="str">
            <v>AGULHA CAN INS ML02 31G 5MM CX100</v>
          </cell>
          <cell r="C192" t="str">
            <v>AGULHA CAN INS ML02 31G 5MM CX100</v>
          </cell>
          <cell r="D192" t="str">
            <v>7908007904273</v>
          </cell>
          <cell r="E192" t="str">
            <v>9018.32.19</v>
          </cell>
        </row>
        <row r="193">
          <cell r="A193">
            <v>197</v>
          </cell>
          <cell r="B193" t="str">
            <v>ESSENCIA CITRONELA 10ML VEROMED</v>
          </cell>
          <cell r="C193" t="str">
            <v>ESSENCIA CITRONELA 10ML VEROMED</v>
          </cell>
          <cell r="D193" t="str">
            <v>7899032203779</v>
          </cell>
          <cell r="E193" t="str">
            <v>3301.29.11</v>
          </cell>
        </row>
        <row r="194">
          <cell r="A194">
            <v>198</v>
          </cell>
          <cell r="B194" t="str">
            <v>ESTABILIZADORTORNOZELOPRETOGKSN043-PT</v>
          </cell>
          <cell r="C194" t="str">
            <v>ESTABILIZADORTORNOZELOPRETOGKSN043-PT</v>
          </cell>
          <cell r="D194" t="str">
            <v>7898601061406</v>
          </cell>
          <cell r="E194" t="str">
            <v>9021.10.10</v>
          </cell>
        </row>
        <row r="195">
          <cell r="A195">
            <v>199</v>
          </cell>
          <cell r="B195" t="str">
            <v>ESTABILIZADORTORNOZELOPRETOMKSN043-PR</v>
          </cell>
          <cell r="C195" t="str">
            <v>ESTABILIZADORTORNOZELOPRETOMKSN043-PR</v>
          </cell>
          <cell r="D195" t="str">
            <v>7898601061390</v>
          </cell>
          <cell r="E195" t="str">
            <v>9021.10.10</v>
          </cell>
        </row>
        <row r="196">
          <cell r="A196">
            <v>200</v>
          </cell>
          <cell r="B196" t="str">
            <v>ESTABILIZADORTORNOZELOPRETOPKSN043-PR</v>
          </cell>
          <cell r="C196" t="str">
            <v>ESTABILIZADORTORNOZELOPRETOPKSN043-PR</v>
          </cell>
          <cell r="D196" t="str">
            <v>7898601061383</v>
          </cell>
          <cell r="E196" t="str">
            <v>9021.10.10</v>
          </cell>
        </row>
        <row r="197">
          <cell r="A197">
            <v>201</v>
          </cell>
          <cell r="B197" t="str">
            <v>ESTETOSCOPIOADULTOUNISSONPRETOEST300</v>
          </cell>
          <cell r="C197" t="str">
            <v>ESTETOSCOPIOADULTOUNISSONPRETOEST300</v>
          </cell>
          <cell r="D197" t="str">
            <v>7898523720054</v>
          </cell>
          <cell r="E197" t="str">
            <v>9018.90.99</v>
          </cell>
        </row>
        <row r="198">
          <cell r="A198">
            <v>202</v>
          </cell>
          <cell r="B198" t="str">
            <v>ESTETOSCOPIORAPPAPORTPREMIUIMAZUL</v>
          </cell>
          <cell r="C198" t="str">
            <v>ESTETOSCOPIORAPPAPORTPREMIUIMAZUL</v>
          </cell>
          <cell r="D198" t="str">
            <v>7898301050724</v>
          </cell>
          <cell r="E198" t="str">
            <v>9018.90.99</v>
          </cell>
        </row>
        <row r="199">
          <cell r="A199">
            <v>203</v>
          </cell>
          <cell r="B199" t="str">
            <v>ESTETOSCOPIORAPPAPORTPREMIUMGRAFITE</v>
          </cell>
          <cell r="C199" t="str">
            <v>ESTETOSCOPIORAPPAPORTPREMIUMGRAFITE</v>
          </cell>
          <cell r="D199" t="str">
            <v>7898301050762</v>
          </cell>
          <cell r="E199" t="str">
            <v>9018.90.99</v>
          </cell>
        </row>
        <row r="200">
          <cell r="A200">
            <v>204</v>
          </cell>
          <cell r="B200" t="str">
            <v>ESTETOSCOPIORAPPAPORTPREMIUMPRETO</v>
          </cell>
          <cell r="C200" t="str">
            <v>ESTETOSCOPIORAPPAPORTPREMIUMPRETO</v>
          </cell>
          <cell r="D200" t="str">
            <v>7898301050076</v>
          </cell>
          <cell r="E200" t="str">
            <v>9018.90.99</v>
          </cell>
        </row>
        <row r="201">
          <cell r="A201">
            <v>205</v>
          </cell>
          <cell r="B201" t="str">
            <v>ESTETOSCOPIORAPPAPORTPREMIUMROSA</v>
          </cell>
          <cell r="C201" t="str">
            <v>ESTETOSCOPIORAPPAPORTPREMIUMROSA</v>
          </cell>
          <cell r="D201" t="str">
            <v>7898301050779</v>
          </cell>
          <cell r="E201" t="str">
            <v>9018.90.99</v>
          </cell>
        </row>
        <row r="202">
          <cell r="A202">
            <v>206</v>
          </cell>
          <cell r="B202" t="str">
            <v>ESTETOSCOPIORAPPAPORTPREMIUMVERDE</v>
          </cell>
          <cell r="C202" t="str">
            <v>ESTETOSCOPIORAPPAPORTPREMIUMVERDE</v>
          </cell>
          <cell r="D202" t="str">
            <v>7898301050731</v>
          </cell>
          <cell r="E202" t="str">
            <v>9018.90.99</v>
          </cell>
        </row>
        <row r="203">
          <cell r="A203">
            <v>207</v>
          </cell>
          <cell r="B203" t="str">
            <v>AGULHA CAN INS ML02 31G 6MM CX100</v>
          </cell>
          <cell r="C203" t="str">
            <v>AGULHA CAN INS ML02 31G 6MM CX100</v>
          </cell>
          <cell r="D203" t="str">
            <v>7908007904280</v>
          </cell>
          <cell r="E203" t="str">
            <v>9018.32.19</v>
          </cell>
        </row>
        <row r="204">
          <cell r="A204">
            <v>208</v>
          </cell>
          <cell r="B204" t="str">
            <v>ESTETOSCOPIORAPPAPORTPREMIUMVERMELHO</v>
          </cell>
          <cell r="C204" t="str">
            <v>ESTETOSCOPIORAPPAPORTPREMIUMVERMELHO</v>
          </cell>
          <cell r="D204" t="str">
            <v>7898301050748</v>
          </cell>
          <cell r="E204" t="str">
            <v>9018.90.99</v>
          </cell>
        </row>
        <row r="205">
          <cell r="A205">
            <v>209</v>
          </cell>
          <cell r="B205" t="str">
            <v>FAIXAABDOMINALPRETO100CMKSN014-PR-100</v>
          </cell>
          <cell r="C205" t="str">
            <v>FAIXAABDOMINALPRETO100CMKSN014-PR-100</v>
          </cell>
          <cell r="D205" t="str">
            <v>7898601060430</v>
          </cell>
          <cell r="E205" t="str">
            <v>9021.10.10</v>
          </cell>
        </row>
        <row r="206">
          <cell r="A206">
            <v>210</v>
          </cell>
          <cell r="B206" t="str">
            <v>FAIXAABDOMINALPRETO120CMKSN014-PR-120</v>
          </cell>
          <cell r="C206" t="str">
            <v>FAIXAABDOMINALPRETO120CMKSN014-PR-120</v>
          </cell>
          <cell r="D206" t="str">
            <v>7898601060676</v>
          </cell>
          <cell r="E206" t="str">
            <v>9021.10.10</v>
          </cell>
        </row>
        <row r="207">
          <cell r="A207">
            <v>211</v>
          </cell>
          <cell r="B207" t="str">
            <v>FAIXAABDOMINALPRETO130CMKSN014-PR-130</v>
          </cell>
          <cell r="C207" t="str">
            <v>FAIXAABDOMINALPRETO130CMKSN014-PR-130</v>
          </cell>
          <cell r="D207" t="str">
            <v>7898601060683</v>
          </cell>
          <cell r="E207" t="str">
            <v>9021.10.10</v>
          </cell>
        </row>
        <row r="208">
          <cell r="A208">
            <v>212</v>
          </cell>
          <cell r="B208" t="str">
            <v>FAIXAMANDIBULARANTIRONCOMPRETOKSN056</v>
          </cell>
          <cell r="C208" t="str">
            <v>FAIXAMANDIBULARANTIRONCOMPRETOKSN056</v>
          </cell>
          <cell r="D208" t="str">
            <v>7898601062663</v>
          </cell>
          <cell r="E208" t="str">
            <v>9021.10.10</v>
          </cell>
        </row>
        <row r="209">
          <cell r="A209">
            <v>213</v>
          </cell>
          <cell r="B209" t="str">
            <v>FAIXATORACICAELASTICO20CMG105G</v>
          </cell>
          <cell r="C209" t="str">
            <v>FAIXATORACICAELASTICO20CMG105G</v>
          </cell>
          <cell r="D209" t="str">
            <v>7898937861497</v>
          </cell>
          <cell r="E209" t="str">
            <v>9021.10.10</v>
          </cell>
        </row>
        <row r="210">
          <cell r="A210">
            <v>214</v>
          </cell>
          <cell r="B210" t="str">
            <v>FAIXATORACICAELASTICO20CMM105M</v>
          </cell>
          <cell r="C210" t="str">
            <v>FAIXATORACICAELASTICO20CMM105M</v>
          </cell>
          <cell r="D210" t="str">
            <v>7898937861480</v>
          </cell>
          <cell r="E210" t="str">
            <v>9021.10.10</v>
          </cell>
        </row>
        <row r="211">
          <cell r="A211">
            <v>215</v>
          </cell>
          <cell r="B211" t="str">
            <v>FAIXATORACICAELASTICO25CMG107G</v>
          </cell>
          <cell r="C211" t="str">
            <v>FAIXATORACICAELASTICO25CMG107G</v>
          </cell>
          <cell r="D211" t="str">
            <v>7898937861046</v>
          </cell>
          <cell r="E211" t="str">
            <v>9021.10.10</v>
          </cell>
        </row>
        <row r="212">
          <cell r="A212">
            <v>216</v>
          </cell>
          <cell r="B212" t="str">
            <v>FAIXATORACICAELASTICO25CMM107M</v>
          </cell>
          <cell r="C212" t="str">
            <v>FAIXATORACICAELASTICO25CMM107M</v>
          </cell>
          <cell r="D212" t="str">
            <v>7898937861060</v>
          </cell>
          <cell r="E212" t="str">
            <v>9021.10.10</v>
          </cell>
        </row>
        <row r="213">
          <cell r="A213">
            <v>217</v>
          </cell>
          <cell r="B213" t="str">
            <v>FAIXATORACICAELASTICO25CMP107P</v>
          </cell>
          <cell r="C213" t="str">
            <v>FAIXATORACICAELASTICO25CMP107P</v>
          </cell>
          <cell r="D213" t="str">
            <v>7898937861053</v>
          </cell>
          <cell r="E213" t="str">
            <v>9021.10.10</v>
          </cell>
        </row>
        <row r="214">
          <cell r="A214">
            <v>218</v>
          </cell>
          <cell r="B214" t="str">
            <v>AGULHA CAN INS ML02 31G 8MM CX100</v>
          </cell>
          <cell r="C214" t="str">
            <v>AGULHA CAN INS ML02 31G 8MM CX100</v>
          </cell>
          <cell r="D214" t="str">
            <v/>
          </cell>
          <cell r="E214" t="str">
            <v>9018.32.19</v>
          </cell>
        </row>
        <row r="215">
          <cell r="A215">
            <v>219</v>
          </cell>
          <cell r="B215" t="str">
            <v>FORTALECEDOR UNHAS 30ML</v>
          </cell>
          <cell r="C215" t="str">
            <v>FORTALECEDOR UNHAS 30ML</v>
          </cell>
          <cell r="D215" t="str">
            <v>7899032201638</v>
          </cell>
          <cell r="E215" t="str">
            <v>3304.99.10</v>
          </cell>
        </row>
        <row r="216">
          <cell r="A216">
            <v>220</v>
          </cell>
          <cell r="B216" t="str">
            <v>GELREDUTORCAFEINA750G</v>
          </cell>
          <cell r="C216" t="str">
            <v>GELREDUTORCAFEINA750G</v>
          </cell>
          <cell r="D216" t="str">
            <v>7896196702032</v>
          </cell>
          <cell r="E216" t="str">
            <v>3304.99.90</v>
          </cell>
        </row>
        <row r="217">
          <cell r="A217">
            <v>221</v>
          </cell>
          <cell r="B217" t="str">
            <v>HIDROGELCELULOSE30G</v>
          </cell>
          <cell r="C217" t="str">
            <v>HIDROGELCELULOSE30G</v>
          </cell>
          <cell r="D217" t="str">
            <v>7898914974431</v>
          </cell>
          <cell r="E217" t="str">
            <v>3005.90.90</v>
          </cell>
        </row>
        <row r="218">
          <cell r="A218">
            <v>222</v>
          </cell>
          <cell r="B218" t="str">
            <v>HIDROGELCELULOSE85G</v>
          </cell>
          <cell r="C218" t="str">
            <v>HIDROGELCELULOSE85G</v>
          </cell>
          <cell r="D218" t="str">
            <v>7898914974448</v>
          </cell>
          <cell r="E218" t="str">
            <v>3005.90.90</v>
          </cell>
        </row>
        <row r="219">
          <cell r="A219">
            <v>223</v>
          </cell>
          <cell r="B219" t="str">
            <v>KITPOSQUIMICAREPAIR</v>
          </cell>
          <cell r="C219" t="str">
            <v>KITPOSQUIMICAREPAIR</v>
          </cell>
          <cell r="D219" t="str">
            <v>7899032207814</v>
          </cell>
          <cell r="E219" t="str">
            <v>3305.90.00</v>
          </cell>
        </row>
        <row r="220">
          <cell r="A220">
            <v>224</v>
          </cell>
          <cell r="B220" t="str">
            <v>LAMINA BISTURI ML01 TAM10 10-0110 CX100</v>
          </cell>
          <cell r="C220" t="str">
            <v>LAMINA BISTURI ML01 TAM10 10-0110 CX100</v>
          </cell>
          <cell r="D220" t="str">
            <v>7908007901814</v>
          </cell>
          <cell r="E220" t="str">
            <v>9018.90.29</v>
          </cell>
        </row>
        <row r="221">
          <cell r="A221">
            <v>225</v>
          </cell>
          <cell r="B221" t="str">
            <v>LAMINA BISTURI ML01 TAM11 10-0111CX100</v>
          </cell>
          <cell r="C221" t="str">
            <v>LAMINA BISTURI ML01 TAM11 10-0111CX100</v>
          </cell>
          <cell r="D221" t="str">
            <v>7908007901821</v>
          </cell>
          <cell r="E221" t="str">
            <v>9018.90.29</v>
          </cell>
        </row>
        <row r="222">
          <cell r="A222">
            <v>226</v>
          </cell>
          <cell r="B222" t="str">
            <v>LAMINA BISTURI ML01 TAM12 10-0112 CX100</v>
          </cell>
          <cell r="C222" t="str">
            <v>LAMINA BISTURI ML01 TAM12 10-0112 CX100</v>
          </cell>
          <cell r="D222" t="str">
            <v>7908007901838</v>
          </cell>
          <cell r="E222" t="str">
            <v>9018.90.29</v>
          </cell>
        </row>
        <row r="223">
          <cell r="A223">
            <v>227</v>
          </cell>
          <cell r="B223" t="str">
            <v>LAMINA BISTURI ML01 TAM15  10-0115CX100</v>
          </cell>
          <cell r="C223" t="str">
            <v>LAMINA BISTURI ML01 TAM15  10-0115CX100</v>
          </cell>
          <cell r="D223" t="str">
            <v>7908007901845</v>
          </cell>
          <cell r="E223" t="str">
            <v>9018.90.29</v>
          </cell>
        </row>
        <row r="224">
          <cell r="A224">
            <v>228</v>
          </cell>
          <cell r="B224" t="str">
            <v>LAMINA BISTURI ML01 TAM 15C 10-0115C</v>
          </cell>
          <cell r="C224" t="str">
            <v>LAMINA BISTURI ML01 TAM 15C 10-0115C</v>
          </cell>
          <cell r="D224" t="str">
            <v>7908007901913</v>
          </cell>
          <cell r="E224" t="str">
            <v>9018.90.29</v>
          </cell>
        </row>
        <row r="225">
          <cell r="A225">
            <v>229</v>
          </cell>
          <cell r="B225" t="str">
            <v>AGUAPERFROUPAAMBIENTECHA/BRANCO345ML</v>
          </cell>
          <cell r="C225" t="str">
            <v>AGUAPERFROUPAAMBIENTECHA/BRANCO345ML</v>
          </cell>
          <cell r="D225" t="str">
            <v>7899032207968</v>
          </cell>
          <cell r="E225" t="str">
            <v>3307.49.00</v>
          </cell>
        </row>
        <row r="226">
          <cell r="A226">
            <v>230</v>
          </cell>
          <cell r="B226" t="str">
            <v>AGULHA CAN INS ML02 32G 4MM CX100</v>
          </cell>
          <cell r="C226" t="str">
            <v>AGULHA CAN INS ML02 32G 4MM CX100</v>
          </cell>
          <cell r="D226" t="str">
            <v/>
          </cell>
          <cell r="E226" t="str">
            <v>9018.32.19</v>
          </cell>
        </row>
        <row r="227">
          <cell r="A227">
            <v>231</v>
          </cell>
          <cell r="B227" t="str">
            <v>LAMINA BISTURI ML01 TAM20 10-0120CX100</v>
          </cell>
          <cell r="C227" t="str">
            <v>LAMINA BISTURI ML01 TAM20 10-0120CX100</v>
          </cell>
          <cell r="D227" t="str">
            <v>7908007901869</v>
          </cell>
          <cell r="E227" t="str">
            <v>9018.90.29</v>
          </cell>
        </row>
        <row r="228">
          <cell r="A228">
            <v>232</v>
          </cell>
          <cell r="B228" t="str">
            <v>LAMINA BISTURI ML01 TAM21 10-0121CX100</v>
          </cell>
          <cell r="C228" t="str">
            <v>LAMINA BISTURI ML01 TAM21 10-0121CX100</v>
          </cell>
          <cell r="D228" t="str">
            <v>7908007901876</v>
          </cell>
          <cell r="E228" t="str">
            <v>9018.90.29</v>
          </cell>
        </row>
        <row r="229">
          <cell r="A229">
            <v>233</v>
          </cell>
          <cell r="B229" t="str">
            <v>LAMINA BISTURI ML01 TAM22-10-0122CX100</v>
          </cell>
          <cell r="C229" t="str">
            <v>LAMINA BISTURI ML01 TAM22-10-0122CX100</v>
          </cell>
          <cell r="D229" t="str">
            <v>7908007901883</v>
          </cell>
          <cell r="E229" t="str">
            <v>9018.90.29</v>
          </cell>
        </row>
        <row r="230">
          <cell r="A230">
            <v>234</v>
          </cell>
          <cell r="B230" t="str">
            <v>LAMINA BISTURI ML01 TAM23 10-0123CX100</v>
          </cell>
          <cell r="C230" t="str">
            <v>LAMINA BISTURI ML01 TAM23 10-0123CX100</v>
          </cell>
          <cell r="D230" t="str">
            <v>7908007901890</v>
          </cell>
          <cell r="E230" t="str">
            <v>9018.90.29</v>
          </cell>
        </row>
        <row r="231">
          <cell r="A231">
            <v>235</v>
          </cell>
          <cell r="B231" t="str">
            <v>LAMINA BISTURI ML01 TAM24 10-0124CX100</v>
          </cell>
          <cell r="C231" t="str">
            <v>LAMINA BISTURI ML01 TAM24 10-0124CX100</v>
          </cell>
          <cell r="D231" t="str">
            <v>7908007901906</v>
          </cell>
          <cell r="E231" t="str">
            <v>9018.90.29</v>
          </cell>
        </row>
        <row r="232">
          <cell r="A232">
            <v>236</v>
          </cell>
          <cell r="B232" t="str">
            <v>LANCETA SEGURANCA ML02 28G 1.8MM</v>
          </cell>
          <cell r="C232" t="str">
            <v>LANCETA SEGURANCA ML02 28G 1.8MM</v>
          </cell>
          <cell r="D232" t="str">
            <v>7908007900596</v>
          </cell>
          <cell r="E232" t="str">
            <v>9018.39.99</v>
          </cell>
        </row>
        <row r="233">
          <cell r="A233">
            <v>237</v>
          </cell>
          <cell r="B233" t="str">
            <v>LANCETA SEGURANCA ML04 21G 0.82X1.8MM</v>
          </cell>
          <cell r="C233" t="str">
            <v>LANCETA SEGURANCA ML04 21G 0.82X1.8MM</v>
          </cell>
          <cell r="D233" t="str">
            <v>7908007903535</v>
          </cell>
          <cell r="E233" t="str">
            <v>9018.39.99</v>
          </cell>
        </row>
        <row r="234">
          <cell r="A234">
            <v>238</v>
          </cell>
          <cell r="B234" t="str">
            <v>LANCETA SEGURANCA ML04 23G 0.64X1.8MM</v>
          </cell>
          <cell r="C234" t="str">
            <v>LANCETA SEGURANCA ML04 23G 0.64X1.8MM</v>
          </cell>
          <cell r="D234" t="str">
            <v>7908007903542</v>
          </cell>
          <cell r="E234" t="str">
            <v>9018.39.99</v>
          </cell>
        </row>
        <row r="235">
          <cell r="A235">
            <v>239</v>
          </cell>
          <cell r="B235" t="str">
            <v>LANCETA SEGURANCA ML04 26G 0.46X1.6MM</v>
          </cell>
          <cell r="C235" t="str">
            <v>LANCETA SEGURANCA ML04 26G 0.46X1.6MM</v>
          </cell>
          <cell r="D235" t="str">
            <v>7908007903559</v>
          </cell>
          <cell r="E235" t="str">
            <v>9018.39.99</v>
          </cell>
        </row>
        <row r="236">
          <cell r="A236">
            <v>240</v>
          </cell>
          <cell r="B236" t="str">
            <v>LANCETA SEGURANCA ML04 28G 0.36 X 1.4MM</v>
          </cell>
          <cell r="C236" t="str">
            <v>LANCETA SEGURANCA ML04 28G 0.36 X 1.4MM</v>
          </cell>
          <cell r="D236" t="str">
            <v>7908007903566</v>
          </cell>
          <cell r="E236" t="str">
            <v>9018.39.99</v>
          </cell>
        </row>
        <row r="237">
          <cell r="A237">
            <v>241</v>
          </cell>
          <cell r="B237" t="str">
            <v>AGULHA CAN INS ML02 32G 5MM CX100</v>
          </cell>
          <cell r="C237" t="str">
            <v>AGULHA CAN INS ML02 32G 5MM CX100</v>
          </cell>
          <cell r="D237" t="str">
            <v/>
          </cell>
          <cell r="E237" t="str">
            <v>9018.32.19</v>
          </cell>
        </row>
        <row r="238">
          <cell r="A238">
            <v>242</v>
          </cell>
          <cell r="B238" t="str">
            <v>LANCETA SEGURANCA ML04 30G 0.31X1.4MM</v>
          </cell>
          <cell r="C238" t="str">
            <v>LANCETA SEGURANCA ML04 30G 0.31X1.4MM</v>
          </cell>
          <cell r="D238" t="str">
            <v>7908007903573</v>
          </cell>
          <cell r="E238" t="str">
            <v>9018.39.99</v>
          </cell>
        </row>
        <row r="239">
          <cell r="A239">
            <v>243</v>
          </cell>
          <cell r="B239" t="str">
            <v>LANCETA SIMPLES 28G CX100</v>
          </cell>
          <cell r="C239" t="str">
            <v>LANCETA SIMPLES 28G CX100</v>
          </cell>
          <cell r="D239" t="str">
            <v>7899032201690</v>
          </cell>
          <cell r="E239" t="str">
            <v>9018.39.99</v>
          </cell>
        </row>
        <row r="240">
          <cell r="A240">
            <v>244</v>
          </cell>
          <cell r="B240" t="str">
            <v>LUVACIRURGICALATEXCOMPOESTERIL7.5(PAR)</v>
          </cell>
          <cell r="C240" t="str">
            <v>LUVACIRURGICALATEXCOMPOESTERIL7.5(PAR)</v>
          </cell>
          <cell r="D240" t="str">
            <v>7898538970215</v>
          </cell>
          <cell r="E240" t="str">
            <v>4015.11.00</v>
          </cell>
        </row>
        <row r="241">
          <cell r="A241">
            <v>245</v>
          </cell>
          <cell r="B241" t="str">
            <v>LUVACIRURGICALATEXCOMPOESTERIL8.5(PAR)</v>
          </cell>
          <cell r="C241" t="str">
            <v>LUVACIRURGICALATEXCOMPOESTERIL8.5(PAR)</v>
          </cell>
          <cell r="D241" t="str">
            <v>7898538970239</v>
          </cell>
          <cell r="E241" t="str">
            <v>4015.11.00</v>
          </cell>
        </row>
        <row r="242">
          <cell r="A242">
            <v>246</v>
          </cell>
          <cell r="B242" t="str">
            <v>LUVA PROC LATEX CPO NEST TAM G CX100</v>
          </cell>
          <cell r="C242" t="str">
            <v>LUVA PROC LATEX CPO NEST TAM G CX100</v>
          </cell>
          <cell r="D242" t="str">
            <v>7898947170046</v>
          </cell>
          <cell r="E242" t="str">
            <v>4015.19.00</v>
          </cell>
        </row>
        <row r="243">
          <cell r="A243">
            <v>247</v>
          </cell>
          <cell r="B243" t="str">
            <v>LUVA PROCEDLATEX CPO NAO ESTERIL G CX100</v>
          </cell>
          <cell r="C243" t="str">
            <v>LUVA PROCEDLATEX CPO NAO ESTERIL G CX100</v>
          </cell>
          <cell r="D243" t="str">
            <v>7896775364439</v>
          </cell>
          <cell r="E243" t="str">
            <v>4015.19.00</v>
          </cell>
        </row>
        <row r="244">
          <cell r="A244">
            <v>248</v>
          </cell>
          <cell r="B244" t="str">
            <v>LUVA PROCEDLATEX CPO NAO ESTERIL M CX100</v>
          </cell>
          <cell r="C244" t="str">
            <v>LUVA PROCEDLATEX CPO NAO ESTERIL M CX100</v>
          </cell>
          <cell r="D244" t="str">
            <v>7896775364422</v>
          </cell>
          <cell r="E244" t="str">
            <v>4015.19.00</v>
          </cell>
        </row>
        <row r="245">
          <cell r="A245">
            <v>249</v>
          </cell>
          <cell r="B245" t="str">
            <v>LUVA PROCEDLATEX CPO NAO ESTERIL M CX100</v>
          </cell>
          <cell r="C245" t="str">
            <v>LUVA PROCEDLATEX CPO NAO ESTERIL M CX100</v>
          </cell>
          <cell r="D245" t="str">
            <v>7898538970314</v>
          </cell>
          <cell r="E245" t="str">
            <v>4015.19.00</v>
          </cell>
        </row>
        <row r="246">
          <cell r="A246">
            <v>250</v>
          </cell>
          <cell r="B246" t="str">
            <v>LUVA PROCEDLATEX CPO NAO ESTERIL P CX100</v>
          </cell>
          <cell r="C246" t="str">
            <v>LUVA PROCEDLATEX CPO NAO ESTERIL P CX100</v>
          </cell>
          <cell r="D246" t="str">
            <v>7896775364415</v>
          </cell>
          <cell r="E246" t="str">
            <v>4015.19.00</v>
          </cell>
        </row>
        <row r="247">
          <cell r="A247">
            <v>251</v>
          </cell>
          <cell r="B247" t="str">
            <v>LUVA PROCEDLATEX SPO NAO ESTERIL M CX100</v>
          </cell>
          <cell r="C247" t="str">
            <v>LUVA PROCEDLATEX SPO NAO ESTERIL M CX100</v>
          </cell>
          <cell r="D247" t="str">
            <v>7898949349280</v>
          </cell>
          <cell r="E247" t="str">
            <v>4015.19.00</v>
          </cell>
        </row>
        <row r="248">
          <cell r="A248">
            <v>252</v>
          </cell>
          <cell r="B248" t="str">
            <v>AGULHA CAN INS ML02 32G 6MM CX100</v>
          </cell>
          <cell r="C248" t="str">
            <v>AGULHA CAN INS ML02 32G 6MM CX100</v>
          </cell>
          <cell r="D248" t="str">
            <v/>
          </cell>
          <cell r="E248" t="str">
            <v>9018.32.19</v>
          </cell>
        </row>
        <row r="249">
          <cell r="A249">
            <v>253</v>
          </cell>
          <cell r="B249" t="str">
            <v>LUVA PROCED NITRILICA SPO NAO ESTERIL G</v>
          </cell>
          <cell r="C249" t="str">
            <v>LUVA PROCED NITRILICA SPO NAO ESTERIL G</v>
          </cell>
          <cell r="D249" t="str">
            <v>7898994057789</v>
          </cell>
          <cell r="E249" t="str">
            <v>4015.19.00</v>
          </cell>
        </row>
        <row r="250">
          <cell r="A250">
            <v>254</v>
          </cell>
          <cell r="B250" t="str">
            <v>LUVA PROCEDNITRILICASPONAOESTERIL MCX100</v>
          </cell>
          <cell r="C250" t="str">
            <v>LUVA PROCEDNITRILICASPONAOESTERIL MCX100</v>
          </cell>
          <cell r="D250" t="str">
            <v>7896775385014</v>
          </cell>
          <cell r="E250" t="str">
            <v>4015.19.00</v>
          </cell>
        </row>
        <row r="251">
          <cell r="A251">
            <v>255</v>
          </cell>
          <cell r="B251" t="str">
            <v>LUVAPROTETORANEONROSAMKSN016</v>
          </cell>
          <cell r="C251" t="str">
            <v>LUVAPROTETORANEONROSAMKSN016</v>
          </cell>
          <cell r="D251" t="str">
            <v/>
          </cell>
          <cell r="E251" t="str">
            <v>6116.93.00</v>
          </cell>
        </row>
        <row r="252">
          <cell r="A252">
            <v>256</v>
          </cell>
          <cell r="B252" t="str">
            <v>LUVAPROTETORANEONROSAPKSN016</v>
          </cell>
          <cell r="C252" t="str">
            <v>LUVAPROTETORANEONROSAPKSN016</v>
          </cell>
          <cell r="D252" t="str">
            <v>7898601062779</v>
          </cell>
          <cell r="E252" t="str">
            <v>6116.93.00</v>
          </cell>
        </row>
        <row r="253">
          <cell r="A253">
            <v>257</v>
          </cell>
          <cell r="B253" t="str">
            <v>LUVAPROTETORAONCAMKSN016</v>
          </cell>
          <cell r="C253" t="str">
            <v>LUVAPROTETORAONCAMKSN016</v>
          </cell>
          <cell r="D253" t="str">
            <v>7898601062199</v>
          </cell>
          <cell r="E253" t="str">
            <v>6116.93.00</v>
          </cell>
        </row>
        <row r="254">
          <cell r="A254">
            <v>258</v>
          </cell>
          <cell r="B254" t="str">
            <v>LUVAPROTETORAPRETOGKSN016</v>
          </cell>
          <cell r="C254" t="str">
            <v>LUVAPROTETORAPRETOGKSN016</v>
          </cell>
          <cell r="D254" t="str">
            <v>7898601060508</v>
          </cell>
          <cell r="E254" t="str">
            <v>6116.93.00</v>
          </cell>
        </row>
        <row r="255">
          <cell r="A255">
            <v>259</v>
          </cell>
          <cell r="B255" t="str">
            <v>LUVAPROTETORAPRETOMKSN016</v>
          </cell>
          <cell r="C255" t="str">
            <v>LUVAPROTETORAPRETOMKSN016</v>
          </cell>
          <cell r="D255" t="str">
            <v>7898601060492</v>
          </cell>
          <cell r="E255" t="str">
            <v>6116.93.00</v>
          </cell>
        </row>
        <row r="256">
          <cell r="A256">
            <v>260</v>
          </cell>
          <cell r="B256" t="str">
            <v>LUVAPROTETORAPRETOPKSN016</v>
          </cell>
          <cell r="C256" t="str">
            <v>LUVAPROTETORAPRETOPKSN016</v>
          </cell>
          <cell r="D256" t="str">
            <v>7898601060485</v>
          </cell>
          <cell r="E256" t="str">
            <v>6116.93.00</v>
          </cell>
        </row>
        <row r="257">
          <cell r="A257">
            <v>261</v>
          </cell>
          <cell r="B257" t="str">
            <v>LUVA VINIL NAO ESTERIL TAM G CX100</v>
          </cell>
          <cell r="C257" t="str">
            <v>LUVA VINIL NAO ESTERIL TAM G CX100</v>
          </cell>
          <cell r="D257" t="str">
            <v>7896775364132</v>
          </cell>
          <cell r="E257" t="str">
            <v>3926.20.00</v>
          </cell>
        </row>
        <row r="258">
          <cell r="A258">
            <v>262</v>
          </cell>
          <cell r="B258" t="str">
            <v>LUVA VINIL NAO ESTERIL TAM M CX100</v>
          </cell>
          <cell r="C258" t="str">
            <v>LUVA VINIL NAO ESTERIL TAM M CX100</v>
          </cell>
          <cell r="D258" t="str">
            <v>7896775364125</v>
          </cell>
          <cell r="E258" t="str">
            <v>3926.20.00</v>
          </cell>
        </row>
        <row r="259">
          <cell r="A259">
            <v>263</v>
          </cell>
          <cell r="B259" t="str">
            <v>AGULHA CAN INS ML02 32G 8MM CX100</v>
          </cell>
          <cell r="C259" t="str">
            <v>AGULHA CAN INS ML02 32G 8MM CX100</v>
          </cell>
          <cell r="D259" t="str">
            <v>7908007905119</v>
          </cell>
          <cell r="E259" t="str">
            <v>9018.32.19</v>
          </cell>
        </row>
        <row r="260">
          <cell r="A260">
            <v>264</v>
          </cell>
          <cell r="B260" t="str">
            <v>LUVA VINIL NAO ESTERIL TAM P CX100</v>
          </cell>
          <cell r="C260" t="str">
            <v>LUVA VINIL NAO ESTERIL TAM P CX100</v>
          </cell>
          <cell r="D260" t="str">
            <v>7896775364118</v>
          </cell>
          <cell r="E260" t="str">
            <v>3926.20.00</v>
          </cell>
        </row>
        <row r="261">
          <cell r="A261">
            <v>265</v>
          </cell>
          <cell r="B261" t="str">
            <v>SERINGA 10ML LUER LOCK SEM AGULHA SR</v>
          </cell>
          <cell r="C261" t="str">
            <v>SERINGA 10ML LUER LOCK SEM AGULHA SR</v>
          </cell>
          <cell r="D261" t="str">
            <v>7898259495707</v>
          </cell>
          <cell r="E261" t="str">
            <v>9018.31.19</v>
          </cell>
        </row>
        <row r="262">
          <cell r="A262">
            <v>266</v>
          </cell>
          <cell r="B262" t="str">
            <v>SERINGA 10ML LUER SLIP COM AGULHA 0,7X25</v>
          </cell>
          <cell r="C262" t="str">
            <v>SERINGA 10ML LUER SLIP COM AGULHA 0,7X25</v>
          </cell>
          <cell r="D262" t="str">
            <v>7898259490726</v>
          </cell>
          <cell r="E262" t="str">
            <v>9018.31.19</v>
          </cell>
        </row>
        <row r="263">
          <cell r="A263">
            <v>267</v>
          </cell>
          <cell r="B263" t="str">
            <v>SERINGA 10ML LUER SLIP SEM AGULHA SR</v>
          </cell>
          <cell r="C263" t="str">
            <v>SERINGA 10ML LUER SLIP SEM AGULHA SR</v>
          </cell>
          <cell r="D263" t="str">
            <v>7898259490702</v>
          </cell>
          <cell r="E263" t="str">
            <v>9018.31.19</v>
          </cell>
        </row>
        <row r="264">
          <cell r="A264">
            <v>268</v>
          </cell>
          <cell r="B264" t="str">
            <v>SERINGA 1ML LUER SLIP COM AGULHA 0,45X13</v>
          </cell>
          <cell r="C264" t="str">
            <v>SERINGA 1ML LUER SLIP COM AGULHA 0,45X13</v>
          </cell>
          <cell r="D264" t="str">
            <v>7898259490221</v>
          </cell>
          <cell r="E264" t="str">
            <v>9018.31.11</v>
          </cell>
        </row>
        <row r="265">
          <cell r="A265">
            <v>269</v>
          </cell>
          <cell r="B265" t="str">
            <v>SERINGA 1ML LUER SLIP COM AGULHA 0,55X20</v>
          </cell>
          <cell r="C265" t="str">
            <v>SERINGA 1ML LUER SLIP COM AGULHA 0,55X20</v>
          </cell>
          <cell r="D265" t="str">
            <v>7898259491815</v>
          </cell>
          <cell r="E265" t="str">
            <v>9018.31.11</v>
          </cell>
        </row>
        <row r="266">
          <cell r="A266">
            <v>270</v>
          </cell>
          <cell r="B266" t="str">
            <v>SERINGA 1ML LUER SLIP COM AGULHA 0,6X25</v>
          </cell>
          <cell r="C266" t="str">
            <v>SERINGA 1ML LUER SLIP COM AGULHA 0,6X25</v>
          </cell>
          <cell r="D266" t="str">
            <v>7898259490375</v>
          </cell>
          <cell r="E266" t="str">
            <v>9018.31.11</v>
          </cell>
        </row>
        <row r="267">
          <cell r="A267">
            <v>271</v>
          </cell>
          <cell r="B267" t="str">
            <v>SERINGA 1ML LUER SLIP COM AGULHA 0,38X13</v>
          </cell>
          <cell r="C267" t="str">
            <v>SERINGA 1ML LUER SLIP COM AGULHA 0,38X13</v>
          </cell>
          <cell r="D267" t="str">
            <v>7898259490245</v>
          </cell>
          <cell r="E267" t="str">
            <v>9018.31.11</v>
          </cell>
        </row>
        <row r="268">
          <cell r="A268">
            <v>272</v>
          </cell>
          <cell r="B268" t="str">
            <v>SERINGA 1ML LUER SLIP SEM AGULHA U100 SR</v>
          </cell>
          <cell r="C268" t="str">
            <v>SERINGA 1ML LUER SLIP SEM AGULHA U100 SR</v>
          </cell>
          <cell r="D268" t="str">
            <v>1000000604825</v>
          </cell>
          <cell r="E268" t="str">
            <v>9018.31.19</v>
          </cell>
        </row>
        <row r="269">
          <cell r="A269">
            <v>273</v>
          </cell>
          <cell r="B269" t="str">
            <v>SERINGA 20ML LUER LOCK COM AGULHA 0,7X25</v>
          </cell>
          <cell r="C269" t="str">
            <v>SERINGA 20ML LUER LOCK COM AGULHA 0,7X25</v>
          </cell>
          <cell r="D269" t="str">
            <v>7898259495929</v>
          </cell>
          <cell r="E269" t="str">
            <v>9018.31.19</v>
          </cell>
        </row>
        <row r="270">
          <cell r="A270">
            <v>274</v>
          </cell>
          <cell r="B270" t="str">
            <v>ALGODAO HIDROFILO ROLO 500G</v>
          </cell>
          <cell r="C270" t="str">
            <v>ALGODAO HIDROFILO ROLO 500G</v>
          </cell>
          <cell r="D270" t="str">
            <v>7891800002034</v>
          </cell>
          <cell r="E270" t="str">
            <v>3005.90.90</v>
          </cell>
        </row>
        <row r="271">
          <cell r="A271">
            <v>275</v>
          </cell>
          <cell r="B271" t="str">
            <v>SERINGA 20ML LUER LOCK SEM AGULHA SR</v>
          </cell>
          <cell r="C271" t="str">
            <v>SERINGA 20ML LUER LOCK SEM AGULHA SR</v>
          </cell>
          <cell r="D271" t="str">
            <v>7898259495905</v>
          </cell>
          <cell r="E271" t="str">
            <v>9018.31.19</v>
          </cell>
        </row>
        <row r="272">
          <cell r="A272">
            <v>276</v>
          </cell>
          <cell r="B272" t="str">
            <v>SERINGA 20ML LUER SLIP SEM AGULHA SR</v>
          </cell>
          <cell r="C272" t="str">
            <v>SERINGA 20ML LUER SLIP SEM AGULHA SR</v>
          </cell>
          <cell r="D272" t="str">
            <v>7898259490900</v>
          </cell>
          <cell r="E272" t="str">
            <v>9018.31.19</v>
          </cell>
        </row>
        <row r="273">
          <cell r="A273">
            <v>277</v>
          </cell>
          <cell r="B273" t="str">
            <v>SERINGA 3ML LUER LOCK COM AGULHA 0,55X20</v>
          </cell>
          <cell r="C273" t="str">
            <v>SERINGA 3ML LUER LOCK COM AGULHA 0,55X20</v>
          </cell>
          <cell r="D273" t="str">
            <v/>
          </cell>
          <cell r="E273" t="str">
            <v>9018.31.19</v>
          </cell>
        </row>
        <row r="274">
          <cell r="A274">
            <v>278</v>
          </cell>
          <cell r="B274" t="str">
            <v>SERINGA 3ML LUER LOCK COM AGULHA 0,55X20</v>
          </cell>
          <cell r="C274" t="str">
            <v>SERINGA 3ML LUER LOCK COM AGULHA 0,55X20</v>
          </cell>
          <cell r="D274" t="str">
            <v>7898259495295</v>
          </cell>
          <cell r="E274" t="str">
            <v>9018.31.19</v>
          </cell>
        </row>
        <row r="275">
          <cell r="A275">
            <v>279</v>
          </cell>
          <cell r="B275" t="str">
            <v>SERINGA 3ML LUER LOCK COM AGULHA 0,6X25</v>
          </cell>
          <cell r="C275" t="str">
            <v>SERINGA 3ML LUER LOCK COM AGULHA 0,6X25</v>
          </cell>
          <cell r="D275" t="str">
            <v/>
          </cell>
          <cell r="E275" t="str">
            <v>9018.31.19</v>
          </cell>
        </row>
        <row r="276">
          <cell r="A276">
            <v>280</v>
          </cell>
          <cell r="B276" t="str">
            <v>SERINGA 3ML LUER LOCK COM AGULHA 0,6X25</v>
          </cell>
          <cell r="C276" t="str">
            <v>SERINGA 3ML LUER LOCK COM AGULHA 0,6X25</v>
          </cell>
          <cell r="D276" t="str">
            <v>7898259495219</v>
          </cell>
          <cell r="E276" t="str">
            <v>9018.31.19</v>
          </cell>
        </row>
        <row r="277">
          <cell r="A277">
            <v>281</v>
          </cell>
          <cell r="B277" t="str">
            <v>SERINGA 3ML LUER LOCK COM AGULHA 0,7X25</v>
          </cell>
          <cell r="C277" t="str">
            <v>SERINGA 3ML LUER LOCK COM AGULHA 0,7X25</v>
          </cell>
          <cell r="D277" t="str">
            <v>7898259495226</v>
          </cell>
          <cell r="E277" t="str">
            <v>9018.31.19</v>
          </cell>
        </row>
        <row r="278">
          <cell r="A278">
            <v>282</v>
          </cell>
          <cell r="B278" t="str">
            <v>SERINGA 3ML LUER LOCK COM AGULHA 0,7X30</v>
          </cell>
          <cell r="C278" t="str">
            <v>SERINGA 3ML LUER LOCK COM AGULHA 0,7X30</v>
          </cell>
          <cell r="D278" t="str">
            <v>7898259495271</v>
          </cell>
          <cell r="E278" t="str">
            <v>9018.31.19</v>
          </cell>
        </row>
        <row r="279">
          <cell r="A279">
            <v>283</v>
          </cell>
          <cell r="B279" t="str">
            <v>SERINGA 3ML LUER LOCK SEM AGULHA SR</v>
          </cell>
          <cell r="C279" t="str">
            <v>SERINGA 3ML LUER LOCK SEM AGULHA SR</v>
          </cell>
          <cell r="D279" t="str">
            <v>7898259495301</v>
          </cell>
          <cell r="E279" t="str">
            <v>9018.31.19</v>
          </cell>
        </row>
        <row r="280">
          <cell r="A280">
            <v>284</v>
          </cell>
          <cell r="B280" t="str">
            <v>SERINGA 3ML LUER SLIP COM AGULHA 0,55X20</v>
          </cell>
          <cell r="C280" t="str">
            <v>SERINGA 3ML LUER SLIP COM AGULHA 0,55X20</v>
          </cell>
          <cell r="D280" t="str">
            <v/>
          </cell>
          <cell r="E280" t="str">
            <v>9018.31.19</v>
          </cell>
        </row>
        <row r="281">
          <cell r="A281">
            <v>285</v>
          </cell>
          <cell r="B281" t="str">
            <v>ALMOFADA AMAMEN AZUL VISCOELASTICO205019</v>
          </cell>
          <cell r="C281" t="str">
            <v>ALMOFADA AMAMEN AZUL VISCOELASTICO205019</v>
          </cell>
          <cell r="D281" t="str">
            <v>7898938988476</v>
          </cell>
          <cell r="E281" t="str">
            <v>9404.90.00</v>
          </cell>
        </row>
        <row r="282">
          <cell r="A282">
            <v>286</v>
          </cell>
          <cell r="B282" t="str">
            <v>SERINGA 3ML LUER SLIP COM AGULHA 0,6X25</v>
          </cell>
          <cell r="C282" t="str">
            <v>SERINGA 3ML LUER SLIP COM AGULHA 0,6X25</v>
          </cell>
          <cell r="D282" t="str">
            <v/>
          </cell>
          <cell r="E282" t="str">
            <v>9018.31.19</v>
          </cell>
        </row>
        <row r="283">
          <cell r="A283">
            <v>287</v>
          </cell>
          <cell r="B283" t="str">
            <v>SERINGA 3ML LUER SLIP COM AGULHA 0,7X25</v>
          </cell>
          <cell r="C283" t="str">
            <v>SERINGA 3ML LUER SLIP COM AGULHA 0,7X25</v>
          </cell>
          <cell r="D283" t="str">
            <v>7898259495028</v>
          </cell>
          <cell r="E283" t="str">
            <v>9018.31.19</v>
          </cell>
        </row>
        <row r="284">
          <cell r="A284">
            <v>288</v>
          </cell>
          <cell r="B284" t="str">
            <v>SERINGA 3ML LUER SLIP COM AGULHA 0,7X30</v>
          </cell>
          <cell r="C284" t="str">
            <v>SERINGA 3ML LUER SLIP COM AGULHA 0,7X30</v>
          </cell>
          <cell r="D284" t="str">
            <v/>
          </cell>
          <cell r="E284" t="str">
            <v>9018.31.19</v>
          </cell>
        </row>
        <row r="285">
          <cell r="A285">
            <v>289</v>
          </cell>
          <cell r="B285" t="str">
            <v>SERINGA 3ML LUER SLIP SEM AGULHA SR</v>
          </cell>
          <cell r="C285" t="str">
            <v>SERINGA 3ML LUER SLIP SEM AGULHA SR</v>
          </cell>
          <cell r="D285" t="str">
            <v>7898259490306</v>
          </cell>
          <cell r="E285" t="str">
            <v>9018.31.19</v>
          </cell>
        </row>
        <row r="286">
          <cell r="A286">
            <v>290</v>
          </cell>
          <cell r="B286" t="str">
            <v>SERINGA 5ML LUER LOCK COM AGULHA 0,7X25</v>
          </cell>
          <cell r="C286" t="str">
            <v>SERINGA 5ML LUER LOCK COM AGULHA 0,7X25</v>
          </cell>
          <cell r="D286" t="str">
            <v>7898259496216</v>
          </cell>
          <cell r="E286" t="str">
            <v>9018.31.19</v>
          </cell>
        </row>
        <row r="287">
          <cell r="A287">
            <v>291</v>
          </cell>
          <cell r="B287" t="str">
            <v>SERINGA 5ML LUER LOCK SEM AGULHA SR</v>
          </cell>
          <cell r="C287" t="str">
            <v>SERINGA 5ML LUER LOCK SEM AGULHA SR</v>
          </cell>
          <cell r="D287" t="str">
            <v>7898259495509</v>
          </cell>
          <cell r="E287" t="str">
            <v>9018.31.19</v>
          </cell>
        </row>
        <row r="288">
          <cell r="A288">
            <v>292</v>
          </cell>
          <cell r="B288" t="str">
            <v>SERINGA 5ML LUER SLIP COM AGULHA 0,7X25</v>
          </cell>
          <cell r="C288" t="str">
            <v>SERINGA 5ML LUER SLIP COM AGULHA 0,7X25</v>
          </cell>
          <cell r="D288" t="str">
            <v>7898259496117</v>
          </cell>
          <cell r="E288" t="str">
            <v>9018.31.19</v>
          </cell>
        </row>
        <row r="289">
          <cell r="A289">
            <v>293</v>
          </cell>
          <cell r="B289" t="str">
            <v>SERINGA 5ML LUER SLIP SEM AGULHA SR</v>
          </cell>
          <cell r="C289" t="str">
            <v>SERINGA 5ML LUER SLIP SEM AGULHA SR</v>
          </cell>
          <cell r="D289" t="str">
            <v>7898259490504</v>
          </cell>
          <cell r="E289" t="str">
            <v>9018.31.19</v>
          </cell>
        </row>
        <row r="290">
          <cell r="A290">
            <v>294</v>
          </cell>
          <cell r="B290" t="str">
            <v>SERINGA 60ML BICO CATETER SEM AGULHA SR</v>
          </cell>
          <cell r="C290" t="str">
            <v>SERINGA 60ML BICO CATETER SEM AGULHA SR</v>
          </cell>
          <cell r="D290" t="str">
            <v>7898259491198</v>
          </cell>
          <cell r="E290" t="str">
            <v>9018.31.19</v>
          </cell>
        </row>
        <row r="291">
          <cell r="A291">
            <v>295</v>
          </cell>
          <cell r="B291" t="str">
            <v>SERINGA 60ML LUER LOCK SEM AGULHA SR</v>
          </cell>
          <cell r="C291" t="str">
            <v>SERINGA 60ML LUER LOCK SEM AGULHA SR</v>
          </cell>
          <cell r="D291" t="str">
            <v>7898259491181</v>
          </cell>
          <cell r="E291" t="str">
            <v>9018.31.19</v>
          </cell>
        </row>
        <row r="292">
          <cell r="A292">
            <v>296</v>
          </cell>
          <cell r="B292" t="str">
            <v>ALMOFADACONFORTBAIXOPRETOLATEX209089</v>
          </cell>
          <cell r="C292" t="str">
            <v>ALMOFADACONFORTBAIXOPRETOLATEX209089</v>
          </cell>
          <cell r="D292" t="str">
            <v>7898621211133</v>
          </cell>
          <cell r="E292" t="str">
            <v>9021.10.99</v>
          </cell>
        </row>
        <row r="293">
          <cell r="A293">
            <v>297</v>
          </cell>
          <cell r="B293" t="str">
            <v>SERINGA 60ML LUER SLIP SEM AGULHA SR</v>
          </cell>
          <cell r="C293" t="str">
            <v>SERINGA 60ML LUER SLIP SEM AGULHA SR</v>
          </cell>
          <cell r="D293" t="str">
            <v>7898259491174</v>
          </cell>
          <cell r="E293" t="str">
            <v>9018.31.19</v>
          </cell>
        </row>
        <row r="294">
          <cell r="A294">
            <v>298</v>
          </cell>
          <cell r="B294" t="str">
            <v>SERINGA 3ML LUER SLIP SEM AGULHA RYMCO</v>
          </cell>
          <cell r="C294" t="str">
            <v>SERINGA 3ML LUER SLIP SEM AGULHA RYMCO</v>
          </cell>
          <cell r="D294" t="str">
            <v>7706634032266</v>
          </cell>
          <cell r="E294" t="str">
            <v>9018.31.19</v>
          </cell>
        </row>
        <row r="295">
          <cell r="A295">
            <v>299</v>
          </cell>
          <cell r="B295" t="str">
            <v>SERINGA 5ML LUER SLIP SEM AGULHA RYMCO</v>
          </cell>
          <cell r="C295" t="str">
            <v>SERINGA 5ML LUER SLIP SEM AGULHA RYMCO</v>
          </cell>
          <cell r="D295" t="str">
            <v>7706634032907</v>
          </cell>
          <cell r="E295" t="str">
            <v>9018.31.19</v>
          </cell>
        </row>
        <row r="296">
          <cell r="A296">
            <v>300</v>
          </cell>
          <cell r="B296" t="str">
            <v>SERINGA 60ML CATETER SEM AGULHA RYMCO</v>
          </cell>
          <cell r="C296" t="str">
            <v>SERINGA 60ML CATETER SEM AGULHA RYMCO</v>
          </cell>
          <cell r="D296" t="str">
            <v>7706634032969</v>
          </cell>
          <cell r="E296" t="str">
            <v>9018.31.19</v>
          </cell>
        </row>
        <row r="297">
          <cell r="A297">
            <v>301</v>
          </cell>
          <cell r="B297" t="str">
            <v>SHAMPOOARGANTREATMENT300MLAFFINITA</v>
          </cell>
          <cell r="C297" t="str">
            <v>SHAMPOOARGANTREATMENT300MLAFFINITA</v>
          </cell>
          <cell r="D297" t="str">
            <v>7899032208361</v>
          </cell>
          <cell r="E297" t="str">
            <v>3305.90.00</v>
          </cell>
        </row>
        <row r="298">
          <cell r="A298">
            <v>302</v>
          </cell>
          <cell r="B298" t="str">
            <v>SHAMPOOHIDRATANTE500MLPATAS&amp;RACAS</v>
          </cell>
          <cell r="C298" t="str">
            <v>SHAMPOOHIDRATANTE500MLPATAS&amp;RACAS</v>
          </cell>
          <cell r="D298" t="str">
            <v>7899032206282</v>
          </cell>
          <cell r="E298" t="str">
            <v>3002.90.91</v>
          </cell>
        </row>
        <row r="299">
          <cell r="A299">
            <v>303</v>
          </cell>
          <cell r="B299" t="str">
            <v>SHAMPOOMATIZADOR300MLVEROMED</v>
          </cell>
          <cell r="C299" t="str">
            <v>SHAMPOOMATIZADOR300MLVEROMED</v>
          </cell>
          <cell r="D299" t="str">
            <v>7899032206732</v>
          </cell>
          <cell r="E299" t="str">
            <v>3305.90.00</v>
          </cell>
        </row>
        <row r="300">
          <cell r="A300">
            <v>304</v>
          </cell>
          <cell r="B300" t="str">
            <v>SHAMPOONEUTRO500MLPATAS&amp;RACAS</v>
          </cell>
          <cell r="C300" t="str">
            <v>SHAMPOONEUTRO500MLPATAS&amp;RACAS</v>
          </cell>
          <cell r="D300" t="str">
            <v>7899032206138</v>
          </cell>
          <cell r="E300" t="str">
            <v>3002.90.91</v>
          </cell>
        </row>
        <row r="301">
          <cell r="A301">
            <v>305</v>
          </cell>
          <cell r="B301" t="str">
            <v>SHAMPOOPELOCLAROTON500MLPATAS&amp;RACAS</v>
          </cell>
          <cell r="C301" t="str">
            <v>SHAMPOOPELOCLAROTON500MLPATAS&amp;RACAS</v>
          </cell>
          <cell r="D301" t="str">
            <v>7899032206077</v>
          </cell>
          <cell r="E301" t="str">
            <v>3002.90.91</v>
          </cell>
        </row>
        <row r="302">
          <cell r="A302">
            <v>306</v>
          </cell>
          <cell r="B302" t="str">
            <v>SHAMPOOPELOESCURO500MLPATAS&amp;RACAS</v>
          </cell>
          <cell r="C302" t="str">
            <v>SHAMPOOPELOESCURO500MLPATAS&amp;RACAS</v>
          </cell>
          <cell r="D302" t="str">
            <v>7899032206374</v>
          </cell>
          <cell r="E302" t="str">
            <v>3002.90.91</v>
          </cell>
        </row>
        <row r="303">
          <cell r="A303">
            <v>307</v>
          </cell>
          <cell r="B303" t="str">
            <v>ALMOFADATRIANGULARSEMBRACOPRETA</v>
          </cell>
          <cell r="C303" t="str">
            <v>ALMOFADATRIANGULARSEMBRACOPRETA</v>
          </cell>
          <cell r="D303" t="str">
            <v>7898621210563</v>
          </cell>
          <cell r="E303" t="str">
            <v>9404.90.00</v>
          </cell>
        </row>
        <row r="304">
          <cell r="A304">
            <v>308</v>
          </cell>
          <cell r="B304" t="str">
            <v>SHAMPOOREPARACAODIARIA300MLVEROMED</v>
          </cell>
          <cell r="C304" t="str">
            <v>SHAMPOOREPARACAODIARIA300MLVEROMED</v>
          </cell>
          <cell r="D304" t="str">
            <v>7899032206770</v>
          </cell>
          <cell r="E304" t="str">
            <v>3305.10.00</v>
          </cell>
        </row>
        <row r="305">
          <cell r="A305">
            <v>309</v>
          </cell>
          <cell r="B305" t="str">
            <v>SHAMPOOSEMIDILINO300MLAFFINITA</v>
          </cell>
          <cell r="C305" t="str">
            <v>SHAMPOOSEMIDILINO300MLAFFINITA</v>
          </cell>
          <cell r="D305" t="str">
            <v>7899032208323</v>
          </cell>
          <cell r="E305" t="str">
            <v>3305.10.00</v>
          </cell>
        </row>
        <row r="306">
          <cell r="A306">
            <v>310</v>
          </cell>
          <cell r="B306" t="str">
            <v>SHAMPOO SEMILINO 250ML VEROMED</v>
          </cell>
          <cell r="C306" t="str">
            <v>SHAMPOO SEMILINO 250ML VEROMED</v>
          </cell>
          <cell r="D306" t="str">
            <v>7899032206893</v>
          </cell>
          <cell r="E306" t="str">
            <v>3303.00.10</v>
          </cell>
        </row>
        <row r="307">
          <cell r="A307">
            <v>311</v>
          </cell>
          <cell r="B307" t="str">
            <v>SOLUCAO COLESTEROL MISSION C121-2011</v>
          </cell>
          <cell r="C307" t="str">
            <v>SOLUCAO COLESTEROL MISSION C121-2011</v>
          </cell>
          <cell r="D307" t="str">
            <v>682607611096</v>
          </cell>
          <cell r="E307" t="str">
            <v>3822.19.90</v>
          </cell>
        </row>
        <row r="308">
          <cell r="A308">
            <v>312</v>
          </cell>
          <cell r="B308" t="str">
            <v>SOLUCAO CONTROLE OCPII MEDLEVENSOHN</v>
          </cell>
          <cell r="C308" t="str">
            <v>SOLUCAO CONTROLE OCPII MEDLEVENSOHN</v>
          </cell>
          <cell r="D308" t="str">
            <v>7908007901241</v>
          </cell>
          <cell r="E308" t="str">
            <v>3822.19.90</v>
          </cell>
        </row>
        <row r="309">
          <cell r="A309">
            <v>313</v>
          </cell>
          <cell r="B309" t="str">
            <v>SOLUCAO CONTROLE 1,5ML COLESTEROL NIVEL1</v>
          </cell>
          <cell r="C309" t="str">
            <v>SOLUCAO CONTROLE 1,5ML COLESTEROL NIVEL1</v>
          </cell>
          <cell r="D309" t="str">
            <v>9120015783987</v>
          </cell>
          <cell r="E309" t="str">
            <v>3822.19.90</v>
          </cell>
        </row>
        <row r="310">
          <cell r="A310">
            <v>314</v>
          </cell>
          <cell r="B310" t="str">
            <v>SOLUCAOCONTROLE4MLGLICOSENIVEL0</v>
          </cell>
          <cell r="C310" t="str">
            <v>SOLUCAOCONTROLE4MLGLICOSENIVEL0</v>
          </cell>
          <cell r="D310" t="str">
            <v>9120015783956</v>
          </cell>
          <cell r="E310" t="str">
            <v>3822.19.90</v>
          </cell>
        </row>
        <row r="311">
          <cell r="A311">
            <v>315</v>
          </cell>
          <cell r="B311" t="str">
            <v>SOLUCAO CONTROLE 4ML GLICOSE NIVEL1</v>
          </cell>
          <cell r="C311" t="str">
            <v>SOLUCAO CONTROLE 4ML GLICOSE NIVEL1</v>
          </cell>
          <cell r="D311" t="str">
            <v>9120015783963</v>
          </cell>
          <cell r="E311" t="str">
            <v>3822.19.90</v>
          </cell>
        </row>
        <row r="312">
          <cell r="A312">
            <v>316</v>
          </cell>
          <cell r="B312" t="str">
            <v>SOLUCAOCONTROLE4MLGLICOSENIVEL2</v>
          </cell>
          <cell r="C312" t="str">
            <v>SOLUCAOCONTROLE4MLGLICOSENIVEL2</v>
          </cell>
          <cell r="D312" t="str">
            <v>9120015783970</v>
          </cell>
          <cell r="E312" t="str">
            <v>3822.19.90</v>
          </cell>
        </row>
        <row r="313">
          <cell r="A313">
            <v>317</v>
          </cell>
          <cell r="B313" t="str">
            <v>SONDAURETRALN10GC(492114/361858)</v>
          </cell>
          <cell r="C313" t="str">
            <v>SONDAURETRALN10GC(492114/361858)</v>
          </cell>
          <cell r="D313" t="str">
            <v>7898468477686</v>
          </cell>
          <cell r="E313" t="str">
            <v>9018.39.29</v>
          </cell>
        </row>
        <row r="314">
          <cell r="A314">
            <v>318</v>
          </cell>
          <cell r="B314" t="str">
            <v>ALMOFADAESPECIALCONFORTVISCOGRAFITE</v>
          </cell>
          <cell r="C314" t="str">
            <v>ALMOFADAESPECIALCONFORTVISCOGRAFITE</v>
          </cell>
          <cell r="D314" t="str">
            <v>1000000564914</v>
          </cell>
          <cell r="E314" t="str">
            <v>9021.10.99</v>
          </cell>
        </row>
        <row r="315">
          <cell r="A315">
            <v>319</v>
          </cell>
          <cell r="B315" t="str">
            <v>SONDA URETRAL N12 (492141/266153)</v>
          </cell>
          <cell r="C315" t="str">
            <v>SONDA URETRAL N12 (492141/266153)</v>
          </cell>
          <cell r="D315" t="str">
            <v>7898468477594</v>
          </cell>
          <cell r="E315" t="str">
            <v>9018.39.29</v>
          </cell>
        </row>
        <row r="316">
          <cell r="A316">
            <v>320</v>
          </cell>
          <cell r="B316" t="str">
            <v>SPRAYARNICASPORTSICE280ML</v>
          </cell>
          <cell r="C316" t="str">
            <v>SPRAYARNICASPORTSICE280ML</v>
          </cell>
          <cell r="D316" t="str">
            <v>7896196703985</v>
          </cell>
          <cell r="E316" t="str">
            <v>3304.99.90</v>
          </cell>
        </row>
        <row r="317">
          <cell r="A317">
            <v>321</v>
          </cell>
          <cell r="B317" t="str">
            <v>SUPLEMENTOALIMENTARTRIPITOFANO60CAPS</v>
          </cell>
          <cell r="C317" t="str">
            <v>SUPLEMENTOALIMENTARTRIPITOFANO60CAPS</v>
          </cell>
          <cell r="D317" t="str">
            <v>7896874704242</v>
          </cell>
          <cell r="E317" t="str">
            <v>2106.90.30</v>
          </cell>
        </row>
        <row r="318">
          <cell r="A318">
            <v>322</v>
          </cell>
          <cell r="B318" t="str">
            <v>SUPLEMENTOALIMENTARCAPSULASZINCO30CAPS</v>
          </cell>
          <cell r="C318" t="str">
            <v>SUPLEMENTOALIMENTARCAPSULASZINCO30CAPS</v>
          </cell>
          <cell r="D318" t="str">
            <v>7896874704723</v>
          </cell>
          <cell r="E318" t="str">
            <v>2106.90.30</v>
          </cell>
        </row>
        <row r="319">
          <cell r="A319">
            <v>323</v>
          </cell>
          <cell r="B319" t="str">
            <v>SUPLEMENTOALIMENTARVITD2000UI60CAPS</v>
          </cell>
          <cell r="C319" t="str">
            <v>SUPLEMENTOALIMENTARVITD2000UI60CAPS</v>
          </cell>
          <cell r="D319" t="str">
            <v>7896874704464</v>
          </cell>
          <cell r="E319" t="str">
            <v>2106.90.29</v>
          </cell>
        </row>
        <row r="320">
          <cell r="A320">
            <v>324</v>
          </cell>
          <cell r="B320" t="str">
            <v>ALMOFADAESTOFADACADEIRABANHO65284-9</v>
          </cell>
          <cell r="C320" t="str">
            <v>ALMOFADAESTOFADACADEIRABANHO65284-9</v>
          </cell>
          <cell r="D320" t="str">
            <v>7898915704181</v>
          </cell>
          <cell r="E320" t="str">
            <v>9021.10.99</v>
          </cell>
        </row>
        <row r="321">
          <cell r="A321">
            <v>325</v>
          </cell>
          <cell r="B321" t="str">
            <v>AGUAPERFROUPAAMBIENTEFLORES345ML</v>
          </cell>
          <cell r="C321" t="str">
            <v>AGUAPERFROUPAAMBIENTEFLORES345ML</v>
          </cell>
          <cell r="D321" t="str">
            <v>7899032207944</v>
          </cell>
          <cell r="E321" t="str">
            <v>3307.49.00</v>
          </cell>
        </row>
        <row r="322">
          <cell r="A322">
            <v>326</v>
          </cell>
          <cell r="B322" t="str">
            <v>ALMOFADAGELQUADRADACORIFICIOAQUA035</v>
          </cell>
          <cell r="C322" t="str">
            <v>ALMOFADAGELQUADRADACORIFICIOAQUA035</v>
          </cell>
          <cell r="D322" t="str">
            <v>7897375134279</v>
          </cell>
          <cell r="E322" t="str">
            <v>9021.10.10</v>
          </cell>
        </row>
        <row r="323">
          <cell r="A323">
            <v>327</v>
          </cell>
          <cell r="B323" t="str">
            <v>ALMOFADAGELREDONDASORIFICIOAQUAS037</v>
          </cell>
          <cell r="C323" t="str">
            <v>ALMOFADAGELREDONDASORIFICIOAQUAS037</v>
          </cell>
          <cell r="D323" t="str">
            <v>7897375134293</v>
          </cell>
          <cell r="E323" t="str">
            <v>9021.10.10</v>
          </cell>
        </row>
        <row r="324">
          <cell r="A324">
            <v>328</v>
          </cell>
          <cell r="B324" t="str">
            <v>ANALISADOR LUMIRATEKC 99MA10</v>
          </cell>
          <cell r="C324" t="str">
            <v>ANALISADOR LUMIRATEKC 99MA10</v>
          </cell>
          <cell r="D324" t="str">
            <v>8809319392941</v>
          </cell>
          <cell r="E324" t="str">
            <v>9027.50.20</v>
          </cell>
        </row>
        <row r="325">
          <cell r="A325">
            <v>329</v>
          </cell>
          <cell r="B325" t="str">
            <v>AROMATIZADOR ISQUEIRO CARRO 00533</v>
          </cell>
          <cell r="C325" t="str">
            <v>AROMATIZADOR ISQUEIRO CARRO 00533</v>
          </cell>
          <cell r="D325" t="str">
            <v>811909015336</v>
          </cell>
          <cell r="E325" t="str">
            <v>8479.89.99</v>
          </cell>
        </row>
        <row r="326">
          <cell r="A326">
            <v>330</v>
          </cell>
          <cell r="B326" t="str">
            <v>AROMATIZADORPORTATILPESSOAL00534</v>
          </cell>
          <cell r="C326" t="str">
            <v>AROMATIZADORPORTATILPESSOAL00534</v>
          </cell>
          <cell r="D326" t="str">
            <v>811909015343</v>
          </cell>
          <cell r="E326" t="str">
            <v>8479.89.99</v>
          </cell>
        </row>
        <row r="327">
          <cell r="A327">
            <v>331</v>
          </cell>
          <cell r="B327" t="str">
            <v>AROMATIZADOR PORTATIL DE VENTUINHA 00532</v>
          </cell>
          <cell r="C327" t="str">
            <v>AROMATIZADOR PORTATIL DE VENTUINHA 00532</v>
          </cell>
          <cell r="D327" t="str">
            <v>811909015329</v>
          </cell>
          <cell r="E327" t="str">
            <v>8479.89.99</v>
          </cell>
        </row>
        <row r="328">
          <cell r="A328">
            <v>332</v>
          </cell>
          <cell r="B328" t="str">
            <v>APARELHO AROMATIZADOR USB 00535</v>
          </cell>
          <cell r="C328" t="str">
            <v>APARELHO AROMATIZADOR USB 00535</v>
          </cell>
          <cell r="D328" t="str">
            <v>811909015350</v>
          </cell>
          <cell r="E328" t="str">
            <v>8479.89.99</v>
          </cell>
        </row>
        <row r="329">
          <cell r="A329">
            <v>333</v>
          </cell>
          <cell r="B329" t="str">
            <v>APARELHOPRESSAOSESTETBRANCOAP0316BIC</v>
          </cell>
          <cell r="C329" t="str">
            <v>APARELHOPRESSAOSESTETBRANCOAP0316BIC</v>
          </cell>
          <cell r="D329" t="str">
            <v>7898523720450</v>
          </cell>
          <cell r="E329" t="str">
            <v>9018.90.69</v>
          </cell>
        </row>
        <row r="330">
          <cell r="A330">
            <v>334</v>
          </cell>
          <cell r="B330" t="str">
            <v>APARELHOPRESSAOSESTETPRETOAP0336BIC</v>
          </cell>
          <cell r="C330" t="str">
            <v>APARELHOPRESSAOSESTETPRETOAP0336BIC</v>
          </cell>
          <cell r="D330" t="str">
            <v>7898523733412</v>
          </cell>
          <cell r="E330" t="str">
            <v>9018.90.69</v>
          </cell>
        </row>
        <row r="331">
          <cell r="A331">
            <v>335</v>
          </cell>
          <cell r="B331" t="str">
            <v>APARELHO PRESSAO FIBR ATRIAL AFIB BPA200</v>
          </cell>
          <cell r="C331" t="str">
            <v>APARELHO PRESSAO FIBR ATRIAL AFIB BPA200</v>
          </cell>
          <cell r="D331" t="str">
            <v>4719003310530</v>
          </cell>
          <cell r="E331" t="str">
            <v>9018.90.69</v>
          </cell>
        </row>
        <row r="332">
          <cell r="A332">
            <v>336</v>
          </cell>
          <cell r="B332" t="str">
            <v>AGUAPERFROUPAAMBIENTELAVANDA345ML</v>
          </cell>
          <cell r="C332" t="str">
            <v>AGUAPERFROUPAAMBIENTELAVANDA345ML</v>
          </cell>
          <cell r="D332" t="str">
            <v>7899032207920</v>
          </cell>
          <cell r="E332" t="str">
            <v>3307.49.00</v>
          </cell>
        </row>
        <row r="333">
          <cell r="A333">
            <v>337</v>
          </cell>
          <cell r="B333" t="str">
            <v>APARELHOPRESSAOFIBRATRIALAFIBBPA200BOLS</v>
          </cell>
          <cell r="C333" t="str">
            <v>APARELHOPRESSAOFIBRATRIALAFIBBPA200BOLS</v>
          </cell>
          <cell r="D333" t="str">
            <v>4719003310530</v>
          </cell>
          <cell r="E333" t="str">
            <v>9018.90.69</v>
          </cell>
        </row>
        <row r="334">
          <cell r="A334">
            <v>338</v>
          </cell>
          <cell r="B334" t="str">
            <v>APARELHO PRESSAO MESA MAM BP3AC1-1PC</v>
          </cell>
          <cell r="C334" t="str">
            <v>APARELHO PRESSAO MESA MAM BP3AC1-1PC</v>
          </cell>
          <cell r="D334" t="str">
            <v>4719003310042</v>
          </cell>
          <cell r="E334" t="str">
            <v>9018.90.69</v>
          </cell>
        </row>
        <row r="335">
          <cell r="A335">
            <v>339</v>
          </cell>
          <cell r="B335" t="str">
            <v>APARELHO PRESSAO PULSO PRATA BPW100</v>
          </cell>
          <cell r="C335" t="str">
            <v>APARELHO PRESSAO PULSO PRATA BPW100</v>
          </cell>
          <cell r="D335" t="str">
            <v>4719003330040</v>
          </cell>
          <cell r="E335" t="str">
            <v>9018.90.69</v>
          </cell>
        </row>
        <row r="336">
          <cell r="A336">
            <v>340</v>
          </cell>
          <cell r="B336" t="str">
            <v>APARELHOPRESSAOPULSOWRISTWATCHKP-6130</v>
          </cell>
          <cell r="C336" t="str">
            <v>APARELHOPRESSAOPULSOWRISTWATCHKP-6130</v>
          </cell>
          <cell r="D336" t="str">
            <v>7908007901548</v>
          </cell>
          <cell r="E336" t="str">
            <v>9018.90.69</v>
          </cell>
        </row>
        <row r="337">
          <cell r="A337">
            <v>341</v>
          </cell>
          <cell r="B337" t="str">
            <v>APARELH MRPA WATCHBP HOME AFIB MICROLIFE</v>
          </cell>
          <cell r="C337" t="str">
            <v>APARELH MRPA WATCHBP HOME AFIB MICROLIFE</v>
          </cell>
          <cell r="D337" t="str">
            <v>4719003310509</v>
          </cell>
          <cell r="E337" t="str">
            <v>9018.90.69</v>
          </cell>
        </row>
        <row r="338">
          <cell r="A338">
            <v>342</v>
          </cell>
          <cell r="B338" t="str">
            <v>APARELHOTEMPACESSIPHONEFR4GAPO-M</v>
          </cell>
          <cell r="C338" t="str">
            <v>APARELHOTEMPACESSIPHONEFR4GAPO-M</v>
          </cell>
          <cell r="D338" t="str">
            <v>4719003402518</v>
          </cell>
          <cell r="E338" t="str">
            <v>9025.19.90</v>
          </cell>
        </row>
        <row r="339">
          <cell r="A339">
            <v>343</v>
          </cell>
          <cell r="B339" t="str">
            <v>ARGILABRANCA500G</v>
          </cell>
          <cell r="C339" t="str">
            <v>ARGILABRANCA500G</v>
          </cell>
          <cell r="D339" t="str">
            <v>7896196704036</v>
          </cell>
          <cell r="E339" t="str">
            <v>2508.40.90</v>
          </cell>
        </row>
        <row r="340">
          <cell r="A340">
            <v>344</v>
          </cell>
          <cell r="B340" t="str">
            <v>ARGILAPRETA500G</v>
          </cell>
          <cell r="C340" t="str">
            <v>ARGILAPRETA500G</v>
          </cell>
          <cell r="D340" t="str">
            <v>7896196704050</v>
          </cell>
          <cell r="E340" t="str">
            <v>2508.40.90</v>
          </cell>
        </row>
        <row r="341">
          <cell r="A341">
            <v>345</v>
          </cell>
          <cell r="B341" t="str">
            <v>ARGILAROSA500G</v>
          </cell>
          <cell r="C341" t="str">
            <v>ARGILAROSA500G</v>
          </cell>
          <cell r="D341" t="str">
            <v>7896196704067</v>
          </cell>
          <cell r="E341" t="str">
            <v>2508.40.90</v>
          </cell>
        </row>
        <row r="342">
          <cell r="A342">
            <v>346</v>
          </cell>
          <cell r="B342" t="str">
            <v>ARGILAVERDE500G</v>
          </cell>
          <cell r="C342" t="str">
            <v>ARGILAVERDE500G</v>
          </cell>
          <cell r="D342" t="str">
            <v>7896196704043</v>
          </cell>
          <cell r="E342" t="str">
            <v>2508.40.90</v>
          </cell>
        </row>
        <row r="343">
          <cell r="A343">
            <v>347</v>
          </cell>
          <cell r="B343" t="str">
            <v>AGUAPERFROUPAAMBIENTETALCO345ML</v>
          </cell>
          <cell r="C343" t="str">
            <v>AGUAPERFROUPAAMBIENTETALCO345ML</v>
          </cell>
          <cell r="D343" t="str">
            <v>7899032207951</v>
          </cell>
          <cell r="E343" t="str">
            <v>3307.49.00</v>
          </cell>
        </row>
        <row r="344">
          <cell r="A344">
            <v>348</v>
          </cell>
          <cell r="B344" t="str">
            <v>ARNICASPORTSCREME300G</v>
          </cell>
          <cell r="C344" t="str">
            <v>ARNICASPORTSCREME300G</v>
          </cell>
          <cell r="D344" t="str">
            <v>7896196703817</v>
          </cell>
          <cell r="E344" t="str">
            <v>3304.99.90</v>
          </cell>
        </row>
        <row r="345">
          <cell r="A345">
            <v>349</v>
          </cell>
          <cell r="B345" t="str">
            <v>ARNICASPORTSCREME650G</v>
          </cell>
          <cell r="C345" t="str">
            <v>ARNICASPORTSCREME650G</v>
          </cell>
          <cell r="D345" t="str">
            <v>7896196703831</v>
          </cell>
          <cell r="E345" t="str">
            <v>3304.99.90</v>
          </cell>
        </row>
        <row r="346">
          <cell r="A346">
            <v>350</v>
          </cell>
          <cell r="B346" t="str">
            <v>AROMATIZADORAMBIENTEALECRIM120ML</v>
          </cell>
          <cell r="C346" t="str">
            <v>AROMATIZADORAMBIENTEALECRIM120ML</v>
          </cell>
          <cell r="D346" t="str">
            <v>7899032208064</v>
          </cell>
          <cell r="E346" t="str">
            <v>3307.49.00</v>
          </cell>
        </row>
        <row r="347">
          <cell r="A347">
            <v>351</v>
          </cell>
          <cell r="B347" t="str">
            <v>AROMATIZADORAMBIENTEALGODAO120ML</v>
          </cell>
          <cell r="C347" t="str">
            <v>AROMATIZADORAMBIENTEALGODAO120ML</v>
          </cell>
          <cell r="D347" t="str">
            <v>7899032208088</v>
          </cell>
          <cell r="E347" t="str">
            <v>3307.49.00</v>
          </cell>
        </row>
        <row r="348">
          <cell r="A348">
            <v>352</v>
          </cell>
          <cell r="B348" t="str">
            <v>AROMATIZADORAMBIENTEBAMBU120ML</v>
          </cell>
          <cell r="C348" t="str">
            <v>AROMATIZADORAMBIENTEBAMBU120ML</v>
          </cell>
          <cell r="D348" t="str">
            <v>7899032208118</v>
          </cell>
          <cell r="E348" t="str">
            <v>3307.49.00</v>
          </cell>
        </row>
        <row r="349">
          <cell r="A349">
            <v>353</v>
          </cell>
          <cell r="B349" t="str">
            <v>AROMATIZADORAMBIENTECRAVOCANELA120ML</v>
          </cell>
          <cell r="C349" t="str">
            <v>AROMATIZADORAMBIENTECRAVOCANELA120ML</v>
          </cell>
          <cell r="D349" t="str">
            <v>7899032208095</v>
          </cell>
          <cell r="E349" t="str">
            <v>3307.49.00</v>
          </cell>
        </row>
        <row r="350">
          <cell r="A350">
            <v>354</v>
          </cell>
          <cell r="B350" t="str">
            <v>AROMATIZADORAMBIENTEFLORES120ML</v>
          </cell>
          <cell r="C350" t="str">
            <v>AROMATIZADORAMBIENTEFLORES120ML</v>
          </cell>
          <cell r="D350" t="str">
            <v>7899032208071</v>
          </cell>
          <cell r="E350" t="str">
            <v>3307.49.00</v>
          </cell>
        </row>
        <row r="351">
          <cell r="A351">
            <v>355</v>
          </cell>
          <cell r="B351" t="str">
            <v>AROMATIZADORAMBIENTEVANILLA120ML</v>
          </cell>
          <cell r="C351" t="str">
            <v>AROMATIZADORAMBIENTEVANILLA120ML</v>
          </cell>
          <cell r="D351" t="str">
            <v>7899032208101</v>
          </cell>
          <cell r="E351" t="str">
            <v>3307.49.00</v>
          </cell>
        </row>
        <row r="352">
          <cell r="A352">
            <v>356</v>
          </cell>
          <cell r="B352" t="str">
            <v>AROMATIZADORCHEIOCARRONOVO120ML</v>
          </cell>
          <cell r="C352" t="str">
            <v>AROMATIZADORCHEIOCARRONOVO120ML</v>
          </cell>
          <cell r="D352" t="str">
            <v>7899032207913</v>
          </cell>
          <cell r="E352" t="str">
            <v>3307.49.00</v>
          </cell>
        </row>
        <row r="353">
          <cell r="A353">
            <v>357</v>
          </cell>
          <cell r="B353" t="str">
            <v>ATADURACREPOM06X1.80MSOFT13FNESTERIL</v>
          </cell>
          <cell r="C353" t="str">
            <v>ATADURACREPOM06X1.80MSOFT13FNESTERIL</v>
          </cell>
          <cell r="D353" t="str">
            <v>7893590484236</v>
          </cell>
          <cell r="E353" t="str">
            <v>3005.90.90</v>
          </cell>
        </row>
        <row r="354">
          <cell r="A354">
            <v>358</v>
          </cell>
          <cell r="B354" t="str">
            <v>AGULHACOLETASANGUE21G25X0.8MMCX/100</v>
          </cell>
          <cell r="C354" t="str">
            <v>AGULHACOLETASANGUE21G25X0.8MMCX/100</v>
          </cell>
          <cell r="D354" t="str">
            <v>7898599570102</v>
          </cell>
          <cell r="E354" t="str">
            <v>9018.32.19</v>
          </cell>
        </row>
        <row r="355">
          <cell r="A355">
            <v>359</v>
          </cell>
          <cell r="B355" t="str">
            <v>ATADURACREPOM08X1.80MSOFT13FNESTERIL</v>
          </cell>
          <cell r="C355" t="str">
            <v>ATADURACREPOM08X1.80MSOFT13FNESTERIL</v>
          </cell>
          <cell r="D355" t="str">
            <v>7893590484243</v>
          </cell>
          <cell r="E355" t="str">
            <v>3005.90.90</v>
          </cell>
        </row>
        <row r="356">
          <cell r="A356">
            <v>360</v>
          </cell>
          <cell r="B356" t="str">
            <v>ATADURA CREPOM 10X1.80M SOFT13FN ESTERIL</v>
          </cell>
          <cell r="C356" t="str">
            <v>ATADURA CREPOM 10X1.80M SOFT13FN ESTERIL</v>
          </cell>
          <cell r="D356" t="str">
            <v>7893590484250</v>
          </cell>
          <cell r="E356" t="str">
            <v>3005.90.90</v>
          </cell>
        </row>
        <row r="357">
          <cell r="A357">
            <v>361</v>
          </cell>
          <cell r="B357" t="str">
            <v>ATADURACREPOM12X1.80MSOFT13FNESTERIL</v>
          </cell>
          <cell r="C357" t="str">
            <v>ATADURACREPOM12X1.80MSOFT13FNESTERIL</v>
          </cell>
          <cell r="D357" t="str">
            <v>7893590484267</v>
          </cell>
          <cell r="E357" t="str">
            <v>3005.90.90</v>
          </cell>
        </row>
        <row r="358">
          <cell r="A358">
            <v>362</v>
          </cell>
          <cell r="B358" t="str">
            <v>ATADURACREPOM15X1.80MSOFT13FNESTERIL</v>
          </cell>
          <cell r="C358" t="str">
            <v>ATADURACREPOM15X1.80MSOFT13FNESTERIL</v>
          </cell>
          <cell r="D358" t="str">
            <v>7893590484274</v>
          </cell>
          <cell r="E358" t="str">
            <v>3005.90.90</v>
          </cell>
        </row>
        <row r="359">
          <cell r="A359">
            <v>363</v>
          </cell>
          <cell r="B359" t="str">
            <v>ATADURA CREPOM 20X1.80M SOFT 13F ESTERIL</v>
          </cell>
          <cell r="C359" t="str">
            <v>ATADURA CREPOM 20X1.80M SOFT 13F ESTERIL</v>
          </cell>
          <cell r="D359" t="str">
            <v>7893590484298</v>
          </cell>
          <cell r="E359" t="str">
            <v>3005.90.90</v>
          </cell>
        </row>
        <row r="360">
          <cell r="A360">
            <v>364</v>
          </cell>
          <cell r="B360" t="str">
            <v>AVENTAL DESC BRANCO MANGA LONGA 40GR</v>
          </cell>
          <cell r="C360" t="str">
            <v>AVENTAL DESC BRANCO MANGA LONGA 40GR</v>
          </cell>
          <cell r="D360" t="str">
            <v>7893590892710</v>
          </cell>
          <cell r="E360" t="str">
            <v>6210.10.00</v>
          </cell>
        </row>
        <row r="361">
          <cell r="A361">
            <v>365</v>
          </cell>
          <cell r="B361" t="str">
            <v>BALANCABLUETOOFDEBIOIPENDANCIAHC059</v>
          </cell>
          <cell r="C361" t="str">
            <v>BALANCABLUETOOFDEBIOIPENDANCIAHC059</v>
          </cell>
          <cell r="D361" t="str">
            <v>7899838888705</v>
          </cell>
          <cell r="E361" t="str">
            <v>9031.80.99</v>
          </cell>
        </row>
        <row r="362">
          <cell r="A362">
            <v>366</v>
          </cell>
          <cell r="B362" t="str">
            <v>BALANCABLUETOOTHWS200BTMICROLIFE</v>
          </cell>
          <cell r="C362" t="str">
            <v>BALANCABLUETOOTHWS200BTMICROLIFE</v>
          </cell>
          <cell r="D362" t="str">
            <v/>
          </cell>
          <cell r="E362" t="str">
            <v>8423.10.00</v>
          </cell>
        </row>
        <row r="363">
          <cell r="A363">
            <v>367</v>
          </cell>
          <cell r="B363" t="str">
            <v>BALANCADIGITALEATSMARTLCD</v>
          </cell>
          <cell r="C363" t="str">
            <v>BALANCADIGITALEATSMARTLCD</v>
          </cell>
          <cell r="D363" t="str">
            <v>7899838827643</v>
          </cell>
          <cell r="E363" t="str">
            <v>8423.10.00</v>
          </cell>
        </row>
        <row r="364">
          <cell r="A364">
            <v>368</v>
          </cell>
          <cell r="B364" t="str">
            <v>BATERIA 3V CR2032 CARTELA 01 UNIDADE</v>
          </cell>
          <cell r="C364" t="str">
            <v>BATERIA 3V CR2032 CARTELA 01 UNIDADE</v>
          </cell>
          <cell r="D364" t="str">
            <v>7908412508943</v>
          </cell>
          <cell r="E364" t="str">
            <v>8506.50.10</v>
          </cell>
        </row>
        <row r="365">
          <cell r="A365">
            <v>369</v>
          </cell>
          <cell r="B365" t="str">
            <v>AGULHACANINS29G0.33X12MMIPN-29-12CX100</v>
          </cell>
          <cell r="C365" t="str">
            <v>AGULHACANINS29G0.33X12MMIPN-29-12CX100</v>
          </cell>
          <cell r="D365" t="str">
            <v>7908007903894</v>
          </cell>
          <cell r="E365" t="str">
            <v>9018.32.19</v>
          </cell>
        </row>
        <row r="366">
          <cell r="A366">
            <v>370</v>
          </cell>
          <cell r="B366" t="str">
            <v>BATERIAELGINBOTAOLITIOCR2032(3V)</v>
          </cell>
          <cell r="C366" t="str">
            <v>BATERIAELGINBOTAOLITIOCR2032(3V)</v>
          </cell>
          <cell r="D366" t="str">
            <v>1000000450118</v>
          </cell>
          <cell r="E366" t="str">
            <v>8506.50.10</v>
          </cell>
        </row>
        <row r="367">
          <cell r="A367">
            <v>371</v>
          </cell>
          <cell r="B367" t="str">
            <v>BATERIATRACIONARIANACIONAL</v>
          </cell>
          <cell r="C367" t="str">
            <v>BATERIATRACIONARIANACIONAL</v>
          </cell>
          <cell r="D367" t="str">
            <v/>
          </cell>
          <cell r="E367" t="str">
            <v>8431.20.11</v>
          </cell>
        </row>
        <row r="368">
          <cell r="A368">
            <v>372</v>
          </cell>
          <cell r="B368" t="str">
            <v>BOLAEXERCITADORMAOCRAVOPEQUENO</v>
          </cell>
          <cell r="C368" t="str">
            <v>BOLAEXERCITADORMAOCRAVOPEQUENO</v>
          </cell>
          <cell r="D368" t="str">
            <v>7895893003671</v>
          </cell>
          <cell r="E368" t="str">
            <v>9019.10.00</v>
          </cell>
        </row>
        <row r="369">
          <cell r="A369">
            <v>373</v>
          </cell>
          <cell r="B369" t="str">
            <v>BOLAEXERCITADORMAOLISOBL.03.BL</v>
          </cell>
          <cell r="C369" t="str">
            <v>BOLAEXERCITADORMAOLISOBL.03.BL</v>
          </cell>
          <cell r="D369" t="str">
            <v>7895893002278</v>
          </cell>
          <cell r="E369" t="str">
            <v>9506.62.00</v>
          </cell>
        </row>
        <row r="370">
          <cell r="A370">
            <v>374</v>
          </cell>
          <cell r="B370" t="str">
            <v>BOLAEXERCITADORMAOOURICO</v>
          </cell>
          <cell r="C370" t="str">
            <v>BOLAEXERCITADORMAOOURICO</v>
          </cell>
          <cell r="D370" t="str">
            <v>1000000567212</v>
          </cell>
          <cell r="E370" t="str">
            <v>9506.62.00</v>
          </cell>
        </row>
        <row r="371">
          <cell r="A371">
            <v>375</v>
          </cell>
          <cell r="B371" t="str">
            <v>BOLSACOMALCAWATCHBPO3AFIBMICROLIFE</v>
          </cell>
          <cell r="C371" t="str">
            <v>BOLSACOMALCAWATCHBPO3AFIBMICROLIFE</v>
          </cell>
          <cell r="D371" t="str">
            <v>1000000598216</v>
          </cell>
          <cell r="E371" t="str">
            <v>9018.90.69</v>
          </cell>
        </row>
        <row r="372">
          <cell r="A372">
            <v>376</v>
          </cell>
          <cell r="B372" t="str">
            <v>BOLSAFLEXIVELQUENTEFRIOGBGGBODYFLEX</v>
          </cell>
          <cell r="C372" t="str">
            <v>BOLSAFLEXIVELQUENTEFRIOGBGGBODYFLEX</v>
          </cell>
          <cell r="D372" t="str">
            <v>742832546133</v>
          </cell>
          <cell r="E372" t="str">
            <v>3926.90.90</v>
          </cell>
        </row>
        <row r="373">
          <cell r="A373">
            <v>377</v>
          </cell>
          <cell r="B373" t="str">
            <v>BOLSATROCAMISSION</v>
          </cell>
          <cell r="C373" t="str">
            <v>BOLSATROCAMISSION</v>
          </cell>
          <cell r="D373" t="str">
            <v/>
          </cell>
          <cell r="E373" t="str">
            <v>4202.32.00</v>
          </cell>
        </row>
        <row r="374">
          <cell r="A374">
            <v>378</v>
          </cell>
          <cell r="B374" t="str">
            <v>BOLSASEMALCAWATCHBPO3AFIBMICROLIFE</v>
          </cell>
          <cell r="C374" t="str">
            <v>BOLSASEMALCAWATCHBPO3AFIBMICROLIFE</v>
          </cell>
          <cell r="D374" t="str">
            <v>1000000598315</v>
          </cell>
          <cell r="E374" t="str">
            <v>9018.90.69</v>
          </cell>
        </row>
        <row r="375">
          <cell r="A375">
            <v>379</v>
          </cell>
          <cell r="B375" t="str">
            <v>BOLSATERMICAELETRICAYCEELTHERMOLUX</v>
          </cell>
          <cell r="C375" t="str">
            <v>BOLSATERMICAELETRICAYCEELTHERMOLUX</v>
          </cell>
          <cell r="D375" t="str">
            <v>1000000567717</v>
          </cell>
          <cell r="E375" t="str">
            <v>9021.10.10</v>
          </cell>
        </row>
        <row r="376">
          <cell r="A376">
            <v>380</v>
          </cell>
          <cell r="B376" t="str">
            <v>AGULHACANINS31G0.25X6MMCX100</v>
          </cell>
          <cell r="C376" t="str">
            <v>AGULHACANINS31G0.25X6MMCX100</v>
          </cell>
          <cell r="D376" t="str">
            <v>7908007900534</v>
          </cell>
          <cell r="E376" t="str">
            <v>9018.32.19</v>
          </cell>
        </row>
        <row r="377">
          <cell r="A377">
            <v>381</v>
          </cell>
          <cell r="B377" t="str">
            <v>BOLSATERMICAGELTHERMAL420GC076CHANTAL</v>
          </cell>
          <cell r="C377" t="str">
            <v>BOLSATERMICAGELTHERMAL420GC076CHANTAL</v>
          </cell>
          <cell r="D377" t="str">
            <v>7898440160018</v>
          </cell>
          <cell r="E377" t="str">
            <v>9021.10.99</v>
          </cell>
        </row>
        <row r="378">
          <cell r="A378">
            <v>382</v>
          </cell>
          <cell r="B378" t="str">
            <v>BOLSATRANSPORTEINSULINAXLWELLFRIGOL</v>
          </cell>
          <cell r="C378" t="str">
            <v>BOLSATRANSPORTEINSULINAXLWELLFRIGOL</v>
          </cell>
          <cell r="D378" t="str">
            <v>9120015782126</v>
          </cell>
          <cell r="E378" t="str">
            <v>4202.39.00</v>
          </cell>
        </row>
        <row r="379">
          <cell r="A379">
            <v>383</v>
          </cell>
          <cell r="B379" t="str">
            <v>BOLSATRANSPORTEINSULINALARGEWELLFRIGOL</v>
          </cell>
          <cell r="C379" t="str">
            <v>BOLSATRANSPORTEINSULINALARGEWELLFRIGOL</v>
          </cell>
          <cell r="D379" t="str">
            <v>9120015782119</v>
          </cell>
          <cell r="E379" t="str">
            <v>4202.39.00</v>
          </cell>
        </row>
        <row r="380">
          <cell r="A380">
            <v>384</v>
          </cell>
          <cell r="B380" t="str">
            <v>BOTAIMOBILIZADORABRIG-SBR7-1303-STAMP</v>
          </cell>
          <cell r="C380" t="str">
            <v>BOTAIMOBILIZADORABRIG-SBR7-1303-STAMP</v>
          </cell>
          <cell r="D380" t="str">
            <v>7891746041234</v>
          </cell>
          <cell r="E380" t="str">
            <v>9021.10.10</v>
          </cell>
        </row>
        <row r="381">
          <cell r="A381">
            <v>385</v>
          </cell>
          <cell r="B381" t="str">
            <v>BOTAIMOBILIZADORABRIG-SBR7-1304-STAMM</v>
          </cell>
          <cell r="C381" t="str">
            <v>BOTAIMOBILIZADORABRIG-SBR7-1304-STAMM</v>
          </cell>
          <cell r="D381" t="str">
            <v>7891746041241</v>
          </cell>
          <cell r="E381" t="str">
            <v>9021.10.10</v>
          </cell>
        </row>
        <row r="382">
          <cell r="A382">
            <v>386</v>
          </cell>
          <cell r="B382" t="str">
            <v>BOTAIMOBILIZADORABRIG-SBR7-1305-STAMG</v>
          </cell>
          <cell r="C382" t="str">
            <v>BOTAIMOBILIZADORABRIG-SBR7-1305-STAMG</v>
          </cell>
          <cell r="D382" t="str">
            <v>7891746041258</v>
          </cell>
          <cell r="E382" t="str">
            <v>9021.10.10</v>
          </cell>
        </row>
        <row r="383">
          <cell r="A383">
            <v>387</v>
          </cell>
          <cell r="B383" t="str">
            <v>BOTAIMOBILIZADORABRIG-SBR7-1313-STAMP</v>
          </cell>
          <cell r="C383" t="str">
            <v>BOTAIMOBILIZADORABRIG-SBR7-1313-STAMP</v>
          </cell>
          <cell r="D383" t="str">
            <v>7891746041869</v>
          </cell>
          <cell r="E383" t="str">
            <v>9021.10.10</v>
          </cell>
        </row>
        <row r="384">
          <cell r="A384">
            <v>388</v>
          </cell>
          <cell r="B384" t="str">
            <v>BOTAIMOBILIZADORABRIG-SBR7-1314-STAMM</v>
          </cell>
          <cell r="C384" t="str">
            <v>BOTAIMOBILIZADORABRIG-SBR7-1314-STAMM</v>
          </cell>
          <cell r="D384" t="str">
            <v>7891746041876</v>
          </cell>
          <cell r="E384" t="str">
            <v>9021.10.10</v>
          </cell>
        </row>
        <row r="385">
          <cell r="A385">
            <v>389</v>
          </cell>
          <cell r="B385" t="str">
            <v>BOTAIMOBILIZADORABRIG-SBR7-1315-STAMG</v>
          </cell>
          <cell r="C385" t="str">
            <v>BOTAIMOBILIZADORABRIG-SBR7-1315-STAMG</v>
          </cell>
          <cell r="D385" t="str">
            <v>7891746041883</v>
          </cell>
          <cell r="E385" t="str">
            <v>9021.10.10</v>
          </cell>
        </row>
        <row r="386">
          <cell r="A386">
            <v>390</v>
          </cell>
          <cell r="B386" t="str">
            <v>BOTAIMOBILIZADORALONGAPRETOGSHIIMPAX</v>
          </cell>
          <cell r="C386" t="str">
            <v>BOTAIMOBILIZADORALONGAPRETOGSHIIMPAX</v>
          </cell>
          <cell r="D386" t="str">
            <v>1000000572018</v>
          </cell>
          <cell r="E386" t="str">
            <v>9021.10.10</v>
          </cell>
        </row>
        <row r="387">
          <cell r="A387">
            <v>391</v>
          </cell>
          <cell r="B387" t="str">
            <v>SUPLEMENTOVITCSABORAMORAMIURA60CAPS</v>
          </cell>
          <cell r="C387" t="str">
            <v>SUPLEMENTOVITCSABORAMORAMIURA60CAPS</v>
          </cell>
          <cell r="D387" t="str">
            <v>7896874704044</v>
          </cell>
          <cell r="E387" t="str">
            <v>2106.90.30</v>
          </cell>
        </row>
        <row r="388">
          <cell r="A388">
            <v>392</v>
          </cell>
          <cell r="B388" t="str">
            <v>SUPORTEANATOMICOGPRETO426613TENSOR</v>
          </cell>
          <cell r="C388" t="str">
            <v>SUPORTEANATOMICOGPRETO426613TENSOR</v>
          </cell>
          <cell r="D388" t="str">
            <v>7896191266133</v>
          </cell>
          <cell r="E388" t="str">
            <v>6117.80.90</v>
          </cell>
        </row>
        <row r="389">
          <cell r="A389">
            <v>393</v>
          </cell>
          <cell r="B389" t="str">
            <v>SUPORTEBOLSATERMICAUKSN023-PRKESTAL</v>
          </cell>
          <cell r="C389" t="str">
            <v>SUPORTEBOLSATERMICAUKSN023-PRKESTAL</v>
          </cell>
          <cell r="D389" t="str">
            <v>7898601060690</v>
          </cell>
          <cell r="E389" t="str">
            <v>9021.10.10</v>
          </cell>
        </row>
        <row r="390">
          <cell r="A390">
            <v>394</v>
          </cell>
          <cell r="B390" t="str">
            <v>SUPORTETUBOWATHBPO3AFIBMICROLIFE</v>
          </cell>
          <cell r="C390" t="str">
            <v>SUPORTETUBOWATHBPO3AFIBMICROLIFE</v>
          </cell>
          <cell r="D390" t="str">
            <v>1000000597912</v>
          </cell>
          <cell r="E390" t="str">
            <v>9018.90.69</v>
          </cell>
        </row>
        <row r="391">
          <cell r="A391">
            <v>395</v>
          </cell>
          <cell r="B391" t="str">
            <v>SUPORTEELEVACAOTRONCOINFANTIREFLUXO</v>
          </cell>
          <cell r="C391" t="str">
            <v>SUPORTEELEVACAOTRONCOINFANTIREFLUXO</v>
          </cell>
          <cell r="D391" t="str">
            <v>7898621210433</v>
          </cell>
          <cell r="E391" t="str">
            <v>9021.10.99</v>
          </cell>
        </row>
        <row r="392">
          <cell r="A392">
            <v>396</v>
          </cell>
          <cell r="B392" t="str">
            <v>SUPORTEOMBROPRETOGKSN015-PR-GKESTAL</v>
          </cell>
          <cell r="C392" t="str">
            <v>SUPORTEOMBROPRETOGKSN015-PR-GKESTAL</v>
          </cell>
          <cell r="D392" t="str">
            <v>7898601060461</v>
          </cell>
          <cell r="E392" t="str">
            <v>9021.10.10</v>
          </cell>
        </row>
        <row r="393">
          <cell r="A393">
            <v>397</v>
          </cell>
          <cell r="B393" t="str">
            <v>SUPORTEOMBROPRETOGGKSN015-PR-GGKESTAL</v>
          </cell>
          <cell r="C393" t="str">
            <v>SUPORTEOMBROPRETOGGKSN015-PR-GGKESTAL</v>
          </cell>
          <cell r="D393" t="str">
            <v>7898601060478</v>
          </cell>
          <cell r="E393" t="str">
            <v>9021.10.10</v>
          </cell>
        </row>
        <row r="394">
          <cell r="A394">
            <v>398</v>
          </cell>
          <cell r="B394" t="str">
            <v>SUPORTEOMBROPRETOMKSN015-PR-MKESTAL</v>
          </cell>
          <cell r="C394" t="str">
            <v>SUPORTEOMBROPRETOMKSN015-PR-MKESTAL</v>
          </cell>
          <cell r="D394" t="str">
            <v>7898601060454</v>
          </cell>
          <cell r="E394" t="str">
            <v>9021.10.10</v>
          </cell>
        </row>
        <row r="395">
          <cell r="A395">
            <v>399</v>
          </cell>
          <cell r="B395" t="str">
            <v>SUPORTEOMBROPRETOPKSN015-PR-PKESTAL</v>
          </cell>
          <cell r="C395" t="str">
            <v>SUPORTEOMBROPRETOPKSN015-PR-PKESTAL</v>
          </cell>
          <cell r="D395" t="str">
            <v>7898601060447</v>
          </cell>
          <cell r="E395" t="str">
            <v>9021.10.10</v>
          </cell>
        </row>
        <row r="396">
          <cell r="A396">
            <v>400</v>
          </cell>
          <cell r="B396" t="str">
            <v>SUPORTEPANTURRILHAPRETOGKSN007-PRKESTAL</v>
          </cell>
          <cell r="C396" t="str">
            <v>SUPORTEPANTURRILHAPRETOGKSN007-PRKESTAL</v>
          </cell>
          <cell r="D396" t="str">
            <v>7898601060348</v>
          </cell>
          <cell r="E396" t="str">
            <v>9021.10.10</v>
          </cell>
        </row>
        <row r="397">
          <cell r="A397">
            <v>401</v>
          </cell>
          <cell r="B397" t="str">
            <v>SUPORTEPANTURRILHAPRETOMKSN007-PRKESTAL</v>
          </cell>
          <cell r="C397" t="str">
            <v>SUPORTEPANTURRILHAPRETOMKSN007-PRKESTAL</v>
          </cell>
          <cell r="D397" t="str">
            <v>7898601060331</v>
          </cell>
          <cell r="E397" t="str">
            <v>9021.10.10</v>
          </cell>
        </row>
        <row r="398">
          <cell r="A398">
            <v>402</v>
          </cell>
          <cell r="B398" t="str">
            <v>SUPORTEPANTURRILHAPRETOPKSN007-PRKESTAL</v>
          </cell>
          <cell r="C398" t="str">
            <v>SUPORTEPANTURRILHAPRETOPKSN007-PRKESTAL</v>
          </cell>
          <cell r="D398" t="str">
            <v>7898601060324</v>
          </cell>
          <cell r="E398" t="str">
            <v>9021.10.10</v>
          </cell>
        </row>
        <row r="399">
          <cell r="A399">
            <v>403</v>
          </cell>
          <cell r="B399" t="str">
            <v>SUSPENSORIOESCROTALP308PGLCORTOPEDIA</v>
          </cell>
          <cell r="C399" t="str">
            <v>SUSPENSORIOESCROTALP308PGLCORTOPEDIA</v>
          </cell>
          <cell r="D399" t="str">
            <v>7899515606080</v>
          </cell>
          <cell r="E399" t="str">
            <v>6117.80.90</v>
          </cell>
        </row>
        <row r="400">
          <cell r="A400">
            <v>404</v>
          </cell>
          <cell r="B400" t="str">
            <v>SUTIAAMAMENTRENDAGTECIDOBOJOCHOC</v>
          </cell>
          <cell r="C400" t="str">
            <v>SUTIAAMAMENTRENDAGTECIDOBOJOCHOC</v>
          </cell>
          <cell r="D400" t="str">
            <v/>
          </cell>
          <cell r="E400" t="str">
            <v>6212.10.00</v>
          </cell>
        </row>
        <row r="401">
          <cell r="A401">
            <v>405</v>
          </cell>
          <cell r="B401" t="str">
            <v>SUTIAAMAMENTRENDAMTECIDOBOJOCHOC</v>
          </cell>
          <cell r="C401" t="str">
            <v>SUTIAAMAMENTRENDAMTECIDOBOJOCHOC</v>
          </cell>
          <cell r="D401" t="str">
            <v/>
          </cell>
          <cell r="E401" t="str">
            <v>6212.10.00</v>
          </cell>
        </row>
        <row r="402">
          <cell r="A402">
            <v>406</v>
          </cell>
          <cell r="B402" t="str">
            <v>SUTIAAMAMENTRENDAPTECIDOBOJOCHOC</v>
          </cell>
          <cell r="C402" t="str">
            <v>SUTIAAMAMENTRENDAPTECIDOBOJOCHOC</v>
          </cell>
          <cell r="D402" t="str">
            <v/>
          </cell>
          <cell r="E402" t="str">
            <v>6212.10.00</v>
          </cell>
        </row>
        <row r="403">
          <cell r="A403">
            <v>407</v>
          </cell>
          <cell r="B403" t="str">
            <v>SUTIAONCOLPBOJOPARPROTESECHOCOLATE</v>
          </cell>
          <cell r="C403" t="str">
            <v>SUTIAONCOLPBOJOPARPROTESECHOCOLATE</v>
          </cell>
          <cell r="D403" t="str">
            <v/>
          </cell>
          <cell r="E403" t="str">
            <v>6212.10.00</v>
          </cell>
        </row>
        <row r="404">
          <cell r="A404">
            <v>408</v>
          </cell>
          <cell r="B404" t="str">
            <v>SWABCONTROLENEGATIVOANTIGENOCOVID-19</v>
          </cell>
          <cell r="C404" t="str">
            <v>SWABCONTROLENEGATIVOANTIGENOCOVID-19</v>
          </cell>
          <cell r="D404" t="str">
            <v>1000000604917</v>
          </cell>
          <cell r="E404" t="str">
            <v>5601.21.90</v>
          </cell>
        </row>
        <row r="405">
          <cell r="A405">
            <v>409</v>
          </cell>
          <cell r="B405" t="str">
            <v>SWAB CONTROLE POSITIVO ANTIGENO COVID-19</v>
          </cell>
          <cell r="C405" t="str">
            <v>SWAB CONTROLE POSITIVO ANTIGENO COVID-19</v>
          </cell>
          <cell r="D405" t="str">
            <v>1000000605112</v>
          </cell>
          <cell r="E405" t="str">
            <v>5601.21.90</v>
          </cell>
        </row>
        <row r="406">
          <cell r="A406">
            <v>410</v>
          </cell>
          <cell r="B406" t="str">
            <v>TALACURTAPUNHOBILATERALGPRETO</v>
          </cell>
          <cell r="C406" t="str">
            <v>TALACURTAPUNHOBILATERALGPRETO</v>
          </cell>
          <cell r="D406" t="str">
            <v>7898601062373</v>
          </cell>
          <cell r="E406" t="str">
            <v>9021.10.10</v>
          </cell>
        </row>
        <row r="407">
          <cell r="A407">
            <v>411</v>
          </cell>
          <cell r="B407" t="str">
            <v>TALACURTAPUNHOBILATERALGGPRETO</v>
          </cell>
          <cell r="C407" t="str">
            <v>TALACURTAPUNHOBILATERALGGPRETO</v>
          </cell>
          <cell r="D407" t="str">
            <v>7898601061000</v>
          </cell>
          <cell r="E407" t="str">
            <v>9021.10.10</v>
          </cell>
        </row>
        <row r="408">
          <cell r="A408">
            <v>412</v>
          </cell>
          <cell r="B408" t="str">
            <v>TALACURTAPUNHOBILATERALMPRETO</v>
          </cell>
          <cell r="C408" t="str">
            <v>TALACURTAPUNHOBILATERALMPRETO</v>
          </cell>
          <cell r="D408" t="str">
            <v>7898601062366</v>
          </cell>
          <cell r="E408" t="str">
            <v>9021.10.10</v>
          </cell>
        </row>
        <row r="409">
          <cell r="A409">
            <v>413</v>
          </cell>
          <cell r="B409" t="str">
            <v>TALAPUNHOLITESUP452-03LSNTAMPSALVAPE</v>
          </cell>
          <cell r="C409" t="str">
            <v>TALAPUNHOLITESUP452-03LSNTAMPSALVAPE</v>
          </cell>
          <cell r="D409" t="str">
            <v>7891746029300</v>
          </cell>
          <cell r="E409" t="str">
            <v>9021.10.10</v>
          </cell>
        </row>
        <row r="410">
          <cell r="A410">
            <v>414</v>
          </cell>
          <cell r="B410" t="str">
            <v>TALAPUNHOLITESUP452-05LSNTAMGSALVAPE</v>
          </cell>
          <cell r="C410" t="str">
            <v>TALAPUNHOLITESUP452-05LSNTAMGSALVAPE</v>
          </cell>
          <cell r="D410" t="str">
            <v>7891746029317</v>
          </cell>
          <cell r="E410" t="str">
            <v>9021.10.10</v>
          </cell>
        </row>
        <row r="411">
          <cell r="A411">
            <v>415</v>
          </cell>
          <cell r="B411" t="str">
            <v>TALAPUNHOSALVAPE420-30PRTESQUERDO</v>
          </cell>
          <cell r="C411" t="str">
            <v>TALAPUNHOSALVAPE420-30PRTESQUERDO</v>
          </cell>
          <cell r="D411" t="str">
            <v>7891746022516</v>
          </cell>
          <cell r="E411" t="str">
            <v>9021.10.10</v>
          </cell>
        </row>
        <row r="412">
          <cell r="A412">
            <v>416</v>
          </cell>
          <cell r="B412" t="str">
            <v>TALAPOLEGARAJUSTAVELNEOLIGHTUKSN072-PR</v>
          </cell>
          <cell r="C412" t="str">
            <v>TALAPOLEGARAJUSTAVELNEOLIGHTUKSN072-PR</v>
          </cell>
          <cell r="D412" t="str">
            <v>7898601063455</v>
          </cell>
          <cell r="E412" t="str">
            <v>9021.10.10</v>
          </cell>
        </row>
        <row r="413">
          <cell r="A413">
            <v>417</v>
          </cell>
          <cell r="B413" t="str">
            <v>TALAPUNHOPOLEGARABSEUC608EUCHANTAL</v>
          </cell>
          <cell r="C413" t="str">
            <v>TALAPUNHOPOLEGARABSEUC608EUCHANTAL</v>
          </cell>
          <cell r="D413" t="str">
            <v>7898440164283</v>
          </cell>
          <cell r="E413" t="str">
            <v>9021.10.10</v>
          </cell>
        </row>
        <row r="414">
          <cell r="A414">
            <v>418</v>
          </cell>
          <cell r="B414" t="str">
            <v>TALATECIDOPUNHO436-34PRTAMMSALVAPE</v>
          </cell>
          <cell r="C414" t="str">
            <v>TALATECIDOPUNHO436-34PRTAMMSALVAPE</v>
          </cell>
          <cell r="D414" t="str">
            <v>7891746017116</v>
          </cell>
          <cell r="E414" t="str">
            <v>9021.10.10</v>
          </cell>
        </row>
        <row r="415">
          <cell r="A415">
            <v>419</v>
          </cell>
          <cell r="B415" t="str">
            <v>TALATECIDOPUNHO436-35PRTAMGSALVAPE</v>
          </cell>
          <cell r="C415" t="str">
            <v>TALATECIDOPUNHO436-35PRTAMGSALVAPE</v>
          </cell>
          <cell r="D415" t="str">
            <v>7891746017123</v>
          </cell>
          <cell r="E415" t="str">
            <v>9021.10.10</v>
          </cell>
        </row>
        <row r="416">
          <cell r="A416">
            <v>420</v>
          </cell>
          <cell r="B416" t="str">
            <v>TALATECIDOPUNHO436-36PRTAMXGSALVAPE</v>
          </cell>
          <cell r="C416" t="str">
            <v>TALATECIDOPUNHO436-36PRTAMXGSALVAPE</v>
          </cell>
          <cell r="D416" t="str">
            <v>7891746017130</v>
          </cell>
          <cell r="E416" t="str">
            <v>9021.10.10</v>
          </cell>
        </row>
        <row r="417">
          <cell r="A417">
            <v>421</v>
          </cell>
          <cell r="B417" t="str">
            <v>TALATECIDOPUNHO436-43PRTAMPSALVAPE</v>
          </cell>
          <cell r="C417" t="str">
            <v>TALATECIDOPUNHO436-43PRTAMPSALVAPE</v>
          </cell>
          <cell r="D417" t="str">
            <v>7891746017055</v>
          </cell>
          <cell r="E417" t="str">
            <v>9021.10.10</v>
          </cell>
        </row>
        <row r="418">
          <cell r="A418">
            <v>422</v>
          </cell>
          <cell r="B418" t="str">
            <v>TALATECIDOPUNHO436-44PRTAMMSALVAPE</v>
          </cell>
          <cell r="C418" t="str">
            <v>TALATECIDOPUNHO436-44PRTAMMSALVAPE</v>
          </cell>
          <cell r="D418" t="str">
            <v>7891746017062</v>
          </cell>
          <cell r="E418" t="str">
            <v>9021.10.10</v>
          </cell>
        </row>
        <row r="419">
          <cell r="A419">
            <v>423</v>
          </cell>
          <cell r="B419" t="str">
            <v>TALATECIDOPUNHO436-45PRTAMGSALVAPE</v>
          </cell>
          <cell r="C419" t="str">
            <v>TALATECIDOPUNHO436-45PRTAMGSALVAPE</v>
          </cell>
          <cell r="D419" t="str">
            <v>7891746017079</v>
          </cell>
          <cell r="E419" t="str">
            <v>9021.10.10</v>
          </cell>
        </row>
        <row r="420">
          <cell r="A420">
            <v>424</v>
          </cell>
          <cell r="B420" t="str">
            <v>TALATECIDOPUNHO436-46PRTAMXGSALVAPE</v>
          </cell>
          <cell r="C420" t="str">
            <v>TALATECIDOPUNHO436-46PRTAMXGSALVAPE</v>
          </cell>
          <cell r="D420" t="str">
            <v>7891746017086</v>
          </cell>
          <cell r="E420" t="str">
            <v>9021.10.10</v>
          </cell>
        </row>
        <row r="421">
          <cell r="A421">
            <v>425</v>
          </cell>
          <cell r="B421" t="str">
            <v>TALATECIDOPUNHO436-33PRTAMPSALVAPE</v>
          </cell>
          <cell r="C421" t="str">
            <v>TALATECIDOPUNHO436-33PRTAMPSALVAPE</v>
          </cell>
          <cell r="D421" t="str">
            <v>7891746017109</v>
          </cell>
          <cell r="E421" t="str">
            <v>9021.10.10</v>
          </cell>
        </row>
        <row r="422">
          <cell r="A422">
            <v>426</v>
          </cell>
          <cell r="B422" t="str">
            <v>TERMODIGITAL1.0TERMOMEDINCOTERM</v>
          </cell>
          <cell r="C422" t="str">
            <v>TERMODIGITAL1.0TERMOMEDINCOTERM</v>
          </cell>
          <cell r="D422" t="str">
            <v>7896540766918</v>
          </cell>
          <cell r="E422" t="str">
            <v>9025.19.90</v>
          </cell>
        </row>
        <row r="423">
          <cell r="A423">
            <v>427</v>
          </cell>
          <cell r="B423" t="str">
            <v>TERMODIGITALHASTERIGIDOMODT104BIOLAND</v>
          </cell>
          <cell r="C423" t="str">
            <v>TERMODIGITALHASTERIGIDOMODT104BIOLAND</v>
          </cell>
          <cell r="D423" t="str">
            <v/>
          </cell>
          <cell r="E423" t="str">
            <v>9025.19.90</v>
          </cell>
        </row>
        <row r="424">
          <cell r="A424">
            <v>428</v>
          </cell>
          <cell r="B424" t="str">
            <v>TERMOMETRODIGITALINCOTERMMEDFEBRE</v>
          </cell>
          <cell r="C424" t="str">
            <v>TERMOMETRODIGITALINCOTERMMEDFEBRE</v>
          </cell>
          <cell r="D424" t="str">
            <v>7899828211261</v>
          </cell>
          <cell r="E424" t="str">
            <v>9025.19.90</v>
          </cell>
        </row>
        <row r="425">
          <cell r="A425">
            <v>429</v>
          </cell>
          <cell r="B425" t="str">
            <v>TERMOMETRODIGITALMEDEQCOMEDLEVENSOHN</v>
          </cell>
          <cell r="C425" t="str">
            <v>TERMOMETRODIGITALMEDEQCOMEDLEVENSOHN</v>
          </cell>
          <cell r="D425" t="str">
            <v>7908007900084</v>
          </cell>
          <cell r="E425" t="str">
            <v>9025.19.90</v>
          </cell>
        </row>
        <row r="426">
          <cell r="A426">
            <v>430</v>
          </cell>
          <cell r="B426" t="str">
            <v>TERMOMETRODIGITALTESTANC150BTMICROLIFE</v>
          </cell>
          <cell r="C426" t="str">
            <v>TERMOMETRODIGITALTESTANC150BTMICROLIFE</v>
          </cell>
          <cell r="D426" t="str">
            <v>7908007904198</v>
          </cell>
          <cell r="E426" t="str">
            <v>9025.19.90</v>
          </cell>
        </row>
        <row r="427">
          <cell r="A427">
            <v>431</v>
          </cell>
          <cell r="B427" t="str">
            <v>TERMOMETRO DIGTAL MEDL ML01 ATACADO</v>
          </cell>
          <cell r="C427" t="str">
            <v>TERMOMETRO DIGTAL MEDL ML01 ATACADO</v>
          </cell>
          <cell r="D427" t="str">
            <v>7908007902064</v>
          </cell>
          <cell r="E427" t="str">
            <v>9025.19.90</v>
          </cell>
        </row>
        <row r="428">
          <cell r="A428">
            <v>432</v>
          </cell>
          <cell r="B428" t="str">
            <v>TERMOMETRO DIGITAL MEDL ML01 VAREJO</v>
          </cell>
          <cell r="C428" t="str">
            <v>TERMOMETRO DIGITAL MEDL ML01 VAREJO</v>
          </cell>
          <cell r="D428" t="str">
            <v>7908007902057</v>
          </cell>
          <cell r="E428" t="str">
            <v>9025.19.90</v>
          </cell>
        </row>
        <row r="429">
          <cell r="A429">
            <v>433</v>
          </cell>
          <cell r="B429" t="str">
            <v>TERMOMETRODIGITALTESTANC150MICROLIFE</v>
          </cell>
          <cell r="C429" t="str">
            <v>TERMOMETRODIGITALTESTANC150MICROLIFE</v>
          </cell>
          <cell r="D429" t="str">
            <v>4719003402419</v>
          </cell>
          <cell r="E429" t="str">
            <v>9025.19.90</v>
          </cell>
        </row>
        <row r="430">
          <cell r="A430">
            <v>434</v>
          </cell>
          <cell r="B430" t="str">
            <v>TERMOMETRO DUAL MODE IFR1DU1 MICROLIFE</v>
          </cell>
          <cell r="C430" t="str">
            <v>TERMOMETRO DUAL MODE IFR1DU1 MICROLIFE</v>
          </cell>
          <cell r="D430" t="str">
            <v>4719003400613</v>
          </cell>
          <cell r="E430" t="str">
            <v>9025.19.90</v>
          </cell>
        </row>
        <row r="431">
          <cell r="A431">
            <v>435</v>
          </cell>
          <cell r="B431" t="str">
            <v>TERMOMETROINFRAVERMELHOSEMCONTATO</v>
          </cell>
          <cell r="C431" t="str">
            <v>TERMOMETROINFRAVERMELHOSEMCONTATO</v>
          </cell>
          <cell r="D431" t="str">
            <v/>
          </cell>
          <cell r="E431" t="str">
            <v>9025.19.90</v>
          </cell>
        </row>
        <row r="432">
          <cell r="A432">
            <v>436</v>
          </cell>
          <cell r="B432" t="str">
            <v>TESTERAPIDOHIV1/225UNDEBRAMCX25</v>
          </cell>
          <cell r="C432" t="str">
            <v>TESTERAPIDOHIV1/225UNDEBRAMCX25</v>
          </cell>
          <cell r="D432" t="str">
            <v>1000000581911</v>
          </cell>
          <cell r="E432" t="str">
            <v>3822.00.90</v>
          </cell>
        </row>
        <row r="433">
          <cell r="A433">
            <v>437</v>
          </cell>
          <cell r="B433" t="str">
            <v>TIPOIAFUNCIONPOSOPERATMANGROTADORP/M</v>
          </cell>
          <cell r="C433" t="str">
            <v>TIPOIAFUNCIONPOSOPERATMANGROTADORP/M</v>
          </cell>
          <cell r="D433" t="str">
            <v>7898452522859</v>
          </cell>
          <cell r="E433" t="str">
            <v>9021.10.10</v>
          </cell>
        </row>
        <row r="434">
          <cell r="A434">
            <v>438</v>
          </cell>
          <cell r="B434" t="str">
            <v>TIPOIAIMOBESTOFADAVELPEAUINF28-33CM</v>
          </cell>
          <cell r="C434" t="str">
            <v>TIPOIAIMOBESTOFADAVELPEAUINF28-33CM</v>
          </cell>
          <cell r="D434" t="str">
            <v>7898452522996</v>
          </cell>
          <cell r="E434" t="str">
            <v>9021.10.10</v>
          </cell>
        </row>
        <row r="435">
          <cell r="A435">
            <v>439</v>
          </cell>
          <cell r="B435" t="str">
            <v>TIPOIAIMOBESTOFADAVELPEAUBILATERALGG</v>
          </cell>
          <cell r="C435" t="str">
            <v>TIPOIAIMOBESTOFADAVELPEAUBILATERALGG</v>
          </cell>
          <cell r="D435" t="str">
            <v>7898601060799</v>
          </cell>
          <cell r="E435" t="str">
            <v>9021.10.10</v>
          </cell>
        </row>
        <row r="436">
          <cell r="A436">
            <v>440</v>
          </cell>
          <cell r="B436" t="str">
            <v>TIPOIAIMOBESTOFADAVELPEAUDUPLAINF24-27</v>
          </cell>
          <cell r="C436" t="str">
            <v>TIPOIAIMOBESTOFADAVELPEAUDUPLAINF24-27</v>
          </cell>
          <cell r="D436" t="str">
            <v>7898452522989</v>
          </cell>
          <cell r="E436" t="str">
            <v>9021.10.10</v>
          </cell>
        </row>
        <row r="437">
          <cell r="A437">
            <v>441</v>
          </cell>
          <cell r="B437" t="str">
            <v>TIPOIALITESALVAPE329-03PRTTAMP</v>
          </cell>
          <cell r="C437" t="str">
            <v>TIPOIALITESALVAPE329-03PRTTAMP</v>
          </cell>
          <cell r="D437" t="str">
            <v>7891746022493</v>
          </cell>
          <cell r="E437" t="str">
            <v>9021.10.10</v>
          </cell>
        </row>
        <row r="438">
          <cell r="A438">
            <v>442</v>
          </cell>
          <cell r="B438" t="str">
            <v>TIPOIALITESALVAPE329-04PRTTAMM</v>
          </cell>
          <cell r="C438" t="str">
            <v>TIPOIALITESALVAPE329-04PRTTAMM</v>
          </cell>
          <cell r="D438" t="str">
            <v>7891746022486</v>
          </cell>
          <cell r="E438" t="str">
            <v>9021.10.10</v>
          </cell>
        </row>
        <row r="439">
          <cell r="A439">
            <v>443</v>
          </cell>
          <cell r="B439" t="str">
            <v>TIPOIALITESALVAPE329-05PRTTAMG</v>
          </cell>
          <cell r="C439" t="str">
            <v>TIPOIALITESALVAPE329-05PRTTAMG</v>
          </cell>
          <cell r="D439" t="str">
            <v>7891746022479</v>
          </cell>
          <cell r="E439" t="str">
            <v>9021.10.10</v>
          </cell>
        </row>
        <row r="440">
          <cell r="A440">
            <v>444</v>
          </cell>
          <cell r="B440" t="str">
            <v>TIPOIAORTOPEDICAINFANTILAZULG</v>
          </cell>
          <cell r="C440" t="str">
            <v>TIPOIAORTOPEDICAINFANTILAZULG</v>
          </cell>
          <cell r="D440" t="str">
            <v>7898601062991</v>
          </cell>
          <cell r="E440" t="str">
            <v>9021.10.10</v>
          </cell>
        </row>
        <row r="441">
          <cell r="A441">
            <v>445</v>
          </cell>
          <cell r="B441" t="str">
            <v>TIPOIAVELPEAUESTOFADABILATERALPP</v>
          </cell>
          <cell r="C441" t="str">
            <v>TIPOIAVELPEAUESTOFADABILATERALPP</v>
          </cell>
          <cell r="D441" t="str">
            <v>7898601060751</v>
          </cell>
          <cell r="E441" t="str">
            <v>9021.10.10</v>
          </cell>
        </row>
        <row r="442">
          <cell r="A442">
            <v>446</v>
          </cell>
          <cell r="B442" t="str">
            <v>TIRA ANIMAIS 50UN GLUCO CALEA CX50</v>
          </cell>
          <cell r="C442" t="str">
            <v>TIRA ANIMAIS 50UN GLUCO CALEA CX50</v>
          </cell>
          <cell r="D442" t="str">
            <v>9120015782218</v>
          </cell>
          <cell r="E442" t="str">
            <v>3822.19.20</v>
          </cell>
        </row>
        <row r="443">
          <cell r="A443">
            <v>447</v>
          </cell>
          <cell r="B443" t="str">
            <v>TIRA COLESTEROL 3-1 FRASCO 25 MISSION</v>
          </cell>
          <cell r="C443" t="str">
            <v>TIRA COLESTEROL 3-1 FRASCO 25 MISSION</v>
          </cell>
          <cell r="D443" t="str">
            <v>7908007900749</v>
          </cell>
          <cell r="E443" t="str">
            <v>3822.19.90</v>
          </cell>
        </row>
        <row r="444">
          <cell r="A444">
            <v>448</v>
          </cell>
          <cell r="B444" t="str">
            <v>TIRA COLESTEROL LUNA FRASCO COM 05</v>
          </cell>
          <cell r="C444" t="str">
            <v>TIRA COLESTEROL LUNA FRASCO COM 05</v>
          </cell>
          <cell r="D444" t="str">
            <v>9120015784410</v>
          </cell>
          <cell r="E444" t="str">
            <v>3822.19.90</v>
          </cell>
        </row>
        <row r="445">
          <cell r="A445">
            <v>449</v>
          </cell>
          <cell r="B445" t="str">
            <v>TIRA COLEST IND 5UN ULTRA ACON C1315011A</v>
          </cell>
          <cell r="C445" t="str">
            <v>TIRA COLEST IND 5UN ULTRA ACON C1315011A</v>
          </cell>
          <cell r="D445" t="str">
            <v>7908007902705</v>
          </cell>
          <cell r="E445" t="str">
            <v>3822.19.90</v>
          </cell>
        </row>
        <row r="446">
          <cell r="A446">
            <v>450</v>
          </cell>
          <cell r="B446" t="str">
            <v>TIRA GLICOSE FRASCO 50 AMARELA OCPIICX50</v>
          </cell>
          <cell r="C446" t="str">
            <v>TIRA GLICOSE FRASCO 50 AMARELA OCPIICX50</v>
          </cell>
          <cell r="D446" t="str">
            <v>7908007901173</v>
          </cell>
          <cell r="E446" t="str">
            <v>3822.19.20</v>
          </cell>
        </row>
        <row r="447">
          <cell r="A447">
            <v>451</v>
          </cell>
          <cell r="B447" t="str">
            <v>TIRAGLICOSEFRASCO50AMARELAOCPII</v>
          </cell>
          <cell r="C447" t="str">
            <v>TIRAGLICOSEFRASCO50AMARELAOCPII</v>
          </cell>
          <cell r="D447" t="str">
            <v>7908007901159</v>
          </cell>
          <cell r="E447" t="str">
            <v>3822.19.20</v>
          </cell>
        </row>
        <row r="448">
          <cell r="A448">
            <v>452</v>
          </cell>
          <cell r="B448" t="str">
            <v>TIRA GLICOSE FRASCO 50 BRANCA OCPIICX50</v>
          </cell>
          <cell r="C448" t="str">
            <v>TIRA GLICOSE FRASCO 50 BRANCA OCPIICX50</v>
          </cell>
          <cell r="D448" t="str">
            <v>7908007901166</v>
          </cell>
          <cell r="E448" t="str">
            <v>3822.19.20</v>
          </cell>
        </row>
        <row r="449">
          <cell r="A449">
            <v>453</v>
          </cell>
          <cell r="B449" t="str">
            <v>TIRAGLICOSEFRASCO50BRANCAOCPII</v>
          </cell>
          <cell r="C449" t="str">
            <v>TIRAGLICOSEFRASCO50BRANCAOCPII</v>
          </cell>
          <cell r="D449" t="str">
            <v>7908007901142</v>
          </cell>
          <cell r="E449" t="str">
            <v>3822.19.20</v>
          </cell>
        </row>
        <row r="450">
          <cell r="A450">
            <v>454</v>
          </cell>
          <cell r="B450" t="str">
            <v>TIRA GLICOSE IND 25 AMARELA OCPIICX25</v>
          </cell>
          <cell r="C450" t="str">
            <v>TIRA GLICOSE IND 25 AMARELA OCPIICX25</v>
          </cell>
          <cell r="D450" t="str">
            <v>7908007901210</v>
          </cell>
          <cell r="E450" t="str">
            <v>3822.19.20</v>
          </cell>
        </row>
        <row r="451">
          <cell r="A451">
            <v>455</v>
          </cell>
          <cell r="B451" t="str">
            <v>TIRA GLICOSE IND 25 BRANCA OCPIICX25</v>
          </cell>
          <cell r="C451" t="str">
            <v>TIRA GLICOSE IND 25 BRANCA OCPIICX25</v>
          </cell>
          <cell r="D451" t="str">
            <v>7908007901203</v>
          </cell>
          <cell r="E451" t="str">
            <v>3822.19.20</v>
          </cell>
        </row>
        <row r="452">
          <cell r="A452">
            <v>456</v>
          </cell>
          <cell r="B452" t="str">
            <v>TIRA GLICOSE LUNA FRASCO 50 WELL615</v>
          </cell>
          <cell r="C452" t="str">
            <v>TIRA GLICOSE LUNA FRASCO 50 WELL615</v>
          </cell>
          <cell r="D452" t="str">
            <v>9120015783604</v>
          </cell>
          <cell r="E452" t="str">
            <v>3822.19.20</v>
          </cell>
        </row>
        <row r="453">
          <cell r="A453">
            <v>457</v>
          </cell>
          <cell r="B453" t="str">
            <v>TONICOFACIALSUAVE200ML</v>
          </cell>
          <cell r="C453" t="str">
            <v>TONICOFACIALSUAVE200ML</v>
          </cell>
          <cell r="D453" t="str">
            <v>7899032208156</v>
          </cell>
          <cell r="E453" t="str">
            <v>3401.20.10</v>
          </cell>
        </row>
        <row r="454">
          <cell r="A454">
            <v>458</v>
          </cell>
          <cell r="B454" t="str">
            <v>TORNEZELEIRASOFTCASTAIR616-30ESQUERDA</v>
          </cell>
          <cell r="C454" t="str">
            <v>TORNEZELEIRASOFTCASTAIR616-30ESQUERDA</v>
          </cell>
          <cell r="D454" t="str">
            <v>7891746074553</v>
          </cell>
          <cell r="E454" t="str">
            <v>9021.10.10</v>
          </cell>
        </row>
        <row r="455">
          <cell r="A455">
            <v>459</v>
          </cell>
          <cell r="B455" t="str">
            <v>TORNEZELEIRASOFTCASTAIR616-40DIREITA</v>
          </cell>
          <cell r="C455" t="str">
            <v>TORNEZELEIRASOFTCASTAIR616-40DIREITA</v>
          </cell>
          <cell r="D455" t="str">
            <v>7891746074560</v>
          </cell>
          <cell r="E455" t="str">
            <v>9021.10.10</v>
          </cell>
        </row>
        <row r="456">
          <cell r="A456">
            <v>460</v>
          </cell>
          <cell r="B456" t="str">
            <v>TORNOZELEIRALONGAPRETOGKSN008-PRKESTAL</v>
          </cell>
          <cell r="C456" t="str">
            <v>TORNOZELEIRALONGAPRETOGKSN008-PRKESTAL</v>
          </cell>
          <cell r="D456" t="str">
            <v>7898601060379</v>
          </cell>
          <cell r="E456" t="str">
            <v>9021.10.10</v>
          </cell>
        </row>
        <row r="457">
          <cell r="A457">
            <v>461</v>
          </cell>
          <cell r="B457" t="str">
            <v>TORNOZELEIRALONGAPRETOGGKSN008-PRKESTAL</v>
          </cell>
          <cell r="C457" t="str">
            <v>TORNOZELEIRALONGAPRETOGGKSN008-PRKESTAL</v>
          </cell>
          <cell r="D457" t="str">
            <v>7898601062281</v>
          </cell>
          <cell r="E457" t="str">
            <v>9021.10.10</v>
          </cell>
        </row>
        <row r="458">
          <cell r="A458">
            <v>462</v>
          </cell>
          <cell r="B458" t="str">
            <v>TORNOZELEIRALONGAPRETOPKSN008-PRKESTAL</v>
          </cell>
          <cell r="C458" t="str">
            <v>TORNOZELEIRALONGAPRETOPKSN008-PRKESTAL</v>
          </cell>
          <cell r="D458" t="str">
            <v>7898601060355</v>
          </cell>
          <cell r="E458" t="str">
            <v>9021.10.10</v>
          </cell>
        </row>
        <row r="459">
          <cell r="A459">
            <v>463</v>
          </cell>
          <cell r="B459" t="str">
            <v>TOUCASANFONADADESCARTBRM/06100UND</v>
          </cell>
          <cell r="C459" t="str">
            <v>TOUCASANFONADADESCARTBRM/06100UND</v>
          </cell>
          <cell r="D459" t="str">
            <v>7898944081376</v>
          </cell>
          <cell r="E459" t="str">
            <v>6307.90.10</v>
          </cell>
        </row>
        <row r="460">
          <cell r="A460">
            <v>464</v>
          </cell>
          <cell r="B460" t="str">
            <v>TRIMAGNESIO60CAPS</v>
          </cell>
          <cell r="C460" t="str">
            <v>TRIMAGNESIO60CAPS</v>
          </cell>
          <cell r="D460" t="str">
            <v>7896874704655</v>
          </cell>
          <cell r="E460" t="str">
            <v>2106.90.30</v>
          </cell>
        </row>
        <row r="461">
          <cell r="A461">
            <v>465</v>
          </cell>
          <cell r="B461" t="str">
            <v>UMIDIFICADOR ULTRASSON BRANCO HYB-62</v>
          </cell>
          <cell r="C461" t="str">
            <v>UMIDIFICADOR ULTRASSON BRANCO HYB-62</v>
          </cell>
          <cell r="D461" t="str">
            <v>7899032200983</v>
          </cell>
          <cell r="E461" t="str">
            <v>8516.79.90</v>
          </cell>
        </row>
        <row r="462">
          <cell r="A462">
            <v>466</v>
          </cell>
          <cell r="B462" t="str">
            <v>UMIDIFICADOR ULTRASSON PRETO HYB-62</v>
          </cell>
          <cell r="C462" t="str">
            <v>UMIDIFICADOR ULTRASSON PRETO HYB-62</v>
          </cell>
          <cell r="D462" t="str">
            <v>7908007903368</v>
          </cell>
          <cell r="E462" t="str">
            <v>8516.79.90</v>
          </cell>
        </row>
        <row r="463">
          <cell r="A463">
            <v>467</v>
          </cell>
          <cell r="B463" t="str">
            <v>OLEOCARTAMOVITACA1000MG120CAPS</v>
          </cell>
          <cell r="C463" t="str">
            <v>OLEOCARTAMOVITACA1000MG120CAPS</v>
          </cell>
          <cell r="D463" t="str">
            <v>7896874702996</v>
          </cell>
          <cell r="E463" t="str">
            <v>2106.90.30</v>
          </cell>
        </row>
        <row r="464">
          <cell r="A464">
            <v>468</v>
          </cell>
          <cell r="B464" t="str">
            <v>VITAMINAB12VEGANA30CAPS</v>
          </cell>
          <cell r="C464" t="str">
            <v>VITAMINAB12VEGANA30CAPS</v>
          </cell>
          <cell r="D464" t="str">
            <v>7896874704204</v>
          </cell>
          <cell r="E464" t="str">
            <v>2936.26.10</v>
          </cell>
        </row>
        <row r="465">
          <cell r="A465">
            <v>469</v>
          </cell>
          <cell r="B465" t="str">
            <v>WIPES AQUADIM 30X30CM 50G PC50</v>
          </cell>
          <cell r="C465" t="str">
            <v>WIPES AQUADIM 30X30CM 50G PC50</v>
          </cell>
          <cell r="D465" t="str">
            <v>7893590892512</v>
          </cell>
          <cell r="E465" t="str">
            <v>5603.92.40</v>
          </cell>
        </row>
        <row r="466">
          <cell r="A466">
            <v>470</v>
          </cell>
          <cell r="B466" t="str">
            <v>WIPES AQUADIM 30X38CM 50G PC50</v>
          </cell>
          <cell r="C466" t="str">
            <v>WIPES AQUADIM 30X38CM 50G PC50</v>
          </cell>
          <cell r="D466" t="str">
            <v>7893590892529</v>
          </cell>
          <cell r="E466" t="str">
            <v>5603.92.40</v>
          </cell>
        </row>
        <row r="467">
          <cell r="A467">
            <v>471</v>
          </cell>
          <cell r="B467" t="str">
            <v>TALAFUNCIONALCURTAPOLEGARG431-45PR</v>
          </cell>
          <cell r="C467" t="str">
            <v>TALAFUNCIONALCURTAPOLEGARG431-45PR</v>
          </cell>
          <cell r="D467" t="str">
            <v>7891746026507</v>
          </cell>
          <cell r="E467" t="str">
            <v>9021.10.10</v>
          </cell>
        </row>
        <row r="468">
          <cell r="A468">
            <v>472</v>
          </cell>
          <cell r="B468" t="str">
            <v>TALAFUNCIONALCURTAPOLEGARXG431-46PR</v>
          </cell>
          <cell r="C468" t="str">
            <v>TALAFUNCIONALCURTAPOLEGARXG431-46PR</v>
          </cell>
          <cell r="D468" t="str">
            <v>7891746026514</v>
          </cell>
          <cell r="E468" t="str">
            <v>9021.10.10</v>
          </cell>
        </row>
        <row r="469">
          <cell r="A469">
            <v>473</v>
          </cell>
          <cell r="B469" t="str">
            <v>ESPARTILHOFECHAMFRENTE86000FGPRETO</v>
          </cell>
          <cell r="C469" t="str">
            <v>ESPARTILHOFECHAMFRENTE86000FGPRETO</v>
          </cell>
          <cell r="D469" t="str">
            <v/>
          </cell>
          <cell r="E469" t="str">
            <v>6114.30.00</v>
          </cell>
        </row>
        <row r="470">
          <cell r="A470">
            <v>474</v>
          </cell>
          <cell r="B470" t="str">
            <v>ESPARTILHOFECHAMFRENTENEO86000GPINK</v>
          </cell>
          <cell r="C470" t="str">
            <v>ESPARTILHOFECHAMFRENTENEO86000GPINK</v>
          </cell>
          <cell r="D470" t="str">
            <v/>
          </cell>
          <cell r="E470" t="str">
            <v>6114.30.00</v>
          </cell>
        </row>
        <row r="471">
          <cell r="A471">
            <v>475</v>
          </cell>
          <cell r="B471" t="str">
            <v>ESPARTILHOFECHAMFRENTENEO86000GGPINK</v>
          </cell>
          <cell r="C471" t="str">
            <v>ESPARTILHOFECHAMFRENTENEO86000GGPINK</v>
          </cell>
          <cell r="D471" t="str">
            <v/>
          </cell>
          <cell r="E471" t="str">
            <v>6114.30.00</v>
          </cell>
        </row>
        <row r="472">
          <cell r="A472">
            <v>476</v>
          </cell>
          <cell r="B472" t="str">
            <v>ESPARTILHOFECHAMFRENTENEO86000MPINK</v>
          </cell>
          <cell r="C472" t="str">
            <v>ESPARTILHOFECHAMFRENTENEO86000MPINK</v>
          </cell>
          <cell r="D472" t="str">
            <v/>
          </cell>
          <cell r="E472" t="str">
            <v>6114.30.00</v>
          </cell>
        </row>
        <row r="473">
          <cell r="A473">
            <v>477</v>
          </cell>
          <cell r="B473" t="str">
            <v>ESPARTILHOFECHAMFRENTENEO86000PPINK</v>
          </cell>
          <cell r="C473" t="str">
            <v>ESPARTILHOFECHAMFRENTENEO86000PPINK</v>
          </cell>
          <cell r="D473" t="str">
            <v/>
          </cell>
          <cell r="E473" t="str">
            <v>6114.30.00</v>
          </cell>
        </row>
        <row r="474">
          <cell r="A474">
            <v>478</v>
          </cell>
          <cell r="B474" t="str">
            <v>ESPARTILHOFECHAMFRENTENEO86000PPPINK</v>
          </cell>
          <cell r="C474" t="str">
            <v>ESPARTILHOFECHAMFRENTENEO86000PPPINK</v>
          </cell>
          <cell r="D474" t="str">
            <v/>
          </cell>
          <cell r="E474" t="str">
            <v>6114.30.00</v>
          </cell>
        </row>
        <row r="475">
          <cell r="A475">
            <v>479</v>
          </cell>
          <cell r="B475" t="str">
            <v>ESPARTILHOFECHAMFRENTENEOGGPRETO</v>
          </cell>
          <cell r="C475" t="str">
            <v>ESPARTILHOFECHAMFRENTENEOGGPRETO</v>
          </cell>
          <cell r="D475" t="str">
            <v/>
          </cell>
          <cell r="E475" t="str">
            <v>6114.30.00</v>
          </cell>
        </row>
        <row r="476">
          <cell r="A476">
            <v>480</v>
          </cell>
          <cell r="B476" t="str">
            <v>ESPARTILHOFECHAMFRENTENEOMPRETO</v>
          </cell>
          <cell r="C476" t="str">
            <v>ESPARTILHOFECHAMFRENTENEOMPRETO</v>
          </cell>
          <cell r="D476" t="str">
            <v/>
          </cell>
          <cell r="E476" t="str">
            <v>6114.30.00</v>
          </cell>
        </row>
        <row r="477">
          <cell r="A477">
            <v>481</v>
          </cell>
          <cell r="B477" t="str">
            <v>FAIXACOLETEELASTICO25CMBARBATANAFLEXG</v>
          </cell>
          <cell r="C477" t="str">
            <v>FAIXACOLETEELASTICO25CMBARBATANAFLEXG</v>
          </cell>
          <cell r="D477" t="str">
            <v>7898440161794</v>
          </cell>
          <cell r="E477" t="str">
            <v>9021.10.10</v>
          </cell>
        </row>
        <row r="478">
          <cell r="A478">
            <v>482</v>
          </cell>
          <cell r="B478" t="str">
            <v>FAIXAELASTICAABDOMINALBEGEKSN101-3G</v>
          </cell>
          <cell r="C478" t="str">
            <v>FAIXAELASTICAABDOMINALBEGEKSN101-3G</v>
          </cell>
          <cell r="D478" t="str">
            <v>7898601063349</v>
          </cell>
          <cell r="E478" t="str">
            <v>9021.10.10</v>
          </cell>
        </row>
        <row r="479">
          <cell r="A479">
            <v>483</v>
          </cell>
          <cell r="B479" t="str">
            <v>FAIXAELASTICAABDOMINALBEGEKSO101-3P</v>
          </cell>
          <cell r="C479" t="str">
            <v>FAIXAELASTICAABDOMINALBEGEKSO101-3P</v>
          </cell>
          <cell r="D479" t="str">
            <v>7898601063325</v>
          </cell>
          <cell r="E479" t="str">
            <v>9021.10.10</v>
          </cell>
        </row>
        <row r="480">
          <cell r="A480">
            <v>484</v>
          </cell>
          <cell r="B480" t="str">
            <v>FAIXAELASTICAABDOMINALBEGEKSO101-4G</v>
          </cell>
          <cell r="C480" t="str">
            <v>FAIXAELASTICAABDOMINALBEGEKSO101-4G</v>
          </cell>
          <cell r="D480" t="str">
            <v>7898601063394</v>
          </cell>
          <cell r="E480" t="str">
            <v>9021.10.10</v>
          </cell>
        </row>
        <row r="481">
          <cell r="A481">
            <v>485</v>
          </cell>
          <cell r="B481" t="str">
            <v>FAIXAELASTICAABDOMINALBEGEKSO101-4P</v>
          </cell>
          <cell r="C481" t="str">
            <v>FAIXAELASTICAABDOMINALBEGEKSO101-4P</v>
          </cell>
          <cell r="D481" t="str">
            <v>7898601063370</v>
          </cell>
          <cell r="E481" t="str">
            <v>9021.10.10</v>
          </cell>
        </row>
        <row r="482">
          <cell r="A482">
            <v>486</v>
          </cell>
          <cell r="B482" t="str">
            <v>FAIXAELASTICAPRETOKSN069-UNKESTAL</v>
          </cell>
          <cell r="C482" t="str">
            <v>FAIXAELASTICAPRETOKSN069-UNKESTAL</v>
          </cell>
          <cell r="D482" t="str">
            <v>7898601063202</v>
          </cell>
          <cell r="E482" t="str">
            <v>9021.10.10</v>
          </cell>
        </row>
        <row r="483">
          <cell r="A483">
            <v>487</v>
          </cell>
          <cell r="B483" t="str">
            <v>FONTEADAPTADOR5V/DC2A90240VAC50/50</v>
          </cell>
          <cell r="C483" t="str">
            <v>FONTEADAPTADOR5V/DC2A90240VAC50/50</v>
          </cell>
          <cell r="D483" t="str">
            <v>1000000540314</v>
          </cell>
          <cell r="E483" t="str">
            <v>8504.40.90</v>
          </cell>
        </row>
        <row r="484">
          <cell r="A484">
            <v>488</v>
          </cell>
          <cell r="B484" t="str">
            <v>FONTE ENERGIA ADAPTADOR MESA 6V 1AMP</v>
          </cell>
          <cell r="C484" t="str">
            <v>FONTE ENERGIA ADAPTADOR MESA 6V 1AMP</v>
          </cell>
          <cell r="D484" t="str">
            <v>1000000558012</v>
          </cell>
          <cell r="E484" t="str">
            <v>8504.40.90</v>
          </cell>
        </row>
        <row r="485">
          <cell r="A485">
            <v>489</v>
          </cell>
          <cell r="B485" t="str">
            <v>FUNDAHERNIAINGUINALDUPLAP75-80C204P</v>
          </cell>
          <cell r="C485" t="str">
            <v>FUNDAHERNIAINGUINALDUPLAP75-80C204P</v>
          </cell>
          <cell r="D485" t="str">
            <v>7898493368478</v>
          </cell>
          <cell r="E485" t="str">
            <v>9021.10.10</v>
          </cell>
        </row>
        <row r="486">
          <cell r="A486">
            <v>490</v>
          </cell>
          <cell r="B486" t="str">
            <v>FUNDAHERNIAINGUINALESQUERDAG95-100</v>
          </cell>
          <cell r="C486" t="str">
            <v>FUNDAHERNIAINGUINALESQUERDAG95-100</v>
          </cell>
          <cell r="D486" t="str">
            <v>7898493368454</v>
          </cell>
          <cell r="E486" t="str">
            <v>9021.10.10</v>
          </cell>
        </row>
        <row r="487">
          <cell r="A487">
            <v>491</v>
          </cell>
          <cell r="B487" t="str">
            <v>FUNDAHERNIAINGUINALESQUERDAM85-90</v>
          </cell>
          <cell r="C487" t="str">
            <v>FUNDAHERNIAINGUINALESQUERDAM85-90</v>
          </cell>
          <cell r="D487" t="str">
            <v>7898493368447</v>
          </cell>
          <cell r="E487" t="str">
            <v>9021.10.10</v>
          </cell>
        </row>
        <row r="488">
          <cell r="A488">
            <v>492</v>
          </cell>
          <cell r="B488" t="str">
            <v>FUNDAHERNIAINGUINALESQUERDAP75-80</v>
          </cell>
          <cell r="C488" t="str">
            <v>FUNDAHERNIAINGUINALESQUERDAP75-80</v>
          </cell>
          <cell r="D488" t="str">
            <v>7898493368430</v>
          </cell>
          <cell r="E488" t="str">
            <v>9021.10.10</v>
          </cell>
        </row>
        <row r="489">
          <cell r="A489">
            <v>493</v>
          </cell>
          <cell r="B489" t="str">
            <v>FUNDAHERNIAINGUINALLUXDUPLAG103CM</v>
          </cell>
          <cell r="C489" t="str">
            <v>FUNDAHERNIAINGUINALLUXDUPLAG103CM</v>
          </cell>
          <cell r="D489" t="str">
            <v>7899515602044</v>
          </cell>
          <cell r="E489" t="str">
            <v>9021.10.10</v>
          </cell>
        </row>
        <row r="490">
          <cell r="A490">
            <v>494</v>
          </cell>
          <cell r="B490" t="str">
            <v>GAZE7,5X7,513FLINAPC10</v>
          </cell>
          <cell r="C490" t="str">
            <v>GAZE7,5X7,513FLINAPC10</v>
          </cell>
          <cell r="D490" t="str">
            <v>7898361300159</v>
          </cell>
          <cell r="E490" t="str">
            <v>3005.90.90</v>
          </cell>
        </row>
        <row r="491">
          <cell r="A491">
            <v>495</v>
          </cell>
          <cell r="B491" t="str">
            <v>GAZEHIDROFILA ROLO91X91 11FNAOESTERILTEX</v>
          </cell>
          <cell r="C491" t="str">
            <v>GAZEHIDROFILA ROLO91X91 11FNAOESTERILTEX</v>
          </cell>
          <cell r="D491" t="str">
            <v>7890948959699</v>
          </cell>
          <cell r="E491" t="str">
            <v>3005.90.90</v>
          </cell>
        </row>
        <row r="492">
          <cell r="A492">
            <v>496</v>
          </cell>
          <cell r="B492" t="str">
            <v>GAZEHIDROFILA ROLO91X91 13F N/ESTERILTEX</v>
          </cell>
          <cell r="C492" t="str">
            <v>GAZEHIDROFILA ROLO91X91 13F N/ESTERILTEX</v>
          </cell>
          <cell r="D492" t="str">
            <v>7898914865326</v>
          </cell>
          <cell r="E492" t="str">
            <v>3005.90.90</v>
          </cell>
        </row>
        <row r="493">
          <cell r="A493">
            <v>497</v>
          </cell>
          <cell r="B493" t="str">
            <v>GAZE NAO ESTERIL 13F 7,5X7,5PROCSELPC500</v>
          </cell>
          <cell r="C493" t="str">
            <v>GAZE NAO ESTERIL 13F 7,5X7,5PROCSELPC500</v>
          </cell>
          <cell r="D493" t="str">
            <v>7898361301187</v>
          </cell>
          <cell r="E493" t="str">
            <v>3005.90.90</v>
          </cell>
        </row>
        <row r="494">
          <cell r="A494">
            <v>498</v>
          </cell>
          <cell r="B494" t="str">
            <v>GAZENAOESTERIL9F7,5X7,5PROCSELPC500</v>
          </cell>
          <cell r="C494" t="str">
            <v>GAZENAOESTERIL9F7,5X7,5PROCSELPC500</v>
          </cell>
          <cell r="D494" t="str">
            <v>7898361301194</v>
          </cell>
          <cell r="E494" t="str">
            <v>3005.90.90</v>
          </cell>
        </row>
        <row r="495">
          <cell r="A495">
            <v>499</v>
          </cell>
          <cell r="B495" t="str">
            <v>GELANTISSEPTICOALCOOL70%110GR</v>
          </cell>
          <cell r="C495" t="str">
            <v>GELANTISSEPTICOALCOOL70%110GR</v>
          </cell>
          <cell r="D495" t="str">
            <v>7899032203847</v>
          </cell>
          <cell r="E495" t="str">
            <v>3401.20.10</v>
          </cell>
        </row>
        <row r="496">
          <cell r="A496">
            <v>500</v>
          </cell>
          <cell r="B496" t="str">
            <v>GEL ANTISSEPTICO ALCOOL70%450GR AFFINITA</v>
          </cell>
          <cell r="C496" t="str">
            <v>GEL ANTISSEPTICO ALCOOL70%450GR AFFINITA</v>
          </cell>
          <cell r="D496" t="str">
            <v>1000000556223</v>
          </cell>
          <cell r="E496" t="str">
            <v>3808.94.29</v>
          </cell>
        </row>
        <row r="497">
          <cell r="A497">
            <v>501</v>
          </cell>
          <cell r="B497" t="str">
            <v>GEL ANTISSEPTICO ALCOOL70%450GR AFFINITA</v>
          </cell>
          <cell r="C497" t="str">
            <v>GEL ANTISSEPTICO ALCOOL70%450GR AFFINITA</v>
          </cell>
          <cell r="D497" t="str">
            <v>7899032203854</v>
          </cell>
          <cell r="E497" t="str">
            <v>2207.20.19</v>
          </cell>
        </row>
        <row r="498">
          <cell r="A498">
            <v>502</v>
          </cell>
          <cell r="B498" t="str">
            <v>HIDROMASSAGEADORPESFOOTSPA110V</v>
          </cell>
          <cell r="C498" t="str">
            <v>HIDROMASSAGEADORPESFOOTSPA110V</v>
          </cell>
          <cell r="D498" t="str">
            <v>7898506467556</v>
          </cell>
          <cell r="E498" t="str">
            <v>9018.90.99</v>
          </cell>
        </row>
        <row r="499">
          <cell r="A499">
            <v>503</v>
          </cell>
          <cell r="B499" t="str">
            <v>IMOBILIZADORBILATMSTIPOIAVELPEAU30102XP</v>
          </cell>
          <cell r="C499" t="str">
            <v>IMOBILIZADORBILATMSTIPOIAVELPEAU30102XP</v>
          </cell>
          <cell r="D499" t="str">
            <v>7891746025470</v>
          </cell>
          <cell r="E499" t="str">
            <v>9021.10.10</v>
          </cell>
        </row>
        <row r="500">
          <cell r="A500">
            <v>504</v>
          </cell>
          <cell r="B500" t="str">
            <v>IMOBILIZADORBILATMSTIPOIAVELPEAU30103P</v>
          </cell>
          <cell r="C500" t="str">
            <v>IMOBILIZADORBILATMSTIPOIAVELPEAU30103P</v>
          </cell>
          <cell r="D500" t="str">
            <v>7891746025487</v>
          </cell>
          <cell r="E500" t="str">
            <v>9021.10.10</v>
          </cell>
        </row>
        <row r="501">
          <cell r="A501">
            <v>505</v>
          </cell>
          <cell r="B501" t="str">
            <v>IMOBILIZADORBILATMSTIPOIAVELPEAU30103P</v>
          </cell>
          <cell r="C501" t="str">
            <v>IMOBILIZADORBILATMSTIPOIAVELPEAU30103P</v>
          </cell>
          <cell r="D501" t="str">
            <v>7891746025548</v>
          </cell>
          <cell r="E501" t="str">
            <v>9021.10.10</v>
          </cell>
        </row>
        <row r="502">
          <cell r="A502">
            <v>506</v>
          </cell>
          <cell r="B502" t="str">
            <v>IMOBILIZADORBILATMSTIPOIAVELPEAU30104M</v>
          </cell>
          <cell r="C502" t="str">
            <v>IMOBILIZADORBILATMSTIPOIAVELPEAU30104M</v>
          </cell>
          <cell r="D502" t="str">
            <v>7891746025494</v>
          </cell>
          <cell r="E502" t="str">
            <v>9021.10.10</v>
          </cell>
        </row>
        <row r="503">
          <cell r="A503">
            <v>507</v>
          </cell>
          <cell r="B503" t="str">
            <v>IMOBILIZADORBILATMSTIPOIAVELPEAU30104M</v>
          </cell>
          <cell r="C503" t="str">
            <v>IMOBILIZADORBILATMSTIPOIAVELPEAU30104M</v>
          </cell>
          <cell r="D503" t="str">
            <v>7891746025555</v>
          </cell>
          <cell r="E503" t="str">
            <v>9021.10.10</v>
          </cell>
        </row>
        <row r="504">
          <cell r="A504">
            <v>508</v>
          </cell>
          <cell r="B504" t="str">
            <v>IMOBILIZADORBILATMSTIPOIAVELPEAU30105G</v>
          </cell>
          <cell r="C504" t="str">
            <v>IMOBILIZADORBILATMSTIPOIAVELPEAU30105G</v>
          </cell>
          <cell r="D504" t="str">
            <v>7891746025500</v>
          </cell>
          <cell r="E504" t="str">
            <v>9021.10.10</v>
          </cell>
        </row>
        <row r="505">
          <cell r="A505">
            <v>509</v>
          </cell>
          <cell r="B505" t="str">
            <v>IMOBILIZADORBILATMSTIPOIAVELPEAU30105G</v>
          </cell>
          <cell r="C505" t="str">
            <v>IMOBILIZADORBILATMSTIPOIAVELPEAU30105G</v>
          </cell>
          <cell r="D505" t="str">
            <v>7891746025562</v>
          </cell>
          <cell r="E505" t="str">
            <v>9021.10.10</v>
          </cell>
        </row>
        <row r="506">
          <cell r="A506">
            <v>510</v>
          </cell>
          <cell r="B506" t="str">
            <v>IMOBILIZADORBILATMSTIPOIAVELPEAU30106EG</v>
          </cell>
          <cell r="C506" t="str">
            <v>IMOBILIZADORBILATMSTIPOIAVELPEAU30106EG</v>
          </cell>
          <cell r="D506" t="str">
            <v>7891746025517</v>
          </cell>
          <cell r="E506" t="str">
            <v>9021.10.10</v>
          </cell>
        </row>
        <row r="507">
          <cell r="A507">
            <v>511</v>
          </cell>
          <cell r="B507" t="str">
            <v>IMOBILIZADORBILATMSTIPOIAVELPEAU30106EG</v>
          </cell>
          <cell r="C507" t="str">
            <v>IMOBILIZADORBILATMSTIPOIAVELPEAU30106EG</v>
          </cell>
          <cell r="D507" t="str">
            <v>7891746025579</v>
          </cell>
          <cell r="E507" t="str">
            <v>9021.10.10</v>
          </cell>
        </row>
        <row r="508">
          <cell r="A508">
            <v>512</v>
          </cell>
          <cell r="B508" t="str">
            <v>IMOBILIZADORBILATMSTIPOIAVELPEAU301-02XP</v>
          </cell>
          <cell r="C508" t="str">
            <v>IMOBILIZADORBILATMSTIPOIAVELPEAU301-02XP</v>
          </cell>
          <cell r="D508" t="str">
            <v>7891746025531</v>
          </cell>
          <cell r="E508" t="str">
            <v>9021.10.10</v>
          </cell>
        </row>
        <row r="509">
          <cell r="A509">
            <v>513</v>
          </cell>
          <cell r="B509" t="str">
            <v>IMOBILIZADORLONGOPUNSO42340PRTLADODIR</v>
          </cell>
          <cell r="C509" t="str">
            <v>IMOBILIZADORLONGOPUNSO42340PRTLADODIR</v>
          </cell>
          <cell r="D509" t="str">
            <v>7891746023148</v>
          </cell>
          <cell r="E509" t="str">
            <v>9021.10.10</v>
          </cell>
        </row>
        <row r="510">
          <cell r="A510">
            <v>514</v>
          </cell>
          <cell r="B510" t="str">
            <v>INALADORCOMPRESSORPORTATILNEBPLUSBIVOLT</v>
          </cell>
          <cell r="C510" t="str">
            <v>INALADORCOMPRESSORPORTATILNEBPLUSBIVOLT</v>
          </cell>
          <cell r="D510" t="str">
            <v>7899838832845</v>
          </cell>
          <cell r="E510" t="str">
            <v>9019.20.20</v>
          </cell>
        </row>
        <row r="511">
          <cell r="A511">
            <v>515</v>
          </cell>
          <cell r="B511" t="str">
            <v>INALADORPORTATILMESHADULTOINFBRANCO</v>
          </cell>
          <cell r="C511" t="str">
            <v>INALADORPORTATILMESHADULTOINFBRANCO</v>
          </cell>
          <cell r="D511" t="str">
            <v/>
          </cell>
          <cell r="E511" t="str">
            <v>9019.20.20</v>
          </cell>
        </row>
        <row r="512">
          <cell r="A512">
            <v>516</v>
          </cell>
          <cell r="B512" t="str">
            <v>JOELHEIRACURTALISAPRETOPKSN034</v>
          </cell>
          <cell r="C512" t="str">
            <v>JOELHEIRACURTALISAPRETOPKSN034</v>
          </cell>
          <cell r="D512" t="str">
            <v>7898601061024</v>
          </cell>
          <cell r="E512" t="str">
            <v>9021.10.10</v>
          </cell>
        </row>
        <row r="513">
          <cell r="A513">
            <v>517</v>
          </cell>
          <cell r="B513" t="str">
            <v>JOELHEIRAELASTICAPRETOGKSN044-PRKESTAL</v>
          </cell>
          <cell r="C513" t="str">
            <v>JOELHEIRAELASTICAPRETOGKSN044-PRKESTAL</v>
          </cell>
          <cell r="D513" t="str">
            <v>7898601061444</v>
          </cell>
          <cell r="E513" t="str">
            <v>9021.10.10</v>
          </cell>
        </row>
        <row r="514">
          <cell r="A514">
            <v>518</v>
          </cell>
          <cell r="B514" t="str">
            <v>JOELHEIRAELASTICAPRETOPKSN044-PRKESTAL</v>
          </cell>
          <cell r="C514" t="str">
            <v>JOELHEIRAELASTICAPRETOPKSN044-PRKESTAL</v>
          </cell>
          <cell r="D514" t="str">
            <v>7898601061420</v>
          </cell>
          <cell r="E514" t="str">
            <v>9021.10.10</v>
          </cell>
        </row>
        <row r="515">
          <cell r="A515">
            <v>519</v>
          </cell>
          <cell r="B515" t="str">
            <v>JOELHEIRAELASTICASALVAPE540-03TAMP</v>
          </cell>
          <cell r="C515" t="str">
            <v>JOELHEIRAELASTICASALVAPE540-03TAMP</v>
          </cell>
          <cell r="D515" t="str">
            <v>7891746027658</v>
          </cell>
          <cell r="E515" t="str">
            <v>9021.10.10</v>
          </cell>
        </row>
        <row r="516">
          <cell r="A516">
            <v>520</v>
          </cell>
          <cell r="B516" t="str">
            <v>JOELHEIRAELASTICASALVAPE540-04TAMM</v>
          </cell>
          <cell r="C516" t="str">
            <v>JOELHEIRAELASTICASALVAPE540-04TAMM</v>
          </cell>
          <cell r="D516" t="str">
            <v>7891746027665</v>
          </cell>
          <cell r="E516" t="str">
            <v>9021.10.10</v>
          </cell>
        </row>
        <row r="517">
          <cell r="A517">
            <v>521</v>
          </cell>
          <cell r="B517" t="str">
            <v>JOELHEIRAELASTICASALVAPE540-05PRE</v>
          </cell>
          <cell r="C517" t="str">
            <v>JOELHEIRAELASTICASALVAPE540-05PRE</v>
          </cell>
          <cell r="D517" t="str">
            <v>7891746027672</v>
          </cell>
          <cell r="E517" t="str">
            <v>9021.10.10</v>
          </cell>
        </row>
        <row r="518">
          <cell r="A518">
            <v>522</v>
          </cell>
          <cell r="B518" t="str">
            <v>JOELHEIRAORIFICIOREFORCOPATELARPPRETO</v>
          </cell>
          <cell r="C518" t="str">
            <v>JOELHEIRAORIFICIOREFORCOPATELARPPRETO</v>
          </cell>
          <cell r="D518" t="str">
            <v>7898601060256</v>
          </cell>
          <cell r="E518" t="str">
            <v>9021.10.10</v>
          </cell>
        </row>
        <row r="519">
          <cell r="A519">
            <v>523</v>
          </cell>
          <cell r="B519" t="str">
            <v>JOELHEIRAREFORCADAAJUSTAVELPLUSUNPRETO</v>
          </cell>
          <cell r="C519" t="str">
            <v>JOELHEIRAREFORCADAAJUSTAVELPLUSUNPRETO</v>
          </cell>
          <cell r="D519" t="str">
            <v>7898601062687</v>
          </cell>
          <cell r="E519" t="str">
            <v>9021.10.10</v>
          </cell>
        </row>
        <row r="520">
          <cell r="A520">
            <v>524</v>
          </cell>
          <cell r="B520" t="str">
            <v>JOELHEIRASUPORTESALVAPEPRNP0803P</v>
          </cell>
          <cell r="C520" t="str">
            <v>JOELHEIRASUPORTESALVAPEPRNP0803P</v>
          </cell>
          <cell r="D520" t="str">
            <v>7891746027573</v>
          </cell>
          <cell r="E520" t="str">
            <v>9021.10.10</v>
          </cell>
        </row>
        <row r="521">
          <cell r="A521">
            <v>525</v>
          </cell>
          <cell r="B521" t="str">
            <v>JOELHEIRASUPORTESALVAPEPRN-P0805G</v>
          </cell>
          <cell r="C521" t="str">
            <v>JOELHEIRASUPORTESALVAPEPRN-P0805G</v>
          </cell>
          <cell r="D521" t="str">
            <v>7891746027597</v>
          </cell>
          <cell r="E521" t="str">
            <v>9021.10.10</v>
          </cell>
        </row>
        <row r="522">
          <cell r="A522">
            <v>526</v>
          </cell>
          <cell r="B522" t="str">
            <v>KITANIMALESTACAOGLUCOWELLVET705BR</v>
          </cell>
          <cell r="C522" t="str">
            <v>KITANIMALESTACAOGLUCOWELLVET705BR</v>
          </cell>
          <cell r="D522" t="str">
            <v>9120015787312</v>
          </cell>
          <cell r="E522" t="str">
            <v>9027.80.99</v>
          </cell>
        </row>
        <row r="523">
          <cell r="A523">
            <v>527</v>
          </cell>
          <cell r="B523" t="str">
            <v>PLANO 100 COMPL (2CX C/50UN EM FRASCO)</v>
          </cell>
          <cell r="C523" t="str">
            <v>PLANO 100 COMPL (2CX C/50UN EM FRASCO)</v>
          </cell>
          <cell r="D523" t="str">
            <v>7908007900633</v>
          </cell>
          <cell r="E523" t="str">
            <v>9027.89.99</v>
          </cell>
        </row>
        <row r="524">
          <cell r="A524">
            <v>528</v>
          </cell>
          <cell r="B524" t="str">
            <v>PLANO 100 COMPL (4CX C/25UN INDIVIDUAL)</v>
          </cell>
          <cell r="C524" t="str">
            <v>PLANO 100 COMPL (4CX C/25UN INDIVIDUAL)</v>
          </cell>
          <cell r="D524" t="str">
            <v>17908007900647</v>
          </cell>
          <cell r="E524" t="str">
            <v>9027.80.99</v>
          </cell>
        </row>
        <row r="525">
          <cell r="A525">
            <v>529</v>
          </cell>
          <cell r="B525" t="str">
            <v>PLANO 100 RECAR (2CX C/50UN EM FRASCO)</v>
          </cell>
          <cell r="C525" t="str">
            <v>PLANO 100 RECAR (2CX C/50UN EM FRASCO)</v>
          </cell>
          <cell r="D525" t="str">
            <v>7908007905140</v>
          </cell>
          <cell r="E525" t="str">
            <v>9027.89.99</v>
          </cell>
        </row>
        <row r="526">
          <cell r="A526">
            <v>530</v>
          </cell>
          <cell r="B526" t="str">
            <v>PLANO 100 RECAR (4CX C/25UN INDIVIDUAL)</v>
          </cell>
          <cell r="C526" t="str">
            <v>PLANO 100 RECAR (4CX C/25UN INDIVIDUAL)</v>
          </cell>
          <cell r="D526" t="str">
            <v/>
          </cell>
          <cell r="E526" t="str">
            <v>9027.80.99</v>
          </cell>
        </row>
        <row r="527">
          <cell r="A527">
            <v>531</v>
          </cell>
          <cell r="B527" t="str">
            <v>PLANO 200 COMPL (4CX C/50UN EM FRASCO)</v>
          </cell>
          <cell r="C527" t="str">
            <v>PLANO 200 COMPL (4CX C/50UN EM FRASCO)</v>
          </cell>
          <cell r="D527" t="str">
            <v>7908007900664</v>
          </cell>
          <cell r="E527" t="str">
            <v>9027.89.99</v>
          </cell>
        </row>
        <row r="528">
          <cell r="A528">
            <v>532</v>
          </cell>
          <cell r="B528" t="str">
            <v>PLANO 200 COMPL (8CX C/25UN INDIVIDUAL)</v>
          </cell>
          <cell r="C528" t="str">
            <v>PLANO 200 COMPL (8CX C/25UN INDIVIDUAL)</v>
          </cell>
          <cell r="D528" t="str">
            <v/>
          </cell>
          <cell r="E528" t="str">
            <v>9027.80.99</v>
          </cell>
        </row>
        <row r="529">
          <cell r="A529">
            <v>533</v>
          </cell>
          <cell r="B529" t="str">
            <v>PLANO 200 RECAR (4CX C/50UN EM FRASCO)</v>
          </cell>
          <cell r="C529" t="str">
            <v>PLANO 200 RECAR (4CX C/50UN EM FRASCO)</v>
          </cell>
          <cell r="D529" t="str">
            <v/>
          </cell>
          <cell r="E529" t="str">
            <v>9027.80.99</v>
          </cell>
        </row>
        <row r="530">
          <cell r="A530">
            <v>534</v>
          </cell>
          <cell r="B530" t="str">
            <v>PLANO 200 RECAR (8CX C/25UN INDIVIDUAL)</v>
          </cell>
          <cell r="C530" t="str">
            <v>PLANO 200 RECAR (8CX C/25UN INDIVIDUAL)</v>
          </cell>
          <cell r="D530" t="str">
            <v/>
          </cell>
          <cell r="E530" t="str">
            <v>9027.80.99</v>
          </cell>
        </row>
        <row r="531">
          <cell r="A531">
            <v>535</v>
          </cell>
          <cell r="B531" t="str">
            <v>PLANO 300 COMPL (6CX C/50UN EM FRASCO)</v>
          </cell>
          <cell r="C531" t="str">
            <v>PLANO 300 COMPL (6CX C/50UN EM FRASCO)</v>
          </cell>
          <cell r="D531" t="str">
            <v>7908007904716</v>
          </cell>
          <cell r="E531" t="str">
            <v>9027.89.99</v>
          </cell>
        </row>
        <row r="532">
          <cell r="A532">
            <v>536</v>
          </cell>
          <cell r="B532" t="str">
            <v>PLANO 300 COMPL (12CX C/25UN INDIVIDUAL)</v>
          </cell>
          <cell r="C532" t="str">
            <v>PLANO 300 COMPL (12CX C/25UN INDIVIDUAL)</v>
          </cell>
          <cell r="D532" t="str">
            <v>17908007904720</v>
          </cell>
          <cell r="E532" t="str">
            <v>9027.80.99</v>
          </cell>
        </row>
        <row r="533">
          <cell r="A533">
            <v>537</v>
          </cell>
          <cell r="B533" t="str">
            <v>PLANO 300 RECAR (6CX C/50UN EM FRASCO)</v>
          </cell>
          <cell r="C533" t="str">
            <v>PLANO 300 RECAR (6CX C/50UN EM FRASCO)</v>
          </cell>
          <cell r="D533" t="str">
            <v/>
          </cell>
          <cell r="E533" t="str">
            <v>9027.80.99</v>
          </cell>
        </row>
        <row r="534">
          <cell r="A534">
            <v>538</v>
          </cell>
          <cell r="B534" t="str">
            <v>PLANO 300 RECAR (12CX C/25UN INDIVIDUAL)</v>
          </cell>
          <cell r="C534" t="str">
            <v>PLANO 300 RECAR (12CX C/25UN INDIVIDUAL)</v>
          </cell>
          <cell r="D534" t="str">
            <v/>
          </cell>
          <cell r="E534" t="str">
            <v>9027.80.99</v>
          </cell>
        </row>
        <row r="535">
          <cell r="A535">
            <v>539</v>
          </cell>
          <cell r="B535" t="str">
            <v>KITTESTEHBA1CLUMIRATEKM-A1C-LDCX20</v>
          </cell>
          <cell r="C535" t="str">
            <v>KITTESTEHBA1CLUMIRATEKM-A1C-LDCX20</v>
          </cell>
          <cell r="D535" t="str">
            <v>8809319392958</v>
          </cell>
          <cell r="E535" t="str">
            <v>3822.00.90</v>
          </cell>
        </row>
        <row r="536">
          <cell r="A536">
            <v>540</v>
          </cell>
          <cell r="B536" t="str">
            <v>LANCETAG-TECH28GLAN2810GCX100</v>
          </cell>
          <cell r="C536" t="str">
            <v>LANCETAG-TECH28GLAN2810GCX100</v>
          </cell>
          <cell r="D536" t="str">
            <v>7898301057105</v>
          </cell>
          <cell r="E536" t="str">
            <v>9018.39.99</v>
          </cell>
        </row>
        <row r="537">
          <cell r="A537">
            <v>541</v>
          </cell>
          <cell r="B537" t="str">
            <v>LANCETATRAVASEGURLORIS1.6LILAS28G</v>
          </cell>
          <cell r="C537" t="str">
            <v>LANCETATRAVASEGURLORIS1.6LILAS28G</v>
          </cell>
          <cell r="D537" t="str">
            <v>7899032201782</v>
          </cell>
          <cell r="E537" t="str">
            <v>9018.39.99</v>
          </cell>
        </row>
        <row r="538">
          <cell r="A538">
            <v>542</v>
          </cell>
          <cell r="B538" t="str">
            <v>LANCETATRAVASEGURLORIS1.826GAMARELA</v>
          </cell>
          <cell r="C538" t="str">
            <v>LANCETATRAVASEGURLORIS1.826GAMARELA</v>
          </cell>
          <cell r="D538" t="str">
            <v>7908007900381</v>
          </cell>
          <cell r="E538" t="str">
            <v>9018.39.99</v>
          </cell>
        </row>
        <row r="539">
          <cell r="A539">
            <v>543</v>
          </cell>
          <cell r="B539" t="str">
            <v>LANCETATRAVASEGURLORIS1.8AMARELA26G</v>
          </cell>
          <cell r="C539" t="str">
            <v>LANCETATRAVASEGURLORIS1.8AMARELA26G</v>
          </cell>
          <cell r="D539" t="str">
            <v>7899032201775</v>
          </cell>
          <cell r="E539" t="str">
            <v>9018.39.99</v>
          </cell>
        </row>
        <row r="540">
          <cell r="A540">
            <v>544</v>
          </cell>
          <cell r="B540" t="str">
            <v>LANCETATRAVASEGURLORIS2.221GVERDE</v>
          </cell>
          <cell r="C540" t="str">
            <v>LANCETATRAVASEGURLORIS2.221GVERDE</v>
          </cell>
          <cell r="D540" t="str">
            <v>7908007900350</v>
          </cell>
          <cell r="E540" t="str">
            <v>9018.39.99</v>
          </cell>
        </row>
        <row r="541">
          <cell r="A541">
            <v>545</v>
          </cell>
          <cell r="B541" t="str">
            <v>LANCETATRAVASEGURLORIS2.2VERDE21G</v>
          </cell>
          <cell r="C541" t="str">
            <v>LANCETATRAVASEGURLORIS2.2VERDE21G</v>
          </cell>
          <cell r="D541" t="str">
            <v>7899032201997</v>
          </cell>
          <cell r="E541" t="str">
            <v>9018.39.99</v>
          </cell>
        </row>
        <row r="542">
          <cell r="A542">
            <v>546</v>
          </cell>
          <cell r="B542" t="str">
            <v>LANCETATRAVASEGURLORISLARANJA21G</v>
          </cell>
          <cell r="C542" t="str">
            <v>LANCETATRAVASEGURLORISLARANJA21G</v>
          </cell>
          <cell r="D542" t="str">
            <v>7908007901319</v>
          </cell>
          <cell r="E542" t="str">
            <v>9018.39.99</v>
          </cell>
        </row>
        <row r="543">
          <cell r="A543">
            <v>547</v>
          </cell>
          <cell r="B543" t="str">
            <v>LANCETATRAVASEGURMEDL1.8ROXA28G</v>
          </cell>
          <cell r="C543" t="str">
            <v>LANCETATRAVASEGURMEDL1.8ROXA28G</v>
          </cell>
          <cell r="D543" t="str">
            <v>7898919505807</v>
          </cell>
          <cell r="E543" t="str">
            <v>9018.39.99</v>
          </cell>
        </row>
        <row r="544">
          <cell r="A544">
            <v>548</v>
          </cell>
          <cell r="B544" t="str">
            <v>LANCETADOR MEDLEVENSOHN ML01</v>
          </cell>
          <cell r="C544" t="str">
            <v>LANCETADOR MEDLEVENSOHN ML01</v>
          </cell>
          <cell r="D544" t="str">
            <v>7908007901531</v>
          </cell>
          <cell r="E544" t="str">
            <v>9018.39.99</v>
          </cell>
        </row>
        <row r="545">
          <cell r="A545">
            <v>549</v>
          </cell>
          <cell r="B545" t="str">
            <v>LANCETADORONCALLPLATINUM28G</v>
          </cell>
          <cell r="C545" t="str">
            <v>LANCETADORONCALLPLATINUM28G</v>
          </cell>
          <cell r="D545" t="str">
            <v>1000000000313</v>
          </cell>
          <cell r="E545" t="str">
            <v>9018.39.99</v>
          </cell>
        </row>
        <row r="546">
          <cell r="A546">
            <v>550</v>
          </cell>
          <cell r="B546" t="str">
            <v>LENCOSWABALCOOLISOPROPILICO70%CX100</v>
          </cell>
          <cell r="C546" t="str">
            <v>LENCOSWABALCOOLISOPROPILICO70%CX100</v>
          </cell>
          <cell r="D546" t="str">
            <v>7898938203043</v>
          </cell>
          <cell r="E546" t="str">
            <v>3005.90.90</v>
          </cell>
        </row>
        <row r="547">
          <cell r="A547">
            <v>551</v>
          </cell>
          <cell r="B547" t="str">
            <v>LIMPAPATASSPRAY300MLPATAS&amp;RACAS</v>
          </cell>
          <cell r="C547" t="str">
            <v>LIMPAPATASSPRAY300MLPATAS&amp;RACAS</v>
          </cell>
          <cell r="D547" t="str">
            <v>7899032206411</v>
          </cell>
          <cell r="E547" t="str">
            <v>3402.90.39</v>
          </cell>
        </row>
        <row r="548">
          <cell r="A548">
            <v>552</v>
          </cell>
          <cell r="B548" t="str">
            <v>LOCAOHIDRATANTECOCONUT250MLAFFINITA</v>
          </cell>
          <cell r="C548" t="str">
            <v>LOCAOHIDRATANTECOCONUT250MLAFFINITA</v>
          </cell>
          <cell r="D548" t="str">
            <v>7899032208613</v>
          </cell>
          <cell r="E548" t="str">
            <v>3304.99.10</v>
          </cell>
        </row>
        <row r="549">
          <cell r="A549">
            <v>553</v>
          </cell>
          <cell r="B549" t="str">
            <v>LOCAOHIDRATANTECORPORAL250MLVEROMED</v>
          </cell>
          <cell r="C549" t="str">
            <v>LOCAOHIDRATANTECORPORAL250MLVEROMED</v>
          </cell>
          <cell r="D549" t="str">
            <v>7899032201492</v>
          </cell>
          <cell r="E549" t="str">
            <v>3304.99.10</v>
          </cell>
        </row>
        <row r="550">
          <cell r="A550">
            <v>554</v>
          </cell>
          <cell r="B550" t="str">
            <v>LOCAOHIDRATANTEGESTANTEIMA250ML</v>
          </cell>
          <cell r="C550" t="str">
            <v>LOCAOHIDRATANTEGESTANTEIMA250ML</v>
          </cell>
          <cell r="D550" t="str">
            <v>7899032201508</v>
          </cell>
          <cell r="E550" t="str">
            <v>3304.99.10</v>
          </cell>
        </row>
        <row r="551">
          <cell r="A551">
            <v>555</v>
          </cell>
          <cell r="B551" t="str">
            <v>LOCAOHIDRATANTEMAX250MLAFFINITA</v>
          </cell>
          <cell r="C551" t="str">
            <v>LOCAOHIDRATANTEMAX250MLAFFINITA</v>
          </cell>
          <cell r="D551" t="str">
            <v>7899032208170</v>
          </cell>
          <cell r="E551" t="str">
            <v>3304.99.10</v>
          </cell>
        </row>
        <row r="552">
          <cell r="A552">
            <v>556</v>
          </cell>
          <cell r="B552" t="str">
            <v>LOCAOHIDRATANTEMAXLICHIA250MLAFFINITA</v>
          </cell>
          <cell r="C552" t="str">
            <v>LOCAOHIDRATANTEMAXLICHIA250MLAFFINITA</v>
          </cell>
          <cell r="D552" t="str">
            <v>7899032208620</v>
          </cell>
          <cell r="E552" t="str">
            <v>3304.99.10</v>
          </cell>
        </row>
        <row r="553">
          <cell r="A553">
            <v>557</v>
          </cell>
          <cell r="B553" t="str">
            <v>LOCAORELAXANTEPERNASPES250MLVEROMED</v>
          </cell>
          <cell r="C553" t="str">
            <v>LOCAORELAXANTEPERNASPES250MLVEROMED</v>
          </cell>
          <cell r="D553" t="str">
            <v>7899032201515</v>
          </cell>
          <cell r="E553" t="str">
            <v>3304.99.10</v>
          </cell>
        </row>
        <row r="554">
          <cell r="A554">
            <v>558</v>
          </cell>
          <cell r="B554" t="str">
            <v>LUVAMININEONROSAMKSN018</v>
          </cell>
          <cell r="C554" t="str">
            <v>LUVAMININEONROSAMKSN018</v>
          </cell>
          <cell r="D554" t="str">
            <v>7898601062878</v>
          </cell>
          <cell r="E554" t="str">
            <v>6116.93.00</v>
          </cell>
        </row>
        <row r="555">
          <cell r="A555">
            <v>559</v>
          </cell>
          <cell r="B555" t="str">
            <v>LUVAMINIPALMAPRETOGKSN018</v>
          </cell>
          <cell r="C555" t="str">
            <v>LUVAMINIPALMAPRETOGKSN018</v>
          </cell>
          <cell r="D555" t="str">
            <v/>
          </cell>
          <cell r="E555" t="str">
            <v>6116.93.00</v>
          </cell>
        </row>
        <row r="556">
          <cell r="A556">
            <v>560</v>
          </cell>
          <cell r="B556" t="str">
            <v>LUVAPOLEGARBILATERALNEWPRENEG</v>
          </cell>
          <cell r="C556" t="str">
            <v>LUVAPOLEGARBILATERALNEWPRENEG</v>
          </cell>
          <cell r="D556" t="str">
            <v>7891746029980</v>
          </cell>
          <cell r="E556" t="str">
            <v>9021.10.10</v>
          </cell>
        </row>
        <row r="557">
          <cell r="A557">
            <v>561</v>
          </cell>
          <cell r="B557" t="str">
            <v>LUVAPOLEGARBILATERALNEWPRENEMPRN-P0204</v>
          </cell>
          <cell r="C557" t="str">
            <v>LUVAPOLEGARBILATERALNEWPRENEMPRN-P0204</v>
          </cell>
          <cell r="D557" t="str">
            <v>7891746029973</v>
          </cell>
          <cell r="E557" t="str">
            <v>9021.10.10</v>
          </cell>
        </row>
        <row r="558">
          <cell r="A558">
            <v>562</v>
          </cell>
          <cell r="B558" t="str">
            <v>MACAPERUANA120CAPS</v>
          </cell>
          <cell r="C558" t="str">
            <v>MACAPERUANA120CAPS</v>
          </cell>
          <cell r="D558" t="str">
            <v>7896874704174</v>
          </cell>
          <cell r="E558" t="str">
            <v>2106.90.30</v>
          </cell>
        </row>
        <row r="559">
          <cell r="A559">
            <v>563</v>
          </cell>
          <cell r="B559" t="str">
            <v>MACAPERUANA60CAPS</v>
          </cell>
          <cell r="C559" t="str">
            <v>MACAPERUANA60CAPS</v>
          </cell>
          <cell r="D559" t="str">
            <v>7896874706383</v>
          </cell>
          <cell r="E559" t="str">
            <v>2106.90.30</v>
          </cell>
        </row>
        <row r="560">
          <cell r="A560">
            <v>564</v>
          </cell>
          <cell r="B560" t="str">
            <v>MACACAOMANGALONGACAPUZ40GTEXVESTG</v>
          </cell>
          <cell r="C560" t="str">
            <v>MACACAOMANGALONGACAPUZ40GTEXVESTG</v>
          </cell>
          <cell r="D560" t="str">
            <v>7893595796754</v>
          </cell>
          <cell r="E560" t="str">
            <v>6210.10.00</v>
          </cell>
        </row>
        <row r="561">
          <cell r="A561">
            <v>565</v>
          </cell>
          <cell r="B561" t="str">
            <v>MACACAOMANGALONGACAPUZ40GTEXVESTP/M</v>
          </cell>
          <cell r="C561" t="str">
            <v>MACACAOMANGALONGACAPUZ40GTEXVESTP/M</v>
          </cell>
          <cell r="D561" t="str">
            <v>7893595796761</v>
          </cell>
          <cell r="E561" t="str">
            <v>6210.10.00</v>
          </cell>
        </row>
        <row r="562">
          <cell r="A562">
            <v>566</v>
          </cell>
          <cell r="B562" t="str">
            <v>MACACAOMANGALONGACAPUZ40GTEXVESTXG</v>
          </cell>
          <cell r="C562" t="str">
            <v>MACACAOMANGALONGACAPUZ40GTEXVESTXG</v>
          </cell>
          <cell r="D562" t="str">
            <v/>
          </cell>
          <cell r="E562" t="str">
            <v>6210.10.00</v>
          </cell>
        </row>
        <row r="563">
          <cell r="A563">
            <v>567</v>
          </cell>
          <cell r="B563" t="str">
            <v>MALATOMAGNESIO60CAPS</v>
          </cell>
          <cell r="C563" t="str">
            <v>MALATOMAGNESIO60CAPS</v>
          </cell>
          <cell r="D563" t="str">
            <v>7896874704013</v>
          </cell>
          <cell r="E563" t="str">
            <v>2106.90.30</v>
          </cell>
        </row>
        <row r="564">
          <cell r="A564">
            <v>568</v>
          </cell>
          <cell r="B564" t="str">
            <v>MANGUEIRACOLCHAOJ001-T</v>
          </cell>
          <cell r="C564" t="str">
            <v>MANGUEIRACOLCHAOJ001-T</v>
          </cell>
          <cell r="D564" t="str">
            <v>7908007900619</v>
          </cell>
          <cell r="E564" t="str">
            <v>3917.23.00</v>
          </cell>
        </row>
        <row r="565">
          <cell r="A565">
            <v>569</v>
          </cell>
          <cell r="B565" t="str">
            <v>MANGUITOAFIB03G</v>
          </cell>
          <cell r="C565" t="str">
            <v>MANGUITOAFIB03G</v>
          </cell>
          <cell r="D565" t="str">
            <v/>
          </cell>
          <cell r="E565" t="str">
            <v>9018.90.69</v>
          </cell>
        </row>
        <row r="566">
          <cell r="A566">
            <v>570</v>
          </cell>
          <cell r="B566" t="str">
            <v>MANGUITO AFIB 03 TAM M 22/32 CM</v>
          </cell>
          <cell r="C566" t="str">
            <v>MANGUITO AFIB 03 TAM M 22/32 CM</v>
          </cell>
          <cell r="D566" t="str">
            <v/>
          </cell>
          <cell r="E566" t="str">
            <v>9018.90.69</v>
          </cell>
        </row>
        <row r="567">
          <cell r="A567">
            <v>571</v>
          </cell>
          <cell r="B567" t="str">
            <v>MANGUITO BP3AC1-1PC TAM G 32/42</v>
          </cell>
          <cell r="C567" t="str">
            <v>MANGUITO BP3AC1-1PC TAM G 32/42</v>
          </cell>
          <cell r="D567" t="str">
            <v>1000000606911</v>
          </cell>
          <cell r="E567" t="str">
            <v>9018.90.69</v>
          </cell>
        </row>
        <row r="568">
          <cell r="A568">
            <v>572</v>
          </cell>
          <cell r="B568" t="str">
            <v>MANGUITO BRACADEIRA AZUL  TAM 22/32M</v>
          </cell>
          <cell r="C568" t="str">
            <v>MANGUITO BRACADEIRA AZUL  TAM 22/32M</v>
          </cell>
          <cell r="D568" t="str">
            <v>1000000208610</v>
          </cell>
          <cell r="E568" t="str">
            <v>9018.90.69</v>
          </cell>
        </row>
        <row r="569">
          <cell r="A569">
            <v>573</v>
          </cell>
          <cell r="B569" t="str">
            <v>MANGUITOBRACADEIRACINZA22/32M</v>
          </cell>
          <cell r="C569" t="str">
            <v>MANGUITOBRACADEIRACINZA22/32M</v>
          </cell>
          <cell r="D569" t="str">
            <v>1000000207910</v>
          </cell>
          <cell r="E569" t="str">
            <v>9018.90.69</v>
          </cell>
        </row>
        <row r="570">
          <cell r="A570">
            <v>574</v>
          </cell>
          <cell r="B570" t="str">
            <v>MANGUITOBRACADEIRACINZA22/42G</v>
          </cell>
          <cell r="C570" t="str">
            <v>MANGUITOBRACADEIRACINZA22/42G</v>
          </cell>
          <cell r="D570" t="str">
            <v>1000000487411</v>
          </cell>
          <cell r="E570" t="str">
            <v>9018.90.92</v>
          </cell>
        </row>
        <row r="571">
          <cell r="A571">
            <v>575</v>
          </cell>
          <cell r="B571" t="str">
            <v>MANGUITOMICROLIFECINZA17/22P</v>
          </cell>
          <cell r="C571" t="str">
            <v>MANGUITOMICROLIFECINZA17/22P</v>
          </cell>
          <cell r="D571" t="str">
            <v>1000000208016</v>
          </cell>
          <cell r="E571" t="str">
            <v>9018.90.92</v>
          </cell>
        </row>
        <row r="572">
          <cell r="A572">
            <v>576</v>
          </cell>
          <cell r="B572" t="str">
            <v>MANGUITOPRETOPULSOZ9770110W</v>
          </cell>
          <cell r="C572" t="str">
            <v>MANGUITOPRETOPULSOZ9770110W</v>
          </cell>
          <cell r="D572" t="str">
            <v>1000000208214</v>
          </cell>
          <cell r="E572" t="str">
            <v>9018.90.69</v>
          </cell>
        </row>
        <row r="573">
          <cell r="A573">
            <v>577</v>
          </cell>
          <cell r="B573" t="str">
            <v>MANGUITOWBPHOMEA-M</v>
          </cell>
          <cell r="C573" t="str">
            <v>MANGUITOWBPHOMEA-M</v>
          </cell>
          <cell r="D573" t="str">
            <v/>
          </cell>
          <cell r="E573" t="str">
            <v>9018.90.69</v>
          </cell>
        </row>
        <row r="574">
          <cell r="A574">
            <v>578</v>
          </cell>
          <cell r="B574" t="str">
            <v>MASCARACIRURGICABRANCABLOK3RCX50</v>
          </cell>
          <cell r="C574" t="str">
            <v>MASCARACIRURGICABRANCABLOK3RCX50</v>
          </cell>
          <cell r="D574" t="str">
            <v/>
          </cell>
          <cell r="E574" t="str">
            <v>6307.90.10</v>
          </cell>
        </row>
        <row r="575">
          <cell r="A575">
            <v>579</v>
          </cell>
          <cell r="B575" t="str">
            <v>MASCARAHIDRATACAOREPAIR300GAFFINITA</v>
          </cell>
          <cell r="C575" t="str">
            <v>MASCARAHIDRATACAOREPAIR300GAFFINITA</v>
          </cell>
          <cell r="D575" t="str">
            <v>7899032207890</v>
          </cell>
          <cell r="E575" t="str">
            <v>3305.90.00</v>
          </cell>
        </row>
        <row r="576">
          <cell r="A576">
            <v>580</v>
          </cell>
          <cell r="B576" t="str">
            <v>MASCARAMATIZADORA250G</v>
          </cell>
          <cell r="C576" t="str">
            <v>MASCARAMATIZADORA250G</v>
          </cell>
          <cell r="D576" t="str">
            <v>7899032206756</v>
          </cell>
          <cell r="E576" t="str">
            <v>3305.90.00</v>
          </cell>
        </row>
        <row r="577">
          <cell r="A577">
            <v>581</v>
          </cell>
          <cell r="B577" t="str">
            <v>MASCARAPROTECAOFACIAL</v>
          </cell>
          <cell r="C577" t="str">
            <v>MASCARAPROTECAOFACIAL</v>
          </cell>
          <cell r="D577" t="str">
            <v>609963034116</v>
          </cell>
          <cell r="E577" t="str">
            <v>3926.90.90</v>
          </cell>
        </row>
        <row r="578">
          <cell r="A578">
            <v>582</v>
          </cell>
          <cell r="B578" t="str">
            <v>MASCARATECIDO</v>
          </cell>
          <cell r="C578" t="str">
            <v>MASCARATECIDO</v>
          </cell>
          <cell r="D578" t="str">
            <v>1000000551013</v>
          </cell>
          <cell r="E578" t="str">
            <v>3912.31.19</v>
          </cell>
        </row>
        <row r="579">
          <cell r="A579">
            <v>583</v>
          </cell>
          <cell r="B579" t="str">
            <v>MDK2SUPLALIMENTARMAGNESIOVIT.DEK2</v>
          </cell>
          <cell r="C579" t="str">
            <v>MDK2SUPLALIMENTARMAGNESIOVIT.DEK2</v>
          </cell>
          <cell r="D579" t="str">
            <v>7896874704754</v>
          </cell>
          <cell r="E579" t="str">
            <v>2827.31.90</v>
          </cell>
        </row>
        <row r="580">
          <cell r="A580">
            <v>584</v>
          </cell>
          <cell r="B580" t="str">
            <v>MEDIDOR LUNA DUO C10LCT+1LCTR PRETO CX10</v>
          </cell>
          <cell r="C580" t="str">
            <v>MEDIDOR LUNA DUO C10LCT+1LCTR PRETO CX10</v>
          </cell>
          <cell r="D580" t="str">
            <v>9120072868184</v>
          </cell>
          <cell r="E580" t="str">
            <v>9027.80.99</v>
          </cell>
        </row>
        <row r="581">
          <cell r="A581">
            <v>585</v>
          </cell>
          <cell r="B581" t="str">
            <v>MEDIDORLUNADUOC10LCT+1LCTRBRCCX10</v>
          </cell>
          <cell r="C581" t="str">
            <v>MEDIDORLUNADUOC10LCT+1LCTRBRCCX10</v>
          </cell>
          <cell r="D581" t="str">
            <v>9120072868177</v>
          </cell>
          <cell r="E581" t="str">
            <v>9027.80.99</v>
          </cell>
        </row>
        <row r="582">
          <cell r="A582">
            <v>586</v>
          </cell>
          <cell r="B582" t="str">
            <v>MEDIDORLUNADUOC10LCT+1LCTRAMACX10</v>
          </cell>
          <cell r="C582" t="str">
            <v>MEDIDORLUNADUOC10LCT+1LCTRAMACX10</v>
          </cell>
          <cell r="D582" t="str">
            <v>9120072868153</v>
          </cell>
          <cell r="E582" t="str">
            <v>9027.89.99</v>
          </cell>
        </row>
        <row r="583">
          <cell r="A583">
            <v>587</v>
          </cell>
          <cell r="B583" t="str">
            <v>MEDIDOR LUNA DUO ROSA WELL604DPBR+</v>
          </cell>
          <cell r="C583" t="str">
            <v>MEDIDOR LUNA DUO ROSA WELL604DPBR+</v>
          </cell>
          <cell r="D583" t="str">
            <v>9120072863608</v>
          </cell>
          <cell r="E583" t="str">
            <v>9027.80.99</v>
          </cell>
        </row>
        <row r="584">
          <cell r="A584">
            <v>588</v>
          </cell>
          <cell r="B584" t="str">
            <v>MEDTESTE CHIKUNGUNYA IGMICKG-C41CX25</v>
          </cell>
          <cell r="C584" t="str">
            <v>MEDTESTE CHIKUNGUNYA IGMICKG-C41CX25</v>
          </cell>
          <cell r="D584" t="str">
            <v>7908007903733</v>
          </cell>
          <cell r="E584" t="str">
            <v>3822.12.00</v>
          </cell>
        </row>
        <row r="585">
          <cell r="A585">
            <v>589</v>
          </cell>
          <cell r="B585" t="str">
            <v>MEDTESTE CHIKUNGUNYA IGG/IGMICKG-C42CX25</v>
          </cell>
          <cell r="C585" t="str">
            <v>MEDTESTE CHIKUNGUNYA IGG/IGMICKG-C42CX25</v>
          </cell>
          <cell r="D585" t="str">
            <v>7908007904167</v>
          </cell>
          <cell r="E585" t="str">
            <v>3822.12.00</v>
          </cell>
        </row>
        <row r="586">
          <cell r="A586">
            <v>590</v>
          </cell>
          <cell r="B586" t="str">
            <v>MEDTESTECOVID19AGANTIGENO1UND</v>
          </cell>
          <cell r="C586" t="str">
            <v>MEDTESTECOVID19AGANTIGENO1UND</v>
          </cell>
          <cell r="D586" t="str">
            <v>1000000606720</v>
          </cell>
          <cell r="E586" t="str">
            <v>3822.19.90</v>
          </cell>
        </row>
        <row r="587">
          <cell r="A587">
            <v>591</v>
          </cell>
          <cell r="B587" t="str">
            <v>MEDTESTE COVID19 AG ANTIGENOINCP-C81CX25</v>
          </cell>
          <cell r="C587" t="str">
            <v>MEDTESTE COVID19 AG ANTIGENOINCP-C81CX25</v>
          </cell>
          <cell r="D587" t="str">
            <v>7908007904945</v>
          </cell>
          <cell r="E587" t="str">
            <v>3822.19.90</v>
          </cell>
        </row>
        <row r="588">
          <cell r="A588">
            <v>592</v>
          </cell>
          <cell r="B588" t="str">
            <v>MEDTESTE COVID19ANTICORPOSANTI-PROTEINAS</v>
          </cell>
          <cell r="C588" t="str">
            <v>MEDTESTE COVID19ANTICORPOSANTI-PROTEINAS</v>
          </cell>
          <cell r="D588" t="str">
            <v>7908007905065</v>
          </cell>
          <cell r="E588" t="str">
            <v>3822.19.90</v>
          </cell>
        </row>
        <row r="589">
          <cell r="A589">
            <v>593</v>
          </cell>
          <cell r="B589" t="str">
            <v>MEDTESTECOVID19INGM-MN42CX25</v>
          </cell>
          <cell r="C589" t="str">
            <v>MEDTESTECOVID19INGM-MN42CX25</v>
          </cell>
          <cell r="D589" t="str">
            <v/>
          </cell>
          <cell r="E589" t="str">
            <v>3822.19.90</v>
          </cell>
        </row>
        <row r="590">
          <cell r="A590">
            <v>594</v>
          </cell>
          <cell r="B590" t="str">
            <v>MEDTESTE COVID19 INGM-MC42 CX25</v>
          </cell>
          <cell r="C590" t="str">
            <v>MEDTESTE COVID19 INGM-MC42 CX25</v>
          </cell>
          <cell r="D590" t="str">
            <v>7908007904471</v>
          </cell>
          <cell r="E590" t="str">
            <v>3822.19.90</v>
          </cell>
        </row>
        <row r="591">
          <cell r="A591">
            <v>595</v>
          </cell>
          <cell r="B591" t="str">
            <v>MEDTESTECOVID19INGM-MN42UNIDADE</v>
          </cell>
          <cell r="C591" t="str">
            <v>MEDTESTECOVID19INGM-MN42UNIDADE</v>
          </cell>
          <cell r="D591" t="str">
            <v>1000000584110</v>
          </cell>
          <cell r="E591" t="str">
            <v>3822.19.90</v>
          </cell>
        </row>
        <row r="592">
          <cell r="A592">
            <v>596</v>
          </cell>
          <cell r="B592" t="str">
            <v>MEDTESTE D-DIMERO CDIM-C41CX25</v>
          </cell>
          <cell r="C592" t="str">
            <v>MEDTESTE D-DIMERO CDIM-C41CX25</v>
          </cell>
          <cell r="D592" t="str">
            <v>7908007904778</v>
          </cell>
          <cell r="E592" t="str">
            <v>3822.19.90</v>
          </cell>
        </row>
        <row r="593">
          <cell r="A593">
            <v>597</v>
          </cell>
          <cell r="B593" t="str">
            <v>MEDTESTE DENGUE AB AG COMBO IGG IGM NS1</v>
          </cell>
          <cell r="C593" t="str">
            <v>MEDTESTE DENGUE AB AG COMBO IGG IGM NS1</v>
          </cell>
          <cell r="D593" t="str">
            <v>7908007900527</v>
          </cell>
          <cell r="E593" t="str">
            <v>3822.12.00</v>
          </cell>
        </row>
        <row r="594">
          <cell r="A594">
            <v>598</v>
          </cell>
          <cell r="B594" t="str">
            <v>MEDTESTE DENGUE IGGIGMIDEN-C42CX25</v>
          </cell>
          <cell r="C594" t="str">
            <v>MEDTESTE DENGUE IGGIGMIDEN-C42CX25</v>
          </cell>
          <cell r="D594" t="str">
            <v>7898919506361</v>
          </cell>
          <cell r="E594" t="str">
            <v>3822.12.00</v>
          </cell>
        </row>
        <row r="595">
          <cell r="A595">
            <v>599</v>
          </cell>
          <cell r="B595" t="str">
            <v>MEDTESTE DENGUE IGGIGMIDEN-C42CX25</v>
          </cell>
          <cell r="C595" t="str">
            <v>MEDTESTE DENGUE IGGIGMIDEN-C42CX25</v>
          </cell>
          <cell r="D595" t="str">
            <v>1000000559811</v>
          </cell>
          <cell r="E595" t="str">
            <v>3822.12.00</v>
          </cell>
        </row>
        <row r="596">
          <cell r="A596">
            <v>600</v>
          </cell>
          <cell r="B596" t="str">
            <v>MEDTESTE DENGUE NS1 IDEG-C41CX25</v>
          </cell>
          <cell r="C596" t="str">
            <v>MEDTESTE DENGUE NS1 IDEG-C41CX25</v>
          </cell>
          <cell r="D596" t="str">
            <v>7908007900299</v>
          </cell>
          <cell r="E596" t="str">
            <v>3822.12.00</v>
          </cell>
        </row>
        <row r="597">
          <cell r="A597">
            <v>601</v>
          </cell>
          <cell r="B597" t="str">
            <v>MEDTESTE GRAVIDEZ HCGWHCG-S11H UNIDADE</v>
          </cell>
          <cell r="C597" t="str">
            <v>MEDTESTE GRAVIDEZ HCGWHCG-S11H UNIDADE</v>
          </cell>
          <cell r="D597" t="str">
            <v>1000000559613</v>
          </cell>
          <cell r="E597" t="str">
            <v>3822.19.90</v>
          </cell>
        </row>
        <row r="598">
          <cell r="A598">
            <v>602</v>
          </cell>
          <cell r="B598" t="str">
            <v>MEDTESTE HPYLORI IHPB-C41CX25</v>
          </cell>
          <cell r="C598" t="str">
            <v>MEDTESTE HPYLORI IHPB-C41CX25</v>
          </cell>
          <cell r="D598" t="str">
            <v>1000000329728</v>
          </cell>
          <cell r="E598" t="str">
            <v>3822.00.90</v>
          </cell>
        </row>
        <row r="599">
          <cell r="A599">
            <v>603</v>
          </cell>
          <cell r="B599" t="str">
            <v>MEDTESTE HPYLORI IHPB-C41CX25</v>
          </cell>
          <cell r="C599" t="str">
            <v>MEDTESTE HPYLORI IHPB-C41CX25</v>
          </cell>
          <cell r="D599" t="str">
            <v>7908007900213</v>
          </cell>
          <cell r="E599" t="str">
            <v>3822.19.90</v>
          </cell>
        </row>
        <row r="600">
          <cell r="A600">
            <v>604</v>
          </cell>
          <cell r="B600" t="str">
            <v>MEDTESTE HAV IGGIGMIHAGM-C32CX25</v>
          </cell>
          <cell r="C600" t="str">
            <v>MEDTESTE HAV IGGIGMIHAGM-C32CX25</v>
          </cell>
          <cell r="D600" t="str">
            <v>7908007903757</v>
          </cell>
          <cell r="E600" t="str">
            <v>3822.00.90</v>
          </cell>
        </row>
        <row r="601">
          <cell r="A601">
            <v>605</v>
          </cell>
          <cell r="B601" t="str">
            <v>MEDTESTE HCG GRAVIDEZWHCG-S11H UNIDADE</v>
          </cell>
          <cell r="C601" t="str">
            <v>MEDTESTE HCG GRAVIDEZWHCG-S11H UNIDADE</v>
          </cell>
          <cell r="D601" t="str">
            <v>7908007903443</v>
          </cell>
          <cell r="E601" t="str">
            <v>3822.00.90</v>
          </cell>
        </row>
        <row r="602">
          <cell r="A602">
            <v>606</v>
          </cell>
          <cell r="B602" t="str">
            <v>MEDTESTE HCG REFWHCG-S2125MIU/MLCX100</v>
          </cell>
          <cell r="C602" t="str">
            <v>MEDTESTE HCG REFWHCG-S2125MIU/MLCX100</v>
          </cell>
          <cell r="D602" t="str">
            <v>7908007904518</v>
          </cell>
          <cell r="E602" t="str">
            <v>3822.19.90</v>
          </cell>
        </row>
        <row r="603">
          <cell r="A603">
            <v>607</v>
          </cell>
          <cell r="B603" t="str">
            <v>MEDTESTE HCV IHCV-C31CX25</v>
          </cell>
          <cell r="C603" t="str">
            <v>MEDTESTE HCV IHCV-C31CX25</v>
          </cell>
          <cell r="D603" t="str">
            <v>7908007900312</v>
          </cell>
          <cell r="E603" t="str">
            <v>3822.00.90</v>
          </cell>
        </row>
        <row r="604">
          <cell r="A604">
            <v>608</v>
          </cell>
          <cell r="B604" t="str">
            <v>MEDTESTE HCV IHCV-C31CX25</v>
          </cell>
          <cell r="C604" t="str">
            <v>MEDTESTE HCV IHCV-C31CX25</v>
          </cell>
          <cell r="D604" t="str">
            <v>1000000559712</v>
          </cell>
          <cell r="E604" t="str">
            <v>3822.19.90</v>
          </cell>
        </row>
        <row r="605">
          <cell r="A605">
            <v>609</v>
          </cell>
          <cell r="B605" t="str">
            <v>MEDTESTE HCV ML02 COM LANCETACX25</v>
          </cell>
          <cell r="C605" t="str">
            <v>MEDTESTE HCV ML02 COM LANCETACX25</v>
          </cell>
          <cell r="D605" t="str">
            <v/>
          </cell>
          <cell r="E605" t="str">
            <v>3822.19.90</v>
          </cell>
        </row>
        <row r="606">
          <cell r="A606">
            <v>610</v>
          </cell>
          <cell r="B606" t="str">
            <v>MEDTESTE HCV ML03 IHCV-S41CX50</v>
          </cell>
          <cell r="C606" t="str">
            <v>MEDTESTE HCV ML03 IHCV-S41CX50</v>
          </cell>
          <cell r="D606" t="str">
            <v>7908007904020</v>
          </cell>
          <cell r="E606" t="str">
            <v>3822.19.90</v>
          </cell>
        </row>
        <row r="607">
          <cell r="A607">
            <v>611</v>
          </cell>
          <cell r="B607" t="str">
            <v>MEDTESTE HIV 1.2.0IHIV-C42CX25</v>
          </cell>
          <cell r="C607" t="str">
            <v>MEDTESTE HIV 1.2.0IHIV-C42CX25</v>
          </cell>
          <cell r="D607" t="str">
            <v>7898919506354</v>
          </cell>
          <cell r="E607" t="str">
            <v>3822.19.90</v>
          </cell>
        </row>
        <row r="608">
          <cell r="A608">
            <v>612</v>
          </cell>
          <cell r="B608" t="str">
            <v>MEDTESTE HIV AG/ABCX25</v>
          </cell>
          <cell r="C608" t="str">
            <v>MEDTESTE HIV AG/ABCX25</v>
          </cell>
          <cell r="D608" t="str">
            <v/>
          </cell>
          <cell r="E608" t="str">
            <v>3822.19.90</v>
          </cell>
        </row>
        <row r="609">
          <cell r="A609">
            <v>613</v>
          </cell>
          <cell r="B609" t="str">
            <v>MEDTESTE HSV IGMWHSM-C31CX25</v>
          </cell>
          <cell r="C609" t="str">
            <v>MEDTESTE HSV IGMWHSM-C31CX25</v>
          </cell>
          <cell r="D609" t="str">
            <v>7908007904686</v>
          </cell>
          <cell r="E609" t="str">
            <v>3822.19.90</v>
          </cell>
        </row>
        <row r="610">
          <cell r="A610">
            <v>614</v>
          </cell>
          <cell r="B610" t="str">
            <v>MEDTESTE INFLUENZA A+BH1N1IFLU-C82CX25</v>
          </cell>
          <cell r="C610" t="str">
            <v>MEDTESTE INFLUENZA A+BH1N1IFLU-C82CX25</v>
          </cell>
          <cell r="D610" t="str">
            <v>7908007900237</v>
          </cell>
          <cell r="E610" t="str">
            <v>3822.19.90</v>
          </cell>
        </row>
        <row r="611">
          <cell r="A611">
            <v>615</v>
          </cell>
          <cell r="B611" t="str">
            <v>MEDTESTE MALARIA IMPN-C52CX20</v>
          </cell>
          <cell r="C611" t="str">
            <v>MEDTESTE MALARIA IMPN-C52CX20</v>
          </cell>
          <cell r="D611" t="str">
            <v>7908007901333</v>
          </cell>
          <cell r="E611" t="str">
            <v>3822.11.00</v>
          </cell>
        </row>
        <row r="612">
          <cell r="A612">
            <v>616</v>
          </cell>
          <cell r="B612" t="str">
            <v>MEDTESTE MIOGLOBINA CMYO-C41CX25</v>
          </cell>
          <cell r="C612" t="str">
            <v>MEDTESTE MIOGLOBINA CMYO-C41CX25</v>
          </cell>
          <cell r="D612" t="str">
            <v>7908007904709</v>
          </cell>
          <cell r="E612" t="str">
            <v>3822.19.90</v>
          </cell>
        </row>
        <row r="613">
          <cell r="A613">
            <v>617</v>
          </cell>
          <cell r="B613" t="str">
            <v>MEDTESTE MULTIDROGAS DMDRP17CX25</v>
          </cell>
          <cell r="C613" t="str">
            <v>MEDTESTE MULTIDROGAS DMDRP17CX25</v>
          </cell>
          <cell r="D613" t="str">
            <v/>
          </cell>
          <cell r="E613" t="str">
            <v>3822.19.90</v>
          </cell>
        </row>
        <row r="614">
          <cell r="A614">
            <v>618</v>
          </cell>
          <cell r="B614" t="str">
            <v>MEDTESTE MULTIDROGAS DMDRP17 UNIDADE</v>
          </cell>
          <cell r="C614" t="str">
            <v>MEDTESTE MULTIDROGAS DMDRP17 UNIDADE</v>
          </cell>
          <cell r="D614" t="str">
            <v/>
          </cell>
          <cell r="E614" t="str">
            <v>3822.19.90</v>
          </cell>
        </row>
        <row r="615">
          <cell r="A615">
            <v>619</v>
          </cell>
          <cell r="B615" t="str">
            <v>MEDTESTE PSA OPSA-C42CX25</v>
          </cell>
          <cell r="C615" t="str">
            <v>MEDTESTE PSA OPSA-C42CX25</v>
          </cell>
          <cell r="D615" t="str">
            <v>7908007900015</v>
          </cell>
          <cell r="E615" t="str">
            <v>3822.00.90</v>
          </cell>
        </row>
        <row r="616">
          <cell r="A616">
            <v>620</v>
          </cell>
          <cell r="B616" t="str">
            <v>MEDTESTE PSA OPSA-C42CX25</v>
          </cell>
          <cell r="C616" t="str">
            <v>MEDTESTE PSA OPSA-C42CX25</v>
          </cell>
          <cell r="D616" t="str">
            <v>1000000558517</v>
          </cell>
          <cell r="E616" t="str">
            <v>3822.19.90</v>
          </cell>
        </row>
        <row r="617">
          <cell r="A617">
            <v>621</v>
          </cell>
          <cell r="B617" t="str">
            <v>MEDTESTE ROTAVIRUS ADENOVIRUS CX25</v>
          </cell>
          <cell r="C617" t="str">
            <v>MEDTESTE ROTAVIRUS ADENOVIRUS CX25</v>
          </cell>
          <cell r="D617" t="str">
            <v>7908007901517</v>
          </cell>
          <cell r="E617" t="str">
            <v>3822.19.90</v>
          </cell>
        </row>
        <row r="618">
          <cell r="A618">
            <v>622</v>
          </cell>
          <cell r="B618" t="str">
            <v>MEDTESTE SANGUE OCULTO OFOB-C61CX25</v>
          </cell>
          <cell r="C618" t="str">
            <v>MEDTESTE SANGUE OCULTO OFOB-C61CX25</v>
          </cell>
          <cell r="D618" t="str">
            <v>7908007900251</v>
          </cell>
          <cell r="E618" t="str">
            <v>3822.00.90</v>
          </cell>
        </row>
        <row r="619">
          <cell r="A619">
            <v>623</v>
          </cell>
          <cell r="B619" t="str">
            <v>MEDTESTE SANGUE OCULTO OFOB-C61CX25</v>
          </cell>
          <cell r="C619" t="str">
            <v>MEDTESTE SANGUE OCULTO OFOB-C61CX25</v>
          </cell>
          <cell r="D619" t="str">
            <v>1000000559415</v>
          </cell>
          <cell r="E619" t="str">
            <v>3822.19.90</v>
          </cell>
        </row>
        <row r="620">
          <cell r="A620">
            <v>624</v>
          </cell>
          <cell r="B620" t="str">
            <v>MEDTESTE SIFILISHIV COMBO ISHC-C42CX25</v>
          </cell>
          <cell r="C620" t="str">
            <v>MEDTESTE SIFILISHIV COMBO ISHC-C42CX25</v>
          </cell>
          <cell r="D620" t="str">
            <v>7908007900497</v>
          </cell>
          <cell r="E620" t="str">
            <v>3822.19.90</v>
          </cell>
        </row>
        <row r="621">
          <cell r="A621">
            <v>625</v>
          </cell>
          <cell r="B621" t="str">
            <v>MEDTESTE SIFILIS ISYP-C41CX25</v>
          </cell>
          <cell r="C621" t="str">
            <v>MEDTESTE SIFILIS ISYP-C41CX25</v>
          </cell>
          <cell r="D621" t="str">
            <v>7908007903863</v>
          </cell>
          <cell r="E621" t="str">
            <v>3822.19.90</v>
          </cell>
        </row>
        <row r="622">
          <cell r="A622">
            <v>626</v>
          </cell>
          <cell r="B622" t="str">
            <v>MEDTESTE STREP A CX25</v>
          </cell>
          <cell r="C622" t="str">
            <v>MEDTESTE STREP A CX25</v>
          </cell>
          <cell r="D622" t="str">
            <v>7908007904891</v>
          </cell>
          <cell r="E622" t="str">
            <v>3822.19.90</v>
          </cell>
        </row>
        <row r="623">
          <cell r="A623">
            <v>627</v>
          </cell>
          <cell r="B623" t="str">
            <v>MEDTESTE TROPONINA CARDIACA CNTI-C41CX25</v>
          </cell>
          <cell r="C623" t="str">
            <v>MEDTESTE TROPONINA CARDIACA CNTI-C41CX25</v>
          </cell>
          <cell r="D623" t="str">
            <v>1000000559514</v>
          </cell>
          <cell r="E623" t="str">
            <v>3822.19.90</v>
          </cell>
        </row>
        <row r="624">
          <cell r="A624">
            <v>628</v>
          </cell>
          <cell r="B624" t="str">
            <v>MEDTESTE TROPONINA ICTNI-C41CX25</v>
          </cell>
          <cell r="C624" t="str">
            <v>MEDTESTE TROPONINA ICTNI-C41CX25</v>
          </cell>
          <cell r="D624" t="str">
            <v>7908007900190</v>
          </cell>
          <cell r="E624" t="str">
            <v>3822.19.90</v>
          </cell>
        </row>
        <row r="625">
          <cell r="A625">
            <v>629</v>
          </cell>
          <cell r="B625" t="str">
            <v>MEDTESTE TUBERCULOSE CX25</v>
          </cell>
          <cell r="C625" t="str">
            <v>MEDTESTE TUBERCULOSE CX25</v>
          </cell>
          <cell r="D625" t="str">
            <v>7908007904921</v>
          </cell>
          <cell r="E625" t="str">
            <v>3822.19.90</v>
          </cell>
        </row>
        <row r="626">
          <cell r="A626">
            <v>630</v>
          </cell>
          <cell r="B626" t="str">
            <v>MEDTESTE ZIKA IGGIGMIZGM-C42CX25</v>
          </cell>
          <cell r="C626" t="str">
            <v>MEDTESTE ZIKA IGGIGMIZGM-C42CX25</v>
          </cell>
          <cell r="D626" t="str">
            <v>7908007903818</v>
          </cell>
          <cell r="E626" t="str">
            <v>3822.12.00</v>
          </cell>
        </row>
        <row r="627">
          <cell r="A627">
            <v>631</v>
          </cell>
          <cell r="B627" t="str">
            <v>MEIA CALCANHAR SILICONE 3444-0AZUL</v>
          </cell>
          <cell r="C627" t="str">
            <v>MEIA CALCANHAR SILICONE 3444-0AZUL</v>
          </cell>
          <cell r="D627" t="str">
            <v>7297046710304</v>
          </cell>
          <cell r="E627" t="str">
            <v>6406.90.20</v>
          </cell>
        </row>
        <row r="628">
          <cell r="A628">
            <v>632</v>
          </cell>
          <cell r="B628" t="str">
            <v>MEIADIABETICOFIOPRATA390B-33-36</v>
          </cell>
          <cell r="C628" t="str">
            <v>MEIADIABETICOFIOPRATA390B-33-36</v>
          </cell>
          <cell r="D628" t="str">
            <v>7297046142877</v>
          </cell>
          <cell r="E628" t="str">
            <v>6115.96.00</v>
          </cell>
        </row>
        <row r="629">
          <cell r="A629">
            <v>633</v>
          </cell>
          <cell r="B629" t="str">
            <v>MEIADIABETICOFIOPRATA390G33-36CINZA</v>
          </cell>
          <cell r="C629" t="str">
            <v>MEIADIABETICOFIOPRATA390G33-36CINZA</v>
          </cell>
          <cell r="D629" t="str">
            <v>7297046172874</v>
          </cell>
          <cell r="E629" t="str">
            <v>6115.96.00</v>
          </cell>
        </row>
        <row r="630">
          <cell r="A630">
            <v>634</v>
          </cell>
          <cell r="B630" t="str">
            <v>MEIADIABETICOFIOPRATA390G37-40CINZA</v>
          </cell>
          <cell r="C630" t="str">
            <v>MEIADIABETICOFIOPRATA390G37-40CINZA</v>
          </cell>
          <cell r="D630" t="str">
            <v>7297046182873</v>
          </cell>
          <cell r="E630" t="str">
            <v>6115.96.00</v>
          </cell>
        </row>
        <row r="631">
          <cell r="A631">
            <v>635</v>
          </cell>
          <cell r="B631" t="str">
            <v>MEIADIABETICOFIOPRATA390W-33-36BRANCO</v>
          </cell>
          <cell r="C631" t="str">
            <v>MEIADIABETICOFIOPRATA390W-33-36BRANCO</v>
          </cell>
          <cell r="D631" t="str">
            <v>7297046112955</v>
          </cell>
          <cell r="E631" t="str">
            <v>6115.96.00</v>
          </cell>
        </row>
        <row r="632">
          <cell r="A632">
            <v>636</v>
          </cell>
          <cell r="B632" t="str">
            <v>MEIADIABETICOFIOPRATA394W-37-40BRANCO</v>
          </cell>
          <cell r="C632" t="str">
            <v>MEIADIABETICOFIOPRATA394W-37-40BRANCO</v>
          </cell>
          <cell r="D632" t="str">
            <v>7297046183870</v>
          </cell>
          <cell r="E632" t="str">
            <v>6115.96.00</v>
          </cell>
        </row>
        <row r="633">
          <cell r="A633">
            <v>637</v>
          </cell>
          <cell r="B633" t="str">
            <v>MEIAMANGAMODELADORACHOCOLATEG</v>
          </cell>
          <cell r="C633" t="str">
            <v>MEIAMANGAMODELADORACHOCOLATEG</v>
          </cell>
          <cell r="D633" t="str">
            <v>999840002705</v>
          </cell>
          <cell r="E633" t="str">
            <v>6212.10.00</v>
          </cell>
        </row>
        <row r="634">
          <cell r="A634">
            <v>638</v>
          </cell>
          <cell r="B634" t="str">
            <v>MEIAMANGAMODELADORACHOCOLATEGG</v>
          </cell>
          <cell r="C634" t="str">
            <v>MEIAMANGAMODELADORACHOCOLATEGG</v>
          </cell>
          <cell r="D634" t="str">
            <v>999840002706</v>
          </cell>
          <cell r="E634" t="str">
            <v>6212.10.00</v>
          </cell>
        </row>
        <row r="635">
          <cell r="A635">
            <v>639</v>
          </cell>
          <cell r="B635" t="str">
            <v>MEIAMANGAMODELADORACHOCOLATEM</v>
          </cell>
          <cell r="C635" t="str">
            <v>MEIAMANGAMODELADORACHOCOLATEM</v>
          </cell>
          <cell r="D635" t="str">
            <v>999840002704</v>
          </cell>
          <cell r="E635" t="str">
            <v>6212.10.00</v>
          </cell>
        </row>
        <row r="636">
          <cell r="A636">
            <v>640</v>
          </cell>
          <cell r="B636" t="str">
            <v>MEIAUNISEXAVIAO41-44BRA397</v>
          </cell>
          <cell r="C636" t="str">
            <v>MEIAUNISEXAVIAO41-44BRA397</v>
          </cell>
          <cell r="D636" t="str">
            <v>7297046134391</v>
          </cell>
          <cell r="E636" t="str">
            <v>6115.95.00</v>
          </cell>
        </row>
        <row r="637">
          <cell r="A637">
            <v>641</v>
          </cell>
          <cell r="B637" t="str">
            <v>MEIAUNISSEXSILICONE3445W-033-38</v>
          </cell>
          <cell r="C637" t="str">
            <v>MEIAUNISSEXSILICONE3445W-033-38</v>
          </cell>
          <cell r="D637" t="str">
            <v>7297046113990</v>
          </cell>
          <cell r="E637" t="str">
            <v>6115.95.00</v>
          </cell>
        </row>
        <row r="638">
          <cell r="A638">
            <v>642</v>
          </cell>
          <cell r="B638" t="str">
            <v>MINIMASSAGEADORCORPORALVERDE</v>
          </cell>
          <cell r="C638" t="str">
            <v>MINIMASSAGEADORCORPORALVERDE</v>
          </cell>
          <cell r="D638" t="str">
            <v>7898578452368</v>
          </cell>
          <cell r="E638" t="str">
            <v>9019.10.00</v>
          </cell>
        </row>
        <row r="639">
          <cell r="A639">
            <v>643</v>
          </cell>
          <cell r="B639" t="str">
            <v>MODELADORCORPETEBOJOPREMOLDPRETOGG</v>
          </cell>
          <cell r="C639" t="str">
            <v>MODELADORCORPETEBOJOPREMOLDPRETOGG</v>
          </cell>
          <cell r="D639" t="str">
            <v/>
          </cell>
          <cell r="E639" t="str">
            <v>6212.90.00</v>
          </cell>
        </row>
        <row r="640">
          <cell r="A640">
            <v>644</v>
          </cell>
          <cell r="B640" t="str">
            <v>MODELADORCORPETEBOJOABERTO83000M/CH</v>
          </cell>
          <cell r="C640" t="str">
            <v>MODELADORCORPETEBOJOABERTO83000M/CH</v>
          </cell>
          <cell r="D640" t="str">
            <v/>
          </cell>
          <cell r="E640" t="str">
            <v>6114.30.00</v>
          </cell>
        </row>
        <row r="641">
          <cell r="A641">
            <v>645</v>
          </cell>
          <cell r="B641" t="str">
            <v>MODELADORCORPETEBOJOABERTO83000PP/PR</v>
          </cell>
          <cell r="C641" t="str">
            <v>MODELADORCORPETEBOJOABERTO83000PP/PR</v>
          </cell>
          <cell r="D641" t="str">
            <v/>
          </cell>
          <cell r="E641" t="str">
            <v>6114.30.00</v>
          </cell>
        </row>
        <row r="642">
          <cell r="A642">
            <v>646</v>
          </cell>
          <cell r="B642" t="str">
            <v>MODELADORCORPETEBOJOABERTO8300PP/CH</v>
          </cell>
          <cell r="C642" t="str">
            <v>MODELADORCORPETEBOJOABERTO8300PP/CH</v>
          </cell>
          <cell r="D642" t="str">
            <v/>
          </cell>
          <cell r="E642" t="str">
            <v>6114.30.00</v>
          </cell>
        </row>
        <row r="643">
          <cell r="A643">
            <v>647</v>
          </cell>
          <cell r="B643" t="str">
            <v>MODELADORCORPETERENDABUSTOABERTOPPR</v>
          </cell>
          <cell r="C643" t="str">
            <v>MODELADORCORPETERENDABUSTOABERTOPPR</v>
          </cell>
          <cell r="D643" t="str">
            <v/>
          </cell>
          <cell r="E643" t="str">
            <v>6212.90.00</v>
          </cell>
        </row>
        <row r="644">
          <cell r="A644">
            <v>648</v>
          </cell>
          <cell r="B644" t="str">
            <v>MODELADORCORPETESEMBUSTOABERTOCH</v>
          </cell>
          <cell r="C644" t="str">
            <v>MODELADORCORPETESEMBUSTOABERTOCH</v>
          </cell>
          <cell r="D644" t="str">
            <v/>
          </cell>
          <cell r="E644" t="str">
            <v>6114.30.00</v>
          </cell>
        </row>
        <row r="645">
          <cell r="A645">
            <v>649</v>
          </cell>
          <cell r="B645" t="str">
            <v>MONITORCOLESTEROLMISSIONBOLSA</v>
          </cell>
          <cell r="C645" t="str">
            <v>MONITORCOLESTEROLMISSIONBOLSA</v>
          </cell>
          <cell r="D645" t="str">
            <v>7908007903405</v>
          </cell>
          <cell r="E645" t="str">
            <v>9027.89.99</v>
          </cell>
        </row>
        <row r="646">
          <cell r="A646">
            <v>650</v>
          </cell>
          <cell r="B646" t="str">
            <v>MONITOR COLESTEROL MISSION C111-2021</v>
          </cell>
          <cell r="C646" t="str">
            <v>MONITOR COLESTEROL MISSION C111-2021</v>
          </cell>
          <cell r="D646" t="str">
            <v>7898919505968</v>
          </cell>
          <cell r="E646" t="str">
            <v>9027.89.99</v>
          </cell>
        </row>
        <row r="647">
          <cell r="A647">
            <v>651</v>
          </cell>
          <cell r="B647" t="str">
            <v>MONITOR COLEST MISSION ULTRA C111-5041</v>
          </cell>
          <cell r="C647" t="str">
            <v>MONITOR COLEST MISSION ULTRA C111-5041</v>
          </cell>
          <cell r="D647" t="str">
            <v>7908007902781</v>
          </cell>
          <cell r="E647" t="str">
            <v>9027.89.99</v>
          </cell>
        </row>
        <row r="648">
          <cell r="A648">
            <v>652</v>
          </cell>
          <cell r="B648" t="str">
            <v>MONITOR GLICOSE ANIMAL GLUCOCALEA</v>
          </cell>
          <cell r="C648" t="str">
            <v>MONITOR GLICOSE ANIMAL GLUCOCALEA</v>
          </cell>
          <cell r="D648" t="str">
            <v>9120072862052</v>
          </cell>
          <cell r="E648" t="str">
            <v>9027.89.99</v>
          </cell>
        </row>
        <row r="649">
          <cell r="A649">
            <v>653</v>
          </cell>
          <cell r="B649" t="str">
            <v>MONITOR GLICOSE BOLSA OCPI</v>
          </cell>
          <cell r="C649" t="str">
            <v>MONITOR GLICOSE BOLSA OCPI</v>
          </cell>
          <cell r="D649" t="str">
            <v>7908007903764</v>
          </cell>
          <cell r="E649" t="str">
            <v>9027.89.99</v>
          </cell>
        </row>
        <row r="650">
          <cell r="A650">
            <v>654</v>
          </cell>
          <cell r="B650" t="str">
            <v>MONITOR GLICOSE BOLSA OCPII</v>
          </cell>
          <cell r="C650" t="str">
            <v>MONITOR GLICOSE BOLSA OCPII</v>
          </cell>
          <cell r="D650" t="str">
            <v>7908007903771</v>
          </cell>
          <cell r="E650" t="str">
            <v>9027.89.99</v>
          </cell>
        </row>
        <row r="651">
          <cell r="A651">
            <v>655</v>
          </cell>
          <cell r="B651" t="str">
            <v>MONITORGLICOSERECONDSEMBOLSAOCP</v>
          </cell>
          <cell r="C651" t="str">
            <v>MONITORGLICOSERECONDSEMBOLSAOCP</v>
          </cell>
          <cell r="D651" t="str">
            <v>1000000400113</v>
          </cell>
          <cell r="E651" t="str">
            <v>9027.89.99</v>
          </cell>
        </row>
        <row r="652">
          <cell r="A652">
            <v>656</v>
          </cell>
          <cell r="B652" t="str">
            <v>MONITORGLICOSESIMPLESAMARELOOCP1</v>
          </cell>
          <cell r="C652" t="str">
            <v>MONITORGLICOSESIMPLESAMARELOOCP1</v>
          </cell>
          <cell r="D652" t="str">
            <v>7898919505982</v>
          </cell>
          <cell r="E652" t="str">
            <v>9027.89.99</v>
          </cell>
        </row>
        <row r="653">
          <cell r="A653">
            <v>657</v>
          </cell>
          <cell r="B653" t="str">
            <v>MONITOR GLICOSE SIMPLES AMARELO OCP2</v>
          </cell>
          <cell r="C653" t="str">
            <v>MONITOR GLICOSE SIMPLES AMARELO OCP2</v>
          </cell>
          <cell r="D653" t="str">
            <v>7908007901098</v>
          </cell>
          <cell r="E653" t="str">
            <v>9027.89.99</v>
          </cell>
        </row>
        <row r="654">
          <cell r="A654">
            <v>658</v>
          </cell>
          <cell r="B654" t="str">
            <v>MONITOR GLICOSE SIMPLES BRANCO OCP2</v>
          </cell>
          <cell r="C654" t="str">
            <v>MONITOR GLICOSE SIMPLES BRANCO OCP2</v>
          </cell>
          <cell r="D654" t="str">
            <v>7908007901081</v>
          </cell>
          <cell r="E654" t="str">
            <v>9027.89.99</v>
          </cell>
        </row>
        <row r="655">
          <cell r="A655">
            <v>659</v>
          </cell>
          <cell r="B655" t="str">
            <v>MONITORGLICOSESIMPLESOCPG113-211</v>
          </cell>
          <cell r="C655" t="str">
            <v>MONITORGLICOSESIMPLESOCPG113-211</v>
          </cell>
          <cell r="D655" t="str">
            <v>682607535125</v>
          </cell>
          <cell r="E655" t="str">
            <v>9027.89.99</v>
          </cell>
        </row>
        <row r="656">
          <cell r="A656">
            <v>660</v>
          </cell>
          <cell r="B656" t="str">
            <v>MONITORMICROLIFEBPA2CLASSIC</v>
          </cell>
          <cell r="C656" t="str">
            <v>MONITORMICROLIFEBPA2CLASSIC</v>
          </cell>
          <cell r="D656" t="str">
            <v>1000000582918</v>
          </cell>
          <cell r="E656" t="str">
            <v>9018.90.69</v>
          </cell>
        </row>
        <row r="657">
          <cell r="A657">
            <v>661</v>
          </cell>
          <cell r="B657" t="str">
            <v>MONITORPRESSAOARTERIALDIGITALPULSO</v>
          </cell>
          <cell r="C657" t="str">
            <v>MONITORPRESSAOARTERIALDIGITALPULSO</v>
          </cell>
          <cell r="D657" t="str">
            <v>7899838801261</v>
          </cell>
          <cell r="E657" t="str">
            <v>9018.90.69</v>
          </cell>
        </row>
        <row r="658">
          <cell r="A658">
            <v>662</v>
          </cell>
          <cell r="B658" t="str">
            <v>APARELHO MAPA WATCHBP03 AFIB MICROLIFE</v>
          </cell>
          <cell r="C658" t="str">
            <v>APARELHO MAPA WATCHBP03 AFIB MICROLIFE</v>
          </cell>
          <cell r="D658" t="str">
            <v>4719003310301</v>
          </cell>
          <cell r="E658" t="str">
            <v>9018.90.69</v>
          </cell>
        </row>
        <row r="659">
          <cell r="A659">
            <v>663</v>
          </cell>
          <cell r="B659" t="str">
            <v>MONITORPRESSAOARTFIBATRIALBPA6AFIBBASIC</v>
          </cell>
          <cell r="C659" t="str">
            <v>MONITORPRESSAOARTFIBATRIALBPA6AFIBBASIC</v>
          </cell>
          <cell r="D659" t="str">
            <v>1000000553512</v>
          </cell>
          <cell r="E659" t="str">
            <v>9018.90.69</v>
          </cell>
        </row>
        <row r="660">
          <cell r="A660">
            <v>664</v>
          </cell>
          <cell r="B660" t="str">
            <v>MONITOR PRESSAO PULSO ML01 MEDLEVENSOHN</v>
          </cell>
          <cell r="C660" t="str">
            <v>MONITOR PRESSAO PULSO ML01 MEDLEVENSOHN</v>
          </cell>
          <cell r="D660" t="str">
            <v>7908007903825</v>
          </cell>
          <cell r="E660" t="str">
            <v>9018.90.69</v>
          </cell>
        </row>
        <row r="661">
          <cell r="A661">
            <v>665</v>
          </cell>
          <cell r="B661" t="str">
            <v>MONITORPRESSAOPULSOINCOTERMMP06029857</v>
          </cell>
          <cell r="C661" t="str">
            <v>MONITORPRESSAOPULSOINCOTERMMP06029857</v>
          </cell>
          <cell r="D661" t="str">
            <v>7899828200210</v>
          </cell>
          <cell r="E661" t="str">
            <v>9018.90.69</v>
          </cell>
        </row>
        <row r="662">
          <cell r="A662">
            <v>666</v>
          </cell>
          <cell r="B662" t="str">
            <v>MONITOR SEMICOMPLETO BRANCOOCPIIG113-12C</v>
          </cell>
          <cell r="C662" t="str">
            <v>MONITOR SEMICOMPLETO BRANCOOCPIIG113-12C</v>
          </cell>
          <cell r="D662" t="str">
            <v>7908007901968</v>
          </cell>
          <cell r="E662" t="str">
            <v>9027.89.99</v>
          </cell>
        </row>
        <row r="663">
          <cell r="A663">
            <v>667</v>
          </cell>
          <cell r="B663" t="str">
            <v>MOTOR COLCHAO 120V60HZ DOMUS1 APEX</v>
          </cell>
          <cell r="C663" t="str">
            <v>MOTOR COLCHAO 120V60HZ DOMUS1 APEX</v>
          </cell>
          <cell r="D663" t="str">
            <v>7908007905560</v>
          </cell>
          <cell r="E663" t="str">
            <v>9019.10.00</v>
          </cell>
        </row>
        <row r="664">
          <cell r="A664">
            <v>668</v>
          </cell>
          <cell r="B664" t="str">
            <v>MOTOR COLCHAO 220-240V 60HZDOMUS1APEX</v>
          </cell>
          <cell r="C664" t="str">
            <v>MOTOR COLCHAO 220-240V 60HZDOMUS1APEX</v>
          </cell>
          <cell r="D664" t="str">
            <v>1471302500252</v>
          </cell>
          <cell r="E664" t="str">
            <v>9019.10.00</v>
          </cell>
        </row>
        <row r="665">
          <cell r="A665">
            <v>669</v>
          </cell>
          <cell r="B665" t="str">
            <v>MOTOR COLCHAO J001 110V</v>
          </cell>
          <cell r="C665" t="str">
            <v>MOTOR COLCHAO J001 110V</v>
          </cell>
          <cell r="D665" t="str">
            <v>1000000047417</v>
          </cell>
          <cell r="E665" t="str">
            <v>9019.10.00</v>
          </cell>
        </row>
        <row r="666">
          <cell r="A666">
            <v>670</v>
          </cell>
          <cell r="B666" t="str">
            <v>MOTOR COLCHAO J001 220V</v>
          </cell>
          <cell r="C666" t="str">
            <v>MOTOR COLCHAO J001 220V</v>
          </cell>
          <cell r="D666" t="str">
            <v>1000000065817</v>
          </cell>
          <cell r="E666" t="str">
            <v>9019.10.00</v>
          </cell>
        </row>
        <row r="667">
          <cell r="A667">
            <v>671</v>
          </cell>
          <cell r="B667" t="str">
            <v>MULTIBANDAGEMTORNIQUETEMB798SPRATA</v>
          </cell>
          <cell r="C667" t="str">
            <v>MULTIBANDAGEMTORNIQUETEMB798SPRATA</v>
          </cell>
          <cell r="D667" t="str">
            <v>7297046114010</v>
          </cell>
          <cell r="E667" t="str">
            <v>9021.10.10</v>
          </cell>
        </row>
        <row r="668">
          <cell r="A668">
            <v>672</v>
          </cell>
          <cell r="B668" t="str">
            <v>MUNHEQUEIRAELASTICAAJUSTAVELPRETAU</v>
          </cell>
          <cell r="C668" t="str">
            <v>MUNHEQUEIRAELASTICAAJUSTAVELPRETAU</v>
          </cell>
          <cell r="D668" t="str">
            <v>7898601063097</v>
          </cell>
          <cell r="E668" t="str">
            <v>9021.10.10</v>
          </cell>
        </row>
        <row r="669">
          <cell r="A669">
            <v>673</v>
          </cell>
          <cell r="B669" t="str">
            <v>MUNHEQUEIRANEWPSALVAPEPRN-P0100</v>
          </cell>
          <cell r="C669" t="str">
            <v>MUNHEQUEIRANEWPSALVAPEPRN-P0100</v>
          </cell>
          <cell r="D669" t="str">
            <v>7891746027412</v>
          </cell>
          <cell r="E669" t="str">
            <v>9021.10.10</v>
          </cell>
        </row>
        <row r="670">
          <cell r="A670">
            <v>674</v>
          </cell>
          <cell r="B670" t="str">
            <v>NEBULIZADORG-TECHNEBDOGAZUL</v>
          </cell>
          <cell r="C670" t="str">
            <v>NEBULIZADORG-TECHNEBDOGAZUL</v>
          </cell>
          <cell r="D670" t="str">
            <v>7898301059451</v>
          </cell>
          <cell r="E670" t="str">
            <v>9019.20.20</v>
          </cell>
        </row>
        <row r="671">
          <cell r="A671">
            <v>675</v>
          </cell>
          <cell r="B671" t="str">
            <v>NEBULIZADORG-TECHNEBDOGROSABIVOLT</v>
          </cell>
          <cell r="C671" t="str">
            <v>NEBULIZADORG-TECHNEBDOGROSABIVOLT</v>
          </cell>
          <cell r="D671" t="str">
            <v>7898301059468</v>
          </cell>
          <cell r="E671" t="str">
            <v>9019.20.20</v>
          </cell>
        </row>
        <row r="672">
          <cell r="A672">
            <v>676</v>
          </cell>
          <cell r="B672" t="str">
            <v>NEBULIZADORINALARARCOMPRIMIDONE-C701</v>
          </cell>
          <cell r="C672" t="str">
            <v>NEBULIZADORINALARARCOMPRIMIDONE-C701</v>
          </cell>
          <cell r="D672" t="str">
            <v>7896436906435</v>
          </cell>
          <cell r="E672" t="str">
            <v>9019.20.20</v>
          </cell>
        </row>
        <row r="673">
          <cell r="A673">
            <v>677</v>
          </cell>
          <cell r="B673" t="str">
            <v>NEBULIZADOR MEDLEV ML01 PORTATIL NB-812B</v>
          </cell>
          <cell r="C673" t="str">
            <v>NEBULIZADOR MEDLEV ML01 PORTATIL NB-812B</v>
          </cell>
          <cell r="D673" t="str">
            <v>7908007903979</v>
          </cell>
          <cell r="E673" t="str">
            <v>9019.20.20</v>
          </cell>
        </row>
        <row r="674">
          <cell r="A674">
            <v>678</v>
          </cell>
          <cell r="B674" t="str">
            <v>NEBULIZADORRESPIRAMAXULTRASSONICO</v>
          </cell>
          <cell r="C674" t="str">
            <v>NEBULIZADORRESPIRAMAXULTRASSONICO</v>
          </cell>
          <cell r="D674" t="str">
            <v>7896436906459</v>
          </cell>
          <cell r="E674" t="str">
            <v>9019.20.20</v>
          </cell>
        </row>
        <row r="675">
          <cell r="A675">
            <v>679</v>
          </cell>
          <cell r="B675" t="str">
            <v>OLEOARGAN45MLAFFINITA</v>
          </cell>
          <cell r="C675" t="str">
            <v>OLEOARGAN45MLAFFINITA</v>
          </cell>
          <cell r="D675" t="str">
            <v>7899032208606</v>
          </cell>
          <cell r="E675" t="str">
            <v>3305.90.00</v>
          </cell>
        </row>
        <row r="676">
          <cell r="A676">
            <v>680</v>
          </cell>
          <cell r="B676" t="str">
            <v>OLEOGIRASSOL200MLVEROM</v>
          </cell>
          <cell r="C676" t="str">
            <v>OLEOGIRASSOL200MLVEROM</v>
          </cell>
          <cell r="D676" t="str">
            <v>7899032200549</v>
          </cell>
          <cell r="E676" t="str">
            <v>1512.11.10</v>
          </cell>
        </row>
        <row r="677">
          <cell r="A677">
            <v>681</v>
          </cell>
          <cell r="B677" t="str">
            <v>OMEGA31000MGEPA60CAPS</v>
          </cell>
          <cell r="C677" t="str">
            <v>OMEGA31000MGEPA60CAPS</v>
          </cell>
          <cell r="D677" t="str">
            <v>7896874780260</v>
          </cell>
          <cell r="E677" t="str">
            <v>2106.90.30</v>
          </cell>
        </row>
        <row r="678">
          <cell r="A678">
            <v>682</v>
          </cell>
          <cell r="B678" t="str">
            <v>OXIMETRO PULSO DEDO MEDLEVENSOHNML02</v>
          </cell>
          <cell r="C678" t="str">
            <v>OXIMETRO PULSO DEDO MEDLEVENSOHNML02</v>
          </cell>
          <cell r="D678" t="str">
            <v>7908007903375</v>
          </cell>
          <cell r="E678" t="str">
            <v>9018.19.80</v>
          </cell>
        </row>
        <row r="679">
          <cell r="A679">
            <v>683</v>
          </cell>
          <cell r="B679" t="str">
            <v>OXIMETRO PULSO MEDLEVENSOHN TD-8250</v>
          </cell>
          <cell r="C679" t="str">
            <v>OXIMETRO PULSO MEDLEVENSOHN TD-8250</v>
          </cell>
          <cell r="D679" t="str">
            <v>4713106021959</v>
          </cell>
          <cell r="E679" t="str">
            <v>9018.19.80</v>
          </cell>
        </row>
        <row r="680">
          <cell r="A680">
            <v>684</v>
          </cell>
          <cell r="B680" t="str">
            <v>PALMILHAALMOFADAGELSILICONE364-XL</v>
          </cell>
          <cell r="C680" t="str">
            <v>PALMILHAALMOFADAGELSILICONE364-XL</v>
          </cell>
          <cell r="D680" t="str">
            <v>7297046142419</v>
          </cell>
          <cell r="E680" t="str">
            <v>6406.90.20</v>
          </cell>
        </row>
        <row r="681">
          <cell r="A681">
            <v>685</v>
          </cell>
          <cell r="B681" t="str">
            <v>PALMILHACHOQUE305-35-36BEASYFIT</v>
          </cell>
          <cell r="C681" t="str">
            <v>PALMILHACHOQUE305-35-36BEASYFIT</v>
          </cell>
          <cell r="D681" t="str">
            <v>7297046123166</v>
          </cell>
          <cell r="E681" t="str">
            <v>6406.90.20</v>
          </cell>
        </row>
        <row r="682">
          <cell r="A682">
            <v>686</v>
          </cell>
          <cell r="B682" t="str">
            <v>PALMILHACHOQUE374-0</v>
          </cell>
          <cell r="C682" t="str">
            <v>PALMILHACHOQUE374-0</v>
          </cell>
          <cell r="D682" t="str">
            <v>7297046810035</v>
          </cell>
          <cell r="E682" t="str">
            <v>6406.90.20</v>
          </cell>
        </row>
        <row r="683">
          <cell r="A683">
            <v>687</v>
          </cell>
          <cell r="B683" t="str">
            <v>PALMILHAFEMININALADY'SFEETLF360-0</v>
          </cell>
          <cell r="C683" t="str">
            <v>PALMILHAFEMININALADY'SFEETLF360-0</v>
          </cell>
          <cell r="D683" t="str">
            <v>7297046112962</v>
          </cell>
          <cell r="E683" t="str">
            <v>6406.90.20</v>
          </cell>
        </row>
        <row r="684">
          <cell r="A684">
            <v>688</v>
          </cell>
          <cell r="B684" t="str">
            <v>PALMILHAFEMININALADY'SFEETLF370-0</v>
          </cell>
          <cell r="C684" t="str">
            <v>PALMILHAFEMININALADY'SFEETLF370-0</v>
          </cell>
          <cell r="D684" t="str">
            <v>7297046710199</v>
          </cell>
          <cell r="E684" t="str">
            <v>6406.90.20</v>
          </cell>
        </row>
        <row r="685">
          <cell r="A685">
            <v>689</v>
          </cell>
          <cell r="B685" t="str">
            <v>PALMILHAFEMININALADY'SFEETLF371-0</v>
          </cell>
          <cell r="C685" t="str">
            <v>PALMILHAFEMININALADY'SFEETLF371-0</v>
          </cell>
          <cell r="D685" t="str">
            <v>7297046710137</v>
          </cell>
          <cell r="E685" t="str">
            <v>6406.90.20</v>
          </cell>
        </row>
        <row r="686">
          <cell r="A686">
            <v>690</v>
          </cell>
          <cell r="B686" t="str">
            <v>PALMILHAFEMININALADY'SFEETLF373-0</v>
          </cell>
          <cell r="C686" t="str">
            <v>PALMILHAFEMININALADY'SFEETLF373-0</v>
          </cell>
          <cell r="D686" t="str">
            <v>7297046710144</v>
          </cell>
          <cell r="E686" t="str">
            <v>6406.90.20</v>
          </cell>
        </row>
        <row r="687">
          <cell r="A687">
            <v>691</v>
          </cell>
          <cell r="B687" t="str">
            <v>PALMILHAFEMININALADY'SFEETLF374-0</v>
          </cell>
          <cell r="C687" t="str">
            <v>PALMILHAFEMININALADY'SFEETLF374-0</v>
          </cell>
          <cell r="D687" t="str">
            <v>7297046710151</v>
          </cell>
          <cell r="E687" t="str">
            <v>6406.90.20</v>
          </cell>
        </row>
        <row r="688">
          <cell r="A688">
            <v>692</v>
          </cell>
          <cell r="B688" t="str">
            <v>PALMILHAFEMININALADY'SFEETLF377-L</v>
          </cell>
          <cell r="C688" t="str">
            <v>PALMILHAFEMININALADY'SFEETLF377-L</v>
          </cell>
          <cell r="D688" t="str">
            <v>7297046730173</v>
          </cell>
          <cell r="E688" t="str">
            <v>6406.90.20</v>
          </cell>
        </row>
        <row r="689">
          <cell r="A689">
            <v>693</v>
          </cell>
          <cell r="B689" t="str">
            <v>PALMILHAFEMININALADY'SFEETLF377-M</v>
          </cell>
          <cell r="C689" t="str">
            <v>PALMILHAFEMININALADY'SFEETLF377-M</v>
          </cell>
          <cell r="D689" t="str">
            <v>7297046720174</v>
          </cell>
          <cell r="E689" t="str">
            <v>6406.90.20</v>
          </cell>
        </row>
        <row r="690">
          <cell r="A690">
            <v>694</v>
          </cell>
          <cell r="B690" t="str">
            <v>PALMILHAFEMININALADY'SFEETLF377-S</v>
          </cell>
          <cell r="C690" t="str">
            <v>PALMILHAFEMININALADY'SFEETLF377-S</v>
          </cell>
          <cell r="D690" t="str">
            <v>7297046710175</v>
          </cell>
          <cell r="E690" t="str">
            <v>6406.90.20</v>
          </cell>
        </row>
        <row r="691">
          <cell r="A691">
            <v>695</v>
          </cell>
          <cell r="B691" t="str">
            <v>PALMILHAORTOPEDICA37743/BR</v>
          </cell>
          <cell r="C691" t="str">
            <v>PALMILHAORTOPEDICA37743/BR</v>
          </cell>
          <cell r="D691" t="str">
            <v>7297046812053</v>
          </cell>
          <cell r="E691" t="str">
            <v>6406.90.20</v>
          </cell>
        </row>
        <row r="692">
          <cell r="A692">
            <v>696</v>
          </cell>
          <cell r="B692" t="str">
            <v>PALMILHAORTOPEDICA37744/BR</v>
          </cell>
          <cell r="C692" t="str">
            <v>PALMILHAORTOPEDICA37744/BR</v>
          </cell>
          <cell r="D692" t="str">
            <v>7297046813050</v>
          </cell>
          <cell r="E692" t="str">
            <v>6406.90.20</v>
          </cell>
        </row>
        <row r="693">
          <cell r="A693">
            <v>697</v>
          </cell>
          <cell r="B693" t="str">
            <v>PILHAALCALINAELGINLR03</v>
          </cell>
          <cell r="C693" t="str">
            <v>PILHAALCALINAELGINLR03</v>
          </cell>
          <cell r="D693" t="str">
            <v/>
          </cell>
          <cell r="E693" t="str">
            <v>8506.10.20</v>
          </cell>
        </row>
        <row r="694">
          <cell r="A694">
            <v>698</v>
          </cell>
          <cell r="B694" t="str">
            <v>PLUGBORRACHABRACADEIRAWATCHBPO3AFIB</v>
          </cell>
          <cell r="C694" t="str">
            <v>PLUGBORRACHABRACADEIRAWATCHBPO3AFIB</v>
          </cell>
          <cell r="D694" t="str">
            <v>1000000598018</v>
          </cell>
          <cell r="E694" t="str">
            <v>9018.90.69</v>
          </cell>
        </row>
        <row r="695">
          <cell r="A695">
            <v>699</v>
          </cell>
          <cell r="B695" t="str">
            <v>PRANCHACABELORVST2056AB1127V170W</v>
          </cell>
          <cell r="C695" t="str">
            <v>PRANCHACABELORVST2056AB1127V170W</v>
          </cell>
          <cell r="D695" t="str">
            <v>761318420569</v>
          </cell>
          <cell r="E695" t="str">
            <v>8516.32.00</v>
          </cell>
        </row>
        <row r="696">
          <cell r="A696">
            <v>700</v>
          </cell>
          <cell r="B696" t="str">
            <v>PRANCHA CABELO RVST2505 ABB BIVOLT 28W</v>
          </cell>
          <cell r="C696" t="str">
            <v>PRANCHA CABELO RVST2505 ABB BIVOLT 28W</v>
          </cell>
          <cell r="D696" t="str">
            <v>761318125051</v>
          </cell>
          <cell r="E696" t="str">
            <v>8516.32.00</v>
          </cell>
        </row>
        <row r="697">
          <cell r="A697">
            <v>701</v>
          </cell>
          <cell r="B697" t="str">
            <v>PROTETORORTOPEDICOBRACOADULTO15</v>
          </cell>
          <cell r="C697" t="str">
            <v>PROTETORORTOPEDICOBRACOADULTO15</v>
          </cell>
          <cell r="D697" t="str">
            <v>7898939146486</v>
          </cell>
          <cell r="E697" t="str">
            <v>9021.10.99</v>
          </cell>
        </row>
        <row r="698">
          <cell r="A698">
            <v>702</v>
          </cell>
          <cell r="B698" t="str">
            <v>PROTETORORTOPEDICOBRACOINFANTIL14</v>
          </cell>
          <cell r="C698" t="str">
            <v>PROTETORORTOPEDICOBRACOINFANTIL14</v>
          </cell>
          <cell r="D698" t="str">
            <v>7898939146479</v>
          </cell>
          <cell r="E698" t="str">
            <v>9021.10.99</v>
          </cell>
        </row>
        <row r="699">
          <cell r="A699">
            <v>703</v>
          </cell>
          <cell r="B699" t="str">
            <v>PROTETORORTOPEDICOMEIAPERNAADULTO12</v>
          </cell>
          <cell r="C699" t="str">
            <v>PROTETORORTOPEDICOMEIAPERNAADULTO12</v>
          </cell>
          <cell r="D699" t="str">
            <v>7898939146455</v>
          </cell>
          <cell r="E699" t="str">
            <v>9021.10.99</v>
          </cell>
        </row>
        <row r="700">
          <cell r="A700">
            <v>704</v>
          </cell>
          <cell r="B700" t="str">
            <v>PROTETORORTOPEDICOMEIAPERNAINFANTIL11</v>
          </cell>
          <cell r="C700" t="str">
            <v>PROTETORORTOPEDICOMEIAPERNAINFANTIL11</v>
          </cell>
          <cell r="D700" t="str">
            <v>7898939146448</v>
          </cell>
          <cell r="E700" t="str">
            <v>9021.10.99</v>
          </cell>
        </row>
        <row r="701">
          <cell r="A701">
            <v>705</v>
          </cell>
          <cell r="B701" t="str">
            <v>PROTETORORTOPEDICOPERNAINTEIRAADULTO13</v>
          </cell>
          <cell r="C701" t="str">
            <v>PROTETORORTOPEDICOPERNAINTEIRAADULTO13</v>
          </cell>
          <cell r="D701" t="str">
            <v/>
          </cell>
          <cell r="E701" t="str">
            <v>9021.10.99</v>
          </cell>
        </row>
        <row r="702">
          <cell r="A702">
            <v>706</v>
          </cell>
          <cell r="B702" t="str">
            <v>PROTETORPUNHOPRETOKSN009UNKESTAL</v>
          </cell>
          <cell r="C702" t="str">
            <v>PROTETORPUNHOPRETOKSN009UNKESTAL</v>
          </cell>
          <cell r="D702" t="str">
            <v>7898601060386</v>
          </cell>
          <cell r="E702" t="str">
            <v>9021.10.10</v>
          </cell>
        </row>
        <row r="703">
          <cell r="A703">
            <v>707</v>
          </cell>
          <cell r="B703" t="str">
            <v>ROBOFOOTBOTAIMOBILIZADORACURTAXP</v>
          </cell>
          <cell r="C703" t="str">
            <v>ROBOFOOTBOTAIMOBILIZADORACURTAXP</v>
          </cell>
          <cell r="D703" t="str">
            <v>7891746016706</v>
          </cell>
          <cell r="E703" t="str">
            <v>9021.10.10</v>
          </cell>
        </row>
        <row r="704">
          <cell r="A704">
            <v>708</v>
          </cell>
          <cell r="B704" t="str">
            <v>ROBOFOOTBOTAIMOBILIZADORACURTAINFANTIL</v>
          </cell>
          <cell r="C704" t="str">
            <v>ROBOFOOTBOTAIMOBILIZADORACURTAINFANTIL</v>
          </cell>
          <cell r="D704" t="str">
            <v>7891746030047</v>
          </cell>
          <cell r="E704" t="str">
            <v>9021.10.10</v>
          </cell>
        </row>
        <row r="705">
          <cell r="A705">
            <v>709</v>
          </cell>
          <cell r="B705" t="str">
            <v>ROBOFOOTBOTAIMOBILIZADORALONGAXP</v>
          </cell>
          <cell r="C705" t="str">
            <v>ROBOFOOTBOTAIMOBILIZADORALONGAXP</v>
          </cell>
          <cell r="D705" t="str">
            <v>7891746016669</v>
          </cell>
          <cell r="E705" t="str">
            <v>9021.10.10</v>
          </cell>
        </row>
        <row r="706">
          <cell r="A706">
            <v>710</v>
          </cell>
          <cell r="B706" t="str">
            <v>ROBOFOOTBOTAIMOBILIZADORALONGAEG</v>
          </cell>
          <cell r="C706" t="str">
            <v>ROBOFOOTBOTAIMOBILIZADORALONGAEG</v>
          </cell>
          <cell r="D706" t="str">
            <v>7891746030832</v>
          </cell>
          <cell r="E706" t="str">
            <v>9021.10.10</v>
          </cell>
        </row>
        <row r="707">
          <cell r="A707">
            <v>711</v>
          </cell>
          <cell r="B707" t="str">
            <v>ROBOFOOTBOTAIMOBILIZADORALONGAINFANTIL</v>
          </cell>
          <cell r="C707" t="str">
            <v>ROBOFOOTBOTAIMOBILIZADORALONGAINFANTIL</v>
          </cell>
          <cell r="D707" t="str">
            <v>7891746030054</v>
          </cell>
          <cell r="E707" t="str">
            <v>9021.10.10</v>
          </cell>
        </row>
        <row r="708">
          <cell r="A708">
            <v>712</v>
          </cell>
          <cell r="B708" t="str">
            <v>ROBOFOOTNOVAGERACAOCURTA60813SNGP</v>
          </cell>
          <cell r="C708" t="str">
            <v>ROBOFOOTNOVAGERACAOCURTA60813SNGP</v>
          </cell>
          <cell r="D708" t="str">
            <v>7891746034076</v>
          </cell>
          <cell r="E708" t="str">
            <v>9021.10.10</v>
          </cell>
        </row>
        <row r="709">
          <cell r="A709">
            <v>713</v>
          </cell>
          <cell r="B709" t="str">
            <v>ROBOFOOTNOVAGERACAOCURTA60814SNGM</v>
          </cell>
          <cell r="C709" t="str">
            <v>ROBOFOOTNOVAGERACAOCURTA60814SNGM</v>
          </cell>
          <cell r="D709" t="str">
            <v>7891746034083</v>
          </cell>
          <cell r="E709" t="str">
            <v>9021.10.10</v>
          </cell>
        </row>
        <row r="710">
          <cell r="A710">
            <v>714</v>
          </cell>
          <cell r="B710" t="str">
            <v>ROBOFOOTNOVAGERACÃOCURTA60815SNGG</v>
          </cell>
          <cell r="C710" t="str">
            <v>ROBOFOOTNOVAGERACÃOCURTA60815SNGG</v>
          </cell>
          <cell r="D710" t="str">
            <v>7891746034090</v>
          </cell>
          <cell r="E710" t="str">
            <v>9021.10.10</v>
          </cell>
        </row>
        <row r="711">
          <cell r="A711">
            <v>715</v>
          </cell>
          <cell r="B711" t="str">
            <v>ROBOFOOTNOVAGERACAOLONGA60823SNGP</v>
          </cell>
          <cell r="C711" t="str">
            <v>ROBOFOOTNOVAGERACAOLONGA60823SNGP</v>
          </cell>
          <cell r="D711" t="str">
            <v>7891746034106</v>
          </cell>
          <cell r="E711" t="str">
            <v>9021.10.10</v>
          </cell>
        </row>
        <row r="712">
          <cell r="A712">
            <v>716</v>
          </cell>
          <cell r="B712" t="str">
            <v>ROBOFOOTNOVAGERACAOLONGA60824SNGM</v>
          </cell>
          <cell r="C712" t="str">
            <v>ROBOFOOTNOVAGERACAOLONGA60824SNGM</v>
          </cell>
          <cell r="D712" t="str">
            <v>7891746034113</v>
          </cell>
          <cell r="E712" t="str">
            <v>9021.10.10</v>
          </cell>
        </row>
        <row r="713">
          <cell r="A713">
            <v>717</v>
          </cell>
          <cell r="B713" t="str">
            <v>ROBOFOOTNOVAGERACAOLONGA60825SNGG</v>
          </cell>
          <cell r="C713" t="str">
            <v>ROBOFOOTNOVAGERACAOLONGA60825SNGG</v>
          </cell>
          <cell r="D713" t="str">
            <v>7891746034120</v>
          </cell>
          <cell r="E713" t="str">
            <v>9021.10.10</v>
          </cell>
        </row>
        <row r="714">
          <cell r="A714">
            <v>718</v>
          </cell>
          <cell r="B714" t="str">
            <v>SABONETEALGODAO1LAFFINITA</v>
          </cell>
          <cell r="C714" t="str">
            <v>SABONETEALGODAO1LAFFINITA</v>
          </cell>
          <cell r="D714" t="str">
            <v>7899032205155</v>
          </cell>
          <cell r="E714" t="str">
            <v>3401.20.10</v>
          </cell>
        </row>
        <row r="715">
          <cell r="A715">
            <v>719</v>
          </cell>
          <cell r="B715" t="str">
            <v>SABONETEALGODAO500MLAFFINITA</v>
          </cell>
          <cell r="C715" t="str">
            <v>SABONETEALGODAO500MLAFFINITA</v>
          </cell>
          <cell r="D715" t="str">
            <v>7899032205148</v>
          </cell>
          <cell r="E715" t="str">
            <v>3401.20.10</v>
          </cell>
        </row>
        <row r="716">
          <cell r="A716">
            <v>720</v>
          </cell>
          <cell r="B716" t="str">
            <v>SABONETEERVADOCE1LAFFINITA</v>
          </cell>
          <cell r="C716" t="str">
            <v>SABONETEERVADOCE1LAFFINITA</v>
          </cell>
          <cell r="D716" t="str">
            <v>7899032205094</v>
          </cell>
          <cell r="E716" t="str">
            <v>3401.20.10</v>
          </cell>
        </row>
        <row r="717">
          <cell r="A717">
            <v>721</v>
          </cell>
          <cell r="B717" t="str">
            <v>SABONETEERVADOCE500MLAFFINITA</v>
          </cell>
          <cell r="C717" t="str">
            <v>SABONETEERVADOCE500MLAFFINITA</v>
          </cell>
          <cell r="D717" t="str">
            <v>7899032205087</v>
          </cell>
          <cell r="E717" t="str">
            <v>3401.20.10</v>
          </cell>
        </row>
        <row r="718">
          <cell r="A718">
            <v>722</v>
          </cell>
          <cell r="B718" t="str">
            <v>SABONETEFLORAL1LAFFINITA</v>
          </cell>
          <cell r="C718" t="str">
            <v>SABONETEFLORAL1LAFFINITA</v>
          </cell>
          <cell r="D718" t="str">
            <v>7899032205063</v>
          </cell>
          <cell r="E718" t="str">
            <v>3401.20.10</v>
          </cell>
        </row>
        <row r="719">
          <cell r="A719">
            <v>723</v>
          </cell>
          <cell r="B719" t="str">
            <v>SABONETEFLORAL500MLAFFINITA</v>
          </cell>
          <cell r="C719" t="str">
            <v>SABONETEFLORAL500MLAFFINITA</v>
          </cell>
          <cell r="D719" t="str">
            <v>7899032205056</v>
          </cell>
          <cell r="E719" t="str">
            <v>3401.20.10</v>
          </cell>
        </row>
        <row r="720">
          <cell r="A720">
            <v>724</v>
          </cell>
          <cell r="B720" t="str">
            <v>SABONETELIQUIDOANTISSEPTICO500ML</v>
          </cell>
          <cell r="C720" t="str">
            <v>SABONETELIQUIDOANTISSEPTICO500ML</v>
          </cell>
          <cell r="D720" t="str">
            <v>7899032208750</v>
          </cell>
          <cell r="E720" t="str">
            <v>3401.30.00</v>
          </cell>
        </row>
        <row r="721">
          <cell r="A721">
            <v>725</v>
          </cell>
          <cell r="B721" t="str">
            <v>SABONETE LIQUIDO BANHO AMAZ ACAI 250ML</v>
          </cell>
          <cell r="C721" t="str">
            <v>SABONETE LIQUIDO BANHO AMAZ ACAI 250ML</v>
          </cell>
          <cell r="D721" t="str">
            <v>7899032201805</v>
          </cell>
          <cell r="E721" t="str">
            <v>3401.20.10</v>
          </cell>
        </row>
        <row r="722">
          <cell r="A722">
            <v>726</v>
          </cell>
          <cell r="B722" t="str">
            <v>SABONETELIQUIDOBANHOAMAZBURITI250ML</v>
          </cell>
          <cell r="C722" t="str">
            <v>SABONETELIQUIDOBANHOAMAZBURITI250ML</v>
          </cell>
          <cell r="D722" t="str">
            <v>7899032201546</v>
          </cell>
          <cell r="E722" t="str">
            <v>3401.20.10</v>
          </cell>
        </row>
        <row r="723">
          <cell r="A723">
            <v>727</v>
          </cell>
          <cell r="B723" t="str">
            <v>SABONETE LIQ BANHO AMAZ GUARANA 250ML</v>
          </cell>
          <cell r="C723" t="str">
            <v>SABONETE LIQ BANHO AMAZ GUARANA 250ML</v>
          </cell>
          <cell r="D723" t="str">
            <v>7899032201560</v>
          </cell>
          <cell r="E723" t="str">
            <v>3401.20.10</v>
          </cell>
        </row>
        <row r="724">
          <cell r="A724">
            <v>728</v>
          </cell>
          <cell r="B724" t="str">
            <v>SABONETELIQUIDOCHABRANCO250MLAFFINITA</v>
          </cell>
          <cell r="C724" t="str">
            <v>SABONETELIQUIDOCHABRANCO250MLAFFINITA</v>
          </cell>
          <cell r="D724" t="str">
            <v>1000000541328</v>
          </cell>
          <cell r="E724" t="str">
            <v>3401.20.10</v>
          </cell>
        </row>
        <row r="725">
          <cell r="A725">
            <v>729</v>
          </cell>
          <cell r="B725" t="str">
            <v>SABONETELIQUIDOFACIALANTIACNETEENS200ML</v>
          </cell>
          <cell r="C725" t="str">
            <v>SABONETELIQUIDOFACIALANTIACNETEENS200ML</v>
          </cell>
          <cell r="D725" t="str">
            <v>7899032208187</v>
          </cell>
          <cell r="E725" t="str">
            <v>3305.10.00</v>
          </cell>
        </row>
        <row r="726">
          <cell r="A726">
            <v>730</v>
          </cell>
          <cell r="B726" t="str">
            <v>SABONETELIQUIDOFACIALSUAVE200MLAFFINITA</v>
          </cell>
          <cell r="C726" t="str">
            <v>SABONETELIQUIDOFACIALSUAVE200MLAFFINITA</v>
          </cell>
          <cell r="D726" t="str">
            <v>7899032208163</v>
          </cell>
          <cell r="E726" t="str">
            <v>3401.20.10</v>
          </cell>
        </row>
        <row r="727">
          <cell r="A727">
            <v>731</v>
          </cell>
          <cell r="B727" t="str">
            <v>SABONETELIQUIDOFACIALVSKIN250MLVEROMED</v>
          </cell>
          <cell r="C727" t="str">
            <v>SABONETELIQUIDOFACIALVSKIN250MLVEROMED</v>
          </cell>
          <cell r="D727" t="str">
            <v>7899032201621</v>
          </cell>
          <cell r="E727" t="str">
            <v>3401.20.10</v>
          </cell>
        </row>
        <row r="728">
          <cell r="A728">
            <v>732</v>
          </cell>
          <cell r="B728" t="str">
            <v>SABONETEPESSEGO1LAFFINITA</v>
          </cell>
          <cell r="C728" t="str">
            <v>SABONETEPESSEGO1LAFFINITA</v>
          </cell>
          <cell r="D728" t="str">
            <v>7899032205124</v>
          </cell>
          <cell r="E728" t="str">
            <v>3401.20.10</v>
          </cell>
        </row>
        <row r="729">
          <cell r="A729">
            <v>733</v>
          </cell>
          <cell r="B729" t="str">
            <v>SABONETEPESSEGO500MLAFFINITA</v>
          </cell>
          <cell r="C729" t="str">
            <v>SABONETEPESSEGO500MLAFFINITA</v>
          </cell>
          <cell r="D729" t="str">
            <v>7899032205117</v>
          </cell>
          <cell r="E729" t="str">
            <v>3401.20.10</v>
          </cell>
        </row>
        <row r="730">
          <cell r="A730">
            <v>734</v>
          </cell>
          <cell r="B730" t="str">
            <v>SABONETESAPONECHEF250MLVEROMED</v>
          </cell>
          <cell r="C730" t="str">
            <v>SABONETESAPONECHEF250MLVEROMED</v>
          </cell>
          <cell r="D730" t="str">
            <v>7899032201522</v>
          </cell>
          <cell r="E730" t="str">
            <v>3401.20.10</v>
          </cell>
        </row>
        <row r="731">
          <cell r="A731">
            <v>735</v>
          </cell>
          <cell r="B731" t="str">
            <v>SABONETESHALLOM250LAFFINITA</v>
          </cell>
          <cell r="C731" t="str">
            <v>SABONETESHALLOM250LAFFINITA</v>
          </cell>
          <cell r="D731" t="str">
            <v>7899032205100</v>
          </cell>
          <cell r="E731" t="str">
            <v>3401.20.10</v>
          </cell>
        </row>
        <row r="732">
          <cell r="A732">
            <v>736</v>
          </cell>
          <cell r="B732" t="str">
            <v>SACOLIXOHOSPITALARINFECTANTE60LC100</v>
          </cell>
          <cell r="C732" t="str">
            <v>SACOLIXOHOSPITALARINFECTANTE60LC100</v>
          </cell>
          <cell r="D732" t="str">
            <v>2000000025858</v>
          </cell>
          <cell r="E732" t="str">
            <v>3923.21.90</v>
          </cell>
        </row>
        <row r="733">
          <cell r="A733">
            <v>737</v>
          </cell>
          <cell r="B733" t="str">
            <v>SANDALIAAUGUSTAPOSCIRUGICA629-03P</v>
          </cell>
          <cell r="C733" t="str">
            <v>SANDALIAAUGUSTAPOSCIRUGICA629-03P</v>
          </cell>
          <cell r="D733" t="str">
            <v>7891746034045</v>
          </cell>
          <cell r="E733" t="str">
            <v>9021.10.10</v>
          </cell>
        </row>
        <row r="734">
          <cell r="A734">
            <v>738</v>
          </cell>
          <cell r="B734" t="str">
            <v>SANDALIAAUGUSTAPOSCIRUGICA629-04M</v>
          </cell>
          <cell r="C734" t="str">
            <v>SANDALIAAUGUSTAPOSCIRUGICA629-04M</v>
          </cell>
          <cell r="D734" t="str">
            <v>7891746034052</v>
          </cell>
          <cell r="E734" t="str">
            <v>9021.10.10</v>
          </cell>
        </row>
        <row r="735">
          <cell r="A735">
            <v>739</v>
          </cell>
          <cell r="B735" t="str">
            <v>SANDALIAAUGUSTAPOSCIRUGICA629-05G</v>
          </cell>
          <cell r="C735" t="str">
            <v>SANDALIAAUGUSTAPOSCIRUGICA629-05G</v>
          </cell>
          <cell r="D735" t="str">
            <v>7891746034069</v>
          </cell>
          <cell r="E735" t="str">
            <v>9021.10.10</v>
          </cell>
        </row>
        <row r="736">
          <cell r="A736">
            <v>740</v>
          </cell>
          <cell r="B736" t="str">
            <v>SANDALIAAUGUSTAPOSCIRUGICA629-06GG</v>
          </cell>
          <cell r="C736" t="str">
            <v>SANDALIAAUGUSTAPOSCIRUGICA629-06GG</v>
          </cell>
          <cell r="D736" t="str">
            <v>7891746071439</v>
          </cell>
          <cell r="E736" t="str">
            <v>9021.10.10</v>
          </cell>
        </row>
        <row r="737">
          <cell r="A737">
            <v>741</v>
          </cell>
          <cell r="B737" t="str">
            <v>SANDALIACUNHAANTEPEDIABETICO628-03DIAP</v>
          </cell>
          <cell r="C737" t="str">
            <v>SANDALIACUNHAANTEPEDIABETICO628-03DIAP</v>
          </cell>
          <cell r="D737" t="str">
            <v>7891746023261</v>
          </cell>
          <cell r="E737" t="str">
            <v>9021.10.10</v>
          </cell>
        </row>
        <row r="738">
          <cell r="A738">
            <v>742</v>
          </cell>
          <cell r="B738" t="str">
            <v>SANDALIACUNHAANTEPEDIABETICO628-04DIAM</v>
          </cell>
          <cell r="C738" t="str">
            <v>SANDALIACUNHAANTEPEDIABETICO628-04DIAM</v>
          </cell>
          <cell r="D738" t="str">
            <v>7891746023278</v>
          </cell>
          <cell r="E738" t="str">
            <v>9021.10.10</v>
          </cell>
        </row>
        <row r="739">
          <cell r="A739">
            <v>743</v>
          </cell>
          <cell r="B739" t="str">
            <v>SANDALIACUNHAANTEPEDIABETICO628-05DIAG</v>
          </cell>
          <cell r="C739" t="str">
            <v>SANDALIACUNHAANTEPEDIABETICO628-05DIAG</v>
          </cell>
          <cell r="D739" t="str">
            <v>7891746023285</v>
          </cell>
          <cell r="E739" t="str">
            <v>9021.10.10</v>
          </cell>
        </row>
        <row r="740">
          <cell r="A740">
            <v>744</v>
          </cell>
          <cell r="B740" t="str">
            <v>SECADORCABELORVDR773AB2220V1900W</v>
          </cell>
          <cell r="C740" t="str">
            <v>SECADORCABELORVDR773AB2220V1900W</v>
          </cell>
          <cell r="D740" t="str">
            <v>761318527732</v>
          </cell>
          <cell r="E740" t="str">
            <v>8516.31.00</v>
          </cell>
        </row>
        <row r="741">
          <cell r="A741">
            <v>745</v>
          </cell>
          <cell r="B741" t="str">
            <v>SERINGA10MLLUERLOCKAGULHA0,7X25</v>
          </cell>
          <cell r="C741" t="str">
            <v>SERINGA10MLLUERLOCKAGULHA0,7X25</v>
          </cell>
          <cell r="D741" t="str">
            <v>7898259495721</v>
          </cell>
          <cell r="E741" t="str">
            <v>9018.31.19</v>
          </cell>
        </row>
        <row r="742">
          <cell r="A742">
            <v>746</v>
          </cell>
          <cell r="B742" t="str">
            <v>TALACURTAPUNHOBILATERALPRETOP</v>
          </cell>
          <cell r="C742" t="str">
            <v>TALACURTAPUNHOBILATERALPRETOP</v>
          </cell>
          <cell r="D742" t="str">
            <v>7898601062359</v>
          </cell>
          <cell r="E742" t="str">
            <v>9021.10.10</v>
          </cell>
        </row>
        <row r="743">
          <cell r="A743">
            <v>747</v>
          </cell>
          <cell r="B743" t="str">
            <v>TALADEDOMARTELOGBILATERAL479-05SALVAPE</v>
          </cell>
          <cell r="C743" t="str">
            <v>TALADEDOMARTELOGBILATERAL479-05SALVAPE</v>
          </cell>
          <cell r="D743" t="str">
            <v>7891746479051</v>
          </cell>
          <cell r="E743" t="str">
            <v>9021.10.10</v>
          </cell>
        </row>
        <row r="744">
          <cell r="A744">
            <v>748</v>
          </cell>
          <cell r="B744" t="str">
            <v>TALADINAMICAEXTENSAODEDOFORTEG478-65</v>
          </cell>
          <cell r="C744" t="str">
            <v>TALADINAMICAEXTENSAODEDOFORTEG478-65</v>
          </cell>
          <cell r="D744" t="str">
            <v>7891746478658</v>
          </cell>
          <cell r="E744" t="str">
            <v>9021.10.10</v>
          </cell>
        </row>
        <row r="745">
          <cell r="A745">
            <v>749</v>
          </cell>
          <cell r="B745" t="str">
            <v>TALADINAMICAEXTENSAODEDOFORTEM478-64</v>
          </cell>
          <cell r="C745" t="str">
            <v>TALADINAMICAEXTENSAODEDOFORTEM478-64</v>
          </cell>
          <cell r="D745" t="str">
            <v>7891746478641</v>
          </cell>
          <cell r="E745" t="str">
            <v>9021.10.10</v>
          </cell>
        </row>
        <row r="746">
          <cell r="A746">
            <v>750</v>
          </cell>
          <cell r="B746" t="str">
            <v>TALADINAMICAEXTENSAODEDOFORTEP478-63</v>
          </cell>
          <cell r="C746" t="str">
            <v>TALADINAMICAEXTENSAODEDOFORTEP478-63</v>
          </cell>
          <cell r="D746" t="str">
            <v>7891746478634</v>
          </cell>
          <cell r="E746" t="str">
            <v>9021.10.10</v>
          </cell>
        </row>
        <row r="747">
          <cell r="A747">
            <v>751</v>
          </cell>
          <cell r="B747" t="str">
            <v>TALAFUNCIONALCURTAPOLEGAR431-44PRM</v>
          </cell>
          <cell r="C747" t="str">
            <v>TALAFUNCIONALCURTAPOLEGAR431-44PRM</v>
          </cell>
          <cell r="D747" t="str">
            <v>7891746026491</v>
          </cell>
          <cell r="E747" t="str">
            <v>9021.10.10</v>
          </cell>
        </row>
        <row r="748">
          <cell r="A748">
            <v>752</v>
          </cell>
          <cell r="B748" t="str">
            <v>TALAFUNCIONALCURTAPOLEGAR431-33PRP</v>
          </cell>
          <cell r="C748" t="str">
            <v>TALAFUNCIONALCURTAPOLEGAR431-33PRP</v>
          </cell>
          <cell r="D748" t="str">
            <v>7891746026446</v>
          </cell>
          <cell r="E748" t="str">
            <v>9021.10.10</v>
          </cell>
        </row>
        <row r="749">
          <cell r="A749">
            <v>753</v>
          </cell>
          <cell r="B749" t="str">
            <v>TALAFUNCIONALCURTAPOLEGAR431-34PRM</v>
          </cell>
          <cell r="C749" t="str">
            <v>TALAFUNCIONALCURTAPOLEGAR431-34PRM</v>
          </cell>
          <cell r="D749" t="str">
            <v>7891746026453</v>
          </cell>
          <cell r="E749" t="str">
            <v>9021.10.10</v>
          </cell>
        </row>
        <row r="750">
          <cell r="A750">
            <v>754</v>
          </cell>
          <cell r="B750" t="str">
            <v>TALAFUNCIONALCURTAPOLEGAR431-35PRG</v>
          </cell>
          <cell r="C750" t="str">
            <v>TALAFUNCIONALCURTAPOLEGAR431-35PRG</v>
          </cell>
          <cell r="D750" t="str">
            <v>7891746026460</v>
          </cell>
          <cell r="E750" t="str">
            <v>9021.10.10</v>
          </cell>
        </row>
        <row r="751">
          <cell r="A751">
            <v>755</v>
          </cell>
          <cell r="B751" t="str">
            <v>TALAFUNCIONALCURTAPOLEGAR431-36PREG</v>
          </cell>
          <cell r="C751" t="str">
            <v>TALAFUNCIONALCURTAPOLEGAR431-36PREG</v>
          </cell>
          <cell r="D751" t="str">
            <v>7891746026477</v>
          </cell>
          <cell r="E751" t="str">
            <v>9021.10.10</v>
          </cell>
        </row>
        <row r="752">
          <cell r="A752">
            <v>756</v>
          </cell>
          <cell r="B752" t="str">
            <v>TALAFUNCIONALCURTAPOLEGAR431-43PRP</v>
          </cell>
          <cell r="C752" t="str">
            <v>TALAFUNCIONALCURTAPOLEGAR431-43PRP</v>
          </cell>
          <cell r="D752" t="str">
            <v>7891746026484</v>
          </cell>
          <cell r="E752" t="str">
            <v>9021.10.10</v>
          </cell>
        </row>
        <row r="753">
          <cell r="A753">
            <v>757</v>
          </cell>
          <cell r="B753" t="str">
            <v>AVENTALCIRURGICOLONGOIMPER70GR</v>
          </cell>
          <cell r="C753" t="str">
            <v>AVENTALCIRURGICOLONGOIMPER70GR</v>
          </cell>
          <cell r="D753" t="str">
            <v>7893590892666</v>
          </cell>
          <cell r="E753" t="str">
            <v>6210.10.00</v>
          </cell>
        </row>
        <row r="754">
          <cell r="A754">
            <v>758</v>
          </cell>
          <cell r="B754" t="str">
            <v>WIPESAQUADIM30X30CM40GRM50UN</v>
          </cell>
          <cell r="C754" t="str">
            <v>WIPESAQUADIM30X30CM40GRM50UN</v>
          </cell>
          <cell r="D754" t="str">
            <v>7893595796679</v>
          </cell>
          <cell r="E754" t="str">
            <v>5603.92.40</v>
          </cell>
        </row>
        <row r="755">
          <cell r="A755">
            <v>759</v>
          </cell>
          <cell r="B755" t="str">
            <v>AVENTALBRANCOTNTGRM20DESCARTAVEL</v>
          </cell>
          <cell r="C755" t="str">
            <v>AVENTALBRANCOTNTGRM20DESCARTAVEL</v>
          </cell>
          <cell r="D755" t="str">
            <v>7893595796556</v>
          </cell>
          <cell r="E755" t="str">
            <v>6210.10.00</v>
          </cell>
        </row>
        <row r="756">
          <cell r="A756">
            <v>760</v>
          </cell>
          <cell r="B756" t="str">
            <v>MASCARACIRURGICATRIPLADESCARTBRANCA</v>
          </cell>
          <cell r="C756" t="str">
            <v>MASCARACIRURGICATRIPLADESCARTBRANCA</v>
          </cell>
          <cell r="D756" t="str">
            <v>7893590892888</v>
          </cell>
          <cell r="E756" t="str">
            <v>4819.10.00</v>
          </cell>
        </row>
        <row r="757">
          <cell r="A757">
            <v>761</v>
          </cell>
          <cell r="B757" t="str">
            <v>YESMILKSHAKESABORBAUNILHACX30YMSB</v>
          </cell>
          <cell r="C757" t="str">
            <v>YESMILKSHAKESABORBAUNILHACX30YMSB</v>
          </cell>
          <cell r="D757" t="str">
            <v>793573276247</v>
          </cell>
          <cell r="E757" t="str">
            <v>2106.90.10</v>
          </cell>
        </row>
        <row r="758">
          <cell r="A758">
            <v>762</v>
          </cell>
          <cell r="B758" t="str">
            <v>YESMILKSHAKESABORCHOCOLATECX30YMSC</v>
          </cell>
          <cell r="C758" t="str">
            <v>YESMILKSHAKESABORCHOCOLATECX30YMSC</v>
          </cell>
          <cell r="D758" t="str">
            <v>793573276209</v>
          </cell>
          <cell r="E758" t="str">
            <v>2106.90.10</v>
          </cell>
        </row>
        <row r="759">
          <cell r="A759">
            <v>763</v>
          </cell>
          <cell r="B759" t="str">
            <v>YESMILKSHAKESABORMORANGOCX30YMSM</v>
          </cell>
          <cell r="C759" t="str">
            <v>YESMILKSHAKESABORMORANGOCX30YMSM</v>
          </cell>
          <cell r="D759" t="str">
            <v>793573276193</v>
          </cell>
          <cell r="E759" t="str">
            <v>2106.90.10</v>
          </cell>
        </row>
        <row r="760">
          <cell r="A760">
            <v>764</v>
          </cell>
          <cell r="B760" t="str">
            <v>OXIMETROPULSODEDOMULTILASERHC261</v>
          </cell>
          <cell r="C760" t="str">
            <v>OXIMETROPULSODEDOMULTILASERHC261</v>
          </cell>
          <cell r="D760" t="str">
            <v>7899838899961</v>
          </cell>
          <cell r="E760" t="str">
            <v>9018.19.80</v>
          </cell>
        </row>
        <row r="761">
          <cell r="A761">
            <v>765</v>
          </cell>
          <cell r="B761" t="str">
            <v>MEDTESTEHBSAGML-02IHBSG-C41CX2030866</v>
          </cell>
          <cell r="C761" t="str">
            <v>MEDTESTEHBSAGML-02IHBSG-C41CX2030866</v>
          </cell>
          <cell r="D761" t="str">
            <v>7908007901418</v>
          </cell>
          <cell r="E761" t="str">
            <v>3822.19.90</v>
          </cell>
        </row>
        <row r="762">
          <cell r="A762">
            <v>766</v>
          </cell>
          <cell r="B762" t="str">
            <v>MEDTESTEHBSAGML-02IHBSG-C41CX2530865</v>
          </cell>
          <cell r="C762" t="str">
            <v>MEDTESTEHBSAGML-02IHBSG-C41CX2530865</v>
          </cell>
          <cell r="D762" t="str">
            <v>7908007903474</v>
          </cell>
          <cell r="E762" t="str">
            <v>3822.19.90</v>
          </cell>
        </row>
        <row r="763">
          <cell r="A763">
            <v>767</v>
          </cell>
          <cell r="B763" t="str">
            <v>SOLUCAO CONTR COLESTEROLMISSIONC121-2011</v>
          </cell>
          <cell r="C763" t="str">
            <v>SOLUCAO CONTR COLESTEROLMISSIONC121-2011</v>
          </cell>
          <cell r="D763" t="str">
            <v>7898506463466</v>
          </cell>
          <cell r="E763" t="str">
            <v>3822.19.90</v>
          </cell>
        </row>
        <row r="764">
          <cell r="A764">
            <v>768</v>
          </cell>
          <cell r="B764" t="str">
            <v>MASSAGEADORCORPORALBODYFITHC004</v>
          </cell>
          <cell r="C764" t="str">
            <v>MASSAGEADORCORPORALBODYFITHC004</v>
          </cell>
          <cell r="D764" t="str">
            <v>7898506463466</v>
          </cell>
          <cell r="E764" t="str">
            <v>9018.90.99</v>
          </cell>
        </row>
        <row r="765">
          <cell r="A765">
            <v>769</v>
          </cell>
          <cell r="B765" t="str">
            <v>IRRIGADORORALPORTATILHC036</v>
          </cell>
          <cell r="C765" t="str">
            <v>IRRIGADORORALPORTATILHC036</v>
          </cell>
          <cell r="D765" t="str">
            <v>7899838822990</v>
          </cell>
          <cell r="E765" t="str">
            <v>8424.89.10</v>
          </cell>
        </row>
        <row r="766">
          <cell r="A766">
            <v>770</v>
          </cell>
          <cell r="B766" t="str">
            <v>KIT AFFINITA MEDLEVENSOHN</v>
          </cell>
          <cell r="C766" t="str">
            <v>KIT AFFINITA MEDLEVENSOHN</v>
          </cell>
          <cell r="D766" t="str">
            <v/>
          </cell>
          <cell r="E766" t="str">
            <v>3304.99.10</v>
          </cell>
        </row>
        <row r="767">
          <cell r="A767">
            <v>771</v>
          </cell>
          <cell r="B767" t="str">
            <v>MONITORGLICOSEGUIDE</v>
          </cell>
          <cell r="C767" t="str">
            <v>MONITORGLICOSEGUIDE</v>
          </cell>
          <cell r="D767" t="str">
            <v>4015630067572</v>
          </cell>
          <cell r="E767" t="str">
            <v>9027.89.99</v>
          </cell>
        </row>
        <row r="768">
          <cell r="A768">
            <v>772</v>
          </cell>
          <cell r="B768" t="str">
            <v>MONITORGLICOSEONETOUCH</v>
          </cell>
          <cell r="C768" t="str">
            <v>MONITORGLICOSEONETOUCH</v>
          </cell>
          <cell r="D768" t="str">
            <v/>
          </cell>
          <cell r="E768" t="str">
            <v>9027.89.99</v>
          </cell>
        </row>
        <row r="769">
          <cell r="A769">
            <v>773</v>
          </cell>
          <cell r="B769" t="str">
            <v>INALADOR COMP EAS YNEB HC267</v>
          </cell>
          <cell r="C769" t="str">
            <v>INALADOR COMP EAS YNEB HC267</v>
          </cell>
          <cell r="D769" t="str">
            <v>7908414412057</v>
          </cell>
          <cell r="E769" t="str">
            <v>9019.20.20</v>
          </cell>
        </row>
        <row r="770">
          <cell r="A770">
            <v>774</v>
          </cell>
          <cell r="B770" t="str">
            <v>IRRIGADOR ORAL BALCAO 600ML</v>
          </cell>
          <cell r="C770" t="str">
            <v>IRRIGADOR ORAL BALCAO 600ML</v>
          </cell>
          <cell r="D770" t="str">
            <v>7899838823003</v>
          </cell>
          <cell r="E770" t="str">
            <v>9018.90.99</v>
          </cell>
        </row>
        <row r="771">
          <cell r="A771">
            <v>775</v>
          </cell>
          <cell r="B771" t="str">
            <v>TESTE RAP COVID-19 AG FLOWFL ACON 1UNID</v>
          </cell>
          <cell r="C771" t="str">
            <v>TESTE RAP COVID-19 AG FLOWFL ACON 1UNID</v>
          </cell>
          <cell r="D771" t="str">
            <v>7908007904969</v>
          </cell>
          <cell r="E771" t="str">
            <v>3822.19.90</v>
          </cell>
        </row>
        <row r="772">
          <cell r="A772">
            <v>776</v>
          </cell>
          <cell r="B772" t="str">
            <v>SD IMPRESSORA TERMICA</v>
          </cell>
          <cell r="C772" t="str">
            <v>SD IMPRESSORA TERMICA</v>
          </cell>
          <cell r="D772" t="str">
            <v>1000000637526</v>
          </cell>
          <cell r="E772" t="str">
            <v>9027.90.99</v>
          </cell>
        </row>
        <row r="773">
          <cell r="A773">
            <v>777</v>
          </cell>
          <cell r="B773" t="str">
            <v>LUVA VINIL PROC N/CIRUR S/PO LISA AMBID</v>
          </cell>
          <cell r="C773" t="str">
            <v>LUVA VINIL PROC N/CIRUR S/PO LISA AMBID</v>
          </cell>
          <cell r="D773" t="str">
            <v>7896675364232</v>
          </cell>
          <cell r="E773" t="str">
            <v>3926.20.00</v>
          </cell>
        </row>
        <row r="774">
          <cell r="A774">
            <v>778</v>
          </cell>
          <cell r="B774" t="str">
            <v>KIT TESTE HBA1C LUMIRATEK C 99MS10 10122</v>
          </cell>
          <cell r="C774" t="str">
            <v>KIT TESTE HBA1C LUMIRATEK C 99MS10 10122</v>
          </cell>
          <cell r="D774" t="str">
            <v>8800111701887</v>
          </cell>
          <cell r="E774" t="str">
            <v>3822.19.20</v>
          </cell>
        </row>
        <row r="775">
          <cell r="A775">
            <v>779</v>
          </cell>
          <cell r="B775" t="str">
            <v>SACO DE LIXO INFECTANTE 30L UNIDADE</v>
          </cell>
          <cell r="C775" t="str">
            <v>SACO DE LIXO INFECTANTE 30L UNIDADE</v>
          </cell>
          <cell r="D775" t="str">
            <v>1000000642728</v>
          </cell>
          <cell r="E775" t="str">
            <v>3923.21.10</v>
          </cell>
        </row>
        <row r="776">
          <cell r="A776">
            <v>780</v>
          </cell>
          <cell r="B776" t="str">
            <v>MASCARA KN95 BRANCA UNIDADE</v>
          </cell>
          <cell r="C776" t="str">
            <v>MASCARA KN95 BRANCA UNIDADE</v>
          </cell>
          <cell r="D776" t="str">
            <v>6973434950125</v>
          </cell>
          <cell r="E776" t="str">
            <v>6307.90.10</v>
          </cell>
        </row>
        <row r="777">
          <cell r="A777">
            <v>781</v>
          </cell>
          <cell r="B777" t="str">
            <v>AVENTAL 30GR UNIDADE</v>
          </cell>
          <cell r="C777" t="str">
            <v>AVENTAL 30GR UNIDADE</v>
          </cell>
          <cell r="D777" t="str">
            <v/>
          </cell>
          <cell r="E777" t="str">
            <v>4015.19.00</v>
          </cell>
        </row>
        <row r="778">
          <cell r="A778">
            <v>782</v>
          </cell>
          <cell r="B778" t="str">
            <v>MASCARA PROTECAO FACIAL PLAST FACE SHIEL</v>
          </cell>
          <cell r="C778" t="str">
            <v>MASCARA PROTECAO FACIAL PLAST FACE SHIEL</v>
          </cell>
          <cell r="D778" t="str">
            <v>1000000645118</v>
          </cell>
          <cell r="E778" t="str">
            <v>3926.90.90</v>
          </cell>
        </row>
        <row r="779">
          <cell r="A779">
            <v>783</v>
          </cell>
          <cell r="B779" t="str">
            <v>TOUCA DESCARTAVEL SANFONADA TNT UNIDADE</v>
          </cell>
          <cell r="C779" t="str">
            <v>TOUCA DESCARTAVEL SANFONADA TNT UNIDADE</v>
          </cell>
          <cell r="D779" t="str">
            <v>7893595730451</v>
          </cell>
          <cell r="E779" t="str">
            <v>6307.90.10</v>
          </cell>
        </row>
        <row r="780">
          <cell r="A780">
            <v>784</v>
          </cell>
          <cell r="B780" t="str">
            <v>MASCARA PROTECAO PFF-2 NR SEM VALVULA N9</v>
          </cell>
          <cell r="C780" t="str">
            <v>MASCARA PROTECAO PFF-2 NR SEM VALVULA N9</v>
          </cell>
          <cell r="D780" t="str">
            <v>1000000645910</v>
          </cell>
          <cell r="E780" t="str">
            <v>6307.90.10</v>
          </cell>
        </row>
        <row r="781">
          <cell r="A781">
            <v>785</v>
          </cell>
          <cell r="B781" t="str">
            <v>COLETOR P MATERIAIS PERFUROCORTANTES 3LT</v>
          </cell>
          <cell r="C781" t="str">
            <v>COLETOR P MATERIAIS PERFUROCORTANTES 3LT</v>
          </cell>
          <cell r="D781" t="str">
            <v>7898415520441</v>
          </cell>
          <cell r="E781" t="str">
            <v>4819.10.00</v>
          </cell>
        </row>
        <row r="782">
          <cell r="A782">
            <v>786</v>
          </cell>
          <cell r="B782" t="str">
            <v>PALMILHA CHOQ 305-37-38B EASY FIT URIEL</v>
          </cell>
          <cell r="C782" t="str">
            <v>PALMILHA CHOQ 305-37-38B EASY FIT URIEL</v>
          </cell>
          <cell r="D782" t="str">
            <v>7297046133165</v>
          </cell>
          <cell r="E782" t="str">
            <v>6406.90.20</v>
          </cell>
        </row>
        <row r="783">
          <cell r="A783">
            <v>787</v>
          </cell>
          <cell r="B783" t="str">
            <v>PALMILHA CHOQ 305-43-44B EASY FIT URIEL</v>
          </cell>
          <cell r="C783" t="str">
            <v>PALMILHA CHOQ 305-43-44B EASY FIT URIEL</v>
          </cell>
          <cell r="D783" t="str">
            <v>7297046163162</v>
          </cell>
          <cell r="E783" t="str">
            <v>6406.90.20</v>
          </cell>
        </row>
        <row r="784">
          <cell r="A784">
            <v>788</v>
          </cell>
          <cell r="B784" t="str">
            <v>PALMILHA CONFORTO LATEX 370-0 URIEL</v>
          </cell>
          <cell r="C784" t="str">
            <v>PALMILHA CONFORTO LATEX 370-0 URIEL</v>
          </cell>
          <cell r="D784" t="str">
            <v>7297046810011</v>
          </cell>
          <cell r="E784" t="str">
            <v>6406.90.20</v>
          </cell>
        </row>
        <row r="785">
          <cell r="A785">
            <v>789</v>
          </cell>
          <cell r="B785" t="str">
            <v>MEIA UNISSEX SILICONE 3445B0 39-44 PRETA</v>
          </cell>
          <cell r="C785" t="str">
            <v>MEIA UNISSEX SILICONE 3445B0 39-44 PRETA</v>
          </cell>
          <cell r="D785" t="str">
            <v>7297046114003</v>
          </cell>
          <cell r="E785" t="str">
            <v>6115.95.00</v>
          </cell>
        </row>
        <row r="786">
          <cell r="A786">
            <v>790</v>
          </cell>
          <cell r="B786" t="str">
            <v>PALMILHA ORTOPEDICA 377 TAM 37/BR URIEL</v>
          </cell>
          <cell r="C786" t="str">
            <v>PALMILHA ORTOPEDICA 377 TAM 37/BR URIEL</v>
          </cell>
          <cell r="D786" t="str">
            <v>7297046850055</v>
          </cell>
          <cell r="E786" t="str">
            <v>6406.90.20</v>
          </cell>
        </row>
        <row r="787">
          <cell r="A787">
            <v>791</v>
          </cell>
          <cell r="B787" t="str">
            <v>PALMILHA ORTOPEDICA 377 TAM 35/BR URIEL</v>
          </cell>
          <cell r="C787" t="str">
            <v>PALMILHA ORTOPEDICA 377 TAM 35/BR URIEL</v>
          </cell>
          <cell r="D787" t="str">
            <v>7297046830057</v>
          </cell>
          <cell r="E787" t="str">
            <v>6406.90.20</v>
          </cell>
        </row>
        <row r="788">
          <cell r="A788">
            <v>792</v>
          </cell>
          <cell r="B788" t="str">
            <v>PALMILHA ORTOPEDICA 377 TAM 36/BR URIEL</v>
          </cell>
          <cell r="C788" t="str">
            <v>PALMILHA ORTOPEDICA 377 TAM 36/BR URIEL</v>
          </cell>
          <cell r="D788" t="str">
            <v>7297046840056</v>
          </cell>
          <cell r="E788" t="str">
            <v>6406.90.20</v>
          </cell>
        </row>
        <row r="789">
          <cell r="A789">
            <v>793</v>
          </cell>
          <cell r="B789" t="str">
            <v>SUPLEM VITAM C CRANBERRY 60CAP V VITALAB</v>
          </cell>
          <cell r="C789" t="str">
            <v>SUPLEM VITAM C CRANBERRY 60CAP V VITALAB</v>
          </cell>
          <cell r="D789" t="str">
            <v>7896874703818</v>
          </cell>
          <cell r="E789" t="str">
            <v>2106.90.30</v>
          </cell>
        </row>
        <row r="790">
          <cell r="A790">
            <v>794</v>
          </cell>
          <cell r="B790" t="str">
            <v>OMEGA 3 EPA 180 E DHA 120 1000MG 120 CAP</v>
          </cell>
          <cell r="C790" t="str">
            <v>OMEGA 3 EPA 180 E DHA 120 1000MG 120 CAP</v>
          </cell>
          <cell r="D790" t="str">
            <v>7896874703849</v>
          </cell>
          <cell r="E790" t="str">
            <v>2106.90.30</v>
          </cell>
        </row>
        <row r="791">
          <cell r="A791">
            <v>795</v>
          </cell>
          <cell r="B791" t="str">
            <v>CLORETO MAGNESIO P.A EM PO  10 SACHES 33</v>
          </cell>
          <cell r="C791" t="str">
            <v>CLORETO MAGNESIO P.A EM PO  10 SACHES 33</v>
          </cell>
          <cell r="D791" t="str">
            <v>7896874703917</v>
          </cell>
          <cell r="E791" t="str">
            <v>2827.31.90</v>
          </cell>
        </row>
        <row r="792">
          <cell r="A792">
            <v>796</v>
          </cell>
          <cell r="B792" t="str">
            <v>MEDTESTE HIV CX/25 MED REF IHIV-C42 BIOT</v>
          </cell>
          <cell r="C792" t="str">
            <v>MEDTESTE HIV CX/25 MED REF IHIV-C42 BIOT</v>
          </cell>
          <cell r="D792" t="str">
            <v>1000000196122</v>
          </cell>
          <cell r="E792" t="str">
            <v>3822.00.20</v>
          </cell>
        </row>
        <row r="793">
          <cell r="A793">
            <v>797</v>
          </cell>
          <cell r="B793" t="str">
            <v>MEIA CALCANHAR SILIC 3444 AMARELA URIEL</v>
          </cell>
          <cell r="C793" t="str">
            <v>MEIA CALCANHAR SILIC 3444 AMARELA URIEL</v>
          </cell>
          <cell r="D793" t="str">
            <v>1000000311419</v>
          </cell>
          <cell r="E793" t="str">
            <v>6115.96.00</v>
          </cell>
        </row>
        <row r="794">
          <cell r="A794">
            <v>798</v>
          </cell>
          <cell r="B794" t="str">
            <v>MEIA UNISSEX  AVIAO 33-36 BR 397 URIEL</v>
          </cell>
          <cell r="C794" t="str">
            <v>MEIA UNISSEX  AVIAO 33-36 BR 397 URIEL</v>
          </cell>
          <cell r="D794" t="str">
            <v>7297046114393</v>
          </cell>
          <cell r="E794" t="str">
            <v>6115.95.00</v>
          </cell>
        </row>
        <row r="795">
          <cell r="A795">
            <v>799</v>
          </cell>
          <cell r="B795" t="str">
            <v>MEIA UNISSEX AVIAO 37-40 BR  397 URIEL</v>
          </cell>
          <cell r="C795" t="str">
            <v>MEIA UNISSEX AVIAO 37-40 BR  397 URIEL</v>
          </cell>
          <cell r="D795" t="str">
            <v>7297046124392</v>
          </cell>
          <cell r="E795" t="str">
            <v>6115.95.00</v>
          </cell>
        </row>
        <row r="796">
          <cell r="A796">
            <v>800</v>
          </cell>
          <cell r="B796" t="str">
            <v>APARELHO PULSO WRISTWATCH  KP-6130 GERAT</v>
          </cell>
          <cell r="C796" t="str">
            <v>APARELHO PULSO WRISTWATCH  KP-6130 GERAT</v>
          </cell>
          <cell r="D796" t="str">
            <v>4018674403016</v>
          </cell>
          <cell r="E796" t="str">
            <v>9018.90.69</v>
          </cell>
        </row>
        <row r="797">
          <cell r="A797">
            <v>801</v>
          </cell>
          <cell r="B797" t="str">
            <v>MUNHEQUEIRA COM TALA AJUST  KSN075-PR-UN</v>
          </cell>
          <cell r="C797" t="str">
            <v>MUNHEQUEIRA COM TALA AJUST  KSN075-PR-UN</v>
          </cell>
          <cell r="D797" t="str">
            <v>7898601063486</v>
          </cell>
          <cell r="E797" t="str">
            <v>9021.10.10</v>
          </cell>
        </row>
        <row r="798">
          <cell r="A798">
            <v>802</v>
          </cell>
          <cell r="B798" t="str">
            <v>CLORETO MAGNESIO P.A 120 CAPS VITALAB</v>
          </cell>
          <cell r="C798" t="str">
            <v>CLORETO MAGNESIO P.A 120 CAPS VITALAB</v>
          </cell>
          <cell r="D798" t="str">
            <v>7896874706345</v>
          </cell>
          <cell r="E798" t="str">
            <v>2827.31.90</v>
          </cell>
        </row>
        <row r="799">
          <cell r="A799">
            <v>803</v>
          </cell>
          <cell r="B799" t="str">
            <v>MED COLEST MISSION C1112021 REG MEDL</v>
          </cell>
          <cell r="C799" t="str">
            <v>MED COLEST MISSION C1112021 REG MEDL</v>
          </cell>
          <cell r="D799" t="str">
            <v>7908007900701</v>
          </cell>
          <cell r="E799" t="str">
            <v>9027.89.99</v>
          </cell>
        </row>
        <row r="800">
          <cell r="A800">
            <v>804</v>
          </cell>
          <cell r="B800" t="str">
            <v>MUNHEQ AJUST NEOLIGHT TAM U KSN071-PR-UN</v>
          </cell>
          <cell r="C800" t="str">
            <v>MUNHEQ AJUST NEOLIGHT TAM U KSN071-PR-UN</v>
          </cell>
          <cell r="D800" t="str">
            <v>7898601063448</v>
          </cell>
          <cell r="E800" t="str">
            <v>9021.10.10</v>
          </cell>
        </row>
        <row r="801">
          <cell r="A801">
            <v>805</v>
          </cell>
          <cell r="B801" t="str">
            <v>SERINGA LUER LOCK SEM AGULHA 5ML PT01730</v>
          </cell>
          <cell r="C801" t="str">
            <v>SERINGA LUER LOCK SEM AGULHA 5ML PT01730</v>
          </cell>
          <cell r="D801" t="str">
            <v>7706634032914</v>
          </cell>
          <cell r="E801" t="str">
            <v>9018.31.19</v>
          </cell>
        </row>
        <row r="802">
          <cell r="A802">
            <v>806</v>
          </cell>
          <cell r="B802" t="str">
            <v>SERINGA LUER SLIP SEM AGULHA 20ML PT0178</v>
          </cell>
          <cell r="C802" t="str">
            <v>SERINGA LUER SLIP SEM AGULHA 20ML PT0178</v>
          </cell>
          <cell r="D802" t="str">
            <v>7706634032945</v>
          </cell>
          <cell r="E802" t="str">
            <v>9018.31.19</v>
          </cell>
        </row>
        <row r="803">
          <cell r="A803">
            <v>807</v>
          </cell>
          <cell r="B803" t="str">
            <v>LUVA CIRURGICA EST C PO LATEX  PAR 7,5</v>
          </cell>
          <cell r="C803" t="str">
            <v>LUVA CIRURGICA EST C PO LATEX  PAR 7,5</v>
          </cell>
          <cell r="D803" t="str">
            <v>7896775314533</v>
          </cell>
          <cell r="E803" t="str">
            <v>4015.11.00</v>
          </cell>
        </row>
        <row r="804">
          <cell r="A804">
            <v>808</v>
          </cell>
          <cell r="B804" t="str">
            <v>LUVA N/CIR TAM P N/EST C/PO LATEX C/100</v>
          </cell>
          <cell r="C804" t="str">
            <v>LUVA N/CIR TAM P N/EST C/PO LATEX C/100</v>
          </cell>
          <cell r="D804" t="str">
            <v>7898994049821</v>
          </cell>
          <cell r="E804" t="str">
            <v>4015.19.00</v>
          </cell>
        </row>
        <row r="805">
          <cell r="A805">
            <v>809</v>
          </cell>
          <cell r="B805" t="str">
            <v>LUVA N/CIR TAM M N/EST C/PO LATEX  C/100</v>
          </cell>
          <cell r="C805" t="str">
            <v>LUVA N/CIR TAM M N/EST C/PO LATEX  C/100</v>
          </cell>
          <cell r="D805" t="str">
            <v>7898994049838</v>
          </cell>
          <cell r="E805" t="str">
            <v>4015.19.00</v>
          </cell>
        </row>
        <row r="806">
          <cell r="A806">
            <v>810</v>
          </cell>
          <cell r="B806" t="str">
            <v>SUPORTE DE APOIO FIBRA CADEIRA HYPERCHAI</v>
          </cell>
          <cell r="C806" t="str">
            <v>SUPORTE DE APOIO FIBRA CADEIRA HYPERCHAI</v>
          </cell>
          <cell r="D806" t="str">
            <v/>
          </cell>
          <cell r="E806" t="str">
            <v>3925.90.90</v>
          </cell>
        </row>
        <row r="807">
          <cell r="A807">
            <v>811</v>
          </cell>
          <cell r="B807" t="str">
            <v>ESTETOSCOPIO RAPPAPORT PREMIUM VINHO ACC</v>
          </cell>
          <cell r="C807" t="str">
            <v>ESTETOSCOPIO RAPPAPORT PREMIUM VINHO ACC</v>
          </cell>
          <cell r="D807" t="str">
            <v>7898301050755</v>
          </cell>
          <cell r="E807" t="str">
            <v>9018.90.99</v>
          </cell>
        </row>
        <row r="808">
          <cell r="A808">
            <v>812</v>
          </cell>
          <cell r="B808" t="str">
            <v>JOELHEIRA AJUSTAVEL NEOSOFT KSN076-PR-UN</v>
          </cell>
          <cell r="C808" t="str">
            <v>JOELHEIRA AJUSTAVEL NEOSOFT KSN076-PR-UN</v>
          </cell>
          <cell r="D808" t="str">
            <v>7898601063493</v>
          </cell>
          <cell r="E808" t="str">
            <v>9021.10.10</v>
          </cell>
        </row>
        <row r="809">
          <cell r="A809">
            <v>813</v>
          </cell>
          <cell r="B809" t="str">
            <v>SUPORTE BOLSA GELO PRETO U KSN026-PR-UN</v>
          </cell>
          <cell r="C809" t="str">
            <v>SUPORTE BOLSA GELO PRETO U KSN026-PR-UN</v>
          </cell>
          <cell r="D809" t="str">
            <v>7898601060720</v>
          </cell>
          <cell r="E809" t="str">
            <v>9021.10.10</v>
          </cell>
        </row>
        <row r="810">
          <cell r="A810">
            <v>814</v>
          </cell>
          <cell r="B810" t="str">
            <v>TIPOIA VELPEAU EST.BILAT. P AZUL KSN027-</v>
          </cell>
          <cell r="C810" t="str">
            <v>TIPOIA VELPEAU EST.BILAT. P AZUL KSN027-</v>
          </cell>
          <cell r="D810" t="str">
            <v>7898601060768</v>
          </cell>
          <cell r="E810" t="str">
            <v>9021.10.10</v>
          </cell>
        </row>
        <row r="811">
          <cell r="A811">
            <v>815</v>
          </cell>
          <cell r="B811" t="str">
            <v>TORNOZ. AJUST.NEOLIGTH PRETO U KSN024-PR</v>
          </cell>
          <cell r="C811" t="str">
            <v>TORNOZ. AJUST.NEOLIGTH PRETO U KSN024-PR</v>
          </cell>
          <cell r="D811" t="str">
            <v>7898601063462</v>
          </cell>
          <cell r="E811" t="str">
            <v>9021.10.10</v>
          </cell>
        </row>
        <row r="812">
          <cell r="A812">
            <v>816</v>
          </cell>
          <cell r="B812" t="str">
            <v>COTOVELEIRA AJUSTAVEL NEOLIGTH U KSN074-</v>
          </cell>
          <cell r="C812" t="str">
            <v>COTOVELEIRA AJUSTAVEL NEOLIGTH U KSN074-</v>
          </cell>
          <cell r="D812" t="str">
            <v>7898601063479</v>
          </cell>
          <cell r="E812" t="str">
            <v>9021.10.10</v>
          </cell>
        </row>
        <row r="813">
          <cell r="A813">
            <v>817</v>
          </cell>
          <cell r="B813" t="str">
            <v>SUPORTE BOLSA TERMICA GEL LONGO U KSN024</v>
          </cell>
          <cell r="C813" t="str">
            <v>SUPORTE BOLSA TERMICA GEL LONGO U KSN024</v>
          </cell>
          <cell r="D813" t="str">
            <v>7898601060706</v>
          </cell>
          <cell r="E813" t="str">
            <v>9021.10.10</v>
          </cell>
        </row>
        <row r="814">
          <cell r="A814">
            <v>818</v>
          </cell>
          <cell r="B814" t="str">
            <v>TALA LONGA PUNHO BILATERAL G KSN032-PR-G</v>
          </cell>
          <cell r="C814" t="str">
            <v>TALA LONGA PUNHO BILATERAL G KSN032-PR-G</v>
          </cell>
          <cell r="D814" t="str">
            <v>7898601062328</v>
          </cell>
          <cell r="E814" t="str">
            <v>9021.10.10</v>
          </cell>
        </row>
        <row r="815">
          <cell r="A815">
            <v>819</v>
          </cell>
          <cell r="B815" t="str">
            <v>TORNOZELEIRA AJUST. PRETO U KSN042-PR-UN</v>
          </cell>
          <cell r="C815" t="str">
            <v>TORNOZELEIRA AJUST. PRETO U KSN042-PR-UN</v>
          </cell>
          <cell r="D815" t="str">
            <v>7898601061369</v>
          </cell>
          <cell r="E815" t="str">
            <v>9021.10.10</v>
          </cell>
        </row>
        <row r="816">
          <cell r="A816">
            <v>820</v>
          </cell>
          <cell r="B816" t="str">
            <v>AVENTAL DESCART M. LONGA CLEAN DESC 10UN</v>
          </cell>
          <cell r="C816" t="str">
            <v>AVENTAL DESCART M. LONGA CLEAN DESC 10UN</v>
          </cell>
          <cell r="D816" t="str">
            <v>7898125711009</v>
          </cell>
          <cell r="E816" t="str">
            <v>6307.90.10</v>
          </cell>
        </row>
        <row r="817">
          <cell r="A817">
            <v>821</v>
          </cell>
          <cell r="B817" t="str">
            <v>AVENTAL DESCART. M. LONGA SLIM SOFT A 10</v>
          </cell>
          <cell r="C817" t="str">
            <v>AVENTAL DESCART. M. LONGA SLIM SOFT A 10</v>
          </cell>
          <cell r="D817" t="str">
            <v>7898433200189</v>
          </cell>
          <cell r="E817" t="str">
            <v>6210.10.00</v>
          </cell>
        </row>
        <row r="818">
          <cell r="A818">
            <v>822</v>
          </cell>
          <cell r="B818" t="str">
            <v>CABO USB 2.0MINI USB 5P 1.8MT 28129104 R</v>
          </cell>
          <cell r="C818" t="str">
            <v>CABO USB 2.0MINI USB 5P 1.8MT 28129104 R</v>
          </cell>
          <cell r="D818" t="str">
            <v>7898938113830</v>
          </cell>
          <cell r="E818" t="str">
            <v>9025.19.90</v>
          </cell>
        </row>
        <row r="819">
          <cell r="A819">
            <v>823</v>
          </cell>
          <cell r="B819" t="str">
            <v>JOELHEIRA ELASTICA PRETO M KSN044-PR-M</v>
          </cell>
          <cell r="C819" t="str">
            <v>JOELHEIRA ELASTICA PRETO M KSN044-PR-M</v>
          </cell>
          <cell r="D819" t="str">
            <v>7898601061437</v>
          </cell>
          <cell r="E819" t="str">
            <v>9021.10.10</v>
          </cell>
        </row>
        <row r="820">
          <cell r="A820">
            <v>824</v>
          </cell>
          <cell r="B820" t="str">
            <v>COTOVELEIRA PRETO M KSN028-PR-M KESTAL</v>
          </cell>
          <cell r="C820" t="str">
            <v>COTOVELEIRA PRETO M KSN028-PR-M KESTAL</v>
          </cell>
          <cell r="D820" t="str">
            <v>7898601060829</v>
          </cell>
          <cell r="E820" t="str">
            <v>9021.10.10</v>
          </cell>
        </row>
        <row r="821">
          <cell r="A821">
            <v>825</v>
          </cell>
          <cell r="B821" t="str">
            <v>TIPOIA IMOB. VELPEAU ESTOF. BILATERAL G</v>
          </cell>
          <cell r="C821" t="str">
            <v>TIPOIA IMOB. VELPEAU ESTOF. BILATERAL G</v>
          </cell>
          <cell r="D821" t="str">
            <v>7898601060782</v>
          </cell>
          <cell r="E821" t="str">
            <v>9021.10.10</v>
          </cell>
        </row>
        <row r="822">
          <cell r="A822">
            <v>826</v>
          </cell>
          <cell r="B822" t="str">
            <v>JOELHEIRA ORIF.REF PATELAR GG KSN002-PR-</v>
          </cell>
          <cell r="C822" t="str">
            <v>JOELHEIRA ORIF.REF PATELAR GG KSN002-PR-</v>
          </cell>
          <cell r="D822" t="str">
            <v>7898601062243</v>
          </cell>
          <cell r="E822" t="str">
            <v>9021.10.10</v>
          </cell>
        </row>
        <row r="823">
          <cell r="A823">
            <v>827</v>
          </cell>
          <cell r="B823" t="str">
            <v>JOELHEIRA ORIF.REF PATELAR M P KSN002-PR</v>
          </cell>
          <cell r="C823" t="str">
            <v>JOELHEIRA ORIF.REF PATELAR M P KSN002-PR</v>
          </cell>
          <cell r="D823" t="str">
            <v>7898601060263</v>
          </cell>
          <cell r="E823" t="str">
            <v>9021.10.10</v>
          </cell>
        </row>
        <row r="824">
          <cell r="A824">
            <v>828</v>
          </cell>
          <cell r="B824" t="str">
            <v>JOELHEIRA ORIF.REF. PATELAR G P  KSN002-</v>
          </cell>
          <cell r="C824" t="str">
            <v>JOELHEIRA ORIF.REF. PATELAR G P  KSN002-</v>
          </cell>
          <cell r="D824" t="str">
            <v>7898601060270</v>
          </cell>
          <cell r="E824" t="str">
            <v>9021.10.10</v>
          </cell>
        </row>
        <row r="825">
          <cell r="A825">
            <v>829</v>
          </cell>
          <cell r="B825" t="str">
            <v>TIPOIA VELPEAU EST. BILAT M AZUL KSN027-</v>
          </cell>
          <cell r="C825" t="str">
            <v>TIPOIA VELPEAU EST. BILAT M AZUL KSN027-</v>
          </cell>
          <cell r="D825" t="str">
            <v>7898601060775</v>
          </cell>
          <cell r="E825" t="str">
            <v>9021.10.10</v>
          </cell>
        </row>
        <row r="826">
          <cell r="A826">
            <v>830</v>
          </cell>
          <cell r="B826" t="str">
            <v>COQUETEIRA SHAKE ROSA VITALAB</v>
          </cell>
          <cell r="C826" t="str">
            <v>COQUETEIRA SHAKE ROSA VITALAB</v>
          </cell>
          <cell r="D826" t="str">
            <v>1000000634211</v>
          </cell>
          <cell r="E826" t="str">
            <v>4902.90.00</v>
          </cell>
        </row>
        <row r="827">
          <cell r="A827">
            <v>831</v>
          </cell>
          <cell r="B827" t="str">
            <v>COQUETEIRA SHAKE VERDE VITALAB</v>
          </cell>
          <cell r="C827" t="str">
            <v>COQUETEIRA SHAKE VERDE VITALAB</v>
          </cell>
          <cell r="D827" t="str">
            <v>1000000634310</v>
          </cell>
          <cell r="E827" t="str">
            <v>4902.90.00</v>
          </cell>
        </row>
        <row r="828">
          <cell r="A828">
            <v>832</v>
          </cell>
          <cell r="B828" t="str">
            <v>TIRAS GLIC.INDIV CX/50UN OCPII B REF. G1</v>
          </cell>
          <cell r="C828" t="str">
            <v>TIRAS GLIC.INDIV CX/50UN OCPII B REF. G1</v>
          </cell>
          <cell r="D828" t="str">
            <v>7908007901227</v>
          </cell>
          <cell r="E828" t="str">
            <v>3822.00.20</v>
          </cell>
        </row>
        <row r="829">
          <cell r="A829">
            <v>833</v>
          </cell>
          <cell r="B829" t="str">
            <v>CADEIRA FIXA TRAPESIO EXECUTIVA COURVIM</v>
          </cell>
          <cell r="C829" t="str">
            <v>CADEIRA FIXA TRAPESIO EXECUTIVA COURVIM</v>
          </cell>
          <cell r="D829" t="str">
            <v>1000000637915</v>
          </cell>
          <cell r="E829" t="str">
            <v>9401.30.90</v>
          </cell>
        </row>
        <row r="830">
          <cell r="A830">
            <v>834</v>
          </cell>
          <cell r="B830" t="str">
            <v>OLEO ESSENCIAL LAVANDA 20ML MEDLEVE</v>
          </cell>
          <cell r="C830" t="str">
            <v>OLEO ESSENCIAL LAVANDA 20ML MEDLEVE</v>
          </cell>
          <cell r="D830" t="str">
            <v>7899032209726</v>
          </cell>
          <cell r="E830" t="str">
            <v>3305.90.00</v>
          </cell>
        </row>
        <row r="831">
          <cell r="A831">
            <v>835</v>
          </cell>
          <cell r="B831" t="str">
            <v>OLEO ESSENCIAL MELALEUCA 20ML MEDLEVE</v>
          </cell>
          <cell r="C831" t="str">
            <v>OLEO ESSENCIAL MELALEUCA 20ML MEDLEVE</v>
          </cell>
          <cell r="D831" t="str">
            <v>7899032209733</v>
          </cell>
          <cell r="E831" t="str">
            <v>3305.90.00</v>
          </cell>
        </row>
        <row r="832">
          <cell r="A832">
            <v>836</v>
          </cell>
          <cell r="B832" t="str">
            <v>OLEO ESSENCIAL MENTA PIPERITA 20ML MEDLE</v>
          </cell>
          <cell r="C832" t="str">
            <v>OLEO ESSENCIAL MENTA PIPERITA 20ML MEDLE</v>
          </cell>
          <cell r="D832" t="str">
            <v>7899032209856</v>
          </cell>
          <cell r="E832" t="str">
            <v>3305.90.00</v>
          </cell>
        </row>
        <row r="833">
          <cell r="A833">
            <v>837</v>
          </cell>
          <cell r="B833" t="str">
            <v>MASCARA PROT.PFF2 N95 S/VALV PRETA 5UN</v>
          </cell>
          <cell r="C833" t="str">
            <v>MASCARA PROT.PFF2 N95 S/VALV PRETA 5UN</v>
          </cell>
          <cell r="D833" t="str">
            <v>1000000645712</v>
          </cell>
          <cell r="E833" t="str">
            <v>6307.90.10</v>
          </cell>
        </row>
        <row r="834">
          <cell r="A834">
            <v>838</v>
          </cell>
          <cell r="B834" t="str">
            <v>MASCARA PROT.PFF2 N95 S/VALV BRANCA 5UN</v>
          </cell>
          <cell r="C834" t="str">
            <v>MASCARA PROT.PFF2 N95 S/VALV BRANCA 5UN</v>
          </cell>
          <cell r="D834" t="str">
            <v>1000000645811</v>
          </cell>
          <cell r="E834" t="str">
            <v>6307.90.10</v>
          </cell>
        </row>
        <row r="835">
          <cell r="A835">
            <v>839</v>
          </cell>
          <cell r="B835" t="str">
            <v>TIRAS GLIC. INDIV CX50 OCPII AMAR G13311</v>
          </cell>
          <cell r="C835" t="str">
            <v>TIRAS GLIC. INDIV CX50 OCPII AMAR G13311</v>
          </cell>
          <cell r="D835" t="str">
            <v>7908007901234</v>
          </cell>
          <cell r="E835" t="str">
            <v>3822.19.20</v>
          </cell>
        </row>
        <row r="836">
          <cell r="A836">
            <v>840</v>
          </cell>
          <cell r="B836" t="str">
            <v>TESTE ZIKA TRILINE IMUNO RAPIDO 25 TESTE</v>
          </cell>
          <cell r="C836" t="str">
            <v>TESTE ZIKA TRILINE IMUNO RAPIDO 25 TESTE</v>
          </cell>
          <cell r="D836" t="str">
            <v>1000000650914</v>
          </cell>
          <cell r="E836" t="str">
            <v>3822.12.00</v>
          </cell>
        </row>
        <row r="837">
          <cell r="A837">
            <v>841</v>
          </cell>
          <cell r="B837" t="str">
            <v>MASSAGEADOR PÉS SHIATSU BIVOLT HC012</v>
          </cell>
          <cell r="C837" t="str">
            <v>MASSAGEADOR PÉS SHIATSU BIVOLT HC012</v>
          </cell>
          <cell r="D837" t="str">
            <v>7898506477166</v>
          </cell>
          <cell r="E837" t="str">
            <v>9018.90.99</v>
          </cell>
        </row>
        <row r="838">
          <cell r="A838">
            <v>842</v>
          </cell>
          <cell r="B838" t="str">
            <v>TERMOMETRO PONTA FLEXIVEL MICKEY</v>
          </cell>
          <cell r="C838" t="str">
            <v>TERMOMETRO PONTA FLEXIVEL MICKEY</v>
          </cell>
          <cell r="D838" t="str">
            <v>7908414407374</v>
          </cell>
          <cell r="E838" t="str">
            <v>9018.90.99</v>
          </cell>
        </row>
        <row r="839">
          <cell r="A839">
            <v>843</v>
          </cell>
          <cell r="B839" t="str">
            <v>TERMOMETRO PONTA FLEXIVEL MINNIE</v>
          </cell>
          <cell r="C839" t="str">
            <v>TERMOMETRO PONTA FLEXIVEL MINNIE</v>
          </cell>
          <cell r="D839" t="str">
            <v>7908414407381</v>
          </cell>
          <cell r="E839" t="str">
            <v>9018.90.99</v>
          </cell>
        </row>
        <row r="840">
          <cell r="A840">
            <v>844</v>
          </cell>
          <cell r="B840" t="str">
            <v>ALMOFADA GEL QDR C/ENCOSTO</v>
          </cell>
          <cell r="C840" t="str">
            <v>ALMOFADA GEL QDR C/ENCOSTO</v>
          </cell>
          <cell r="D840" t="str">
            <v>7898915704167</v>
          </cell>
          <cell r="E840" t="str">
            <v>9021.10.99</v>
          </cell>
        </row>
        <row r="841">
          <cell r="A841">
            <v>846</v>
          </cell>
          <cell r="B841" t="str">
            <v>LUVA NIT S/PO MEDIX TAM. G- 100UN</v>
          </cell>
          <cell r="C841" t="str">
            <v>LUVA NIT S/PO MEDIX TAM. G- 100UN</v>
          </cell>
          <cell r="D841" t="str">
            <v>7898947170596</v>
          </cell>
          <cell r="E841" t="str">
            <v>4015.19.00</v>
          </cell>
        </row>
        <row r="842">
          <cell r="A842">
            <v>847</v>
          </cell>
          <cell r="B842" t="str">
            <v>CALÇA CINTA S P ABERT. PRETO G</v>
          </cell>
          <cell r="C842" t="str">
            <v>CALÇA CINTA S P ABERT. PRETO G</v>
          </cell>
          <cell r="D842" t="str">
            <v/>
          </cell>
          <cell r="E842" t="str">
            <v>6212.10.00</v>
          </cell>
        </row>
        <row r="843">
          <cell r="A843">
            <v>851</v>
          </cell>
          <cell r="B843" t="str">
            <v>TAMPOMPEMFIBRADEVIDRO</v>
          </cell>
          <cell r="C843" t="str">
            <v>TAMPOMPEMFIBRADEVIDRO</v>
          </cell>
          <cell r="D843" t="str">
            <v/>
          </cell>
          <cell r="E843" t="str">
            <v>3925.90.90</v>
          </cell>
        </row>
        <row r="844">
          <cell r="A844">
            <v>894</v>
          </cell>
          <cell r="B844" t="str">
            <v>SUPORTE DE FIXAÇAO DO MONITOR DE PRESSÃO</v>
          </cell>
          <cell r="C844" t="str">
            <v>SUPORTE DE FIXAÇAO DO MONITOR DE PRESSÃO</v>
          </cell>
          <cell r="D844" t="str">
            <v/>
          </cell>
          <cell r="E844" t="str">
            <v>3906.10.00</v>
          </cell>
        </row>
        <row r="845">
          <cell r="A845">
            <v>895</v>
          </cell>
          <cell r="B845" t="str">
            <v>SHAMPOO DE ARNICA 300ML MEDLEV</v>
          </cell>
          <cell r="C845" t="str">
            <v>SHAMPOO DE ARNICA 300ML MEDLEV</v>
          </cell>
          <cell r="D845" t="str">
            <v>7899032209870</v>
          </cell>
          <cell r="E845" t="str">
            <v>3305.10.00</v>
          </cell>
        </row>
        <row r="846">
          <cell r="A846">
            <v>896</v>
          </cell>
          <cell r="B846" t="str">
            <v>CREME DE MASSAGEM ARNICA 500G</v>
          </cell>
          <cell r="C846" t="str">
            <v>CREME DE MASSAGEM ARNICA 500G</v>
          </cell>
          <cell r="D846" t="str">
            <v>7899032209863</v>
          </cell>
          <cell r="E846" t="str">
            <v>3307.20.90</v>
          </cell>
        </row>
        <row r="847">
          <cell r="A847">
            <v>897</v>
          </cell>
          <cell r="B847" t="str">
            <v>MASCARA FITBOMB 500G</v>
          </cell>
          <cell r="C847" t="str">
            <v>MASCARA FITBOMB 500G</v>
          </cell>
          <cell r="D847" t="str">
            <v>7899032209986</v>
          </cell>
          <cell r="E847" t="str">
            <v>3307.20.90</v>
          </cell>
        </row>
        <row r="848">
          <cell r="A848">
            <v>898</v>
          </cell>
          <cell r="B848" t="str">
            <v>CREME DE MASSAGEM ARNICA 500G</v>
          </cell>
          <cell r="C848" t="str">
            <v>CREME DE MASSAGEM ARNICA 500G</v>
          </cell>
          <cell r="D848" t="str">
            <v/>
          </cell>
          <cell r="E848" t="str">
            <v>3307.20.90</v>
          </cell>
        </row>
        <row r="849">
          <cell r="A849">
            <v>900</v>
          </cell>
          <cell r="B849" t="str">
            <v>CONDICIONADOR DE ARNICA 300ML</v>
          </cell>
          <cell r="C849" t="str">
            <v>CONDICIONADOR DE ARNICA 300ML</v>
          </cell>
          <cell r="D849" t="str">
            <v>7899032209887</v>
          </cell>
          <cell r="E849" t="str">
            <v>3305.90.00</v>
          </cell>
        </row>
        <row r="850">
          <cell r="A850">
            <v>911</v>
          </cell>
          <cell r="B850" t="str">
            <v>TESTE RAP CHIKUNGUNYA IGM COMBO CX/30UN</v>
          </cell>
          <cell r="C850" t="str">
            <v>TESTE RAP CHIKUNGUNYA IGM COMBO CX/30UN</v>
          </cell>
          <cell r="D850" t="str">
            <v/>
          </cell>
          <cell r="E850" t="str">
            <v>3822.12.00</v>
          </cell>
        </row>
        <row r="851">
          <cell r="A851">
            <v>924</v>
          </cell>
          <cell r="B851" t="str">
            <v>BRAÇADEIRA BPA200 AFIB M-G 22-44</v>
          </cell>
          <cell r="C851" t="str">
            <v>BRAÇADEIRA BPA200 AFIB M-G 22-44</v>
          </cell>
          <cell r="D851" t="str">
            <v>7908007905539</v>
          </cell>
          <cell r="E851" t="str">
            <v>9018.90.69</v>
          </cell>
        </row>
        <row r="852">
          <cell r="A852">
            <v>925</v>
          </cell>
          <cell r="B852" t="str">
            <v>BRAÇADEIRA DE PULSO BPW100 MICROLIFE</v>
          </cell>
          <cell r="C852" t="str">
            <v>BRAÇADEIRA DE PULSO BPW100 MICROLIFE</v>
          </cell>
          <cell r="D852" t="str">
            <v>7908007905546</v>
          </cell>
          <cell r="E852" t="str">
            <v>9018.90.69</v>
          </cell>
        </row>
        <row r="853">
          <cell r="A853">
            <v>969</v>
          </cell>
          <cell r="B853" t="str">
            <v>LANCETA SIMPLES MEDLEV ML03 28G HUAHONG</v>
          </cell>
          <cell r="C853" t="str">
            <v>LANCETA SIMPLES MEDLEV ML03 28G HUAHONG</v>
          </cell>
          <cell r="D853" t="str">
            <v>7908007903610</v>
          </cell>
          <cell r="E853" t="str">
            <v>9018.39.99</v>
          </cell>
        </row>
        <row r="854">
          <cell r="A854">
            <v>970</v>
          </cell>
          <cell r="B854" t="str">
            <v>LANCETADOR ML03 MEDLEVENSOHN HUAHONG</v>
          </cell>
          <cell r="C854" t="str">
            <v>LANCETADOR ML03 MEDLEVENSOHN HUAHONG</v>
          </cell>
          <cell r="D854" t="str">
            <v>7908007903870</v>
          </cell>
          <cell r="E854" t="str">
            <v>9018.39.99</v>
          </cell>
        </row>
        <row r="855">
          <cell r="A855">
            <v>971</v>
          </cell>
          <cell r="B855" t="str">
            <v>TIRA GLIC OXIDASE ACCUGENCE 50T/1</v>
          </cell>
          <cell r="C855" t="str">
            <v>TIRA GLIC OXIDASE ACCUGENCE 50T/1</v>
          </cell>
          <cell r="D855" t="str">
            <v>6971404130959</v>
          </cell>
          <cell r="E855" t="str">
            <v>3822.19.20</v>
          </cell>
        </row>
        <row r="856">
          <cell r="A856">
            <v>973</v>
          </cell>
          <cell r="B856" t="str">
            <v>TIRA GLIC OXIDASE ACCUGENCE 50T/2</v>
          </cell>
          <cell r="C856" t="str">
            <v>TIRA GLIC OXIDASE ACCUGENCE 50T/2</v>
          </cell>
          <cell r="D856" t="str">
            <v/>
          </cell>
          <cell r="E856" t="str">
            <v>3822.19.20</v>
          </cell>
        </row>
        <row r="857">
          <cell r="A857">
            <v>975</v>
          </cell>
          <cell r="B857" t="str">
            <v>TIRA GLIC DEHYDROGENASE ACCUGENCE 50T/1</v>
          </cell>
          <cell r="C857" t="str">
            <v>TIRA GLIC DEHYDROGENASE ACCUGENCE 50T/1</v>
          </cell>
          <cell r="D857" t="str">
            <v>6971404130966</v>
          </cell>
          <cell r="E857" t="str">
            <v>3822.19.20</v>
          </cell>
        </row>
        <row r="858">
          <cell r="A858">
            <v>976</v>
          </cell>
          <cell r="B858" t="str">
            <v>TIRA GLIC DEHYDROGENASE ACCUGENCE 50T/2</v>
          </cell>
          <cell r="C858" t="str">
            <v>TIRA GLIC DEHYDROGENASE ACCUGENCE 50T/2</v>
          </cell>
          <cell r="D858" t="str">
            <v/>
          </cell>
          <cell r="E858" t="str">
            <v>3822.19.20</v>
          </cell>
        </row>
        <row r="859">
          <cell r="A859">
            <v>977</v>
          </cell>
          <cell r="B859" t="str">
            <v>MONITOR DE GLICOSE ACCUGENCE</v>
          </cell>
          <cell r="C859" t="str">
            <v>MONITOR DE GLICOSE ACCUGENCE</v>
          </cell>
          <cell r="D859" t="str">
            <v>6971404130973</v>
          </cell>
          <cell r="E859" t="str">
            <v>9027.89.99</v>
          </cell>
        </row>
        <row r="860">
          <cell r="A860">
            <v>978</v>
          </cell>
          <cell r="B860" t="str">
            <v>CABO USB ACCUGENCE</v>
          </cell>
          <cell r="C860" t="str">
            <v>CABO USB ACCUGENCE</v>
          </cell>
          <cell r="D860" t="str">
            <v/>
          </cell>
          <cell r="E860" t="str">
            <v>8544.42.00</v>
          </cell>
        </row>
        <row r="861">
          <cell r="A861">
            <v>987</v>
          </cell>
          <cell r="B861" t="str">
            <v>Botina Marluvas Vulcaflex N 36</v>
          </cell>
          <cell r="C861" t="str">
            <v>BOTINA MARLUVAS VULCAFLEX N 36</v>
          </cell>
          <cell r="D861" t="str">
            <v/>
          </cell>
          <cell r="E861" t="str">
            <v>6403.99.90</v>
          </cell>
        </row>
        <row r="862">
          <cell r="A862">
            <v>989</v>
          </cell>
          <cell r="B862" t="str">
            <v>Botina Marluvas Vulcaflex N 40</v>
          </cell>
          <cell r="C862" t="str">
            <v>BOTINA MARLUVAS VULCAFLEX N 40</v>
          </cell>
          <cell r="D862" t="str">
            <v/>
          </cell>
          <cell r="E862" t="str">
            <v>6403.99.90</v>
          </cell>
        </row>
        <row r="863">
          <cell r="A863">
            <v>999</v>
          </cell>
          <cell r="B863" t="str">
            <v>MONIT PRESS DIG HONSUN</v>
          </cell>
          <cell r="C863" t="str">
            <v>MONIT PRESS DIG HONSUN</v>
          </cell>
          <cell r="D863" t="str">
            <v/>
          </cell>
          <cell r="E863" t="str">
            <v>9018.90.69</v>
          </cell>
        </row>
        <row r="864">
          <cell r="A864">
            <v>1000</v>
          </cell>
          <cell r="B864" t="str">
            <v>VALVULA MONIT PRESS HONSUN</v>
          </cell>
          <cell r="C864" t="str">
            <v>VALVULA MONIT PRESS HONSUN</v>
          </cell>
          <cell r="D864" t="str">
            <v/>
          </cell>
          <cell r="E864" t="str">
            <v>9018.90.69</v>
          </cell>
        </row>
        <row r="865">
          <cell r="A865">
            <v>1001</v>
          </cell>
          <cell r="B865" t="str">
            <v>Botina Marluvas Vulcaflex N 39</v>
          </cell>
          <cell r="C865" t="str">
            <v>BOTINA MARLUVAS VULCAFLEX N 39</v>
          </cell>
          <cell r="D865" t="str">
            <v/>
          </cell>
          <cell r="E865" t="str">
            <v>6403.99.90</v>
          </cell>
        </row>
        <row r="866">
          <cell r="A866">
            <v>1078</v>
          </cell>
          <cell r="B866" t="str">
            <v>N-MEDTESTE AUTOTEST COVD AG 1UN ICOVN81H</v>
          </cell>
          <cell r="C866" t="str">
            <v>N-MEDTESTE AUTOTEST COVD AG 1UN ICOVN81H</v>
          </cell>
          <cell r="D866" t="str">
            <v>7908007905478</v>
          </cell>
          <cell r="E866" t="str">
            <v>3822.19.90</v>
          </cell>
        </row>
        <row r="867">
          <cell r="A867">
            <v>1104</v>
          </cell>
          <cell r="B867" t="str">
            <v>TESTE AG COVID19 FLOWFL CX/25UN ACON</v>
          </cell>
          <cell r="C867" t="str">
            <v>TESTE AG COVID19 FLOWFL CX/25UN ACON</v>
          </cell>
          <cell r="D867" t="str">
            <v>7908007905256</v>
          </cell>
          <cell r="E867" t="str">
            <v>3822.19.90</v>
          </cell>
        </row>
        <row r="868">
          <cell r="A868">
            <v>1165</v>
          </cell>
          <cell r="B868" t="str">
            <v>ADAPTADORES AC</v>
          </cell>
          <cell r="C868" t="str">
            <v>ADAPTADORES AC</v>
          </cell>
          <cell r="D868" t="str">
            <v/>
          </cell>
          <cell r="E868" t="str">
            <v>9018.90.69</v>
          </cell>
        </row>
        <row r="869">
          <cell r="A869">
            <v>1166</v>
          </cell>
          <cell r="B869" t="str">
            <v>BRACADEIRAS TAM.22CM-32CM</v>
          </cell>
          <cell r="C869" t="str">
            <v>BRACADEIRAS TAM.22CM-32CM</v>
          </cell>
          <cell r="D869" t="str">
            <v/>
          </cell>
          <cell r="E869" t="str">
            <v>9018.90.69</v>
          </cell>
        </row>
        <row r="870">
          <cell r="A870">
            <v>1171</v>
          </cell>
          <cell r="B870" t="str">
            <v>AUTOTESTE COVID19 AG FLOWFLEX 1UND</v>
          </cell>
          <cell r="C870" t="str">
            <v>AUTOTESTE COVID19 AG FLOWFLEX 1UND</v>
          </cell>
          <cell r="D870" t="str">
            <v/>
          </cell>
          <cell r="E870" t="str">
            <v>3822.19.90</v>
          </cell>
        </row>
        <row r="871">
          <cell r="A871">
            <v>1175</v>
          </cell>
          <cell r="B871" t="str">
            <v>ADAPTADOR AC HONSUN</v>
          </cell>
          <cell r="C871" t="str">
            <v>ADAPTADOR AC HONSUN</v>
          </cell>
          <cell r="D871" t="str">
            <v/>
          </cell>
          <cell r="E871" t="str">
            <v>9018.90.69</v>
          </cell>
        </row>
        <row r="872">
          <cell r="A872">
            <v>1176</v>
          </cell>
          <cell r="B872" t="str">
            <v>BRAÇADEIRA 22X32CM HONSUN</v>
          </cell>
          <cell r="C872" t="str">
            <v>BRAÇADEIRA 22X32CM HONSUN</v>
          </cell>
          <cell r="D872" t="str">
            <v/>
          </cell>
          <cell r="E872" t="str">
            <v>9018.90.69</v>
          </cell>
        </row>
        <row r="873">
          <cell r="A873">
            <v>1221</v>
          </cell>
          <cell r="B873" t="str">
            <v>AROMATIZADORAMBIENTELAVANDA120ML</v>
          </cell>
          <cell r="C873" t="str">
            <v>AROMATIZADORAMBIENTELAVANDA120ML</v>
          </cell>
          <cell r="D873" t="str">
            <v/>
          </cell>
          <cell r="E873" t="str">
            <v>3307.49.00</v>
          </cell>
        </row>
        <row r="874">
          <cell r="A874">
            <v>1222</v>
          </cell>
          <cell r="B874" t="str">
            <v>GELANTISSEPTICOALCOOL50GRAFFINITA</v>
          </cell>
          <cell r="C874" t="str">
            <v>GELANTISSEPTICOALCOOL50GRAFFINITA</v>
          </cell>
          <cell r="D874" t="str">
            <v/>
          </cell>
          <cell r="E874" t="str">
            <v>3808.94.29</v>
          </cell>
        </row>
        <row r="875">
          <cell r="A875">
            <v>1223</v>
          </cell>
          <cell r="B875" t="str">
            <v>OLEOARGAN60MLAFFINITA</v>
          </cell>
          <cell r="C875" t="str">
            <v>OLEOARGAN60MLAFFINITA</v>
          </cell>
          <cell r="D875" t="str">
            <v/>
          </cell>
          <cell r="E875" t="str">
            <v>3301.90.10</v>
          </cell>
        </row>
        <row r="876">
          <cell r="A876">
            <v>1224</v>
          </cell>
          <cell r="B876" t="str">
            <v>AGUA MICELAR 200ML</v>
          </cell>
          <cell r="C876" t="str">
            <v>AGUA MICELAR 200ML</v>
          </cell>
          <cell r="D876" t="str">
            <v/>
          </cell>
          <cell r="E876" t="str">
            <v>3401.30.00</v>
          </cell>
        </row>
        <row r="877">
          <cell r="A877">
            <v>1232</v>
          </cell>
          <cell r="B877" t="str">
            <v>CAMINH FURG SPRINTER 313 STREET DIESEL</v>
          </cell>
          <cell r="C877" t="str">
            <v>CAMINH FURG SPRINTER 313 STREET DIESEL</v>
          </cell>
          <cell r="D877" t="str">
            <v/>
          </cell>
          <cell r="E877" t="str">
            <v>8704.21.90</v>
          </cell>
        </row>
        <row r="878">
          <cell r="A878">
            <v>1257</v>
          </cell>
          <cell r="B878" t="str">
            <v>TESTE RÁPIDO STREP A INLAB</v>
          </cell>
          <cell r="C878" t="str">
            <v>TESTE RÁPIDO STREP A INLAB</v>
          </cell>
          <cell r="D878" t="str">
            <v/>
          </cell>
          <cell r="E878" t="str">
            <v>3822.19.10</v>
          </cell>
        </row>
        <row r="879">
          <cell r="A879">
            <v>1258</v>
          </cell>
          <cell r="B879" t="str">
            <v>MACACÃO DE PROT TYVEK COVERTECH TAM. G</v>
          </cell>
          <cell r="C879" t="str">
            <v>MACACÃO DE PROT TYVEK COVERTECH TAM. G</v>
          </cell>
          <cell r="D879" t="str">
            <v/>
          </cell>
          <cell r="E879" t="str">
            <v>6210.10.00</v>
          </cell>
        </row>
        <row r="880">
          <cell r="A880">
            <v>1259</v>
          </cell>
          <cell r="B880" t="str">
            <v>MACACÃO DE PROT TYVEK COVERTECH TAM. EG</v>
          </cell>
          <cell r="C880" t="str">
            <v>MACACÃO DE PROT TYVEK COVERTECH TAM. EG</v>
          </cell>
          <cell r="D880" t="str">
            <v/>
          </cell>
          <cell r="E880" t="str">
            <v>6210.10.00</v>
          </cell>
        </row>
        <row r="881">
          <cell r="A881">
            <v>1273</v>
          </cell>
          <cell r="B881" t="str">
            <v>HD-TIRA/2 GLIC FRASC 50 BRANCA OCPIICX50</v>
          </cell>
          <cell r="C881" t="str">
            <v>HD-TIRA/2 GLIC FRASC 50 BRANCA OCPIICX50</v>
          </cell>
          <cell r="D881" t="str">
            <v>7908007901166</v>
          </cell>
          <cell r="E881" t="str">
            <v>3822.19.20</v>
          </cell>
        </row>
        <row r="882">
          <cell r="A882">
            <v>1274</v>
          </cell>
          <cell r="B882" t="str">
            <v>HD-TIRA/2 GLIC IND 25 BRANCA OCPIICX25</v>
          </cell>
          <cell r="C882" t="str">
            <v>HD-TIRA/2 GLIC IND 25 BRANCA OCPIICX25</v>
          </cell>
          <cell r="D882" t="str">
            <v/>
          </cell>
          <cell r="E882" t="str">
            <v>3822.19.20</v>
          </cell>
        </row>
        <row r="883">
          <cell r="A883">
            <v>1281</v>
          </cell>
          <cell r="B883" t="str">
            <v>MACACÃO DE PROT TYVEK COVERTECH TAM. G</v>
          </cell>
          <cell r="C883" t="str">
            <v>MACACÃO DE PROT TYVEK COVERTECH TAM. G</v>
          </cell>
          <cell r="D883" t="str">
            <v/>
          </cell>
          <cell r="E883" t="str">
            <v>6210.10.00</v>
          </cell>
        </row>
        <row r="884">
          <cell r="A884">
            <v>1282</v>
          </cell>
          <cell r="B884" t="str">
            <v>MACACÃO DE PROT TYVEK COVERTECH TAM. EG</v>
          </cell>
          <cell r="C884" t="str">
            <v>MACACÃO DE PROT TYVEK COVERTECH TAM. EG</v>
          </cell>
          <cell r="D884" t="str">
            <v/>
          </cell>
          <cell r="E884" t="str">
            <v>6210.10.00</v>
          </cell>
        </row>
        <row r="885">
          <cell r="A885">
            <v>1305</v>
          </cell>
          <cell r="B885" t="str">
            <v>TESTE DETEC QUALIT DE ALCOOL DALC-S81</v>
          </cell>
          <cell r="C885" t="str">
            <v>TESTE DETEC QUALIT DE ALCOOL DALC-S81</v>
          </cell>
          <cell r="D885" t="str">
            <v/>
          </cell>
          <cell r="E885" t="str">
            <v>3822.90.00</v>
          </cell>
        </row>
        <row r="886">
          <cell r="A886">
            <v>1327</v>
          </cell>
          <cell r="B886" t="str">
            <v>N-MEDTESTE DENGUE IGGIGMIDEN-C42CX25</v>
          </cell>
          <cell r="C886" t="str">
            <v>N-MEDTESTE DENGUE IGGIGMIDEN-C42CX25</v>
          </cell>
          <cell r="D886" t="str">
            <v>7898919506361</v>
          </cell>
          <cell r="E886" t="str">
            <v>3822.12.00</v>
          </cell>
        </row>
        <row r="887">
          <cell r="A887">
            <v>1328</v>
          </cell>
          <cell r="B887" t="str">
            <v>N-MEDTESTE DENGUE ABAG COMB IDGCC43 CX25</v>
          </cell>
          <cell r="C887" t="str">
            <v>N-MEDTESTE DENGUE ABAG COMB IDGCC43 CX25</v>
          </cell>
          <cell r="D887" t="str">
            <v>7908007900527</v>
          </cell>
          <cell r="E887" t="str">
            <v>3822.12.00</v>
          </cell>
        </row>
        <row r="888">
          <cell r="A888">
            <v>1329</v>
          </cell>
          <cell r="B888" t="str">
            <v>N-MEDTESTE DENGUE NS1 IDEG-C41CX25</v>
          </cell>
          <cell r="C888" t="str">
            <v>N-MEDTESTE DENGUE NS1 IDEG-C41CX25</v>
          </cell>
          <cell r="D888" t="str">
            <v/>
          </cell>
          <cell r="E888" t="str">
            <v>3822.12.00</v>
          </cell>
        </row>
        <row r="889">
          <cell r="A889">
            <v>1330</v>
          </cell>
          <cell r="B889" t="str">
            <v>N-MEDTESTE ZIKA IGGIGMIZGM-C42CX25</v>
          </cell>
          <cell r="C889" t="str">
            <v>N-MEDTESTE ZIKA IGGIGMIZGM-C42CX25</v>
          </cell>
          <cell r="D889" t="str">
            <v/>
          </cell>
          <cell r="E889" t="str">
            <v>3822.12.00</v>
          </cell>
        </row>
        <row r="890">
          <cell r="A890">
            <v>1331</v>
          </cell>
          <cell r="B890" t="str">
            <v>N-MEDTESTE HBSAG ML-02 IHBSGC41 CX25</v>
          </cell>
          <cell r="C890" t="str">
            <v>N-MEDTESTE HBSAG ML-02 IHBSGC41 CX25</v>
          </cell>
          <cell r="D890" t="str">
            <v>7908007903474</v>
          </cell>
          <cell r="E890" t="str">
            <v>3822.19.90</v>
          </cell>
        </row>
        <row r="891">
          <cell r="A891">
            <v>1332</v>
          </cell>
          <cell r="B891" t="str">
            <v>N-MEDTESTE STREP A ISTARS81 CX25</v>
          </cell>
          <cell r="C891" t="str">
            <v>N-MEDTESTE STREP A ISTARS81 CX25</v>
          </cell>
          <cell r="D891" t="str">
            <v>7908007904891</v>
          </cell>
          <cell r="E891" t="str">
            <v>3822.19.90</v>
          </cell>
        </row>
        <row r="892">
          <cell r="A892">
            <v>1344</v>
          </cell>
          <cell r="B892" t="str">
            <v>LOCAO DE CALENDULA 300ML MEDLEV</v>
          </cell>
          <cell r="C892" t="str">
            <v>LOCAO DE CALENDULA 300ML MEDLEV</v>
          </cell>
          <cell r="D892" t="str">
            <v/>
          </cell>
          <cell r="E892" t="str">
            <v>3307.20.90</v>
          </cell>
        </row>
        <row r="893">
          <cell r="A893">
            <v>1345</v>
          </cell>
          <cell r="B893" t="str">
            <v>LOCAO DE PIMENTA NEGRA 500G MEDLEV</v>
          </cell>
          <cell r="C893" t="str">
            <v>LOCAO DE PIMENTA NEGRA 500G MEDLEV</v>
          </cell>
          <cell r="D893" t="str">
            <v/>
          </cell>
          <cell r="E893" t="str">
            <v>3307.20.90</v>
          </cell>
        </row>
        <row r="894">
          <cell r="A894">
            <v>1346</v>
          </cell>
          <cell r="B894" t="str">
            <v>N-TESTE RAP AG COVID19 FLOWFLEX ACON</v>
          </cell>
          <cell r="C894" t="str">
            <v>N-TESTE RAP AG COVID19 FLOWFLEX ACON</v>
          </cell>
          <cell r="D894" t="str">
            <v/>
          </cell>
          <cell r="E894" t="str">
            <v>3822.19.90</v>
          </cell>
        </row>
        <row r="895">
          <cell r="A895">
            <v>1368</v>
          </cell>
          <cell r="B895" t="str">
            <v>SERVIÇO DE TESTAGEM PROGRAMADA 4.02</v>
          </cell>
          <cell r="C895" t="str">
            <v>SERVIÇO DE TESTAGEM PROGRAMADA 4.02</v>
          </cell>
          <cell r="D895" t="str">
            <v/>
          </cell>
          <cell r="E895" t="str">
            <v>0000.00.00</v>
          </cell>
        </row>
        <row r="896">
          <cell r="A896">
            <v>1378</v>
          </cell>
          <cell r="B896" t="str">
            <v>SERVIÇO DE TESTAGEM PROGRAMADA 4.06</v>
          </cell>
          <cell r="C896" t="str">
            <v>SERVIÇO DE TESTAGEM PROGRAMADA 4.06</v>
          </cell>
          <cell r="D896" t="str">
            <v/>
          </cell>
          <cell r="E896" t="str">
            <v>0000.00.00</v>
          </cell>
        </row>
        <row r="897">
          <cell r="A897">
            <v>1379</v>
          </cell>
          <cell r="B897" t="str">
            <v>LAMINA BISTURI  NR10 C/100 STERILANCE</v>
          </cell>
          <cell r="C897" t="str">
            <v>LAMINA BISTURI  NR10 C/100 STERILANCE</v>
          </cell>
          <cell r="D897" t="str">
            <v>17899780121377</v>
          </cell>
          <cell r="E897" t="str">
            <v>9018.90.29</v>
          </cell>
        </row>
        <row r="898">
          <cell r="A898">
            <v>1380</v>
          </cell>
          <cell r="B898" t="str">
            <v>LAMINA BISTURI  NR12  C/100 STERILANCE</v>
          </cell>
          <cell r="C898" t="str">
            <v>LAMINA BISTURI  NR12  C/100 STERILANCE</v>
          </cell>
          <cell r="D898" t="str">
            <v>17899780121391</v>
          </cell>
          <cell r="E898" t="str">
            <v>9018.90.29</v>
          </cell>
        </row>
        <row r="899">
          <cell r="A899">
            <v>1401</v>
          </cell>
          <cell r="B899" t="str">
            <v>MEDTESTE GIÁRDIA IGL-C61</v>
          </cell>
          <cell r="C899" t="str">
            <v>MEDTESTE GIÁRDIA IGL-C61</v>
          </cell>
          <cell r="D899" t="str">
            <v/>
          </cell>
          <cell r="E899" t="str">
            <v/>
          </cell>
        </row>
        <row r="900">
          <cell r="A900">
            <v>1402</v>
          </cell>
          <cell r="B900" t="str">
            <v>TIRA GLIC 25T INDIV EXTRA ACON G13511H</v>
          </cell>
          <cell r="C900" t="str">
            <v>TIRA GLIC 25T INDIV EXTRA ACON G13511H</v>
          </cell>
          <cell r="D900" t="str">
            <v/>
          </cell>
          <cell r="E900" t="str">
            <v>3822.00.90</v>
          </cell>
        </row>
        <row r="901">
          <cell r="A901">
            <v>1403</v>
          </cell>
          <cell r="B901" t="str">
            <v>TIRA GLIC 50T FRASC EXTRA ACON G13510H</v>
          </cell>
          <cell r="C901" t="str">
            <v>TIRA GLIC 50T FRASC EXTRA ACON G13510H</v>
          </cell>
          <cell r="D901" t="str">
            <v/>
          </cell>
          <cell r="E901" t="str">
            <v>3822.00.90</v>
          </cell>
        </row>
        <row r="902">
          <cell r="A902">
            <v>1404</v>
          </cell>
          <cell r="B902" t="str">
            <v>MONITOR GLIC SIMPLES EXTRA ACON G115-13T</v>
          </cell>
          <cell r="C902" t="str">
            <v>MONITOR GLIC SIMPLES EXTRA ACON G115-13T</v>
          </cell>
          <cell r="D902" t="str">
            <v/>
          </cell>
          <cell r="E902" t="str">
            <v>9027.80.99</v>
          </cell>
        </row>
        <row r="903">
          <cell r="A903">
            <v>1405</v>
          </cell>
          <cell r="B903" t="str">
            <v>MONITOR GLIC SEMI EXTRA ACON G115-12T</v>
          </cell>
          <cell r="C903" t="str">
            <v>MONITOR GLIC SEMI EXTRA ACON G115-12T</v>
          </cell>
          <cell r="D903" t="str">
            <v/>
          </cell>
          <cell r="E903" t="str">
            <v>9027.80.99</v>
          </cell>
        </row>
        <row r="904">
          <cell r="A904">
            <v>1407</v>
          </cell>
          <cell r="B904" t="str">
            <v>MEDTESTE CLAMIDIA CX/C 25 TESTES WCHL-C7</v>
          </cell>
          <cell r="C904" t="str">
            <v>MEDTESTE CLAMIDIA CX/C 25 TESTES WCHL-C7</v>
          </cell>
          <cell r="D904" t="str">
            <v/>
          </cell>
          <cell r="E904" t="str">
            <v>3822.19.90</v>
          </cell>
        </row>
        <row r="905">
          <cell r="A905">
            <v>1413</v>
          </cell>
          <cell r="B905" t="str">
            <v>MEDTESTE CLOSTRIDIUM CX/25 ICGT-C63</v>
          </cell>
          <cell r="C905" t="str">
            <v>MEDTESTE CLOSTRIDIUM CX/25 ICGT-C63</v>
          </cell>
          <cell r="D905" t="str">
            <v/>
          </cell>
          <cell r="E905" t="str">
            <v>3822.19.90</v>
          </cell>
        </row>
        <row r="906">
          <cell r="A906">
            <v>1426</v>
          </cell>
          <cell r="B906" t="str">
            <v>MEDTESTE CITOMEGALOVÍRUS CX25 WCGM-MC32</v>
          </cell>
          <cell r="C906" t="str">
            <v>MEDTESTE CITOMEGALOVÍRUS CX25 WCGM-MC32</v>
          </cell>
          <cell r="D906" t="str">
            <v/>
          </cell>
          <cell r="E906" t="str">
            <v>3822.19.90</v>
          </cell>
        </row>
        <row r="907">
          <cell r="A907">
            <v>1429</v>
          </cell>
          <cell r="B907" t="str">
            <v>MEDTESTE CALPROTECTINA CX/25UN PCAP-MC63</v>
          </cell>
          <cell r="C907" t="str">
            <v>MEDTESTE CALPROTECTINA CX/25UN PCAP-MC63</v>
          </cell>
          <cell r="D907" t="str">
            <v/>
          </cell>
          <cell r="E907" t="str">
            <v>3822.19.90</v>
          </cell>
        </row>
        <row r="908">
          <cell r="A908">
            <v>1430</v>
          </cell>
          <cell r="B908" t="str">
            <v>MEDTESTE STREP B CX25 WSTB-C71</v>
          </cell>
          <cell r="C908" t="str">
            <v>MEDTESTE STREP B CX25 WSTB-C71</v>
          </cell>
          <cell r="D908" t="str">
            <v/>
          </cell>
          <cell r="E908" t="str">
            <v>3822.19.90</v>
          </cell>
        </row>
        <row r="909">
          <cell r="A909">
            <v>1431</v>
          </cell>
          <cell r="B909" t="str">
            <v>MEDTESTE RSV CX/25UN IRSV-C81</v>
          </cell>
          <cell r="C909" t="str">
            <v>MEDTESTE RSV CX/25UN IRSV-C81</v>
          </cell>
          <cell r="D909" t="str">
            <v/>
          </cell>
          <cell r="E909" t="str">
            <v>3822.19.90</v>
          </cell>
        </row>
        <row r="910">
          <cell r="A910">
            <v>1432</v>
          </cell>
          <cell r="B910" t="str">
            <v>MEDTESTE ROTAVIRUS CX25 IROT-C61</v>
          </cell>
          <cell r="C910" t="str">
            <v>MEDTESTE ROTAVIRUS CX25 IROT-C61</v>
          </cell>
          <cell r="D910" t="str">
            <v/>
          </cell>
          <cell r="E910" t="str">
            <v>3822.19.90</v>
          </cell>
        </row>
        <row r="911">
          <cell r="A911">
            <v>1433</v>
          </cell>
          <cell r="B911" t="str">
            <v>MEDTESTE COVID-19 + INFLUENZA ICFG-MC83</v>
          </cell>
          <cell r="C911" t="str">
            <v>MEDTESTE COVID-19 + INFLUENZA ICFG-MC83</v>
          </cell>
          <cell r="D911" t="str">
            <v/>
          </cell>
          <cell r="E911" t="str">
            <v>3822.19.90</v>
          </cell>
        </row>
        <row r="912">
          <cell r="A912">
            <v>1435</v>
          </cell>
          <cell r="B912" t="str">
            <v>MEDTESTE GIÁRDIA IGL-C61</v>
          </cell>
          <cell r="C912" t="str">
            <v>MEDTESTE GIÁRDIA IGL-C61</v>
          </cell>
          <cell r="D912" t="str">
            <v/>
          </cell>
          <cell r="E912" t="str">
            <v>3822.19.90</v>
          </cell>
        </row>
        <row r="913">
          <cell r="A913">
            <v>1456</v>
          </cell>
          <cell r="B913" t="str">
            <v>MED WELLION LUNA DUO AMAREL WELL604DYBR+</v>
          </cell>
          <cell r="C913" t="str">
            <v>MED WELLION LUNA DUO AMAREL WELL604DYBR+</v>
          </cell>
          <cell r="D913" t="str">
            <v>9120072863592</v>
          </cell>
          <cell r="E913" t="str">
            <v>9027.80.99</v>
          </cell>
        </row>
        <row r="914">
          <cell r="A914">
            <v>1458</v>
          </cell>
          <cell r="B914" t="str">
            <v>BISNAGA B60 BRANCA -CREME P/MAOS VEROMED</v>
          </cell>
          <cell r="C914" t="str">
            <v>BISNAGA B60 BRANCA -CREME P/MAOS VEROMED</v>
          </cell>
          <cell r="D914" t="str">
            <v/>
          </cell>
          <cell r="E914" t="str">
            <v>3923.30.90</v>
          </cell>
        </row>
        <row r="915">
          <cell r="A915">
            <v>1461</v>
          </cell>
          <cell r="B915" t="str">
            <v>TAMPA PARA BISNAGA COM FLIP TOP PEQ. BRA</v>
          </cell>
          <cell r="C915" t="str">
            <v>TAMPA PARA BISNAGA COM FLIP TOP PEQ. BRA</v>
          </cell>
          <cell r="D915" t="str">
            <v/>
          </cell>
          <cell r="E915" t="str">
            <v>3923.50.00</v>
          </cell>
        </row>
        <row r="916">
          <cell r="A916">
            <v>1462</v>
          </cell>
          <cell r="B916" t="str">
            <v>TIRA GLICOSE FRASCO 50 AMARELA OCPI</v>
          </cell>
          <cell r="C916" t="str">
            <v>TIRA GLICOSE FRASCO 50 AMARELA OCPI</v>
          </cell>
          <cell r="D916" t="str">
            <v/>
          </cell>
          <cell r="E916" t="str">
            <v>3822.19.20</v>
          </cell>
        </row>
        <row r="917">
          <cell r="A917">
            <v>1470</v>
          </cell>
          <cell r="B917" t="str">
            <v>CREME DESODORANTE P/ MAOS VEROMED IND</v>
          </cell>
          <cell r="C917" t="str">
            <v>CREME DESODORANTE P/ MAOS VEROMED IND</v>
          </cell>
          <cell r="D917" t="str">
            <v>7899032211842</v>
          </cell>
          <cell r="E917" t="str">
            <v>3307.20.90</v>
          </cell>
        </row>
        <row r="918">
          <cell r="A918">
            <v>1481</v>
          </cell>
          <cell r="B918" t="str">
            <v>MEDIDOR DE PRES. DIGITAL DE BRACO MB50</v>
          </cell>
          <cell r="C918" t="str">
            <v>MEDIDOR DE PRES. DIGITAL DE BRACO MB50</v>
          </cell>
          <cell r="D918" t="str">
            <v/>
          </cell>
          <cell r="E918" t="str">
            <v>9018.90.69</v>
          </cell>
        </row>
        <row r="919">
          <cell r="A919">
            <v>1491</v>
          </cell>
          <cell r="B919" t="str">
            <v>N-MEDTESTE MALARIA IMPN-C52CX20</v>
          </cell>
          <cell r="C919" t="str">
            <v>N-MEDTESTE MALARIA IMPN-C52CX20</v>
          </cell>
          <cell r="D919" t="str">
            <v/>
          </cell>
          <cell r="E919" t="str">
            <v>3822.11.00</v>
          </cell>
        </row>
        <row r="920">
          <cell r="A920">
            <v>1492</v>
          </cell>
          <cell r="B920" t="str">
            <v>N-MEDTESTE CHIKUNGUN IGGIGM ICKGC42 CX25</v>
          </cell>
          <cell r="C920" t="str">
            <v>N-MEDTESTE CHIKUNGUN IGGIGM ICKGC42 CX25</v>
          </cell>
          <cell r="D920" t="str">
            <v/>
          </cell>
          <cell r="E920" t="str">
            <v>3822.12.00</v>
          </cell>
        </row>
        <row r="921">
          <cell r="A921">
            <v>1493</v>
          </cell>
          <cell r="B921" t="str">
            <v>N-MEDTESTE HPYLORI IHPB-C41CX25</v>
          </cell>
          <cell r="C921" t="str">
            <v>N-MEDTESTE HPYLORI IHPB-C41CX25</v>
          </cell>
          <cell r="D921" t="str">
            <v>7908007900213</v>
          </cell>
          <cell r="E921" t="str">
            <v>3822.19.90</v>
          </cell>
        </row>
        <row r="922">
          <cell r="A922">
            <v>1494</v>
          </cell>
          <cell r="B922" t="str">
            <v>N-MEDTESTE GRAVIDEZ HCGWHCG-S11H UNIDADE</v>
          </cell>
          <cell r="C922" t="str">
            <v>N-MEDTESTE GRAVIDEZ HCGWHCG-S11H UNIDADE</v>
          </cell>
          <cell r="D922" t="str">
            <v/>
          </cell>
          <cell r="E922" t="str">
            <v>3822.19.90</v>
          </cell>
        </row>
        <row r="923">
          <cell r="A923">
            <v>1497</v>
          </cell>
          <cell r="B923" t="str">
            <v>N-MEDTESTE HCG REFWHCG-S2125MIU/MLCX100</v>
          </cell>
          <cell r="C923" t="str">
            <v>N-MEDTESTE HCG REFWHCG-S2125MIU/MLCX100</v>
          </cell>
          <cell r="D923" t="str">
            <v/>
          </cell>
          <cell r="E923" t="str">
            <v>3822.19.90</v>
          </cell>
        </row>
        <row r="924">
          <cell r="A924">
            <v>1498</v>
          </cell>
          <cell r="B924" t="str">
            <v>N-MEDTESTE HCV IHCV-C31CX25</v>
          </cell>
          <cell r="C924" t="str">
            <v>N-MEDTESTE HCV IHCV-C31CX25</v>
          </cell>
          <cell r="D924" t="str">
            <v>7908007900312</v>
          </cell>
          <cell r="E924" t="str">
            <v>3822.19.90</v>
          </cell>
        </row>
        <row r="925">
          <cell r="A925">
            <v>1499</v>
          </cell>
          <cell r="B925" t="str">
            <v>N-MEDTESTE HIV 1.2.0IHIV-C42CX25</v>
          </cell>
          <cell r="C925" t="str">
            <v>N-MEDTESTE HIV 1.2.0IHIV-C42CX25</v>
          </cell>
          <cell r="D925" t="str">
            <v/>
          </cell>
          <cell r="E925" t="str">
            <v>3822.19.90</v>
          </cell>
        </row>
        <row r="926">
          <cell r="A926">
            <v>1500</v>
          </cell>
          <cell r="B926" t="str">
            <v>N-MEDTESTE HSV IGMWHSM-C31CX25</v>
          </cell>
          <cell r="C926" t="str">
            <v>N-MEDTESTE HSV IGMWHSM-C31CX25</v>
          </cell>
          <cell r="D926" t="str">
            <v/>
          </cell>
          <cell r="E926" t="str">
            <v>3822.19.90</v>
          </cell>
        </row>
        <row r="927">
          <cell r="A927">
            <v>1501</v>
          </cell>
          <cell r="B927" t="str">
            <v>N-MEDTESTE SANGUE OCULTO OFOB-C61CX25</v>
          </cell>
          <cell r="C927" t="str">
            <v>N-MEDTESTE SANGUE OCULTO OFOB-C61CX25</v>
          </cell>
          <cell r="D927" t="str">
            <v>7908007900237</v>
          </cell>
          <cell r="E927" t="str">
            <v>3822.19.90</v>
          </cell>
        </row>
        <row r="928">
          <cell r="A928">
            <v>1502</v>
          </cell>
          <cell r="B928" t="str">
            <v>N-MEDTESTE SIFILIS ISYP-C41CX25</v>
          </cell>
          <cell r="C928" t="str">
            <v>N-MEDTESTE SIFILIS ISYP-C41CX25</v>
          </cell>
          <cell r="D928" t="str">
            <v/>
          </cell>
          <cell r="E928" t="str">
            <v>3822.19.90</v>
          </cell>
        </row>
        <row r="929">
          <cell r="A929">
            <v>1504</v>
          </cell>
          <cell r="B929" t="str">
            <v>N-MEDTESTE TROPONINA CARDI CNTI-C41CX25</v>
          </cell>
          <cell r="C929" t="str">
            <v>N-MEDTESTE TROPONINA CARDI CNTI-C41CX25</v>
          </cell>
          <cell r="D929" t="str">
            <v/>
          </cell>
          <cell r="E929" t="str">
            <v>3822.19.90</v>
          </cell>
        </row>
        <row r="930">
          <cell r="A930">
            <v>1505</v>
          </cell>
          <cell r="B930" t="str">
            <v>N-MEDTESTE ROTAVIRUS CX25 IROT-C61</v>
          </cell>
          <cell r="C930" t="str">
            <v>N-MEDTESTE ROTAVIRUS CX25 IROT-C61</v>
          </cell>
          <cell r="D930" t="str">
            <v>7908007905379</v>
          </cell>
          <cell r="E930" t="str">
            <v>3822.19.90</v>
          </cell>
        </row>
        <row r="931">
          <cell r="A931">
            <v>1506</v>
          </cell>
          <cell r="B931" t="str">
            <v>N-MEDTESTE GIARDIA IGL-C61 CX25</v>
          </cell>
          <cell r="C931" t="str">
            <v>N-MEDTESTE GIARDIA IGL-C61 CX25</v>
          </cell>
          <cell r="D931" t="str">
            <v>7908007905355</v>
          </cell>
          <cell r="E931" t="str">
            <v>3822.19.90</v>
          </cell>
        </row>
        <row r="932">
          <cell r="A932">
            <v>1507</v>
          </cell>
          <cell r="B932" t="str">
            <v>N-MEDTESTE CLOSTRIDIUM DIF ICGT-C63 CX20</v>
          </cell>
          <cell r="C932" t="str">
            <v>N-MEDTESTE CLOSTRIDIUM DIF ICGT-C63 CX20</v>
          </cell>
          <cell r="D932" t="str">
            <v>7908007905416</v>
          </cell>
          <cell r="E932" t="str">
            <v>3822.19.90</v>
          </cell>
        </row>
        <row r="933">
          <cell r="A933">
            <v>1508</v>
          </cell>
          <cell r="B933" t="str">
            <v>N-MEDTESTE CITOMEGA IGGIGM WCGMMC32 CX25</v>
          </cell>
          <cell r="C933" t="str">
            <v>N-MEDTESTE CITOMEGA IGGIGM WCGMMC32 CX25</v>
          </cell>
          <cell r="D933" t="str">
            <v>7908007905430</v>
          </cell>
          <cell r="E933" t="str">
            <v>3822.19.90</v>
          </cell>
        </row>
        <row r="934">
          <cell r="A934">
            <v>1509</v>
          </cell>
          <cell r="B934" t="str">
            <v>N-MEDTESTE CLAMIDIA WCHL-C71 CX25</v>
          </cell>
          <cell r="C934" t="str">
            <v>N-MEDTESTE CLAMIDIA WCHL-C71 CX25</v>
          </cell>
          <cell r="D934" t="str">
            <v>7908007905454</v>
          </cell>
          <cell r="E934" t="str">
            <v>3822.19.90</v>
          </cell>
        </row>
        <row r="935">
          <cell r="A935">
            <v>1510</v>
          </cell>
          <cell r="B935" t="str">
            <v>N-MEDTESTE CALPROTECTINA PCAP-MC63 CX25</v>
          </cell>
          <cell r="C935" t="str">
            <v>N-MEDTESTE CALPROTECTINA PCAP-MC63 CX25</v>
          </cell>
          <cell r="D935" t="str">
            <v>7908007905331</v>
          </cell>
          <cell r="E935" t="str">
            <v>3822.12.00</v>
          </cell>
        </row>
        <row r="936">
          <cell r="A936">
            <v>1511</v>
          </cell>
          <cell r="B936" t="str">
            <v>N-MEDTESTE STREP B WSTB-C71 CX25</v>
          </cell>
          <cell r="C936" t="str">
            <v>N-MEDTESTE STREP B WSTB-C71 CX25</v>
          </cell>
          <cell r="D936" t="str">
            <v>7908007905492</v>
          </cell>
          <cell r="E936" t="str">
            <v>3822.19.90</v>
          </cell>
        </row>
        <row r="937">
          <cell r="A937">
            <v>1512</v>
          </cell>
          <cell r="B937" t="str">
            <v>N-MEDTESTE RSV ANTIGENO IRSV-C81 CX25</v>
          </cell>
          <cell r="C937" t="str">
            <v>N-MEDTESTE RSV ANTIGENO IRSV-C81 CX25</v>
          </cell>
          <cell r="D937" t="str">
            <v>7908007905393</v>
          </cell>
          <cell r="E937" t="str">
            <v>3822.19.90</v>
          </cell>
        </row>
        <row r="938">
          <cell r="A938">
            <v>1513</v>
          </cell>
          <cell r="B938" t="str">
            <v>N-MEDTESTE COV19+INFL COMB ICFGMC83 CX25</v>
          </cell>
          <cell r="C938" t="str">
            <v>N-MEDTESTE COV19+INFL COMB ICFGMC83 CX25</v>
          </cell>
          <cell r="D938" t="str">
            <v>7908007905522</v>
          </cell>
          <cell r="E938" t="str">
            <v>3822.19.90</v>
          </cell>
        </row>
        <row r="939">
          <cell r="A939">
            <v>1534</v>
          </cell>
          <cell r="B939" t="str">
            <v>BISNAGA B200 BRANCA - LOCAO HID. P/ GEST</v>
          </cell>
          <cell r="C939" t="str">
            <v>BISNAGA B200 BRANCA - LOCAO HID. P/ GEST</v>
          </cell>
          <cell r="D939" t="str">
            <v/>
          </cell>
          <cell r="E939" t="str">
            <v>3923.30.90</v>
          </cell>
        </row>
        <row r="940">
          <cell r="A940">
            <v>1535</v>
          </cell>
          <cell r="B940" t="str">
            <v>BISNAGA B200 BRANCA - LOCAO HID CORPORAL</v>
          </cell>
          <cell r="C940" t="str">
            <v>BISNAGA B200 BRANCA - LOCAO HID CORPORAL</v>
          </cell>
          <cell r="D940" t="str">
            <v/>
          </cell>
          <cell r="E940" t="str">
            <v>3923.30.90</v>
          </cell>
        </row>
        <row r="941">
          <cell r="A941">
            <v>1536</v>
          </cell>
          <cell r="B941" t="str">
            <v>BISNAGA B200 BRANCA-LOCAO REL PERN E PES</v>
          </cell>
          <cell r="C941" t="str">
            <v>BISNAGA B200 BRANCA-LOCAO REL PERN E PES</v>
          </cell>
          <cell r="D941" t="str">
            <v/>
          </cell>
          <cell r="E941" t="str">
            <v>3923.30.90</v>
          </cell>
        </row>
        <row r="942">
          <cell r="A942">
            <v>1537</v>
          </cell>
          <cell r="B942" t="str">
            <v>TAMPA PARA BISNAGA COM FLIP TOP GRD. BRA</v>
          </cell>
          <cell r="C942" t="str">
            <v>TAMPA PARA BISNAGA COM FLIP TOP GRD. BRA</v>
          </cell>
          <cell r="D942" t="str">
            <v/>
          </cell>
          <cell r="E942" t="str">
            <v>3923.50.00</v>
          </cell>
        </row>
        <row r="943">
          <cell r="A943">
            <v>1539</v>
          </cell>
          <cell r="B943" t="str">
            <v>DESODORANTE LOCAO HIDRATANTE P/ GESTANTE</v>
          </cell>
          <cell r="C943" t="str">
            <v>DESODORANTE LOCAO HIDRATANTE P/ GESTANTE</v>
          </cell>
          <cell r="D943" t="str">
            <v/>
          </cell>
          <cell r="E943" t="str">
            <v>3307.20.90</v>
          </cell>
        </row>
        <row r="944">
          <cell r="A944">
            <v>1540</v>
          </cell>
          <cell r="B944" t="str">
            <v>DESODORANTE LOCAO HIDR CORP DIABET 200ML</v>
          </cell>
          <cell r="C944" t="str">
            <v>DESODORANTE LOCAO HIDR CORP DIABET 200ML</v>
          </cell>
          <cell r="D944" t="str">
            <v/>
          </cell>
          <cell r="E944" t="str">
            <v>3307.20.90</v>
          </cell>
        </row>
        <row r="945">
          <cell r="A945">
            <v>1543</v>
          </cell>
          <cell r="B945" t="str">
            <v>DESODORANTE LOCAO RELAXANTE 200ML VEROME</v>
          </cell>
          <cell r="C945" t="str">
            <v>DESODORANTE LOCAO RELAXANTE 200ML VEROME</v>
          </cell>
          <cell r="D945" t="str">
            <v/>
          </cell>
          <cell r="E945" t="str">
            <v>3307.20.90</v>
          </cell>
        </row>
        <row r="946">
          <cell r="A946">
            <v>1545</v>
          </cell>
          <cell r="B946" t="str">
            <v>ALCOOL SWAB SACHE C/200</v>
          </cell>
          <cell r="C946" t="str">
            <v>ALCOOL SWAB SACHE C/200</v>
          </cell>
          <cell r="D946" t="str">
            <v>17898157729574</v>
          </cell>
          <cell r="E946" t="str">
            <v>3005.90.90</v>
          </cell>
        </row>
        <row r="947">
          <cell r="A947">
            <v>1547</v>
          </cell>
          <cell r="B947" t="str">
            <v>BATERIA 3V CR2032 CARTELA 01 UNIDADE</v>
          </cell>
          <cell r="C947" t="str">
            <v>BATERIA 3V CR2032 CARTELA 01 UNIDADE</v>
          </cell>
          <cell r="D947" t="str">
            <v/>
          </cell>
          <cell r="E947" t="str">
            <v>8506.50.10</v>
          </cell>
        </row>
        <row r="948">
          <cell r="A948">
            <v>1548</v>
          </cell>
          <cell r="B948" t="str">
            <v>TIRA TESTE GLICOSE SANGUE FRASCO 50 UNID</v>
          </cell>
          <cell r="C948" t="str">
            <v>TIRA TESTE GLICOSE SANGUE FRASCO 50 UNID</v>
          </cell>
          <cell r="D948" t="str">
            <v/>
          </cell>
          <cell r="E948" t="str">
            <v>3822.19.20</v>
          </cell>
        </row>
        <row r="949">
          <cell r="A949">
            <v>1553</v>
          </cell>
          <cell r="B949" t="str">
            <v>MASCARA TRIPLA CIRURG COM PROT CX C/50UN</v>
          </cell>
          <cell r="C949" t="str">
            <v>MASCARA TRIPLA CIRURG COM PROT CX C/50UN</v>
          </cell>
          <cell r="D949" t="str">
            <v/>
          </cell>
          <cell r="E949" t="str">
            <v>6307.90.10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cha Compras"/>
    </sheetNames>
    <sheetDataSet>
      <sheetData sheetId="0" refreshError="1">
        <row r="1">
          <cell r="C1" t="str">
            <v>CODIGO</v>
          </cell>
          <cell r="I1" t="str">
            <v>Alíquota Interestadual de ICMS</v>
          </cell>
        </row>
        <row r="2">
          <cell r="C2">
            <v>19</v>
          </cell>
          <cell r="I2">
            <v>0.04</v>
          </cell>
        </row>
        <row r="3">
          <cell r="C3">
            <v>30</v>
          </cell>
          <cell r="I3">
            <v>0.04</v>
          </cell>
        </row>
        <row r="4">
          <cell r="C4">
            <v>51</v>
          </cell>
          <cell r="I4">
            <v>0.04</v>
          </cell>
        </row>
        <row r="5">
          <cell r="C5">
            <v>52</v>
          </cell>
          <cell r="I5">
            <v>0.04</v>
          </cell>
        </row>
        <row r="6">
          <cell r="C6">
            <v>74</v>
          </cell>
          <cell r="I6">
            <v>0.04</v>
          </cell>
        </row>
        <row r="7">
          <cell r="C7">
            <v>85</v>
          </cell>
          <cell r="I7">
            <v>0.04</v>
          </cell>
        </row>
        <row r="8">
          <cell r="C8">
            <v>96</v>
          </cell>
          <cell r="I8">
            <v>0.04</v>
          </cell>
        </row>
        <row r="9">
          <cell r="C9">
            <v>104</v>
          </cell>
          <cell r="I9">
            <v>0.04</v>
          </cell>
        </row>
        <row r="10">
          <cell r="C10">
            <v>105</v>
          </cell>
          <cell r="I10">
            <v>0.04</v>
          </cell>
        </row>
        <row r="11">
          <cell r="C11">
            <v>107</v>
          </cell>
          <cell r="I11">
            <v>0.04</v>
          </cell>
        </row>
        <row r="12">
          <cell r="C12">
            <v>119</v>
          </cell>
          <cell r="I12">
            <v>0.04</v>
          </cell>
        </row>
        <row r="13">
          <cell r="C13">
            <v>130</v>
          </cell>
          <cell r="I13">
            <v>0.04</v>
          </cell>
        </row>
        <row r="14">
          <cell r="C14">
            <v>141</v>
          </cell>
          <cell r="I14">
            <v>0.04</v>
          </cell>
        </row>
        <row r="15">
          <cell r="C15">
            <v>152</v>
          </cell>
          <cell r="I15">
            <v>0.04</v>
          </cell>
        </row>
        <row r="16">
          <cell r="C16">
            <v>163</v>
          </cell>
          <cell r="I16">
            <v>0.04</v>
          </cell>
        </row>
        <row r="17">
          <cell r="C17">
            <v>174</v>
          </cell>
          <cell r="I17">
            <v>0.04</v>
          </cell>
        </row>
        <row r="18">
          <cell r="C18">
            <v>185</v>
          </cell>
          <cell r="I18">
            <v>0.04</v>
          </cell>
        </row>
        <row r="19">
          <cell r="C19">
            <v>196</v>
          </cell>
          <cell r="I19">
            <v>0.04</v>
          </cell>
        </row>
        <row r="20">
          <cell r="C20">
            <v>207</v>
          </cell>
          <cell r="I20">
            <v>0.04</v>
          </cell>
        </row>
        <row r="21">
          <cell r="C21">
            <v>218</v>
          </cell>
          <cell r="I21">
            <v>0.04</v>
          </cell>
        </row>
        <row r="22">
          <cell r="C22">
            <v>230</v>
          </cell>
          <cell r="I22">
            <v>0.04</v>
          </cell>
        </row>
        <row r="23">
          <cell r="C23">
            <v>237</v>
          </cell>
          <cell r="I23">
            <v>0.04</v>
          </cell>
        </row>
        <row r="24">
          <cell r="C24">
            <v>238</v>
          </cell>
          <cell r="I24">
            <v>0.04</v>
          </cell>
        </row>
        <row r="25">
          <cell r="C25">
            <v>239</v>
          </cell>
          <cell r="I25">
            <v>0.04</v>
          </cell>
        </row>
        <row r="26">
          <cell r="C26">
            <v>240</v>
          </cell>
          <cell r="I26">
            <v>0.04</v>
          </cell>
        </row>
        <row r="27">
          <cell r="C27">
            <v>241</v>
          </cell>
          <cell r="I27">
            <v>0.04</v>
          </cell>
        </row>
        <row r="28">
          <cell r="C28">
            <v>242</v>
          </cell>
          <cell r="I28">
            <v>0.04</v>
          </cell>
        </row>
        <row r="29">
          <cell r="C29">
            <v>248</v>
          </cell>
          <cell r="I29">
            <v>0.12</v>
          </cell>
        </row>
        <row r="30">
          <cell r="C30">
            <v>250</v>
          </cell>
          <cell r="I30">
            <v>0.12</v>
          </cell>
        </row>
        <row r="31">
          <cell r="C31">
            <v>252</v>
          </cell>
          <cell r="I31">
            <v>0.04</v>
          </cell>
        </row>
        <row r="32">
          <cell r="C32">
            <v>261</v>
          </cell>
          <cell r="I32">
            <v>0.12</v>
          </cell>
        </row>
        <row r="33">
          <cell r="C33">
            <v>262</v>
          </cell>
          <cell r="I33">
            <v>0.12</v>
          </cell>
        </row>
        <row r="34">
          <cell r="C34">
            <v>263</v>
          </cell>
          <cell r="I34">
            <v>0.04</v>
          </cell>
        </row>
        <row r="35">
          <cell r="C35">
            <v>264</v>
          </cell>
          <cell r="I35">
            <v>0.12</v>
          </cell>
        </row>
        <row r="36">
          <cell r="C36">
            <v>268</v>
          </cell>
          <cell r="I36">
            <v>0.04</v>
          </cell>
        </row>
        <row r="37">
          <cell r="C37">
            <v>269</v>
          </cell>
          <cell r="I37">
            <v>0.04</v>
          </cell>
        </row>
        <row r="38">
          <cell r="C38">
            <v>275</v>
          </cell>
          <cell r="I38">
            <v>0.04</v>
          </cell>
        </row>
        <row r="39">
          <cell r="C39">
            <v>278</v>
          </cell>
          <cell r="I39">
            <v>0.04</v>
          </cell>
        </row>
        <row r="40">
          <cell r="C40">
            <v>280</v>
          </cell>
          <cell r="I40">
            <v>0.04</v>
          </cell>
        </row>
        <row r="41">
          <cell r="C41">
            <v>281</v>
          </cell>
          <cell r="I41">
            <v>0.04</v>
          </cell>
        </row>
        <row r="42">
          <cell r="C42">
            <v>282</v>
          </cell>
          <cell r="I42">
            <v>0.04</v>
          </cell>
        </row>
        <row r="43">
          <cell r="C43">
            <v>283</v>
          </cell>
          <cell r="I43">
            <v>0.04</v>
          </cell>
        </row>
        <row r="44">
          <cell r="C44">
            <v>284</v>
          </cell>
          <cell r="I44">
            <v>0.04</v>
          </cell>
        </row>
        <row r="45">
          <cell r="C45">
            <v>286</v>
          </cell>
          <cell r="I45">
            <v>0.04</v>
          </cell>
        </row>
        <row r="46">
          <cell r="C46">
            <v>287</v>
          </cell>
          <cell r="I46">
            <v>0.04</v>
          </cell>
        </row>
        <row r="47">
          <cell r="C47">
            <v>288</v>
          </cell>
          <cell r="I47">
            <v>0.04</v>
          </cell>
        </row>
        <row r="48">
          <cell r="C48">
            <v>289</v>
          </cell>
          <cell r="I48">
            <v>0.04</v>
          </cell>
        </row>
        <row r="49">
          <cell r="C49">
            <v>335</v>
          </cell>
          <cell r="I49">
            <v>0.04</v>
          </cell>
        </row>
        <row r="50">
          <cell r="C50">
            <v>339</v>
          </cell>
          <cell r="I50">
            <v>0.04</v>
          </cell>
        </row>
        <row r="51">
          <cell r="C51">
            <v>341</v>
          </cell>
          <cell r="I51">
            <v>0.04</v>
          </cell>
        </row>
        <row r="52">
          <cell r="C52">
            <v>369</v>
          </cell>
          <cell r="I52">
            <v>0.04</v>
          </cell>
        </row>
        <row r="53">
          <cell r="C53">
            <v>380</v>
          </cell>
          <cell r="I53">
            <v>0.04</v>
          </cell>
        </row>
        <row r="54">
          <cell r="C54">
            <v>431</v>
          </cell>
          <cell r="I54">
            <v>0.04</v>
          </cell>
        </row>
        <row r="55">
          <cell r="C55">
            <v>433</v>
          </cell>
          <cell r="I55">
            <v>0.04</v>
          </cell>
        </row>
        <row r="56">
          <cell r="C56">
            <v>434</v>
          </cell>
          <cell r="I56">
            <v>0.04</v>
          </cell>
        </row>
        <row r="57">
          <cell r="C57">
            <v>446</v>
          </cell>
          <cell r="I57">
            <v>0.12</v>
          </cell>
        </row>
        <row r="58">
          <cell r="C58">
            <v>448</v>
          </cell>
          <cell r="I58">
            <v>0.12</v>
          </cell>
        </row>
        <row r="59">
          <cell r="C59">
            <v>452</v>
          </cell>
          <cell r="I59">
            <v>0.12</v>
          </cell>
        </row>
        <row r="60">
          <cell r="C60">
            <v>454</v>
          </cell>
          <cell r="I60">
            <v>0.12</v>
          </cell>
        </row>
        <row r="61">
          <cell r="C61">
            <v>456</v>
          </cell>
          <cell r="I61">
            <v>0.12</v>
          </cell>
        </row>
        <row r="62">
          <cell r="C62">
            <v>465</v>
          </cell>
          <cell r="I62">
            <v>0.04</v>
          </cell>
        </row>
        <row r="63">
          <cell r="C63">
            <v>466</v>
          </cell>
          <cell r="I63">
            <v>0.04</v>
          </cell>
        </row>
        <row r="64">
          <cell r="C64">
            <v>500</v>
          </cell>
          <cell r="I64">
            <v>0.12</v>
          </cell>
        </row>
        <row r="65">
          <cell r="C65">
            <v>501</v>
          </cell>
          <cell r="I65">
            <v>0.12</v>
          </cell>
        </row>
        <row r="66">
          <cell r="C66">
            <v>526</v>
          </cell>
          <cell r="I66">
            <v>0.04</v>
          </cell>
        </row>
        <row r="67">
          <cell r="C67">
            <v>527</v>
          </cell>
          <cell r="I67">
            <v>0.04</v>
          </cell>
        </row>
        <row r="68">
          <cell r="C68">
            <v>529</v>
          </cell>
          <cell r="I68">
            <v>0.04</v>
          </cell>
        </row>
        <row r="69">
          <cell r="C69">
            <v>546</v>
          </cell>
          <cell r="I69">
            <v>0.04</v>
          </cell>
        </row>
        <row r="70">
          <cell r="C70">
            <v>548</v>
          </cell>
          <cell r="I70">
            <v>0.04</v>
          </cell>
        </row>
        <row r="71">
          <cell r="C71">
            <v>584</v>
          </cell>
          <cell r="I71">
            <v>0.04</v>
          </cell>
        </row>
        <row r="72">
          <cell r="C72">
            <v>585</v>
          </cell>
          <cell r="I72">
            <v>0.04</v>
          </cell>
        </row>
        <row r="73">
          <cell r="C73">
            <v>586</v>
          </cell>
          <cell r="I73">
            <v>0.04</v>
          </cell>
        </row>
        <row r="74">
          <cell r="C74">
            <v>596</v>
          </cell>
          <cell r="I74">
            <v>0.12</v>
          </cell>
        </row>
        <row r="75">
          <cell r="C75">
            <v>600</v>
          </cell>
          <cell r="I75">
            <v>0.12</v>
          </cell>
        </row>
        <row r="76">
          <cell r="C76">
            <v>604</v>
          </cell>
          <cell r="I76">
            <v>0.12</v>
          </cell>
        </row>
        <row r="77">
          <cell r="C77">
            <v>606</v>
          </cell>
          <cell r="I77">
            <v>0.12</v>
          </cell>
        </row>
        <row r="78">
          <cell r="C78">
            <v>611</v>
          </cell>
          <cell r="I78">
            <v>0.12</v>
          </cell>
        </row>
        <row r="79">
          <cell r="C79">
            <v>613</v>
          </cell>
          <cell r="I79">
            <v>0.12</v>
          </cell>
        </row>
        <row r="80">
          <cell r="C80">
            <v>614</v>
          </cell>
          <cell r="I80">
            <v>0.12</v>
          </cell>
        </row>
        <row r="81">
          <cell r="C81">
            <v>616</v>
          </cell>
          <cell r="I81">
            <v>0.12</v>
          </cell>
        </row>
        <row r="82">
          <cell r="C82">
            <v>617</v>
          </cell>
          <cell r="I82">
            <v>0.12</v>
          </cell>
        </row>
        <row r="83">
          <cell r="C83">
            <v>618</v>
          </cell>
          <cell r="I83">
            <v>0.12</v>
          </cell>
        </row>
        <row r="84">
          <cell r="C84">
            <v>620</v>
          </cell>
          <cell r="I84">
            <v>0.12</v>
          </cell>
        </row>
        <row r="85">
          <cell r="C85">
            <v>624</v>
          </cell>
          <cell r="I85">
            <v>0.12</v>
          </cell>
        </row>
        <row r="86">
          <cell r="C86">
            <v>625</v>
          </cell>
          <cell r="I86">
            <v>0.04</v>
          </cell>
        </row>
        <row r="87">
          <cell r="C87">
            <v>629</v>
          </cell>
          <cell r="I87">
            <v>0.04</v>
          </cell>
        </row>
        <row r="88">
          <cell r="C88">
            <v>652</v>
          </cell>
          <cell r="I88">
            <v>0.04</v>
          </cell>
        </row>
        <row r="89">
          <cell r="C89">
            <v>658</v>
          </cell>
          <cell r="I89">
            <v>0.04</v>
          </cell>
        </row>
        <row r="90">
          <cell r="C90">
            <v>664</v>
          </cell>
          <cell r="I90">
            <v>0.04</v>
          </cell>
        </row>
        <row r="91">
          <cell r="C91">
            <v>666</v>
          </cell>
          <cell r="I91">
            <v>0.04</v>
          </cell>
        </row>
        <row r="92">
          <cell r="C92">
            <v>669</v>
          </cell>
          <cell r="I92">
            <v>0.04</v>
          </cell>
        </row>
        <row r="93">
          <cell r="C93">
            <v>677</v>
          </cell>
          <cell r="I93">
            <v>0.04</v>
          </cell>
        </row>
        <row r="94">
          <cell r="C94">
            <v>682</v>
          </cell>
          <cell r="I94">
            <v>0.04</v>
          </cell>
        </row>
        <row r="95">
          <cell r="C95">
            <v>808</v>
          </cell>
          <cell r="I95">
            <v>0.12</v>
          </cell>
        </row>
        <row r="96">
          <cell r="C96">
            <v>809</v>
          </cell>
          <cell r="I96">
            <v>0.12</v>
          </cell>
        </row>
        <row r="97">
          <cell r="C97">
            <v>969</v>
          </cell>
          <cell r="I97">
            <v>0.04</v>
          </cell>
        </row>
        <row r="98">
          <cell r="C98">
            <v>1327</v>
          </cell>
          <cell r="I98">
            <v>0.12</v>
          </cell>
        </row>
        <row r="99">
          <cell r="C99">
            <v>1328</v>
          </cell>
          <cell r="I99">
            <v>0.12</v>
          </cell>
        </row>
        <row r="100">
          <cell r="C100">
            <v>1329</v>
          </cell>
          <cell r="I100">
            <v>0.12</v>
          </cell>
        </row>
        <row r="101">
          <cell r="C101">
            <v>1330</v>
          </cell>
          <cell r="I101">
            <v>0.12</v>
          </cell>
        </row>
        <row r="102">
          <cell r="C102">
            <v>1331</v>
          </cell>
          <cell r="I102">
            <v>0.12</v>
          </cell>
        </row>
        <row r="103">
          <cell r="C103">
            <v>1332</v>
          </cell>
          <cell r="I103">
            <v>0.12</v>
          </cell>
        </row>
        <row r="104">
          <cell r="C104">
            <v>1491</v>
          </cell>
          <cell r="I104">
            <v>0.12</v>
          </cell>
        </row>
        <row r="105">
          <cell r="C105">
            <v>1492</v>
          </cell>
          <cell r="I105">
            <v>0.12</v>
          </cell>
        </row>
        <row r="106">
          <cell r="C106">
            <v>1493</v>
          </cell>
          <cell r="I106">
            <v>0.12</v>
          </cell>
        </row>
        <row r="107">
          <cell r="C107">
            <v>1494</v>
          </cell>
          <cell r="I107">
            <v>0.12</v>
          </cell>
        </row>
        <row r="108">
          <cell r="C108">
            <v>1497</v>
          </cell>
          <cell r="I108">
            <v>0.12</v>
          </cell>
        </row>
        <row r="109">
          <cell r="C109">
            <v>1498</v>
          </cell>
          <cell r="I109">
            <v>0.12</v>
          </cell>
        </row>
        <row r="110">
          <cell r="C110">
            <v>1499</v>
          </cell>
          <cell r="I110">
            <v>0.12</v>
          </cell>
        </row>
        <row r="111">
          <cell r="C111">
            <v>1500</v>
          </cell>
          <cell r="I111">
            <v>0.12</v>
          </cell>
        </row>
        <row r="112">
          <cell r="C112">
            <v>1501</v>
          </cell>
          <cell r="I112">
            <v>0.12</v>
          </cell>
        </row>
        <row r="113">
          <cell r="C113">
            <v>1502</v>
          </cell>
          <cell r="I113">
            <v>0.12</v>
          </cell>
        </row>
        <row r="114">
          <cell r="C114">
            <v>1504</v>
          </cell>
          <cell r="I114">
            <v>0.12</v>
          </cell>
        </row>
        <row r="115">
          <cell r="C115">
            <v>1505</v>
          </cell>
          <cell r="I115">
            <v>0.12</v>
          </cell>
        </row>
        <row r="116">
          <cell r="C116">
            <v>1506</v>
          </cell>
          <cell r="I116">
            <v>0.12</v>
          </cell>
        </row>
        <row r="117">
          <cell r="C117">
            <v>1507</v>
          </cell>
          <cell r="I117">
            <v>0.12</v>
          </cell>
        </row>
        <row r="118">
          <cell r="C118">
            <v>1508</v>
          </cell>
          <cell r="I118">
            <v>0.12</v>
          </cell>
        </row>
        <row r="119">
          <cell r="C119">
            <v>1509</v>
          </cell>
          <cell r="I119">
            <v>0.12</v>
          </cell>
        </row>
        <row r="120">
          <cell r="C120">
            <v>1510</v>
          </cell>
          <cell r="I120">
            <v>0.12</v>
          </cell>
        </row>
        <row r="121">
          <cell r="C121">
            <v>1511</v>
          </cell>
          <cell r="I121">
            <v>0.12</v>
          </cell>
        </row>
        <row r="122">
          <cell r="C122">
            <v>1512</v>
          </cell>
          <cell r="I122">
            <v>0.12</v>
          </cell>
        </row>
        <row r="123">
          <cell r="C123">
            <v>1513</v>
          </cell>
          <cell r="I123">
            <v>0.12</v>
          </cell>
        </row>
        <row r="124">
          <cell r="C124">
            <v>1608</v>
          </cell>
          <cell r="I124">
            <v>0.12</v>
          </cell>
        </row>
        <row r="125">
          <cell r="C125">
            <v>1609</v>
          </cell>
          <cell r="I125">
            <v>0.12</v>
          </cell>
        </row>
        <row r="126">
          <cell r="C126">
            <v>1610</v>
          </cell>
          <cell r="I126">
            <v>0.12</v>
          </cell>
        </row>
        <row r="127">
          <cell r="C127">
            <v>1612</v>
          </cell>
          <cell r="I127">
            <v>0.12</v>
          </cell>
        </row>
        <row r="128">
          <cell r="C128">
            <v>1613</v>
          </cell>
          <cell r="I128">
            <v>0.04</v>
          </cell>
        </row>
        <row r="129">
          <cell r="C129">
            <v>1729</v>
          </cell>
          <cell r="I129">
            <v>0.04</v>
          </cell>
        </row>
        <row r="130">
          <cell r="C130">
            <v>1978</v>
          </cell>
          <cell r="I130">
            <v>0.04</v>
          </cell>
        </row>
        <row r="131">
          <cell r="C131">
            <v>1981</v>
          </cell>
          <cell r="I131">
            <v>0.04</v>
          </cell>
        </row>
        <row r="132">
          <cell r="C132">
            <v>2050</v>
          </cell>
          <cell r="I132">
            <v>0.04</v>
          </cell>
        </row>
        <row r="133">
          <cell r="C133">
            <v>2053</v>
          </cell>
          <cell r="I133">
            <v>0.04</v>
          </cell>
        </row>
        <row r="134">
          <cell r="C134">
            <v>578</v>
          </cell>
          <cell r="I134">
            <v>0.12</v>
          </cell>
        </row>
        <row r="135">
          <cell r="C135" t="str">
            <v>N/H</v>
          </cell>
          <cell r="I135">
            <v>0.04</v>
          </cell>
        </row>
        <row r="136">
          <cell r="C136" t="str">
            <v>N/H</v>
          </cell>
          <cell r="I136">
            <v>0.04</v>
          </cell>
        </row>
        <row r="137">
          <cell r="C137" t="str">
            <v>N/H</v>
          </cell>
          <cell r="I137">
            <v>0.04</v>
          </cell>
        </row>
        <row r="138">
          <cell r="C138" t="str">
            <v>N/H</v>
          </cell>
          <cell r="I138">
            <v>0.04</v>
          </cell>
        </row>
        <row r="139">
          <cell r="C139" t="str">
            <v>N/H</v>
          </cell>
          <cell r="I139">
            <v>0.04</v>
          </cell>
        </row>
        <row r="140">
          <cell r="C140" t="str">
            <v>N/H</v>
          </cell>
          <cell r="I140">
            <v>0.12</v>
          </cell>
        </row>
        <row r="141">
          <cell r="C141" t="str">
            <v>N/H</v>
          </cell>
          <cell r="I141">
            <v>0.12</v>
          </cell>
        </row>
        <row r="142">
          <cell r="C142" t="str">
            <v>N/H</v>
          </cell>
          <cell r="I142">
            <v>0.12</v>
          </cell>
        </row>
        <row r="143">
          <cell r="C143" t="str">
            <v>N/H</v>
          </cell>
          <cell r="I143">
            <v>0.12</v>
          </cell>
        </row>
        <row r="144">
          <cell r="C144" t="str">
            <v>N/H</v>
          </cell>
          <cell r="I144">
            <v>0.12</v>
          </cell>
        </row>
        <row r="145">
          <cell r="C145">
            <v>270</v>
          </cell>
          <cell r="I145">
            <v>0.04</v>
          </cell>
        </row>
        <row r="146">
          <cell r="C146" t="str">
            <v>N/H</v>
          </cell>
          <cell r="I146">
            <v>0.04</v>
          </cell>
        </row>
        <row r="147">
          <cell r="C147" t="str">
            <v>N/H</v>
          </cell>
          <cell r="I147">
            <v>0.04</v>
          </cell>
        </row>
        <row r="148">
          <cell r="C148" t="str">
            <v>N/H</v>
          </cell>
          <cell r="I148">
            <v>0.12</v>
          </cell>
        </row>
        <row r="149">
          <cell r="C149" t="str">
            <v>N/H</v>
          </cell>
          <cell r="I149">
            <v>0.12</v>
          </cell>
        </row>
        <row r="150">
          <cell r="C150">
            <v>833</v>
          </cell>
        </row>
        <row r="151">
          <cell r="C151">
            <v>488</v>
          </cell>
        </row>
        <row r="152">
          <cell r="C152">
            <v>810</v>
          </cell>
        </row>
        <row r="153">
          <cell r="C153">
            <v>851</v>
          </cell>
        </row>
        <row r="154">
          <cell r="C154">
            <v>338</v>
          </cell>
        </row>
        <row r="155">
          <cell r="C155">
            <v>13</v>
          </cell>
        </row>
        <row r="156">
          <cell r="C156">
            <v>14</v>
          </cell>
        </row>
        <row r="157">
          <cell r="C157">
            <v>15</v>
          </cell>
        </row>
        <row r="158">
          <cell r="C158">
            <v>17</v>
          </cell>
        </row>
        <row r="159">
          <cell r="C159">
            <v>18</v>
          </cell>
        </row>
        <row r="160">
          <cell r="C160">
            <v>137</v>
          </cell>
        </row>
        <row r="161">
          <cell r="C161">
            <v>138</v>
          </cell>
        </row>
        <row r="162">
          <cell r="C162">
            <v>140</v>
          </cell>
        </row>
        <row r="163">
          <cell r="C163">
            <v>143</v>
          </cell>
        </row>
        <row r="164">
          <cell r="C164">
            <v>150</v>
          </cell>
        </row>
        <row r="165">
          <cell r="C165">
            <v>225</v>
          </cell>
        </row>
        <row r="166">
          <cell r="C166">
            <v>227</v>
          </cell>
        </row>
        <row r="167">
          <cell r="C167">
            <v>228</v>
          </cell>
        </row>
        <row r="168">
          <cell r="C168">
            <v>231</v>
          </cell>
        </row>
        <row r="169">
          <cell r="C169">
            <v>232</v>
          </cell>
        </row>
        <row r="170">
          <cell r="C170">
            <v>233</v>
          </cell>
        </row>
        <row r="171">
          <cell r="C171">
            <v>247</v>
          </cell>
        </row>
        <row r="172">
          <cell r="C172">
            <v>254</v>
          </cell>
        </row>
        <row r="173">
          <cell r="C173">
            <v>299</v>
          </cell>
        </row>
        <row r="174">
          <cell r="C174">
            <v>329</v>
          </cell>
        </row>
        <row r="175">
          <cell r="C175">
            <v>330</v>
          </cell>
        </row>
        <row r="176">
          <cell r="C176">
            <v>332</v>
          </cell>
        </row>
        <row r="177">
          <cell r="C177">
            <v>357</v>
          </cell>
        </row>
        <row r="178">
          <cell r="C178">
            <v>359</v>
          </cell>
        </row>
        <row r="179">
          <cell r="C179">
            <v>360</v>
          </cell>
        </row>
        <row r="180">
          <cell r="C180">
            <v>361</v>
          </cell>
        </row>
        <row r="181">
          <cell r="C181">
            <v>362</v>
          </cell>
        </row>
        <row r="182">
          <cell r="C182">
            <v>363</v>
          </cell>
        </row>
        <row r="183">
          <cell r="C183">
            <v>368</v>
          </cell>
        </row>
        <row r="184">
          <cell r="C184">
            <v>394</v>
          </cell>
        </row>
        <row r="185">
          <cell r="C185">
            <v>408</v>
          </cell>
        </row>
        <row r="186">
          <cell r="C186">
            <v>409</v>
          </cell>
        </row>
        <row r="187">
          <cell r="C187">
            <v>426</v>
          </cell>
        </row>
        <row r="188">
          <cell r="C188">
            <v>432</v>
          </cell>
        </row>
        <row r="189">
          <cell r="C189">
            <v>450</v>
          </cell>
        </row>
        <row r="190">
          <cell r="C190">
            <v>455</v>
          </cell>
        </row>
        <row r="191">
          <cell r="C191">
            <v>469</v>
          </cell>
        </row>
        <row r="192">
          <cell r="C192">
            <v>470</v>
          </cell>
        </row>
        <row r="193">
          <cell r="C193">
            <v>494</v>
          </cell>
        </row>
        <row r="194">
          <cell r="C194">
            <v>495</v>
          </cell>
        </row>
        <row r="195">
          <cell r="C195">
            <v>496</v>
          </cell>
        </row>
        <row r="196">
          <cell r="C196">
            <v>531</v>
          </cell>
        </row>
        <row r="197">
          <cell r="C197">
            <v>535</v>
          </cell>
        </row>
        <row r="198">
          <cell r="C198">
            <v>549</v>
          </cell>
        </row>
        <row r="199">
          <cell r="C199">
            <v>550</v>
          </cell>
        </row>
        <row r="200">
          <cell r="C200">
            <v>564</v>
          </cell>
        </row>
        <row r="201">
          <cell r="C201">
            <v>571</v>
          </cell>
        </row>
        <row r="202">
          <cell r="C202">
            <v>572</v>
          </cell>
        </row>
        <row r="203">
          <cell r="C203">
            <v>577</v>
          </cell>
        </row>
        <row r="204">
          <cell r="C204">
            <v>591</v>
          </cell>
        </row>
        <row r="205">
          <cell r="C205">
            <v>592</v>
          </cell>
        </row>
        <row r="206">
          <cell r="C206">
            <v>631</v>
          </cell>
        </row>
        <row r="207">
          <cell r="C207">
            <v>640</v>
          </cell>
        </row>
        <row r="208">
          <cell r="C208">
            <v>649</v>
          </cell>
        </row>
        <row r="209">
          <cell r="C209">
            <v>650</v>
          </cell>
        </row>
        <row r="210">
          <cell r="C210">
            <v>651</v>
          </cell>
        </row>
        <row r="211">
          <cell r="C211">
            <v>653</v>
          </cell>
        </row>
        <row r="212">
          <cell r="C212">
            <v>654</v>
          </cell>
        </row>
        <row r="213">
          <cell r="C213">
            <v>655</v>
          </cell>
        </row>
        <row r="214">
          <cell r="C214">
            <v>657</v>
          </cell>
        </row>
        <row r="215">
          <cell r="C215">
            <v>662</v>
          </cell>
        </row>
        <row r="216">
          <cell r="C216">
            <v>670</v>
          </cell>
        </row>
        <row r="217">
          <cell r="C217">
            <v>671</v>
          </cell>
        </row>
        <row r="218">
          <cell r="C218">
            <v>680</v>
          </cell>
        </row>
        <row r="219">
          <cell r="C219">
            <v>687</v>
          </cell>
        </row>
        <row r="220">
          <cell r="C220">
            <v>688</v>
          </cell>
        </row>
        <row r="221">
          <cell r="C221">
            <v>689</v>
          </cell>
        </row>
        <row r="222">
          <cell r="C222">
            <v>690</v>
          </cell>
        </row>
        <row r="223">
          <cell r="C223">
            <v>691</v>
          </cell>
        </row>
        <row r="224">
          <cell r="C224">
            <v>692</v>
          </cell>
        </row>
        <row r="225">
          <cell r="C225">
            <v>693</v>
          </cell>
        </row>
        <row r="226">
          <cell r="C226">
            <v>694</v>
          </cell>
        </row>
        <row r="227">
          <cell r="C227">
            <v>698</v>
          </cell>
        </row>
        <row r="228">
          <cell r="C228">
            <v>770</v>
          </cell>
        </row>
        <row r="229">
          <cell r="C229">
            <v>775</v>
          </cell>
        </row>
        <row r="230">
          <cell r="C230">
            <v>777</v>
          </cell>
        </row>
        <row r="231">
          <cell r="C231">
            <v>780</v>
          </cell>
        </row>
        <row r="232">
          <cell r="C232">
            <v>784</v>
          </cell>
        </row>
        <row r="233">
          <cell r="C233">
            <v>785</v>
          </cell>
        </row>
        <row r="234">
          <cell r="C234">
            <v>789</v>
          </cell>
        </row>
        <row r="235">
          <cell r="C235">
            <v>797</v>
          </cell>
        </row>
        <row r="236">
          <cell r="C236">
            <v>798</v>
          </cell>
        </row>
        <row r="237">
          <cell r="C237">
            <v>799</v>
          </cell>
        </row>
        <row r="238">
          <cell r="C238">
            <v>803</v>
          </cell>
        </row>
        <row r="239">
          <cell r="C239">
            <v>822</v>
          </cell>
        </row>
        <row r="240">
          <cell r="C240">
            <v>832</v>
          </cell>
        </row>
        <row r="241">
          <cell r="C241">
            <v>839</v>
          </cell>
        </row>
        <row r="242">
          <cell r="C242">
            <v>894</v>
          </cell>
        </row>
        <row r="243">
          <cell r="C243">
            <v>924</v>
          </cell>
        </row>
        <row r="244">
          <cell r="C244">
            <v>925</v>
          </cell>
        </row>
        <row r="245">
          <cell r="C245">
            <v>970</v>
          </cell>
        </row>
        <row r="246">
          <cell r="C246">
            <v>971</v>
          </cell>
        </row>
        <row r="247">
          <cell r="C247">
            <v>973</v>
          </cell>
        </row>
        <row r="248">
          <cell r="C248">
            <v>975</v>
          </cell>
        </row>
        <row r="249">
          <cell r="C249">
            <v>976</v>
          </cell>
        </row>
        <row r="250">
          <cell r="C250">
            <v>977</v>
          </cell>
        </row>
        <row r="251">
          <cell r="C251">
            <v>1078</v>
          </cell>
        </row>
        <row r="252">
          <cell r="C252">
            <v>1104</v>
          </cell>
        </row>
        <row r="253">
          <cell r="C253">
            <v>1171</v>
          </cell>
        </row>
        <row r="254">
          <cell r="C254">
            <v>1273</v>
          </cell>
        </row>
        <row r="255">
          <cell r="C255">
            <v>1274</v>
          </cell>
        </row>
        <row r="256">
          <cell r="C256">
            <v>1281</v>
          </cell>
        </row>
        <row r="257">
          <cell r="C257">
            <v>1282</v>
          </cell>
        </row>
        <row r="258">
          <cell r="C258">
            <v>1346</v>
          </cell>
        </row>
        <row r="259">
          <cell r="C259">
            <v>1402</v>
          </cell>
        </row>
        <row r="260">
          <cell r="C260">
            <v>1403</v>
          </cell>
        </row>
        <row r="261">
          <cell r="C261">
            <v>1404</v>
          </cell>
        </row>
        <row r="262">
          <cell r="C262">
            <v>1405</v>
          </cell>
        </row>
        <row r="263">
          <cell r="C263">
            <v>1545</v>
          </cell>
        </row>
        <row r="264">
          <cell r="C264">
            <v>1547</v>
          </cell>
        </row>
        <row r="265">
          <cell r="C265">
            <v>1553</v>
          </cell>
        </row>
        <row r="266">
          <cell r="C266">
            <v>1611</v>
          </cell>
        </row>
        <row r="267">
          <cell r="C267">
            <v>1671</v>
          </cell>
        </row>
        <row r="268">
          <cell r="C268">
            <v>1773</v>
          </cell>
        </row>
        <row r="269">
          <cell r="C269">
            <v>1782</v>
          </cell>
        </row>
        <row r="270">
          <cell r="C270">
            <v>1791</v>
          </cell>
        </row>
        <row r="271">
          <cell r="C271">
            <v>1792</v>
          </cell>
        </row>
        <row r="272">
          <cell r="C272">
            <v>1793</v>
          </cell>
        </row>
        <row r="273">
          <cell r="C273">
            <v>1794</v>
          </cell>
        </row>
        <row r="274">
          <cell r="C274">
            <v>1795</v>
          </cell>
        </row>
        <row r="275">
          <cell r="C275">
            <v>1796</v>
          </cell>
        </row>
        <row r="276">
          <cell r="C276">
            <v>1797</v>
          </cell>
        </row>
        <row r="277">
          <cell r="C277">
            <v>1798</v>
          </cell>
        </row>
        <row r="278">
          <cell r="C278">
            <v>1816</v>
          </cell>
        </row>
        <row r="279">
          <cell r="C279">
            <v>1840</v>
          </cell>
        </row>
        <row r="280">
          <cell r="C280">
            <v>1841</v>
          </cell>
        </row>
        <row r="281">
          <cell r="C281">
            <v>1888</v>
          </cell>
        </row>
        <row r="282">
          <cell r="C282">
            <v>1890</v>
          </cell>
        </row>
        <row r="283">
          <cell r="C283">
            <v>1893</v>
          </cell>
        </row>
        <row r="284">
          <cell r="C284">
            <v>1894</v>
          </cell>
        </row>
        <row r="285">
          <cell r="C285">
            <v>1895</v>
          </cell>
        </row>
        <row r="286">
          <cell r="C286">
            <v>1896</v>
          </cell>
        </row>
        <row r="287">
          <cell r="C287">
            <v>1897</v>
          </cell>
        </row>
        <row r="288">
          <cell r="C288">
            <v>1911</v>
          </cell>
        </row>
        <row r="289">
          <cell r="C289">
            <v>1968</v>
          </cell>
        </row>
        <row r="290">
          <cell r="C290">
            <v>1969</v>
          </cell>
        </row>
        <row r="291">
          <cell r="C291">
            <v>1970</v>
          </cell>
        </row>
        <row r="292">
          <cell r="C292">
            <v>1971</v>
          </cell>
        </row>
        <row r="293">
          <cell r="C293">
            <v>1972</v>
          </cell>
        </row>
        <row r="294">
          <cell r="C294">
            <v>1973</v>
          </cell>
        </row>
        <row r="295">
          <cell r="C295">
            <v>1974</v>
          </cell>
        </row>
        <row r="296">
          <cell r="C296">
            <v>1975</v>
          </cell>
        </row>
        <row r="297">
          <cell r="C297">
            <v>1976</v>
          </cell>
        </row>
        <row r="298">
          <cell r="C298">
            <v>1979</v>
          </cell>
        </row>
        <row r="299">
          <cell r="C299">
            <v>1980</v>
          </cell>
        </row>
        <row r="300">
          <cell r="C300">
            <v>1982</v>
          </cell>
        </row>
        <row r="301">
          <cell r="C301">
            <v>1983</v>
          </cell>
        </row>
        <row r="302">
          <cell r="C302">
            <v>1985</v>
          </cell>
        </row>
        <row r="303">
          <cell r="C303">
            <v>1986</v>
          </cell>
        </row>
        <row r="304">
          <cell r="C304">
            <v>1987</v>
          </cell>
        </row>
        <row r="305">
          <cell r="C305">
            <v>1988</v>
          </cell>
        </row>
        <row r="306">
          <cell r="C306">
            <v>1989</v>
          </cell>
        </row>
        <row r="307">
          <cell r="C307">
            <v>1990</v>
          </cell>
        </row>
        <row r="308">
          <cell r="C308">
            <v>2026</v>
          </cell>
        </row>
        <row r="309">
          <cell r="C309">
            <v>2051</v>
          </cell>
        </row>
        <row r="310">
          <cell r="C310">
            <v>2056</v>
          </cell>
        </row>
        <row r="311">
          <cell r="C311">
            <v>2063</v>
          </cell>
        </row>
        <row r="312">
          <cell r="C312">
            <v>2065</v>
          </cell>
        </row>
        <row r="313">
          <cell r="C313">
            <v>2066</v>
          </cell>
        </row>
        <row r="314">
          <cell r="C314">
            <v>2074</v>
          </cell>
        </row>
        <row r="315">
          <cell r="C315">
            <v>2105</v>
          </cell>
        </row>
        <row r="316">
          <cell r="C316">
            <v>2106</v>
          </cell>
        </row>
        <row r="317">
          <cell r="C317">
            <v>2109</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E8991-C5E3-4F66-9288-4174CA564C63}">
  <sheetPr>
    <pageSetUpPr fitToPage="1"/>
  </sheetPr>
  <dimension ref="A1:O159"/>
  <sheetViews>
    <sheetView showGridLines="0" tabSelected="1" topLeftCell="C64" zoomScaleNormal="100" workbookViewId="0">
      <selection activeCell="N64" sqref="N1:N1048576"/>
    </sheetView>
  </sheetViews>
  <sheetFormatPr defaultColWidth="9.140625" defaultRowHeight="15" x14ac:dyDescent="0.25"/>
  <cols>
    <col min="1" max="1" width="18.85546875" style="205" customWidth="1"/>
    <col min="2" max="2" width="8.85546875" style="1" customWidth="1"/>
    <col min="3" max="3" width="63.5703125" style="120" customWidth="1"/>
    <col min="4" max="4" width="10.85546875" style="29" customWidth="1"/>
    <col min="5" max="5" width="13.42578125" style="1" customWidth="1"/>
    <col min="6" max="10" width="11.5703125" style="1" customWidth="1"/>
    <col min="11" max="11" width="1.85546875" style="1" customWidth="1"/>
    <col min="12" max="13" width="9.140625" style="1"/>
    <col min="14" max="14" width="15.42578125" style="1" customWidth="1"/>
    <col min="15" max="15" width="13.42578125" style="1" customWidth="1"/>
    <col min="16" max="16" width="9.140625" style="1" customWidth="1"/>
    <col min="17" max="16384" width="9.140625" style="1"/>
  </cols>
  <sheetData>
    <row r="1" spans="1:15" ht="28.5" x14ac:dyDescent="0.25">
      <c r="A1" s="586" t="s">
        <v>144</v>
      </c>
      <c r="B1" s="587"/>
      <c r="C1" s="587"/>
      <c r="D1" s="587"/>
      <c r="E1" s="587"/>
      <c r="F1" s="587"/>
      <c r="G1" s="587"/>
      <c r="H1" s="587"/>
      <c r="I1" s="587"/>
      <c r="J1" s="587"/>
      <c r="K1" s="587"/>
      <c r="L1" s="587"/>
      <c r="M1" s="587"/>
      <c r="N1" s="587"/>
      <c r="O1" s="588"/>
    </row>
    <row r="2" spans="1:15" ht="19.5" thickBot="1" x14ac:dyDescent="0.3">
      <c r="A2" s="589" t="s">
        <v>238</v>
      </c>
      <c r="B2" s="590"/>
      <c r="C2" s="590"/>
      <c r="D2" s="590"/>
      <c r="E2" s="590"/>
      <c r="F2" s="590"/>
      <c r="G2" s="590"/>
      <c r="H2" s="590"/>
      <c r="I2" s="590"/>
      <c r="J2" s="590"/>
      <c r="K2" s="590"/>
      <c r="L2" s="590"/>
      <c r="M2" s="590"/>
      <c r="N2" s="590"/>
      <c r="O2" s="591"/>
    </row>
    <row r="3" spans="1:15" ht="27" customHeight="1" thickBot="1" x14ac:dyDescent="0.3">
      <c r="A3" s="592" t="s">
        <v>130</v>
      </c>
      <c r="B3" s="593"/>
      <c r="C3" s="593"/>
      <c r="D3" s="593"/>
      <c r="E3" s="593"/>
      <c r="F3" s="593"/>
      <c r="G3" s="593"/>
      <c r="H3" s="593"/>
      <c r="I3" s="593"/>
      <c r="J3" s="593"/>
      <c r="K3" s="593"/>
      <c r="L3" s="594"/>
      <c r="M3" s="593"/>
      <c r="N3" s="593"/>
      <c r="O3" s="595"/>
    </row>
    <row r="4" spans="1:15" ht="24" customHeight="1" thickBot="1" x14ac:dyDescent="0.3">
      <c r="A4" s="613" t="s">
        <v>0</v>
      </c>
      <c r="B4" s="613" t="s">
        <v>1</v>
      </c>
      <c r="C4" s="615" t="s">
        <v>2</v>
      </c>
      <c r="D4" s="616" t="s">
        <v>55</v>
      </c>
      <c r="E4" s="619" t="s">
        <v>3</v>
      </c>
      <c r="F4" s="596" t="s">
        <v>52</v>
      </c>
      <c r="G4" s="596"/>
      <c r="H4" s="596"/>
      <c r="I4" s="596"/>
      <c r="J4" s="597"/>
      <c r="K4" s="214"/>
      <c r="L4" s="622" t="s">
        <v>4</v>
      </c>
      <c r="M4" s="605" t="s">
        <v>5</v>
      </c>
      <c r="N4" s="605" t="s">
        <v>6</v>
      </c>
      <c r="O4" s="611" t="s">
        <v>7</v>
      </c>
    </row>
    <row r="5" spans="1:15" ht="15.95" customHeight="1" x14ac:dyDescent="0.25">
      <c r="A5" s="613"/>
      <c r="B5" s="613"/>
      <c r="C5" s="613"/>
      <c r="D5" s="617"/>
      <c r="E5" s="620"/>
      <c r="F5" s="607"/>
      <c r="G5" s="609"/>
      <c r="H5" s="598"/>
      <c r="I5" s="599"/>
      <c r="J5" s="600"/>
      <c r="K5" s="215"/>
      <c r="L5" s="622"/>
      <c r="M5" s="605"/>
      <c r="N5" s="605"/>
      <c r="O5" s="611"/>
    </row>
    <row r="6" spans="1:15" ht="12.95" customHeight="1" thickBot="1" x14ac:dyDescent="0.3">
      <c r="A6" s="614"/>
      <c r="B6" s="614"/>
      <c r="C6" s="614"/>
      <c r="D6" s="618"/>
      <c r="E6" s="621"/>
      <c r="F6" s="608"/>
      <c r="G6" s="610"/>
      <c r="H6" s="601"/>
      <c r="I6" s="602"/>
      <c r="J6" s="603"/>
      <c r="K6" s="216"/>
      <c r="L6" s="622"/>
      <c r="M6" s="606"/>
      <c r="N6" s="606"/>
      <c r="O6" s="612"/>
    </row>
    <row r="7" spans="1:15" s="4" customFormat="1" ht="16.5" customHeight="1" thickBot="1" x14ac:dyDescent="0.3">
      <c r="A7" s="554" t="s">
        <v>88</v>
      </c>
      <c r="B7" s="105">
        <v>5025</v>
      </c>
      <c r="C7" s="425" t="s">
        <v>163</v>
      </c>
      <c r="D7" s="376">
        <v>0.04</v>
      </c>
      <c r="E7" s="94" t="s">
        <v>8</v>
      </c>
      <c r="F7" s="210">
        <v>244.58799999999999</v>
      </c>
      <c r="G7" s="468">
        <v>0</v>
      </c>
      <c r="H7" s="490">
        <v>0</v>
      </c>
      <c r="I7" s="491">
        <v>0</v>
      </c>
      <c r="J7" s="492">
        <v>0</v>
      </c>
      <c r="K7" s="377"/>
      <c r="L7" s="378" t="s">
        <v>9</v>
      </c>
      <c r="M7" s="90" t="s">
        <v>9</v>
      </c>
      <c r="N7" s="426">
        <v>6958590310112</v>
      </c>
      <c r="O7" s="91" t="s">
        <v>87</v>
      </c>
    </row>
    <row r="8" spans="1:15" s="4" customFormat="1" ht="24" x14ac:dyDescent="0.25">
      <c r="A8" s="555"/>
      <c r="B8" s="88">
        <v>2253</v>
      </c>
      <c r="C8" s="397" t="s">
        <v>193</v>
      </c>
      <c r="D8" s="43">
        <v>0.04</v>
      </c>
      <c r="E8" s="94" t="s">
        <v>8</v>
      </c>
      <c r="F8" s="210">
        <v>244.58799999999999</v>
      </c>
      <c r="G8" s="469">
        <v>0</v>
      </c>
      <c r="H8" s="470">
        <v>0</v>
      </c>
      <c r="I8" s="471">
        <v>0</v>
      </c>
      <c r="J8" s="493">
        <v>0</v>
      </c>
      <c r="K8" s="217"/>
      <c r="L8" s="378" t="s">
        <v>9</v>
      </c>
      <c r="M8" s="90" t="s">
        <v>9</v>
      </c>
      <c r="N8" s="163">
        <v>6958590307372</v>
      </c>
      <c r="O8" s="91" t="s">
        <v>87</v>
      </c>
    </row>
    <row r="9" spans="1:15" s="4" customFormat="1" ht="24.75" thickBot="1" x14ac:dyDescent="0.3">
      <c r="A9" s="584"/>
      <c r="B9" s="89">
        <v>2252</v>
      </c>
      <c r="C9" s="424" t="s">
        <v>194</v>
      </c>
      <c r="D9" s="122">
        <v>0.04</v>
      </c>
      <c r="E9" s="95" t="s">
        <v>8</v>
      </c>
      <c r="F9" s="211">
        <v>244.58799999999999</v>
      </c>
      <c r="G9" s="472">
        <v>0</v>
      </c>
      <c r="H9" s="473">
        <v>0</v>
      </c>
      <c r="I9" s="474">
        <v>0</v>
      </c>
      <c r="J9" s="494">
        <v>0</v>
      </c>
      <c r="K9" s="218"/>
      <c r="L9" s="311" t="s">
        <v>9</v>
      </c>
      <c r="M9" s="47" t="s">
        <v>9</v>
      </c>
      <c r="N9" s="92">
        <v>6958590307587</v>
      </c>
      <c r="O9" s="33" t="s">
        <v>87</v>
      </c>
    </row>
    <row r="10" spans="1:15" x14ac:dyDescent="0.25">
      <c r="A10" s="554" t="s">
        <v>28</v>
      </c>
      <c r="B10" s="68">
        <v>2304</v>
      </c>
      <c r="C10" s="68" t="s">
        <v>80</v>
      </c>
      <c r="D10" s="160">
        <v>0.04</v>
      </c>
      <c r="E10" s="74" t="s">
        <v>51</v>
      </c>
      <c r="F10" s="290">
        <v>24.979199999999999</v>
      </c>
      <c r="G10" s="475">
        <v>0</v>
      </c>
      <c r="H10" s="470">
        <v>0</v>
      </c>
      <c r="I10" s="476">
        <v>0</v>
      </c>
      <c r="J10" s="477">
        <v>0</v>
      </c>
      <c r="K10" s="219"/>
      <c r="L10" s="158">
        <v>1.2999999999999999E-2</v>
      </c>
      <c r="M10" s="76" t="s">
        <v>9</v>
      </c>
      <c r="N10" s="9">
        <v>7908007906628</v>
      </c>
      <c r="O10" s="10" t="s">
        <v>81</v>
      </c>
    </row>
    <row r="11" spans="1:15" x14ac:dyDescent="0.25">
      <c r="A11" s="555"/>
      <c r="B11" s="73">
        <v>2305</v>
      </c>
      <c r="C11" s="73" t="s">
        <v>82</v>
      </c>
      <c r="D11" s="161">
        <v>0.04</v>
      </c>
      <c r="E11" s="75" t="s">
        <v>51</v>
      </c>
      <c r="F11" s="291">
        <v>15.612</v>
      </c>
      <c r="G11" s="478">
        <v>0</v>
      </c>
      <c r="H11" s="479">
        <v>0</v>
      </c>
      <c r="I11" s="480">
        <v>0</v>
      </c>
      <c r="J11" s="481">
        <v>0</v>
      </c>
      <c r="K11" s="220"/>
      <c r="L11" s="70">
        <v>1.2999999999999999E-2</v>
      </c>
      <c r="M11" s="3" t="s">
        <v>9</v>
      </c>
      <c r="N11" s="6">
        <v>7908007906635</v>
      </c>
      <c r="O11" s="11" t="s">
        <v>81</v>
      </c>
    </row>
    <row r="12" spans="1:15" x14ac:dyDescent="0.25">
      <c r="A12" s="555"/>
      <c r="B12" s="73">
        <v>2306</v>
      </c>
      <c r="C12" s="73" t="s">
        <v>84</v>
      </c>
      <c r="D12" s="161">
        <v>0.04</v>
      </c>
      <c r="E12" s="75" t="s">
        <v>51</v>
      </c>
      <c r="F12" s="291">
        <v>19.775200000000002</v>
      </c>
      <c r="G12" s="478">
        <v>0</v>
      </c>
      <c r="H12" s="479">
        <v>0</v>
      </c>
      <c r="I12" s="480">
        <v>0</v>
      </c>
      <c r="J12" s="481">
        <v>0</v>
      </c>
      <c r="K12" s="220"/>
      <c r="L12" s="70">
        <v>1.2999999999999999E-2</v>
      </c>
      <c r="M12" s="3" t="s">
        <v>9</v>
      </c>
      <c r="N12" s="6">
        <v>7908007906611</v>
      </c>
      <c r="O12" s="11" t="s">
        <v>81</v>
      </c>
    </row>
    <row r="13" spans="1:15" ht="15.75" thickBot="1" x14ac:dyDescent="0.3">
      <c r="A13" s="556"/>
      <c r="B13" s="104">
        <v>2307</v>
      </c>
      <c r="C13" s="104" t="s">
        <v>83</v>
      </c>
      <c r="D13" s="162">
        <v>0.04</v>
      </c>
      <c r="E13" s="306" t="s">
        <v>51</v>
      </c>
      <c r="F13" s="292">
        <v>27.0608</v>
      </c>
      <c r="G13" s="482">
        <v>0</v>
      </c>
      <c r="H13" s="473">
        <v>0</v>
      </c>
      <c r="I13" s="483">
        <v>0</v>
      </c>
      <c r="J13" s="484">
        <v>0</v>
      </c>
      <c r="K13" s="221"/>
      <c r="L13" s="159">
        <v>1.2999999999999999E-2</v>
      </c>
      <c r="M13" s="157" t="s">
        <v>9</v>
      </c>
      <c r="N13" s="13">
        <v>7908007906604</v>
      </c>
      <c r="O13" s="14" t="s">
        <v>81</v>
      </c>
    </row>
    <row r="14" spans="1:15" ht="14.45" customHeight="1" x14ac:dyDescent="0.25">
      <c r="A14" s="554" t="s">
        <v>20</v>
      </c>
      <c r="B14" s="100">
        <v>803</v>
      </c>
      <c r="C14" s="121" t="s">
        <v>89</v>
      </c>
      <c r="D14" s="34">
        <v>0.04</v>
      </c>
      <c r="E14" s="37" t="s">
        <v>8</v>
      </c>
      <c r="F14" s="293">
        <v>573.68896000000007</v>
      </c>
      <c r="G14" s="467">
        <v>0</v>
      </c>
      <c r="H14" s="485">
        <v>0</v>
      </c>
      <c r="I14" s="147">
        <v>0</v>
      </c>
      <c r="J14" s="486">
        <v>0</v>
      </c>
      <c r="K14" s="222"/>
      <c r="L14" s="87" t="s">
        <v>9</v>
      </c>
      <c r="M14" s="15" t="s">
        <v>9</v>
      </c>
      <c r="N14" s="9" t="s">
        <v>240</v>
      </c>
      <c r="O14" s="10" t="s">
        <v>87</v>
      </c>
    </row>
    <row r="15" spans="1:15" x14ac:dyDescent="0.25">
      <c r="A15" s="555"/>
      <c r="B15" s="41">
        <v>477</v>
      </c>
      <c r="C15" s="262" t="s">
        <v>90</v>
      </c>
      <c r="D15" s="263">
        <v>0.12</v>
      </c>
      <c r="E15" s="197" t="s">
        <v>8</v>
      </c>
      <c r="F15" s="296">
        <v>568.27679999999998</v>
      </c>
      <c r="G15" s="460">
        <v>0</v>
      </c>
      <c r="H15" s="383">
        <v>0</v>
      </c>
      <c r="I15" s="384">
        <v>0</v>
      </c>
      <c r="J15" s="440">
        <v>0</v>
      </c>
      <c r="K15" s="385"/>
      <c r="L15" s="53" t="s">
        <v>9</v>
      </c>
      <c r="M15" s="379" t="s">
        <v>9</v>
      </c>
      <c r="N15" s="17">
        <v>7908007900749</v>
      </c>
      <c r="O15" s="380" t="s">
        <v>45</v>
      </c>
    </row>
    <row r="16" spans="1:15" ht="24" x14ac:dyDescent="0.25">
      <c r="A16" s="557"/>
      <c r="B16" s="39">
        <v>449</v>
      </c>
      <c r="C16" s="279" t="s">
        <v>191</v>
      </c>
      <c r="D16" s="416">
        <v>0.12</v>
      </c>
      <c r="E16" s="39" t="s">
        <v>8</v>
      </c>
      <c r="F16" s="412">
        <v>52.878988880000001</v>
      </c>
      <c r="G16" s="487">
        <v>0</v>
      </c>
      <c r="H16" s="441">
        <v>0</v>
      </c>
      <c r="I16" s="156">
        <v>0</v>
      </c>
      <c r="J16" s="442">
        <v>0</v>
      </c>
      <c r="K16" s="439"/>
      <c r="L16" s="413" t="s">
        <v>9</v>
      </c>
      <c r="M16" s="415" t="s">
        <v>9</v>
      </c>
      <c r="N16" s="6" t="s">
        <v>184</v>
      </c>
      <c r="O16" s="6" t="s">
        <v>45</v>
      </c>
    </row>
    <row r="17" spans="1:15" ht="15.75" thickBot="1" x14ac:dyDescent="0.3">
      <c r="A17" s="556"/>
      <c r="B17" s="39">
        <v>651</v>
      </c>
      <c r="C17" s="279" t="s">
        <v>192</v>
      </c>
      <c r="D17" s="416">
        <v>0.04</v>
      </c>
      <c r="E17" s="39" t="s">
        <v>183</v>
      </c>
      <c r="F17" s="412">
        <v>275.44772000000006</v>
      </c>
      <c r="G17" s="487">
        <v>0</v>
      </c>
      <c r="H17" s="441">
        <v>0</v>
      </c>
      <c r="I17" s="156">
        <v>0</v>
      </c>
      <c r="J17" s="442">
        <v>0</v>
      </c>
      <c r="K17" s="439"/>
      <c r="L17" s="413" t="s">
        <v>9</v>
      </c>
      <c r="M17" s="415" t="s">
        <v>9</v>
      </c>
      <c r="N17" s="6" t="s">
        <v>185</v>
      </c>
      <c r="O17" s="6" t="s">
        <v>87</v>
      </c>
    </row>
    <row r="18" spans="1:15" ht="15" customHeight="1" x14ac:dyDescent="0.25">
      <c r="A18" s="558" t="s">
        <v>10</v>
      </c>
      <c r="B18" s="72">
        <v>383</v>
      </c>
      <c r="C18" s="275" t="s">
        <v>24</v>
      </c>
      <c r="D18" s="414">
        <v>0.04</v>
      </c>
      <c r="E18" s="72" t="s">
        <v>11</v>
      </c>
      <c r="F18" s="411">
        <v>64.32144000000001</v>
      </c>
      <c r="G18" s="488">
        <v>0</v>
      </c>
      <c r="H18" s="153">
        <v>0</v>
      </c>
      <c r="I18" s="154">
        <v>0</v>
      </c>
      <c r="J18" s="489">
        <v>0</v>
      </c>
      <c r="K18" s="410"/>
      <c r="L18" s="409">
        <v>6.5000000000000002E-2</v>
      </c>
      <c r="M18" s="209" t="s">
        <v>9</v>
      </c>
      <c r="N18" s="52" t="s">
        <v>241</v>
      </c>
      <c r="O18" s="69" t="str">
        <f>VLOOKUP(B18,[1]Sheet1!$A:$E,5,0)</f>
        <v>4202.39.00</v>
      </c>
    </row>
    <row r="19" spans="1:15" ht="30.75" thickBot="1" x14ac:dyDescent="0.3">
      <c r="A19" s="561"/>
      <c r="B19" s="79">
        <v>1888</v>
      </c>
      <c r="C19" s="123" t="s">
        <v>98</v>
      </c>
      <c r="D19" s="122">
        <v>0.04</v>
      </c>
      <c r="E19" s="79" t="s">
        <v>8</v>
      </c>
      <c r="F19" s="388">
        <v>13.218159999999999</v>
      </c>
      <c r="G19" s="438">
        <v>0</v>
      </c>
      <c r="H19" s="443">
        <v>0</v>
      </c>
      <c r="I19" s="133">
        <v>0</v>
      </c>
      <c r="J19" s="390">
        <v>0</v>
      </c>
      <c r="K19" s="389"/>
      <c r="L19" s="387" t="s">
        <v>9</v>
      </c>
      <c r="M19" s="434" t="s">
        <v>200</v>
      </c>
      <c r="N19" s="381">
        <v>9120015786643</v>
      </c>
      <c r="O19" s="382" t="s">
        <v>46</v>
      </c>
    </row>
    <row r="20" spans="1:15" ht="15" customHeight="1" x14ac:dyDescent="0.25">
      <c r="A20" s="557" t="s">
        <v>58</v>
      </c>
      <c r="B20" s="72">
        <v>548</v>
      </c>
      <c r="C20" s="275" t="s">
        <v>92</v>
      </c>
      <c r="D20" s="173">
        <f>_xlfn.XLOOKUP(B20,'[2]Ficha Compras'!$C:$C,'[2]Ficha Compras'!$I:$I)</f>
        <v>0.04</v>
      </c>
      <c r="E20" s="72" t="s">
        <v>8</v>
      </c>
      <c r="F20" s="298">
        <v>6.4945919999999999</v>
      </c>
      <c r="G20" s="131">
        <v>0</v>
      </c>
      <c r="H20" s="134">
        <v>0</v>
      </c>
      <c r="I20" s="111">
        <v>0</v>
      </c>
      <c r="J20" s="444">
        <v>0</v>
      </c>
      <c r="K20" s="238"/>
      <c r="L20" s="71">
        <v>5.1999999999999998E-2</v>
      </c>
      <c r="M20" s="386" t="s">
        <v>9</v>
      </c>
      <c r="N20" s="52" t="s">
        <v>242</v>
      </c>
      <c r="O20" s="69" t="str">
        <f>VLOOKUP(B20,[1]Sheet1!$A:$E,5,0)</f>
        <v>9018.39.99</v>
      </c>
    </row>
    <row r="21" spans="1:15" s="4" customFormat="1" x14ac:dyDescent="0.25">
      <c r="A21" s="557"/>
      <c r="B21" s="39">
        <v>2397</v>
      </c>
      <c r="C21" s="184" t="s">
        <v>70</v>
      </c>
      <c r="D21" s="283">
        <v>0.04</v>
      </c>
      <c r="E21" s="39" t="s">
        <v>11</v>
      </c>
      <c r="F21" s="295">
        <v>12.302256</v>
      </c>
      <c r="G21" s="126">
        <v>0</v>
      </c>
      <c r="H21" s="135">
        <v>0</v>
      </c>
      <c r="I21" s="136">
        <v>0</v>
      </c>
      <c r="J21" s="445">
        <v>0</v>
      </c>
      <c r="K21" s="225"/>
      <c r="L21" s="77">
        <v>5.1999999999999998E-2</v>
      </c>
      <c r="M21" s="5" t="s">
        <v>9</v>
      </c>
      <c r="N21" s="8">
        <v>7908007905669</v>
      </c>
      <c r="O21" s="22" t="s">
        <v>57</v>
      </c>
    </row>
    <row r="22" spans="1:15" ht="15.75" thickBot="1" x14ac:dyDescent="0.3">
      <c r="A22" s="557"/>
      <c r="B22" s="41">
        <v>2400</v>
      </c>
      <c r="C22" s="262" t="s">
        <v>71</v>
      </c>
      <c r="D22" s="284">
        <v>0.04</v>
      </c>
      <c r="E22" s="41" t="s">
        <v>11</v>
      </c>
      <c r="F22" s="296">
        <v>12.302256</v>
      </c>
      <c r="G22" s="127">
        <v>0</v>
      </c>
      <c r="H22" s="137">
        <v>0</v>
      </c>
      <c r="I22" s="138">
        <v>0</v>
      </c>
      <c r="J22" s="452">
        <v>0</v>
      </c>
      <c r="K22" s="226"/>
      <c r="L22" s="78">
        <v>5.1999999999999998E-2</v>
      </c>
      <c r="M22" s="62" t="s">
        <v>9</v>
      </c>
      <c r="N22" s="51">
        <v>7908007905690</v>
      </c>
      <c r="O22" s="63" t="s">
        <v>57</v>
      </c>
    </row>
    <row r="23" spans="1:15" ht="15" customHeight="1" x14ac:dyDescent="0.25">
      <c r="A23" s="558" t="s">
        <v>13</v>
      </c>
      <c r="B23" s="40">
        <v>237</v>
      </c>
      <c r="C23" s="121" t="s">
        <v>14</v>
      </c>
      <c r="D23" s="285">
        <f>_xlfn.XLOOKUP(B23,'[2]Ficha Compras'!$C:$C,'[2]Ficha Compras'!$I:$I)</f>
        <v>0.04</v>
      </c>
      <c r="E23" s="40" t="s">
        <v>11</v>
      </c>
      <c r="F23" s="432">
        <v>12.302256</v>
      </c>
      <c r="G23" s="449">
        <v>0</v>
      </c>
      <c r="H23" s="453">
        <v>0</v>
      </c>
      <c r="I23" s="454">
        <v>0</v>
      </c>
      <c r="J23" s="447">
        <v>0</v>
      </c>
      <c r="K23" s="227"/>
      <c r="L23" s="56">
        <v>5.1999999999999998E-2</v>
      </c>
      <c r="M23" s="61" t="s">
        <v>9</v>
      </c>
      <c r="N23" s="9" t="s">
        <v>243</v>
      </c>
      <c r="O23" s="10" t="str">
        <f>VLOOKUP(B23,[1]Sheet1!$A:$E,5,0)</f>
        <v>9018.39.99</v>
      </c>
    </row>
    <row r="24" spans="1:15" x14ac:dyDescent="0.25">
      <c r="A24" s="559"/>
      <c r="B24" s="39">
        <v>238</v>
      </c>
      <c r="C24" s="184" t="s">
        <v>15</v>
      </c>
      <c r="D24" s="286">
        <f>_xlfn.XLOOKUP(B24,'[2]Ficha Compras'!$C:$C,'[2]Ficha Compras'!$I:$I)</f>
        <v>0.04</v>
      </c>
      <c r="E24" s="39" t="s">
        <v>11</v>
      </c>
      <c r="F24" s="412">
        <v>12.302256</v>
      </c>
      <c r="G24" s="450">
        <v>0</v>
      </c>
      <c r="H24" s="135">
        <v>0</v>
      </c>
      <c r="I24" s="136">
        <v>0</v>
      </c>
      <c r="J24" s="445">
        <v>0</v>
      </c>
      <c r="K24" s="225"/>
      <c r="L24" s="55">
        <v>5.1999999999999998E-2</v>
      </c>
      <c r="M24" s="5" t="s">
        <v>9</v>
      </c>
      <c r="N24" s="6" t="s">
        <v>244</v>
      </c>
      <c r="O24" s="11" t="str">
        <f>VLOOKUP(B24,[1]Sheet1!$A:$E,5,0)</f>
        <v>9018.39.99</v>
      </c>
    </row>
    <row r="25" spans="1:15" x14ac:dyDescent="0.25">
      <c r="A25" s="559"/>
      <c r="B25" s="39">
        <v>239</v>
      </c>
      <c r="C25" s="184" t="s">
        <v>16</v>
      </c>
      <c r="D25" s="286">
        <f>_xlfn.XLOOKUP(B25,'[2]Ficha Compras'!$C:$C,'[2]Ficha Compras'!$I:$I)</f>
        <v>0.04</v>
      </c>
      <c r="E25" s="39" t="s">
        <v>11</v>
      </c>
      <c r="F25" s="412">
        <v>12.302256</v>
      </c>
      <c r="G25" s="450">
        <v>0</v>
      </c>
      <c r="H25" s="135">
        <v>0</v>
      </c>
      <c r="I25" s="136">
        <v>0</v>
      </c>
      <c r="J25" s="445">
        <v>0</v>
      </c>
      <c r="K25" s="225"/>
      <c r="L25" s="55">
        <v>5.1999999999999998E-2</v>
      </c>
      <c r="M25" s="5" t="s">
        <v>9</v>
      </c>
      <c r="N25" s="6" t="s">
        <v>245</v>
      </c>
      <c r="O25" s="11" t="str">
        <f>VLOOKUP(B25,[1]Sheet1!$A:$E,5,0)</f>
        <v>9018.39.99</v>
      </c>
    </row>
    <row r="26" spans="1:15" x14ac:dyDescent="0.25">
      <c r="A26" s="559"/>
      <c r="B26" s="39">
        <v>240</v>
      </c>
      <c r="C26" s="433" t="s">
        <v>195</v>
      </c>
      <c r="D26" s="286">
        <v>0.04</v>
      </c>
      <c r="E26" s="39" t="s">
        <v>11</v>
      </c>
      <c r="F26" s="412">
        <v>12.302256</v>
      </c>
      <c r="G26" s="450">
        <v>0</v>
      </c>
      <c r="H26" s="135">
        <v>0</v>
      </c>
      <c r="I26" s="136">
        <v>0</v>
      </c>
      <c r="J26" s="445">
        <v>0</v>
      </c>
      <c r="K26" s="225"/>
      <c r="L26" s="55">
        <v>5.1999999999999998E-2</v>
      </c>
      <c r="M26" s="5" t="s">
        <v>9</v>
      </c>
      <c r="N26" s="6" t="s">
        <v>246</v>
      </c>
      <c r="O26" s="11" t="str">
        <f>VLOOKUP(B26,[1]Sheet1!$A:$E,5,0)</f>
        <v>9018.39.99</v>
      </c>
    </row>
    <row r="27" spans="1:15" x14ac:dyDescent="0.25">
      <c r="A27" s="559"/>
      <c r="B27" s="39">
        <v>242</v>
      </c>
      <c r="C27" s="433" t="s">
        <v>196</v>
      </c>
      <c r="D27" s="286">
        <v>0.04</v>
      </c>
      <c r="E27" s="39" t="s">
        <v>11</v>
      </c>
      <c r="F27" s="412">
        <v>12.302256</v>
      </c>
      <c r="G27" s="450">
        <v>0</v>
      </c>
      <c r="H27" s="135">
        <v>0</v>
      </c>
      <c r="I27" s="136">
        <v>0</v>
      </c>
      <c r="J27" s="445">
        <v>0</v>
      </c>
      <c r="K27" s="225"/>
      <c r="L27" s="55">
        <v>5.1999999999999998E-2</v>
      </c>
      <c r="M27" s="5" t="s">
        <v>9</v>
      </c>
      <c r="N27" s="6" t="s">
        <v>247</v>
      </c>
      <c r="O27" s="11" t="str">
        <f>VLOOKUP(B27,[1]Sheet1!$A:$E,5,0)</f>
        <v>9018.39.99</v>
      </c>
    </row>
    <row r="28" spans="1:15" x14ac:dyDescent="0.25">
      <c r="A28" s="559"/>
      <c r="B28" s="42">
        <v>969</v>
      </c>
      <c r="C28" s="270" t="s">
        <v>56</v>
      </c>
      <c r="D28" s="287">
        <v>0.04</v>
      </c>
      <c r="E28" s="42" t="s">
        <v>11</v>
      </c>
      <c r="F28" s="412">
        <v>3.9758559999999998</v>
      </c>
      <c r="G28" s="450">
        <v>0</v>
      </c>
      <c r="H28" s="139">
        <v>0</v>
      </c>
      <c r="I28" s="109">
        <v>0</v>
      </c>
      <c r="J28" s="448">
        <v>0</v>
      </c>
      <c r="K28" s="228"/>
      <c r="L28" s="55">
        <v>5.1999999999999998E-2</v>
      </c>
      <c r="M28" s="7" t="s">
        <v>9</v>
      </c>
      <c r="N28" s="64">
        <v>7908007903610</v>
      </c>
      <c r="O28" s="65" t="s">
        <v>57</v>
      </c>
    </row>
    <row r="29" spans="1:15" x14ac:dyDescent="0.25">
      <c r="A29" s="560"/>
      <c r="B29" s="42">
        <v>970</v>
      </c>
      <c r="C29" s="270" t="s">
        <v>67</v>
      </c>
      <c r="D29" s="332">
        <v>0.04</v>
      </c>
      <c r="E29" s="39" t="s">
        <v>8</v>
      </c>
      <c r="F29" s="412">
        <v>6.4945919999999999</v>
      </c>
      <c r="G29" s="450">
        <v>0</v>
      </c>
      <c r="H29" s="151">
        <v>0</v>
      </c>
      <c r="I29" s="112">
        <v>0</v>
      </c>
      <c r="J29" s="152">
        <v>0</v>
      </c>
      <c r="K29" s="446"/>
      <c r="L29" s="430">
        <v>5.1999999999999998E-2</v>
      </c>
      <c r="M29" s="7" t="s">
        <v>9</v>
      </c>
      <c r="N29" s="64">
        <v>7908007903870</v>
      </c>
      <c r="O29" s="65" t="s">
        <v>57</v>
      </c>
    </row>
    <row r="30" spans="1:15" x14ac:dyDescent="0.25">
      <c r="A30" s="560"/>
      <c r="B30" s="42">
        <v>2421</v>
      </c>
      <c r="C30" s="184" t="s">
        <v>197</v>
      </c>
      <c r="D30" s="286">
        <v>0.04</v>
      </c>
      <c r="E30" s="39" t="s">
        <v>11</v>
      </c>
      <c r="F30" s="412">
        <v>171.045072</v>
      </c>
      <c r="G30" s="450">
        <v>0</v>
      </c>
      <c r="H30" s="151">
        <v>0</v>
      </c>
      <c r="I30" s="112">
        <v>0</v>
      </c>
      <c r="J30" s="152">
        <v>0</v>
      </c>
      <c r="K30" s="446"/>
      <c r="L30" s="430">
        <v>5.1999999999999998E-2</v>
      </c>
      <c r="M30" s="7" t="s">
        <v>9</v>
      </c>
      <c r="N30" s="64">
        <v>7908007907014</v>
      </c>
      <c r="O30" s="65" t="s">
        <v>57</v>
      </c>
    </row>
    <row r="31" spans="1:15" ht="14.1" customHeight="1" thickBot="1" x14ac:dyDescent="0.3">
      <c r="A31" s="561"/>
      <c r="B31" s="431">
        <v>2424</v>
      </c>
      <c r="C31" s="123" t="s">
        <v>198</v>
      </c>
      <c r="D31" s="288">
        <v>0.04</v>
      </c>
      <c r="E31" s="79" t="s">
        <v>11</v>
      </c>
      <c r="F31" s="412">
        <v>171.045072</v>
      </c>
      <c r="G31" s="451">
        <v>0</v>
      </c>
      <c r="H31" s="401">
        <v>0</v>
      </c>
      <c r="I31" s="148">
        <v>0</v>
      </c>
      <c r="J31" s="455">
        <v>0</v>
      </c>
      <c r="K31" s="235"/>
      <c r="L31" s="430">
        <v>5.1999999999999998E-2</v>
      </c>
      <c r="M31" s="7" t="s">
        <v>9</v>
      </c>
      <c r="N31" s="64">
        <v>7908007907045</v>
      </c>
      <c r="O31" s="65" t="s">
        <v>57</v>
      </c>
    </row>
    <row r="32" spans="1:15" ht="15" customHeight="1" x14ac:dyDescent="0.25">
      <c r="A32" s="604" t="s">
        <v>17</v>
      </c>
      <c r="B32" s="72">
        <v>3990</v>
      </c>
      <c r="C32" s="272" t="s">
        <v>18</v>
      </c>
      <c r="D32" s="173">
        <v>0.12</v>
      </c>
      <c r="E32" s="72" t="s">
        <v>8</v>
      </c>
      <c r="F32" s="297">
        <v>44.650320000000001</v>
      </c>
      <c r="G32" s="460">
        <v>0</v>
      </c>
      <c r="H32" s="461">
        <v>0</v>
      </c>
      <c r="I32" s="462">
        <v>0</v>
      </c>
      <c r="J32" s="463">
        <v>0</v>
      </c>
      <c r="K32" s="230"/>
      <c r="L32" s="71" t="s">
        <v>9</v>
      </c>
      <c r="M32" s="93" t="s">
        <v>9</v>
      </c>
      <c r="N32" s="52">
        <v>7908007901081</v>
      </c>
      <c r="O32" s="69" t="s">
        <v>87</v>
      </c>
    </row>
    <row r="33" spans="1:15" x14ac:dyDescent="0.25">
      <c r="A33" s="557"/>
      <c r="B33" s="31">
        <v>1405</v>
      </c>
      <c r="C33" s="375" t="s">
        <v>161</v>
      </c>
      <c r="D33" s="181">
        <v>0.04</v>
      </c>
      <c r="E33" s="31" t="s">
        <v>8</v>
      </c>
      <c r="F33" s="297">
        <v>62.343919999999997</v>
      </c>
      <c r="G33" s="460">
        <v>0</v>
      </c>
      <c r="H33" s="464">
        <v>0</v>
      </c>
      <c r="I33" s="465">
        <v>0</v>
      </c>
      <c r="J33" s="466">
        <v>0</v>
      </c>
      <c r="K33" s="230"/>
      <c r="L33" s="71" t="s">
        <v>9</v>
      </c>
      <c r="M33" s="93" t="s">
        <v>9</v>
      </c>
      <c r="N33" s="27"/>
      <c r="O33" s="28"/>
    </row>
    <row r="34" spans="1:15" ht="15.75" thickBot="1" x14ac:dyDescent="0.3">
      <c r="A34" s="561"/>
      <c r="B34" s="79">
        <v>18</v>
      </c>
      <c r="C34" s="123" t="s">
        <v>19</v>
      </c>
      <c r="D34" s="35">
        <v>0.04</v>
      </c>
      <c r="E34" s="96" t="s">
        <v>8</v>
      </c>
      <c r="F34" s="294">
        <v>31.224</v>
      </c>
      <c r="G34" s="459">
        <v>0</v>
      </c>
      <c r="H34" s="132">
        <v>0</v>
      </c>
      <c r="I34" s="133">
        <v>0</v>
      </c>
      <c r="J34" s="390">
        <v>0</v>
      </c>
      <c r="K34" s="223"/>
      <c r="L34" s="54">
        <v>0.05</v>
      </c>
      <c r="M34" s="12" t="s">
        <v>9</v>
      </c>
      <c r="N34" s="13" t="s">
        <v>248</v>
      </c>
      <c r="O34" s="14" t="str">
        <f>VLOOKUP(B34,[1]Sheet1!$A:$E,5,0)</f>
        <v>8544.42.00</v>
      </c>
    </row>
    <row r="35" spans="1:15" ht="15.75" customHeight="1" thickBot="1" x14ac:dyDescent="0.3">
      <c r="A35" s="554" t="s">
        <v>20</v>
      </c>
      <c r="B35" s="44">
        <v>5355</v>
      </c>
      <c r="C35" s="273" t="s">
        <v>236</v>
      </c>
      <c r="D35" s="289">
        <v>0.12</v>
      </c>
      <c r="E35" s="360" t="s">
        <v>8</v>
      </c>
      <c r="F35" s="300">
        <v>0</v>
      </c>
      <c r="G35" s="170">
        <v>0</v>
      </c>
      <c r="H35" s="456">
        <v>93.567920000000001</v>
      </c>
      <c r="I35" s="457">
        <v>0</v>
      </c>
      <c r="J35" s="458">
        <v>0</v>
      </c>
      <c r="K35" s="361"/>
      <c r="L35" s="60" t="s">
        <v>9</v>
      </c>
      <c r="M35" s="362" t="s">
        <v>9</v>
      </c>
      <c r="N35" s="363">
        <v>7908007907281</v>
      </c>
      <c r="O35" s="46" t="s">
        <v>87</v>
      </c>
    </row>
    <row r="36" spans="1:15" ht="21.95" customHeight="1" thickBot="1" x14ac:dyDescent="0.3">
      <c r="A36" s="555"/>
      <c r="B36" s="572">
        <v>1797</v>
      </c>
      <c r="C36" s="554" t="s">
        <v>162</v>
      </c>
      <c r="D36" s="577">
        <v>0.12</v>
      </c>
      <c r="E36" s="553" t="s">
        <v>11</v>
      </c>
      <c r="F36" s="570"/>
      <c r="G36" s="568"/>
      <c r="H36" s="366" t="s">
        <v>21</v>
      </c>
      <c r="I36" s="367" t="s">
        <v>22</v>
      </c>
      <c r="J36" s="368" t="s">
        <v>23</v>
      </c>
      <c r="K36" s="222"/>
      <c r="L36" s="575" t="s">
        <v>9</v>
      </c>
      <c r="M36" s="566" t="s">
        <v>9</v>
      </c>
      <c r="N36" s="564">
        <v>7908007902187</v>
      </c>
      <c r="O36" s="562" t="s">
        <v>47</v>
      </c>
    </row>
    <row r="37" spans="1:15" ht="15.75" thickBot="1" x14ac:dyDescent="0.3">
      <c r="A37" s="555"/>
      <c r="B37" s="573"/>
      <c r="C37" s="584"/>
      <c r="D37" s="578"/>
      <c r="E37" s="543"/>
      <c r="F37" s="571"/>
      <c r="G37" s="569"/>
      <c r="H37" s="143">
        <v>54.121600000000001</v>
      </c>
      <c r="I37" s="110">
        <v>55.058320000000002</v>
      </c>
      <c r="J37" s="249">
        <v>57.087879999999998</v>
      </c>
      <c r="K37" s="222"/>
      <c r="L37" s="576"/>
      <c r="M37" s="567"/>
      <c r="N37" s="565"/>
      <c r="O37" s="563"/>
    </row>
    <row r="38" spans="1:15" ht="23.25" thickBot="1" x14ac:dyDescent="0.3">
      <c r="A38" s="555"/>
      <c r="B38" s="573"/>
      <c r="C38" s="554" t="s">
        <v>160</v>
      </c>
      <c r="D38" s="577">
        <v>0.12</v>
      </c>
      <c r="E38" s="553" t="s">
        <v>11</v>
      </c>
      <c r="F38" s="570"/>
      <c r="G38" s="568"/>
      <c r="H38" s="366" t="s">
        <v>21</v>
      </c>
      <c r="I38" s="367" t="s">
        <v>22</v>
      </c>
      <c r="J38" s="368" t="s">
        <v>23</v>
      </c>
      <c r="K38" s="222"/>
      <c r="L38" s="575" t="s">
        <v>9</v>
      </c>
      <c r="M38" s="566" t="s">
        <v>9</v>
      </c>
      <c r="N38" s="564">
        <v>7908007902187</v>
      </c>
      <c r="O38" s="562" t="s">
        <v>47</v>
      </c>
    </row>
    <row r="39" spans="1:15" ht="15.75" thickBot="1" x14ac:dyDescent="0.3">
      <c r="A39" s="555"/>
      <c r="B39" s="574"/>
      <c r="C39" s="584"/>
      <c r="D39" s="578"/>
      <c r="E39" s="543"/>
      <c r="F39" s="571"/>
      <c r="G39" s="569"/>
      <c r="H39" s="143">
        <v>49.958399999999997</v>
      </c>
      <c r="I39" s="110">
        <v>50.895119999999999</v>
      </c>
      <c r="J39" s="249">
        <v>52.924680000000002</v>
      </c>
      <c r="K39" s="222"/>
      <c r="L39" s="576"/>
      <c r="M39" s="567"/>
      <c r="N39" s="565"/>
      <c r="O39" s="563"/>
    </row>
    <row r="40" spans="1:15" ht="22.5" customHeight="1" x14ac:dyDescent="0.25">
      <c r="A40" s="555"/>
      <c r="B40" s="581">
        <v>4603</v>
      </c>
      <c r="C40" s="545" t="s">
        <v>203</v>
      </c>
      <c r="D40" s="577">
        <v>0.12</v>
      </c>
      <c r="E40" s="553" t="s">
        <v>11</v>
      </c>
      <c r="F40" s="364"/>
      <c r="G40" s="365"/>
      <c r="H40" s="366" t="s">
        <v>21</v>
      </c>
      <c r="I40" s="367" t="s">
        <v>22</v>
      </c>
      <c r="J40" s="368" t="s">
        <v>23</v>
      </c>
      <c r="K40" s="352"/>
      <c r="L40" s="548" t="s">
        <v>9</v>
      </c>
      <c r="M40" s="534" t="s">
        <v>9</v>
      </c>
      <c r="N40" s="537">
        <v>7908007901203</v>
      </c>
      <c r="O40" s="540" t="s">
        <v>47</v>
      </c>
    </row>
    <row r="41" spans="1:15" x14ac:dyDescent="0.25">
      <c r="A41" s="555"/>
      <c r="B41" s="582"/>
      <c r="C41" s="546"/>
      <c r="D41" s="585"/>
      <c r="E41" s="543"/>
      <c r="F41" s="353"/>
      <c r="G41" s="354"/>
      <c r="H41" s="139">
        <v>37.416760000000004</v>
      </c>
      <c r="I41" s="109">
        <v>39.44632</v>
      </c>
      <c r="J41" s="246">
        <v>41.527920000000002</v>
      </c>
      <c r="K41" s="241"/>
      <c r="L41" s="549"/>
      <c r="M41" s="535"/>
      <c r="N41" s="538"/>
      <c r="O41" s="541"/>
    </row>
    <row r="42" spans="1:15" ht="22.5" customHeight="1" x14ac:dyDescent="0.25">
      <c r="A42" s="555"/>
      <c r="B42" s="582"/>
      <c r="C42" s="546" t="s">
        <v>204</v>
      </c>
      <c r="D42" s="551">
        <v>0.12</v>
      </c>
      <c r="E42" s="543" t="s">
        <v>11</v>
      </c>
      <c r="F42" s="353"/>
      <c r="G42" s="354"/>
      <c r="H42" s="164" t="s">
        <v>21</v>
      </c>
      <c r="I42" s="165" t="s">
        <v>22</v>
      </c>
      <c r="J42" s="248" t="s">
        <v>23</v>
      </c>
      <c r="K42" s="241"/>
      <c r="L42" s="549"/>
      <c r="M42" s="535"/>
      <c r="N42" s="538"/>
      <c r="O42" s="541"/>
    </row>
    <row r="43" spans="1:15" ht="20.45" customHeight="1" x14ac:dyDescent="0.25">
      <c r="A43" s="555"/>
      <c r="B43" s="582"/>
      <c r="C43" s="546"/>
      <c r="D43" s="551"/>
      <c r="E43" s="543"/>
      <c r="F43" s="353"/>
      <c r="G43" s="354"/>
      <c r="H43" s="139">
        <v>34.939655999999999</v>
      </c>
      <c r="I43" s="109">
        <v>35.980456000000004</v>
      </c>
      <c r="J43" s="246">
        <v>37.416760000000004</v>
      </c>
      <c r="K43" s="241"/>
      <c r="L43" s="549"/>
      <c r="M43" s="535"/>
      <c r="N43" s="538"/>
      <c r="O43" s="541"/>
    </row>
    <row r="44" spans="1:15" ht="22.5" x14ac:dyDescent="0.25">
      <c r="A44" s="555"/>
      <c r="B44" s="582"/>
      <c r="C44" s="546" t="s">
        <v>205</v>
      </c>
      <c r="D44" s="551">
        <v>0.12</v>
      </c>
      <c r="E44" s="543" t="s">
        <v>11</v>
      </c>
      <c r="F44" s="353"/>
      <c r="G44" s="354"/>
      <c r="H44" s="164" t="s">
        <v>21</v>
      </c>
      <c r="I44" s="165" t="s">
        <v>22</v>
      </c>
      <c r="J44" s="248" t="s">
        <v>23</v>
      </c>
      <c r="K44" s="355"/>
      <c r="L44" s="549"/>
      <c r="M44" s="535"/>
      <c r="N44" s="538"/>
      <c r="O44" s="541"/>
    </row>
    <row r="45" spans="1:15" ht="15.75" thickBot="1" x14ac:dyDescent="0.3">
      <c r="A45" s="555"/>
      <c r="B45" s="583"/>
      <c r="C45" s="547"/>
      <c r="D45" s="552"/>
      <c r="E45" s="544"/>
      <c r="F45" s="357"/>
      <c r="G45" s="169"/>
      <c r="H45" s="143">
        <v>32.68112</v>
      </c>
      <c r="I45" s="110">
        <v>34.939655999999999</v>
      </c>
      <c r="J45" s="249">
        <v>36.375960000000006</v>
      </c>
      <c r="K45" s="359"/>
      <c r="L45" s="550"/>
      <c r="M45" s="536"/>
      <c r="N45" s="539"/>
      <c r="O45" s="542"/>
    </row>
    <row r="46" spans="1:15" ht="22.5" customHeight="1" x14ac:dyDescent="0.25">
      <c r="A46" s="555"/>
      <c r="B46" s="581">
        <v>4600</v>
      </c>
      <c r="C46" s="545" t="s">
        <v>206</v>
      </c>
      <c r="D46" s="577">
        <v>0.12</v>
      </c>
      <c r="E46" s="553" t="s">
        <v>11</v>
      </c>
      <c r="F46" s="364"/>
      <c r="G46" s="365"/>
      <c r="H46" s="366" t="s">
        <v>21</v>
      </c>
      <c r="I46" s="367" t="s">
        <v>22</v>
      </c>
      <c r="J46" s="368" t="s">
        <v>23</v>
      </c>
      <c r="K46" s="352"/>
      <c r="L46" s="548" t="s">
        <v>9</v>
      </c>
      <c r="M46" s="534" t="s">
        <v>9</v>
      </c>
      <c r="N46" s="537">
        <v>7908007901227</v>
      </c>
      <c r="O46" s="540" t="s">
        <v>47</v>
      </c>
    </row>
    <row r="47" spans="1:15" x14ac:dyDescent="0.25">
      <c r="A47" s="555"/>
      <c r="B47" s="582"/>
      <c r="C47" s="546"/>
      <c r="D47" s="585"/>
      <c r="E47" s="543"/>
      <c r="F47" s="353"/>
      <c r="G47" s="354"/>
      <c r="H47" s="139">
        <v>69.629519999999999</v>
      </c>
      <c r="I47" s="109">
        <v>73.688639999999992</v>
      </c>
      <c r="J47" s="246">
        <v>75.770240000000001</v>
      </c>
      <c r="K47" s="241"/>
      <c r="L47" s="549"/>
      <c r="M47" s="535"/>
      <c r="N47" s="538"/>
      <c r="O47" s="541"/>
    </row>
    <row r="48" spans="1:15" ht="22.5" customHeight="1" x14ac:dyDescent="0.25">
      <c r="A48" s="555"/>
      <c r="B48" s="582"/>
      <c r="C48" s="546" t="s">
        <v>207</v>
      </c>
      <c r="D48" s="551">
        <v>0.12</v>
      </c>
      <c r="E48" s="543" t="s">
        <v>11</v>
      </c>
      <c r="F48" s="353"/>
      <c r="G48" s="354"/>
      <c r="H48" s="164" t="s">
        <v>21</v>
      </c>
      <c r="I48" s="165" t="s">
        <v>22</v>
      </c>
      <c r="J48" s="248" t="s">
        <v>23</v>
      </c>
      <c r="K48" s="241"/>
      <c r="L48" s="549"/>
      <c r="M48" s="535"/>
      <c r="N48" s="538"/>
      <c r="O48" s="541"/>
    </row>
    <row r="49" spans="1:15" x14ac:dyDescent="0.25">
      <c r="A49" s="555"/>
      <c r="B49" s="582"/>
      <c r="C49" s="546"/>
      <c r="D49" s="551"/>
      <c r="E49" s="543"/>
      <c r="F49" s="353"/>
      <c r="G49" s="354"/>
      <c r="H49" s="139">
        <v>64.675312000000005</v>
      </c>
      <c r="I49" s="109">
        <v>66.756912</v>
      </c>
      <c r="J49" s="246">
        <v>69.629519999999999</v>
      </c>
      <c r="K49" s="241"/>
      <c r="L49" s="549"/>
      <c r="M49" s="535"/>
      <c r="N49" s="538"/>
      <c r="O49" s="541"/>
    </row>
    <row r="50" spans="1:15" ht="22.5" x14ac:dyDescent="0.25">
      <c r="A50" s="555"/>
      <c r="B50" s="582"/>
      <c r="C50" s="546" t="s">
        <v>208</v>
      </c>
      <c r="D50" s="551">
        <v>0.12</v>
      </c>
      <c r="E50" s="543" t="s">
        <v>11</v>
      </c>
      <c r="F50" s="353"/>
      <c r="G50" s="354"/>
      <c r="H50" s="164" t="s">
        <v>21</v>
      </c>
      <c r="I50" s="165" t="s">
        <v>22</v>
      </c>
      <c r="J50" s="248" t="s">
        <v>23</v>
      </c>
      <c r="K50" s="355"/>
      <c r="L50" s="549"/>
      <c r="M50" s="535"/>
      <c r="N50" s="538"/>
      <c r="O50" s="541"/>
    </row>
    <row r="51" spans="1:15" ht="15.75" thickBot="1" x14ac:dyDescent="0.3">
      <c r="A51" s="555"/>
      <c r="B51" s="583"/>
      <c r="C51" s="547"/>
      <c r="D51" s="552"/>
      <c r="E51" s="544"/>
      <c r="F51" s="357"/>
      <c r="G51" s="169"/>
      <c r="H51" s="143">
        <v>60.158239999999999</v>
      </c>
      <c r="I51" s="139">
        <v>64.675312000000005</v>
      </c>
      <c r="J51" s="249">
        <v>67.547920000000005</v>
      </c>
      <c r="K51" s="359"/>
      <c r="L51" s="550"/>
      <c r="M51" s="536"/>
      <c r="N51" s="539"/>
      <c r="O51" s="542"/>
    </row>
    <row r="52" spans="1:15" ht="22.5" customHeight="1" x14ac:dyDescent="0.25">
      <c r="A52" s="555"/>
      <c r="B52" s="581">
        <v>1792</v>
      </c>
      <c r="C52" s="545" t="s">
        <v>146</v>
      </c>
      <c r="D52" s="551">
        <v>0.12</v>
      </c>
      <c r="E52" s="543" t="s">
        <v>11</v>
      </c>
      <c r="F52" s="364"/>
      <c r="G52" s="369"/>
      <c r="H52" s="366" t="s">
        <v>21</v>
      </c>
      <c r="I52" s="367" t="s">
        <v>22</v>
      </c>
      <c r="J52" s="368" t="s">
        <v>23</v>
      </c>
      <c r="K52" s="244"/>
      <c r="L52" s="548" t="s">
        <v>9</v>
      </c>
      <c r="M52" s="534" t="s">
        <v>9</v>
      </c>
      <c r="N52" s="635">
        <v>7908007901166</v>
      </c>
      <c r="O52" s="540" t="s">
        <v>47</v>
      </c>
    </row>
    <row r="53" spans="1:15" ht="15.75" thickBot="1" x14ac:dyDescent="0.3">
      <c r="A53" s="555"/>
      <c r="B53" s="582"/>
      <c r="C53" s="547"/>
      <c r="D53" s="552"/>
      <c r="E53" s="544"/>
      <c r="F53" s="353"/>
      <c r="G53" s="356"/>
      <c r="H53" s="143">
        <v>46.898448000000002</v>
      </c>
      <c r="I53" s="110">
        <v>48.084960000000002</v>
      </c>
      <c r="J53" s="249">
        <v>49.854320000000001</v>
      </c>
      <c r="K53" s="228"/>
      <c r="L53" s="549"/>
      <c r="M53" s="535"/>
      <c r="N53" s="636"/>
      <c r="O53" s="541"/>
    </row>
    <row r="54" spans="1:15" ht="22.5" customHeight="1" x14ac:dyDescent="0.25">
      <c r="A54" s="555"/>
      <c r="B54" s="582"/>
      <c r="C54" s="546" t="s">
        <v>154</v>
      </c>
      <c r="D54" s="551">
        <v>0.12</v>
      </c>
      <c r="E54" s="543" t="s">
        <v>11</v>
      </c>
      <c r="F54" s="353"/>
      <c r="G54" s="356"/>
      <c r="H54" s="164" t="s">
        <v>21</v>
      </c>
      <c r="I54" s="165" t="s">
        <v>22</v>
      </c>
      <c r="J54" s="248" t="s">
        <v>23</v>
      </c>
      <c r="K54" s="228"/>
      <c r="L54" s="549"/>
      <c r="M54" s="535"/>
      <c r="N54" s="636"/>
      <c r="O54" s="541"/>
    </row>
    <row r="55" spans="1:15" ht="15.75" thickBot="1" x14ac:dyDescent="0.3">
      <c r="A55" s="555"/>
      <c r="B55" s="582"/>
      <c r="C55" s="547"/>
      <c r="D55" s="552"/>
      <c r="E55" s="544"/>
      <c r="F55" s="353"/>
      <c r="G55" s="356"/>
      <c r="H55" s="143">
        <v>45.035416000000005</v>
      </c>
      <c r="I55" s="110">
        <v>46.315600000000003</v>
      </c>
      <c r="J55" s="249">
        <v>47.77272</v>
      </c>
      <c r="K55" s="228"/>
      <c r="L55" s="549"/>
      <c r="M55" s="535"/>
      <c r="N55" s="636"/>
      <c r="O55" s="541"/>
    </row>
    <row r="56" spans="1:15" ht="22.5" x14ac:dyDescent="0.25">
      <c r="A56" s="555"/>
      <c r="B56" s="582"/>
      <c r="C56" s="546" t="s">
        <v>153</v>
      </c>
      <c r="D56" s="638">
        <v>0.12</v>
      </c>
      <c r="E56" s="543" t="s">
        <v>11</v>
      </c>
      <c r="F56" s="353"/>
      <c r="G56" s="356"/>
      <c r="H56" s="164" t="s">
        <v>21</v>
      </c>
      <c r="I56" s="165" t="s">
        <v>22</v>
      </c>
      <c r="J56" s="248" t="s">
        <v>23</v>
      </c>
      <c r="K56" s="355"/>
      <c r="L56" s="549"/>
      <c r="M56" s="535"/>
      <c r="N56" s="636"/>
      <c r="O56" s="541"/>
    </row>
    <row r="57" spans="1:15" ht="15.75" thickBot="1" x14ac:dyDescent="0.3">
      <c r="A57" s="584"/>
      <c r="B57" s="583"/>
      <c r="C57" s="547"/>
      <c r="D57" s="639"/>
      <c r="E57" s="544"/>
      <c r="F57" s="357"/>
      <c r="G57" s="358"/>
      <c r="H57" s="143">
        <v>41.527920000000002</v>
      </c>
      <c r="I57" s="110">
        <v>43.609519999999996</v>
      </c>
      <c r="J57" s="249">
        <v>44.650320000000001</v>
      </c>
      <c r="K57" s="359"/>
      <c r="L57" s="550"/>
      <c r="M57" s="536"/>
      <c r="N57" s="637"/>
      <c r="O57" s="542"/>
    </row>
    <row r="58" spans="1:15" ht="24.95" customHeight="1" thickBot="1" x14ac:dyDescent="0.3">
      <c r="A58" s="651" t="s">
        <v>58</v>
      </c>
      <c r="B58" s="44">
        <v>174</v>
      </c>
      <c r="C58" s="391" t="s">
        <v>167</v>
      </c>
      <c r="D58" s="392">
        <f>_xlfn.XLOOKUP(B58,'[2]Ficha Compras'!$C:$C,'[2]Ficha Compras'!$I:$I)</f>
        <v>0.04</v>
      </c>
      <c r="E58" s="44" t="s">
        <v>11</v>
      </c>
      <c r="F58" s="393">
        <v>9.3672000000000004</v>
      </c>
      <c r="G58" s="168"/>
      <c r="H58" s="394"/>
      <c r="I58" s="394"/>
      <c r="J58" s="395"/>
      <c r="K58" s="231"/>
      <c r="L58" s="56">
        <v>0.08</v>
      </c>
      <c r="M58" s="646" t="s">
        <v>202</v>
      </c>
      <c r="N58" s="9" t="s">
        <v>249</v>
      </c>
      <c r="O58" s="10" t="str">
        <f>VLOOKUP(B58,[1]Sheet1!$A:$E,5,0)</f>
        <v>9018.32.19</v>
      </c>
    </row>
    <row r="59" spans="1:15" ht="24.95" customHeight="1" thickBot="1" x14ac:dyDescent="0.3">
      <c r="A59" s="651"/>
      <c r="B59" s="44">
        <v>174</v>
      </c>
      <c r="C59" s="391" t="s">
        <v>168</v>
      </c>
      <c r="D59" s="392">
        <f>_xlfn.XLOOKUP(B59,'[2]Ficha Compras'!$C:$C,'[2]Ficha Compras'!$I:$I)</f>
        <v>0.04</v>
      </c>
      <c r="E59" s="44" t="s">
        <v>11</v>
      </c>
      <c r="F59" s="396">
        <v>15.424656000000001</v>
      </c>
      <c r="G59" s="168"/>
      <c r="H59" s="394"/>
      <c r="I59" s="394"/>
      <c r="J59" s="395"/>
      <c r="K59" s="231"/>
      <c r="L59" s="56">
        <v>0.08</v>
      </c>
      <c r="M59" s="647"/>
      <c r="N59" s="9" t="s">
        <v>249</v>
      </c>
      <c r="O59" s="10" t="str">
        <f>VLOOKUP(B59,[1]Sheet1!$A:$E,5,0)</f>
        <v>9018.32.19</v>
      </c>
    </row>
    <row r="60" spans="1:15" ht="24.95" customHeight="1" thickBot="1" x14ac:dyDescent="0.3">
      <c r="A60" s="652"/>
      <c r="B60" s="44">
        <v>141</v>
      </c>
      <c r="C60" s="391" t="s">
        <v>166</v>
      </c>
      <c r="D60" s="392">
        <f>_xlfn.XLOOKUP(B60,'[2]Ficha Compras'!$C:$C,'[2]Ficha Compras'!$I:$I)</f>
        <v>0.04</v>
      </c>
      <c r="E60" s="44" t="s">
        <v>11</v>
      </c>
      <c r="F60" s="393">
        <v>6.7652000000000001</v>
      </c>
      <c r="G60" s="168"/>
      <c r="H60" s="394"/>
      <c r="I60" s="394"/>
      <c r="J60" s="395"/>
      <c r="K60" s="225"/>
      <c r="L60" s="55">
        <v>0.08</v>
      </c>
      <c r="M60" s="647"/>
      <c r="N60" s="6" t="s">
        <v>250</v>
      </c>
      <c r="O60" s="11" t="str">
        <f>VLOOKUP(B60,[1]Sheet1!$A:$E,5,0)</f>
        <v>9018.32.19</v>
      </c>
    </row>
    <row r="61" spans="1:15" ht="24.95" customHeight="1" thickBot="1" x14ac:dyDescent="0.3">
      <c r="A61" s="652"/>
      <c r="B61" s="44">
        <v>141</v>
      </c>
      <c r="C61" s="391" t="s">
        <v>165</v>
      </c>
      <c r="D61" s="392">
        <f>_xlfn.XLOOKUP(B61,'[2]Ficha Compras'!$C:$C,'[2]Ficha Compras'!$I:$I)</f>
        <v>0.04</v>
      </c>
      <c r="E61" s="44" t="s">
        <v>11</v>
      </c>
      <c r="F61" s="396">
        <v>15.424656000000001</v>
      </c>
      <c r="G61" s="168"/>
      <c r="H61" s="394"/>
      <c r="I61" s="394"/>
      <c r="J61" s="395"/>
      <c r="K61" s="225"/>
      <c r="L61" s="55">
        <v>0.08</v>
      </c>
      <c r="M61" s="647"/>
      <c r="N61" s="6" t="s">
        <v>250</v>
      </c>
      <c r="O61" s="11" t="str">
        <f>VLOOKUP(B61,[1]Sheet1!$A:$E,5,0)</f>
        <v>9018.32.19</v>
      </c>
    </row>
    <row r="62" spans="1:15" ht="24.95" customHeight="1" thickBot="1" x14ac:dyDescent="0.3">
      <c r="A62" s="652"/>
      <c r="B62" s="44">
        <v>152</v>
      </c>
      <c r="C62" s="391" t="s">
        <v>164</v>
      </c>
      <c r="D62" s="392">
        <f>_xlfn.XLOOKUP(B62,'[2]Ficha Compras'!$C:$C,'[2]Ficha Compras'!$I:$I)</f>
        <v>0.04</v>
      </c>
      <c r="E62" s="44" t="s">
        <v>11</v>
      </c>
      <c r="F62" s="393">
        <v>6.7652000000000001</v>
      </c>
      <c r="G62" s="168"/>
      <c r="H62" s="394"/>
      <c r="I62" s="394"/>
      <c r="J62" s="395"/>
      <c r="K62" s="225"/>
      <c r="L62" s="55">
        <v>0.08</v>
      </c>
      <c r="M62" s="647"/>
      <c r="N62" s="6" t="s">
        <v>251</v>
      </c>
      <c r="O62" s="11" t="str">
        <f>VLOOKUP(B62,[1]Sheet1!$A:$E,5,0)</f>
        <v>9018.32.19</v>
      </c>
    </row>
    <row r="63" spans="1:15" ht="60" customHeight="1" thickBot="1" x14ac:dyDescent="0.3">
      <c r="A63" s="643" t="s">
        <v>13</v>
      </c>
      <c r="B63" s="79">
        <v>2300</v>
      </c>
      <c r="C63" s="435" t="s">
        <v>209</v>
      </c>
      <c r="D63" s="288">
        <v>0.04</v>
      </c>
      <c r="E63" s="79" t="s">
        <v>11</v>
      </c>
      <c r="F63" s="436">
        <v>48.834336</v>
      </c>
      <c r="G63" s="128"/>
      <c r="H63" s="166"/>
      <c r="I63" s="167"/>
      <c r="J63" s="250"/>
      <c r="K63" s="232"/>
      <c r="L63" s="54">
        <v>0.08</v>
      </c>
      <c r="M63" s="644" t="s">
        <v>201</v>
      </c>
      <c r="N63" s="13">
        <v>7908007907151</v>
      </c>
      <c r="O63" s="14" t="s">
        <v>59</v>
      </c>
    </row>
    <row r="64" spans="1:15" ht="60" customHeight="1" thickBot="1" x14ac:dyDescent="0.3">
      <c r="A64" s="584"/>
      <c r="B64" s="79">
        <v>2650</v>
      </c>
      <c r="C64" s="123" t="s">
        <v>157</v>
      </c>
      <c r="D64" s="288">
        <v>0.04</v>
      </c>
      <c r="E64" s="79" t="s">
        <v>11</v>
      </c>
      <c r="F64" s="294">
        <v>15.424656000000001</v>
      </c>
      <c r="G64" s="128"/>
      <c r="H64" s="166"/>
      <c r="I64" s="167"/>
      <c r="J64" s="250"/>
      <c r="K64" s="232"/>
      <c r="L64" s="54">
        <v>0.08</v>
      </c>
      <c r="M64" s="645"/>
      <c r="N64" s="13">
        <v>7908007904266</v>
      </c>
      <c r="O64" s="14" t="s">
        <v>59</v>
      </c>
    </row>
    <row r="65" spans="1:15" ht="15.75" customHeight="1" thickBot="1" x14ac:dyDescent="0.3">
      <c r="A65" s="653" t="s">
        <v>25</v>
      </c>
      <c r="B65" s="40">
        <v>335</v>
      </c>
      <c r="C65" s="121" t="s">
        <v>26</v>
      </c>
      <c r="D65" s="34">
        <f>_xlfn.XLOOKUP(B65,'[2]Ficha Compras'!$C:$C,'[2]Ficha Compras'!$I:$I)</f>
        <v>0.04</v>
      </c>
      <c r="E65" s="37" t="s">
        <v>8</v>
      </c>
      <c r="F65" s="293">
        <v>0</v>
      </c>
      <c r="G65" s="528">
        <v>0</v>
      </c>
      <c r="H65" s="518" t="s">
        <v>210</v>
      </c>
      <c r="I65" s="144">
        <v>623.43920000000003</v>
      </c>
      <c r="J65" s="251">
        <v>0</v>
      </c>
      <c r="K65" s="233"/>
      <c r="L65" s="56">
        <v>5.1999999999999998E-2</v>
      </c>
      <c r="M65" s="45" t="s">
        <v>9</v>
      </c>
      <c r="N65" s="9" t="s">
        <v>252</v>
      </c>
      <c r="O65" s="23" t="s">
        <v>61</v>
      </c>
    </row>
    <row r="66" spans="1:15" x14ac:dyDescent="0.25">
      <c r="A66" s="557"/>
      <c r="B66" s="72">
        <v>3615</v>
      </c>
      <c r="C66" s="275" t="s">
        <v>155</v>
      </c>
      <c r="D66" s="173">
        <v>0.04</v>
      </c>
      <c r="E66" s="174" t="s">
        <v>156</v>
      </c>
      <c r="F66" s="298">
        <v>974.18880000000001</v>
      </c>
      <c r="G66" s="529">
        <v>0</v>
      </c>
      <c r="H66" s="370">
        <v>0</v>
      </c>
      <c r="I66" s="371">
        <v>0</v>
      </c>
      <c r="J66" s="372">
        <v>0</v>
      </c>
      <c r="K66" s="373"/>
      <c r="L66" s="71">
        <v>5.1999999999999998E-2</v>
      </c>
      <c r="M66" s="374" t="s">
        <v>9</v>
      </c>
      <c r="N66" s="52">
        <v>4719003620028</v>
      </c>
      <c r="O66" s="28" t="s">
        <v>158</v>
      </c>
    </row>
    <row r="67" spans="1:15" x14ac:dyDescent="0.25">
      <c r="A67" s="557"/>
      <c r="B67" s="42">
        <v>2372</v>
      </c>
      <c r="C67" s="270" t="s">
        <v>60</v>
      </c>
      <c r="D67" s="36">
        <v>0.04</v>
      </c>
      <c r="E67" s="39" t="s">
        <v>8</v>
      </c>
      <c r="F67" s="295">
        <v>0</v>
      </c>
      <c r="G67" s="530">
        <v>0</v>
      </c>
      <c r="H67" s="310">
        <v>4152.7920000000004</v>
      </c>
      <c r="I67" s="145">
        <v>0</v>
      </c>
      <c r="J67" s="252">
        <v>0</v>
      </c>
      <c r="K67" s="234"/>
      <c r="L67" s="55">
        <v>5.1999999999999998E-2</v>
      </c>
      <c r="M67" s="5" t="s">
        <v>9</v>
      </c>
      <c r="N67" s="6">
        <v>7908007907199</v>
      </c>
      <c r="O67" s="22" t="s">
        <v>61</v>
      </c>
    </row>
    <row r="68" spans="1:15" ht="15.75" thickBot="1" x14ac:dyDescent="0.3">
      <c r="A68" s="556"/>
      <c r="B68" s="98">
        <v>339</v>
      </c>
      <c r="C68" s="105" t="s">
        <v>27</v>
      </c>
      <c r="D68" s="35">
        <f>_xlfn.XLOOKUP(B68,'[2]Ficha Compras'!$C:$C,'[2]Ficha Compras'!$I:$I)</f>
        <v>0.04</v>
      </c>
      <c r="E68" s="38" t="s">
        <v>8</v>
      </c>
      <c r="F68" s="294">
        <v>108.13912000000001</v>
      </c>
      <c r="G68" s="531">
        <v>0</v>
      </c>
      <c r="H68" s="518" t="s">
        <v>210</v>
      </c>
      <c r="I68" s="437">
        <v>98.771920000000009</v>
      </c>
      <c r="J68" s="253">
        <v>0</v>
      </c>
      <c r="K68" s="235"/>
      <c r="L68" s="57">
        <v>5.1999999999999998E-2</v>
      </c>
      <c r="M68" s="48" t="s">
        <v>9</v>
      </c>
      <c r="N68" s="49" t="s">
        <v>253</v>
      </c>
      <c r="O68" s="50" t="str">
        <f>VLOOKUP(B68,[1]Sheet1!$A:$E,5,0)</f>
        <v>9018.90.69</v>
      </c>
    </row>
    <row r="69" spans="1:15" ht="15.75" thickBot="1" x14ac:dyDescent="0.3">
      <c r="A69" s="554" t="s">
        <v>28</v>
      </c>
      <c r="B69" s="398">
        <v>664</v>
      </c>
      <c r="C69" s="273" t="s">
        <v>29</v>
      </c>
      <c r="D69" s="399">
        <f>_xlfn.XLOOKUP(B69,'[2]Ficha Compras'!$C:$C,'[2]Ficha Compras'!$I:$I)</f>
        <v>0.04</v>
      </c>
      <c r="E69" s="97" t="s">
        <v>8</v>
      </c>
      <c r="F69" s="299">
        <v>57.139919999999996</v>
      </c>
      <c r="G69" s="520">
        <v>0</v>
      </c>
      <c r="H69" s="134">
        <v>0</v>
      </c>
      <c r="I69" s="147">
        <v>0</v>
      </c>
      <c r="J69" s="254">
        <v>0</v>
      </c>
      <c r="K69" s="236"/>
      <c r="L69" s="58">
        <v>5.1999999999999998E-2</v>
      </c>
      <c r="M69" s="24" t="s">
        <v>9</v>
      </c>
      <c r="N69" s="25" t="s">
        <v>254</v>
      </c>
      <c r="O69" s="26" t="str">
        <f>VLOOKUP(B69,[1]Sheet1!$A:$E,5,0)</f>
        <v>9018.90.69</v>
      </c>
    </row>
    <row r="70" spans="1:15" ht="15.75" thickBot="1" x14ac:dyDescent="0.3">
      <c r="A70" s="555"/>
      <c r="B70" s="398">
        <v>3964</v>
      </c>
      <c r="C70" s="400" t="s">
        <v>169</v>
      </c>
      <c r="D70" s="399">
        <v>0.04</v>
      </c>
      <c r="E70" s="97" t="s">
        <v>8</v>
      </c>
      <c r="F70" s="299">
        <v>40.487119999999997</v>
      </c>
      <c r="G70" s="521">
        <v>0</v>
      </c>
      <c r="H70" s="134">
        <v>0</v>
      </c>
      <c r="I70" s="147">
        <v>0</v>
      </c>
      <c r="J70" s="254">
        <v>0</v>
      </c>
      <c r="K70" s="236"/>
      <c r="L70" s="58">
        <v>6.5000000000000002E-2</v>
      </c>
      <c r="M70" s="24" t="s">
        <v>9</v>
      </c>
      <c r="N70" s="25">
        <v>7908007907502</v>
      </c>
      <c r="O70" s="26" t="s">
        <v>170</v>
      </c>
    </row>
    <row r="71" spans="1:15" s="4" customFormat="1" x14ac:dyDescent="0.25">
      <c r="A71" s="555"/>
      <c r="B71" s="40">
        <v>677</v>
      </c>
      <c r="C71" s="121" t="s">
        <v>32</v>
      </c>
      <c r="D71" s="34">
        <f>_xlfn.XLOOKUP(B71,'[2]Ficha Compras'!$C:$C,'[2]Ficha Compras'!$I:$I)</f>
        <v>0.04</v>
      </c>
      <c r="E71" s="40" t="s">
        <v>8</v>
      </c>
      <c r="F71" s="293">
        <v>93.567920000000001</v>
      </c>
      <c r="G71" s="522">
        <v>0</v>
      </c>
      <c r="H71" s="134">
        <v>0</v>
      </c>
      <c r="I71" s="111">
        <v>0</v>
      </c>
      <c r="J71" s="245">
        <v>0</v>
      </c>
      <c r="K71" s="224"/>
      <c r="L71" s="56">
        <v>1.2999999999999999E-2</v>
      </c>
      <c r="M71" s="80" t="s">
        <v>9</v>
      </c>
      <c r="N71" s="9" t="s">
        <v>255</v>
      </c>
      <c r="O71" s="10" t="str">
        <f>VLOOKUP(B71,[1]Sheet1!$A:$E,5,0)</f>
        <v>9019.20.20</v>
      </c>
    </row>
    <row r="72" spans="1:15" ht="15.75" thickBot="1" x14ac:dyDescent="0.3">
      <c r="A72" s="584"/>
      <c r="B72" s="79">
        <v>3796</v>
      </c>
      <c r="C72" s="123" t="s">
        <v>159</v>
      </c>
      <c r="D72" s="35">
        <v>0.04</v>
      </c>
      <c r="E72" s="79" t="s">
        <v>8</v>
      </c>
      <c r="F72" s="294">
        <v>142.48552000000001</v>
      </c>
      <c r="G72" s="519">
        <v>0</v>
      </c>
      <c r="H72" s="140">
        <v>0</v>
      </c>
      <c r="I72" s="141">
        <v>0</v>
      </c>
      <c r="J72" s="247">
        <v>0</v>
      </c>
      <c r="K72" s="229"/>
      <c r="L72" s="54">
        <v>1.2999999999999999E-2</v>
      </c>
      <c r="M72" s="32" t="s">
        <v>9</v>
      </c>
      <c r="N72" s="13">
        <v>7908007907496</v>
      </c>
      <c r="O72" s="14" t="s">
        <v>81</v>
      </c>
    </row>
    <row r="73" spans="1:15" ht="15" customHeight="1" x14ac:dyDescent="0.25">
      <c r="A73" s="579" t="s">
        <v>25</v>
      </c>
      <c r="B73" s="427">
        <v>433</v>
      </c>
      <c r="C73" s="405" t="s">
        <v>30</v>
      </c>
      <c r="D73" s="34">
        <f>_xlfn.XLOOKUP(B73,'[2]Ficha Compras'!$C:$C,'[2]Ficha Compras'!$I:$I)</f>
        <v>0.04</v>
      </c>
      <c r="E73" s="99" t="s">
        <v>8</v>
      </c>
      <c r="F73" s="293">
        <v>156.01591999999999</v>
      </c>
      <c r="G73" s="523">
        <v>0</v>
      </c>
      <c r="H73" s="134">
        <v>0</v>
      </c>
      <c r="I73" s="111">
        <v>0</v>
      </c>
      <c r="J73" s="245">
        <v>0</v>
      </c>
      <c r="K73" s="224"/>
      <c r="L73" s="56">
        <v>9.7500000000000003E-2</v>
      </c>
      <c r="M73" s="16" t="s">
        <v>9</v>
      </c>
      <c r="N73" s="9" t="s">
        <v>256</v>
      </c>
      <c r="O73" s="10" t="str">
        <f>VLOOKUP(B73,[1]Sheet1!$A:$E,5,0)</f>
        <v>9025.19.90</v>
      </c>
    </row>
    <row r="74" spans="1:15" ht="15.75" thickBot="1" x14ac:dyDescent="0.3">
      <c r="A74" s="580"/>
      <c r="B74" s="505">
        <v>434</v>
      </c>
      <c r="C74" s="506" t="s">
        <v>31</v>
      </c>
      <c r="D74" s="263">
        <f>_xlfn.XLOOKUP(B74,'[2]Ficha Compras'!$C:$C,'[2]Ficha Compras'!$I:$I)</f>
        <v>0.04</v>
      </c>
      <c r="E74" s="507" t="s">
        <v>8</v>
      </c>
      <c r="F74" s="418">
        <v>57.244</v>
      </c>
      <c r="G74" s="524">
        <v>0</v>
      </c>
      <c r="H74" s="401">
        <v>0</v>
      </c>
      <c r="I74" s="148">
        <v>0</v>
      </c>
      <c r="J74" s="260">
        <v>0</v>
      </c>
      <c r="K74" s="240"/>
      <c r="L74" s="190">
        <v>9.7500000000000003E-2</v>
      </c>
      <c r="M74" s="419" t="s">
        <v>9</v>
      </c>
      <c r="N74" s="17" t="s">
        <v>257</v>
      </c>
      <c r="O74" s="18" t="str">
        <f>VLOOKUP(B74,[1]Sheet1!$A:$E,5,0)</f>
        <v>9025.19.90</v>
      </c>
    </row>
    <row r="75" spans="1:15" ht="15.75" thickBot="1" x14ac:dyDescent="0.3">
      <c r="A75" s="640" t="s">
        <v>186</v>
      </c>
      <c r="B75" s="428">
        <v>3959</v>
      </c>
      <c r="C75" s="429" t="s">
        <v>187</v>
      </c>
      <c r="D75" s="289">
        <v>0.04</v>
      </c>
      <c r="E75" s="508" t="s">
        <v>8</v>
      </c>
      <c r="F75" s="509">
        <v>145.60792000000001</v>
      </c>
      <c r="G75" s="525">
        <v>0</v>
      </c>
      <c r="H75" s="510">
        <v>0</v>
      </c>
      <c r="I75" s="510">
        <v>0</v>
      </c>
      <c r="J75" s="510">
        <v>0</v>
      </c>
      <c r="K75" s="511"/>
      <c r="L75" s="512">
        <v>5.1999999999999998E-2</v>
      </c>
      <c r="M75" s="80" t="s">
        <v>9</v>
      </c>
      <c r="N75" s="9">
        <v>6971066421990</v>
      </c>
      <c r="O75" s="91" t="s">
        <v>190</v>
      </c>
    </row>
    <row r="76" spans="1:15" ht="15.75" thickBot="1" x14ac:dyDescent="0.3">
      <c r="A76" s="641"/>
      <c r="B76" s="428">
        <v>3960</v>
      </c>
      <c r="C76" s="429" t="s">
        <v>188</v>
      </c>
      <c r="D76" s="35">
        <v>0.04</v>
      </c>
      <c r="E76" s="417" t="s">
        <v>8</v>
      </c>
      <c r="F76" s="420">
        <v>145.60792000000001</v>
      </c>
      <c r="G76" s="526">
        <v>0</v>
      </c>
      <c r="H76" s="421">
        <v>0</v>
      </c>
      <c r="I76" s="421">
        <v>0</v>
      </c>
      <c r="J76" s="421">
        <v>0</v>
      </c>
      <c r="K76" s="422"/>
      <c r="L76" s="423">
        <v>5.1999999999999998E-2</v>
      </c>
      <c r="M76" s="415" t="s">
        <v>9</v>
      </c>
      <c r="N76" s="6">
        <v>6971066422003</v>
      </c>
      <c r="O76" s="513" t="s">
        <v>190</v>
      </c>
    </row>
    <row r="77" spans="1:15" ht="15.75" thickBot="1" x14ac:dyDescent="0.3">
      <c r="A77" s="642"/>
      <c r="B77" s="428">
        <v>3961</v>
      </c>
      <c r="C77" s="429" t="s">
        <v>189</v>
      </c>
      <c r="D77" s="35">
        <v>0.04</v>
      </c>
      <c r="E77" s="417" t="s">
        <v>8</v>
      </c>
      <c r="F77" s="514">
        <v>71.815200000000004</v>
      </c>
      <c r="G77" s="527">
        <v>0</v>
      </c>
      <c r="H77" s="515">
        <v>0</v>
      </c>
      <c r="I77" s="515">
        <v>0</v>
      </c>
      <c r="J77" s="515">
        <v>0</v>
      </c>
      <c r="K77" s="516"/>
      <c r="L77" s="517">
        <v>5.1999999999999998E-2</v>
      </c>
      <c r="M77" s="32" t="s">
        <v>9</v>
      </c>
      <c r="N77" s="13">
        <v>6971066422010</v>
      </c>
      <c r="O77" s="33" t="s">
        <v>190</v>
      </c>
    </row>
    <row r="78" spans="1:15" ht="18" customHeight="1" x14ac:dyDescent="0.25">
      <c r="A78" s="545" t="s">
        <v>171</v>
      </c>
      <c r="B78" s="495">
        <v>2558</v>
      </c>
      <c r="C78" s="121" t="s">
        <v>85</v>
      </c>
      <c r="D78" s="34">
        <v>0.12</v>
      </c>
      <c r="E78" s="40" t="s">
        <v>8</v>
      </c>
      <c r="F78" s="293">
        <v>1.19</v>
      </c>
      <c r="G78" s="125"/>
      <c r="H78" s="134"/>
      <c r="I78" s="111"/>
      <c r="J78" s="245"/>
      <c r="K78" s="224"/>
      <c r="L78" s="496" t="s">
        <v>9</v>
      </c>
      <c r="M78" s="648" t="s">
        <v>199</v>
      </c>
      <c r="N78" s="497">
        <v>7898259495998</v>
      </c>
      <c r="O78" s="10" t="s">
        <v>75</v>
      </c>
    </row>
    <row r="79" spans="1:15" ht="18" customHeight="1" x14ac:dyDescent="0.25">
      <c r="A79" s="546"/>
      <c r="B79" s="402">
        <v>2559</v>
      </c>
      <c r="C79" s="184" t="s">
        <v>86</v>
      </c>
      <c r="D79" s="36">
        <v>0.12</v>
      </c>
      <c r="E79" s="72" t="s">
        <v>8</v>
      </c>
      <c r="F79" s="295">
        <v>0.59</v>
      </c>
      <c r="G79" s="126"/>
      <c r="H79" s="151"/>
      <c r="I79" s="112"/>
      <c r="J79" s="257"/>
      <c r="K79" s="239"/>
      <c r="L79" s="81" t="s">
        <v>9</v>
      </c>
      <c r="M79" s="649"/>
      <c r="N79" s="83">
        <v>7898259495462</v>
      </c>
      <c r="O79" s="11" t="s">
        <v>75</v>
      </c>
    </row>
    <row r="80" spans="1:15" ht="18" customHeight="1" x14ac:dyDescent="0.25">
      <c r="A80" s="546"/>
      <c r="B80" s="403">
        <v>2470</v>
      </c>
      <c r="C80" s="276" t="s">
        <v>73</v>
      </c>
      <c r="D80" s="173">
        <v>0.12</v>
      </c>
      <c r="E80" s="72" t="s">
        <v>8</v>
      </c>
      <c r="F80" s="212">
        <v>0.30420000000000003</v>
      </c>
      <c r="G80" s="129"/>
      <c r="H80" s="153"/>
      <c r="I80" s="154"/>
      <c r="J80" s="258"/>
      <c r="K80" s="241"/>
      <c r="L80" s="82" t="s">
        <v>9</v>
      </c>
      <c r="M80" s="649"/>
      <c r="N80" s="84">
        <v>7898259495226</v>
      </c>
      <c r="O80" s="69" t="s">
        <v>50</v>
      </c>
    </row>
    <row r="81" spans="1:15" ht="18" customHeight="1" x14ac:dyDescent="0.25">
      <c r="A81" s="546"/>
      <c r="B81" s="404">
        <v>2471</v>
      </c>
      <c r="C81" s="277" t="s">
        <v>74</v>
      </c>
      <c r="D81" s="36">
        <v>0.12</v>
      </c>
      <c r="E81" s="39" t="s">
        <v>8</v>
      </c>
      <c r="F81" s="213">
        <v>0.30420000000000003</v>
      </c>
      <c r="G81" s="130"/>
      <c r="H81" s="155"/>
      <c r="I81" s="156"/>
      <c r="J81" s="259"/>
      <c r="K81" s="242"/>
      <c r="L81" s="81" t="s">
        <v>9</v>
      </c>
      <c r="M81" s="649"/>
      <c r="N81" s="85">
        <v>7898259495066</v>
      </c>
      <c r="O81" s="11" t="s">
        <v>75</v>
      </c>
    </row>
    <row r="82" spans="1:15" ht="18" customHeight="1" x14ac:dyDescent="0.25">
      <c r="A82" s="546"/>
      <c r="B82" s="404">
        <v>2472</v>
      </c>
      <c r="C82" s="277" t="s">
        <v>76</v>
      </c>
      <c r="D82" s="36">
        <v>0.12</v>
      </c>
      <c r="E82" s="39" t="s">
        <v>8</v>
      </c>
      <c r="F82" s="213">
        <v>0.30420000000000003</v>
      </c>
      <c r="G82" s="130"/>
      <c r="H82" s="155"/>
      <c r="I82" s="156"/>
      <c r="J82" s="259"/>
      <c r="K82" s="242"/>
      <c r="L82" s="81" t="s">
        <v>9</v>
      </c>
      <c r="M82" s="649"/>
      <c r="N82" s="85">
        <v>7898259495028</v>
      </c>
      <c r="O82" s="11" t="s">
        <v>75</v>
      </c>
    </row>
    <row r="83" spans="1:15" ht="18" customHeight="1" x14ac:dyDescent="0.25">
      <c r="A83" s="546"/>
      <c r="B83" s="404">
        <v>2473</v>
      </c>
      <c r="C83" s="277" t="s">
        <v>77</v>
      </c>
      <c r="D83" s="36">
        <v>0.12</v>
      </c>
      <c r="E83" s="39" t="s">
        <v>8</v>
      </c>
      <c r="F83" s="213">
        <v>0.6552</v>
      </c>
      <c r="G83" s="130"/>
      <c r="H83" s="155"/>
      <c r="I83" s="156"/>
      <c r="J83" s="259"/>
      <c r="K83" s="242"/>
      <c r="L83" s="81" t="s">
        <v>9</v>
      </c>
      <c r="M83" s="649"/>
      <c r="N83" s="86">
        <v>7898259495554</v>
      </c>
      <c r="O83" s="11" t="s">
        <v>75</v>
      </c>
    </row>
    <row r="84" spans="1:15" ht="18" customHeight="1" x14ac:dyDescent="0.25">
      <c r="A84" s="546"/>
      <c r="B84" s="404">
        <v>2476</v>
      </c>
      <c r="C84" s="277" t="s">
        <v>78</v>
      </c>
      <c r="D84" s="36">
        <v>0.12</v>
      </c>
      <c r="E84" s="39" t="s">
        <v>8</v>
      </c>
      <c r="F84" s="213">
        <v>0.7722</v>
      </c>
      <c r="G84" s="130"/>
      <c r="H84" s="155"/>
      <c r="I84" s="156"/>
      <c r="J84" s="259"/>
      <c r="K84" s="242"/>
      <c r="L84" s="81" t="s">
        <v>9</v>
      </c>
      <c r="M84" s="649"/>
      <c r="N84" s="86">
        <v>7898259495769</v>
      </c>
      <c r="O84" s="11" t="s">
        <v>75</v>
      </c>
    </row>
    <row r="85" spans="1:15" ht="18" customHeight="1" thickBot="1" x14ac:dyDescent="0.3">
      <c r="A85" s="547"/>
      <c r="B85" s="498">
        <v>2477</v>
      </c>
      <c r="C85" s="499" t="s">
        <v>79</v>
      </c>
      <c r="D85" s="35">
        <v>0.12</v>
      </c>
      <c r="E85" s="79" t="s">
        <v>8</v>
      </c>
      <c r="F85" s="500">
        <v>0.58499999999999996</v>
      </c>
      <c r="G85" s="501"/>
      <c r="H85" s="132"/>
      <c r="I85" s="133"/>
      <c r="J85" s="502"/>
      <c r="K85" s="223"/>
      <c r="L85" s="503" t="s">
        <v>9</v>
      </c>
      <c r="M85" s="650"/>
      <c r="N85" s="504">
        <v>7898259496001</v>
      </c>
      <c r="O85" s="14" t="s">
        <v>75</v>
      </c>
    </row>
    <row r="86" spans="1:15" ht="30" customHeight="1" thickBot="1" x14ac:dyDescent="0.3">
      <c r="A86" s="554" t="s">
        <v>129</v>
      </c>
      <c r="B86" s="183" t="s">
        <v>99</v>
      </c>
      <c r="C86" s="280" t="s">
        <v>100</v>
      </c>
      <c r="D86" s="183" t="s">
        <v>55</v>
      </c>
      <c r="E86" s="307" t="s">
        <v>121</v>
      </c>
      <c r="F86" s="301"/>
      <c r="G86" s="192" t="s">
        <v>126</v>
      </c>
      <c r="H86" s="171"/>
      <c r="I86" s="171"/>
      <c r="J86" s="255"/>
      <c r="K86" s="237"/>
      <c r="L86" s="193" t="s">
        <v>4</v>
      </c>
      <c r="M86" s="194"/>
      <c r="N86" s="195" t="s">
        <v>6</v>
      </c>
      <c r="O86" s="201" t="s">
        <v>7</v>
      </c>
    </row>
    <row r="87" spans="1:15" s="4" customFormat="1" x14ac:dyDescent="0.25">
      <c r="A87" s="555"/>
      <c r="B87" s="186">
        <v>600</v>
      </c>
      <c r="C87" s="274" t="s">
        <v>101</v>
      </c>
      <c r="D87" s="327">
        <v>0.12</v>
      </c>
      <c r="E87" s="274" t="s">
        <v>122</v>
      </c>
      <c r="F87" s="302">
        <v>0</v>
      </c>
      <c r="G87" s="191">
        <v>151.95679999999999</v>
      </c>
      <c r="H87" s="149">
        <v>0</v>
      </c>
      <c r="I87" s="149">
        <v>0</v>
      </c>
      <c r="J87" s="256">
        <v>0</v>
      </c>
      <c r="K87" s="238"/>
      <c r="L87" s="71" t="s">
        <v>9</v>
      </c>
      <c r="M87" s="71" t="s">
        <v>9</v>
      </c>
      <c r="N87" s="52">
        <v>7908007900299</v>
      </c>
      <c r="O87" s="202" t="s">
        <v>127</v>
      </c>
    </row>
    <row r="88" spans="1:15" s="4" customFormat="1" x14ac:dyDescent="0.25">
      <c r="A88" s="555"/>
      <c r="B88" s="185">
        <v>2844</v>
      </c>
      <c r="C88" s="270" t="s">
        <v>102</v>
      </c>
      <c r="D88" s="268">
        <v>0.12</v>
      </c>
      <c r="E88" s="270" t="s">
        <v>123</v>
      </c>
      <c r="F88" s="303">
        <v>0</v>
      </c>
      <c r="G88" s="187">
        <v>64.529600000000002</v>
      </c>
      <c r="H88" s="112">
        <v>0</v>
      </c>
      <c r="I88" s="112">
        <v>0</v>
      </c>
      <c r="J88" s="257">
        <v>0</v>
      </c>
      <c r="K88" s="239"/>
      <c r="L88" s="55" t="s">
        <v>9</v>
      </c>
      <c r="M88" s="55" t="s">
        <v>9</v>
      </c>
      <c r="N88" s="6">
        <v>7908007906796</v>
      </c>
      <c r="O88" s="199" t="s">
        <v>127</v>
      </c>
    </row>
    <row r="89" spans="1:15" s="4" customFormat="1" x14ac:dyDescent="0.25">
      <c r="A89" s="555"/>
      <c r="B89" s="182" t="s">
        <v>103</v>
      </c>
      <c r="C89" s="270" t="s">
        <v>104</v>
      </c>
      <c r="D89" s="268">
        <v>0.12</v>
      </c>
      <c r="E89" s="270" t="s">
        <v>122</v>
      </c>
      <c r="F89" s="303">
        <v>0</v>
      </c>
      <c r="G89" s="187">
        <v>151.95679999999999</v>
      </c>
      <c r="H89" s="112">
        <v>0</v>
      </c>
      <c r="I89" s="112">
        <v>0</v>
      </c>
      <c r="J89" s="257">
        <v>0</v>
      </c>
      <c r="K89" s="239"/>
      <c r="L89" s="55" t="s">
        <v>9</v>
      </c>
      <c r="M89" s="55" t="s">
        <v>9</v>
      </c>
      <c r="N89" s="6">
        <v>7898919506361</v>
      </c>
      <c r="O89" s="199" t="s">
        <v>127</v>
      </c>
    </row>
    <row r="90" spans="1:15" s="4" customFormat="1" x14ac:dyDescent="0.25">
      <c r="A90" s="555"/>
      <c r="B90" s="182" t="s">
        <v>105</v>
      </c>
      <c r="C90" s="281" t="s">
        <v>106</v>
      </c>
      <c r="D90" s="328">
        <v>0.12</v>
      </c>
      <c r="E90" s="270" t="s">
        <v>123</v>
      </c>
      <c r="F90" s="303">
        <v>0</v>
      </c>
      <c r="G90" s="187">
        <v>64.529600000000002</v>
      </c>
      <c r="H90" s="112">
        <v>0</v>
      </c>
      <c r="I90" s="112">
        <v>0</v>
      </c>
      <c r="J90" s="257">
        <v>0</v>
      </c>
      <c r="K90" s="239"/>
      <c r="L90" s="55" t="s">
        <v>9</v>
      </c>
      <c r="M90" s="55" t="s">
        <v>9</v>
      </c>
      <c r="N90" s="6">
        <v>7908007906789</v>
      </c>
      <c r="O90" s="199" t="s">
        <v>127</v>
      </c>
    </row>
    <row r="91" spans="1:15" s="4" customFormat="1" ht="30" x14ac:dyDescent="0.25">
      <c r="A91" s="555"/>
      <c r="B91" s="185">
        <v>1328</v>
      </c>
      <c r="C91" s="270" t="s">
        <v>211</v>
      </c>
      <c r="D91" s="268">
        <v>0.12</v>
      </c>
      <c r="E91" s="270" t="s">
        <v>122</v>
      </c>
      <c r="F91" s="303">
        <v>0</v>
      </c>
      <c r="G91" s="187">
        <v>291.42399999999998</v>
      </c>
      <c r="H91" s="112">
        <v>0</v>
      </c>
      <c r="I91" s="112">
        <v>0</v>
      </c>
      <c r="J91" s="257">
        <v>0</v>
      </c>
      <c r="K91" s="239"/>
      <c r="L91" s="55" t="s">
        <v>9</v>
      </c>
      <c r="M91" s="55" t="s">
        <v>9</v>
      </c>
      <c r="N91" s="6">
        <v>7908007900527</v>
      </c>
      <c r="O91" s="199" t="s">
        <v>127</v>
      </c>
    </row>
    <row r="92" spans="1:15" s="4" customFormat="1" x14ac:dyDescent="0.25">
      <c r="A92" s="555"/>
      <c r="B92" s="185">
        <v>2843</v>
      </c>
      <c r="C92" s="270" t="s">
        <v>212</v>
      </c>
      <c r="D92" s="268">
        <v>0.12</v>
      </c>
      <c r="E92" s="270" t="s">
        <v>123</v>
      </c>
      <c r="F92" s="303">
        <v>0</v>
      </c>
      <c r="G92" s="187">
        <v>122.81440000000001</v>
      </c>
      <c r="H92" s="112">
        <v>0</v>
      </c>
      <c r="I92" s="112">
        <v>0</v>
      </c>
      <c r="J92" s="257">
        <v>0</v>
      </c>
      <c r="K92" s="239"/>
      <c r="L92" s="55" t="s">
        <v>9</v>
      </c>
      <c r="M92" s="55" t="s">
        <v>9</v>
      </c>
      <c r="N92" s="6">
        <v>7908007906802</v>
      </c>
      <c r="O92" s="199" t="s">
        <v>127</v>
      </c>
    </row>
    <row r="93" spans="1:15" s="4" customFormat="1" x14ac:dyDescent="0.25">
      <c r="A93" s="555"/>
      <c r="B93" s="184">
        <v>630</v>
      </c>
      <c r="C93" s="184" t="s">
        <v>148</v>
      </c>
      <c r="D93" s="329">
        <v>0.12</v>
      </c>
      <c r="E93" s="270" t="s">
        <v>122</v>
      </c>
      <c r="F93" s="303">
        <v>0</v>
      </c>
      <c r="G93" s="187">
        <v>562.03200000000004</v>
      </c>
      <c r="H93" s="112">
        <v>0</v>
      </c>
      <c r="I93" s="112">
        <v>0</v>
      </c>
      <c r="J93" s="257">
        <v>0</v>
      </c>
      <c r="K93" s="239"/>
      <c r="L93" s="55" t="s">
        <v>9</v>
      </c>
      <c r="M93" s="55" t="s">
        <v>9</v>
      </c>
      <c r="N93" s="6">
        <v>7908007903818</v>
      </c>
      <c r="O93" s="199" t="s">
        <v>127</v>
      </c>
    </row>
    <row r="94" spans="1:15" s="4" customFormat="1" x14ac:dyDescent="0.25">
      <c r="A94" s="555"/>
      <c r="B94" s="184">
        <v>615</v>
      </c>
      <c r="C94" s="184" t="s">
        <v>149</v>
      </c>
      <c r="D94" s="329">
        <v>0.12</v>
      </c>
      <c r="E94" s="270" t="s">
        <v>125</v>
      </c>
      <c r="F94" s="303">
        <v>0</v>
      </c>
      <c r="G94" s="187">
        <v>166.52799999999999</v>
      </c>
      <c r="H94" s="112">
        <v>0</v>
      </c>
      <c r="I94" s="112">
        <v>0</v>
      </c>
      <c r="J94" s="257">
        <v>0</v>
      </c>
      <c r="K94" s="239"/>
      <c r="L94" s="55" t="s">
        <v>9</v>
      </c>
      <c r="M94" s="55" t="s">
        <v>9</v>
      </c>
      <c r="N94" s="6">
        <v>7908007901333</v>
      </c>
      <c r="O94" s="199" t="s">
        <v>128</v>
      </c>
    </row>
    <row r="95" spans="1:15" s="4" customFormat="1" x14ac:dyDescent="0.25">
      <c r="A95" s="555"/>
      <c r="B95" s="41">
        <v>589</v>
      </c>
      <c r="C95" s="184" t="s">
        <v>213</v>
      </c>
      <c r="D95" s="330">
        <v>0.12</v>
      </c>
      <c r="E95" s="308" t="s">
        <v>122</v>
      </c>
      <c r="F95" s="303">
        <v>0</v>
      </c>
      <c r="G95" s="187">
        <v>457.952</v>
      </c>
      <c r="H95" s="112">
        <v>0</v>
      </c>
      <c r="I95" s="112">
        <v>0</v>
      </c>
      <c r="J95" s="257">
        <v>0</v>
      </c>
      <c r="K95" s="239"/>
      <c r="L95" s="55" t="s">
        <v>9</v>
      </c>
      <c r="M95" s="55" t="s">
        <v>9</v>
      </c>
      <c r="N95" s="6">
        <v>7908007904167</v>
      </c>
      <c r="O95" s="199" t="s">
        <v>127</v>
      </c>
    </row>
    <row r="96" spans="1:15" s="4" customFormat="1" ht="15.75" thickBot="1" x14ac:dyDescent="0.3">
      <c r="A96" s="555"/>
      <c r="B96" s="102">
        <v>2351</v>
      </c>
      <c r="C96" s="278" t="s">
        <v>214</v>
      </c>
      <c r="D96" s="269">
        <v>0.12</v>
      </c>
      <c r="E96" s="271" t="s">
        <v>123</v>
      </c>
      <c r="F96" s="312">
        <v>0</v>
      </c>
      <c r="G96" s="313">
        <v>192.548</v>
      </c>
      <c r="H96" s="141">
        <v>0</v>
      </c>
      <c r="I96" s="141">
        <v>0</v>
      </c>
      <c r="J96" s="247">
        <v>0</v>
      </c>
      <c r="K96" s="229"/>
      <c r="L96" s="54" t="s">
        <v>9</v>
      </c>
      <c r="M96" s="54" t="s">
        <v>9</v>
      </c>
      <c r="N96" s="13">
        <v>7908007906918</v>
      </c>
      <c r="O96" s="314" t="s">
        <v>127</v>
      </c>
    </row>
    <row r="97" spans="1:15" s="4" customFormat="1" ht="30" customHeight="1" thickBot="1" x14ac:dyDescent="0.3">
      <c r="A97" s="555" t="s">
        <v>129</v>
      </c>
      <c r="B97" s="343" t="s">
        <v>99</v>
      </c>
      <c r="C97" s="344" t="s">
        <v>107</v>
      </c>
      <c r="D97" s="343" t="s">
        <v>55</v>
      </c>
      <c r="E97" s="345" t="s">
        <v>121</v>
      </c>
      <c r="F97" s="346"/>
      <c r="G97" s="347" t="s">
        <v>126</v>
      </c>
      <c r="H97" s="146"/>
      <c r="I97" s="146"/>
      <c r="J97" s="253"/>
      <c r="K97" s="235"/>
      <c r="L97" s="348" t="s">
        <v>4</v>
      </c>
      <c r="M97" s="349"/>
      <c r="N97" s="350" t="s">
        <v>6</v>
      </c>
      <c r="O97" s="351" t="s">
        <v>7</v>
      </c>
    </row>
    <row r="98" spans="1:15" s="4" customFormat="1" ht="15.75" thickBot="1" x14ac:dyDescent="0.3">
      <c r="A98" s="555"/>
      <c r="B98" s="44">
        <v>4076</v>
      </c>
      <c r="C98" s="44" t="s">
        <v>215</v>
      </c>
      <c r="D98" s="289">
        <v>0.12</v>
      </c>
      <c r="E98" s="274" t="s">
        <v>125</v>
      </c>
      <c r="F98" s="302">
        <v>0</v>
      </c>
      <c r="G98" s="191">
        <v>404.87119999999999</v>
      </c>
      <c r="H98" s="149">
        <v>0</v>
      </c>
      <c r="I98" s="149">
        <v>0</v>
      </c>
      <c r="J98" s="256">
        <v>0</v>
      </c>
      <c r="K98" s="238"/>
      <c r="L98" s="55" t="s">
        <v>9</v>
      </c>
      <c r="M98" s="55" t="s">
        <v>9</v>
      </c>
      <c r="N98" s="52">
        <v>7908007907670</v>
      </c>
      <c r="O98" s="202" t="s">
        <v>45</v>
      </c>
    </row>
    <row r="99" spans="1:15" s="4" customFormat="1" ht="15.75" thickBot="1" x14ac:dyDescent="0.3">
      <c r="A99" s="555"/>
      <c r="B99" s="406">
        <v>3436</v>
      </c>
      <c r="C99" s="406" t="s">
        <v>172</v>
      </c>
      <c r="D99" s="289">
        <v>0.12</v>
      </c>
      <c r="E99" s="274" t="s">
        <v>122</v>
      </c>
      <c r="F99" s="302">
        <v>0</v>
      </c>
      <c r="G99" s="191">
        <v>286.22000000000003</v>
      </c>
      <c r="H99" s="149">
        <v>0</v>
      </c>
      <c r="I99" s="149">
        <v>0</v>
      </c>
      <c r="J99" s="256">
        <v>0</v>
      </c>
      <c r="K99" s="238"/>
      <c r="L99" s="55" t="s">
        <v>9</v>
      </c>
      <c r="M99" s="55" t="s">
        <v>9</v>
      </c>
      <c r="N99" s="407">
        <v>7908007907557</v>
      </c>
      <c r="O99" s="202" t="s">
        <v>45</v>
      </c>
    </row>
    <row r="100" spans="1:15" s="4" customFormat="1" x14ac:dyDescent="0.25">
      <c r="A100" s="555"/>
      <c r="B100" s="40">
        <v>1941</v>
      </c>
      <c r="C100" s="275" t="s">
        <v>150</v>
      </c>
      <c r="D100" s="331">
        <v>0.12</v>
      </c>
      <c r="E100" s="274" t="s">
        <v>122</v>
      </c>
      <c r="F100" s="302">
        <v>0</v>
      </c>
      <c r="G100" s="191">
        <v>103.03919999999999</v>
      </c>
      <c r="H100" s="149">
        <v>0</v>
      </c>
      <c r="I100" s="149">
        <v>0</v>
      </c>
      <c r="J100" s="256">
        <v>0</v>
      </c>
      <c r="K100" s="238"/>
      <c r="L100" s="55" t="s">
        <v>9</v>
      </c>
      <c r="M100" s="55" t="s">
        <v>9</v>
      </c>
      <c r="N100" s="52">
        <v>7908007900312</v>
      </c>
      <c r="O100" s="202" t="s">
        <v>45</v>
      </c>
    </row>
    <row r="101" spans="1:15" s="4" customFormat="1" x14ac:dyDescent="0.25">
      <c r="A101" s="555"/>
      <c r="B101" s="72">
        <v>2972</v>
      </c>
      <c r="C101" s="275" t="s">
        <v>216</v>
      </c>
      <c r="D101" s="331">
        <v>0.12</v>
      </c>
      <c r="E101" s="270" t="s">
        <v>123</v>
      </c>
      <c r="F101" s="303">
        <v>0</v>
      </c>
      <c r="G101" s="187">
        <v>43.7136</v>
      </c>
      <c r="H101" s="112">
        <v>0</v>
      </c>
      <c r="I101" s="112">
        <v>0</v>
      </c>
      <c r="J101" s="257">
        <v>0</v>
      </c>
      <c r="K101" s="239"/>
      <c r="L101" s="55" t="s">
        <v>9</v>
      </c>
      <c r="M101" s="55" t="s">
        <v>9</v>
      </c>
      <c r="N101" s="6">
        <v>7908007906840</v>
      </c>
      <c r="O101" s="199" t="s">
        <v>45</v>
      </c>
    </row>
    <row r="102" spans="1:15" s="4" customFormat="1" x14ac:dyDescent="0.25">
      <c r="A102" s="555"/>
      <c r="B102" s="182" t="s">
        <v>108</v>
      </c>
      <c r="C102" s="281" t="s">
        <v>109</v>
      </c>
      <c r="D102" s="332">
        <v>0.12</v>
      </c>
      <c r="E102" s="270" t="s">
        <v>122</v>
      </c>
      <c r="F102" s="303">
        <v>0</v>
      </c>
      <c r="G102" s="187">
        <v>179.53800000000001</v>
      </c>
      <c r="H102" s="112">
        <v>0</v>
      </c>
      <c r="I102" s="112">
        <v>0</v>
      </c>
      <c r="J102" s="257">
        <v>0</v>
      </c>
      <c r="K102" s="239"/>
      <c r="L102" s="55" t="s">
        <v>9</v>
      </c>
      <c r="M102" s="55" t="s">
        <v>9</v>
      </c>
      <c r="N102" s="6">
        <v>7908007904945</v>
      </c>
      <c r="O102" s="199" t="s">
        <v>45</v>
      </c>
    </row>
    <row r="103" spans="1:15" s="4" customFormat="1" x14ac:dyDescent="0.25">
      <c r="A103" s="555"/>
      <c r="B103" s="197">
        <v>2389</v>
      </c>
      <c r="C103" s="270" t="s">
        <v>217</v>
      </c>
      <c r="D103" s="332">
        <v>0.12</v>
      </c>
      <c r="E103" s="270" t="s">
        <v>122</v>
      </c>
      <c r="F103" s="303">
        <v>0</v>
      </c>
      <c r="G103" s="187">
        <v>207.11920000000001</v>
      </c>
      <c r="H103" s="112">
        <v>0</v>
      </c>
      <c r="I103" s="112">
        <v>0</v>
      </c>
      <c r="J103" s="257">
        <v>0</v>
      </c>
      <c r="K103" s="239"/>
      <c r="L103" s="55" t="s">
        <v>9</v>
      </c>
      <c r="M103" s="55" t="s">
        <v>9</v>
      </c>
      <c r="N103" s="6">
        <v>7908007904471</v>
      </c>
      <c r="O103" s="199" t="s">
        <v>45</v>
      </c>
    </row>
    <row r="104" spans="1:15" s="4" customFormat="1" x14ac:dyDescent="0.25">
      <c r="A104" s="555"/>
      <c r="B104" s="42" t="s">
        <v>110</v>
      </c>
      <c r="C104" s="270" t="s">
        <v>218</v>
      </c>
      <c r="D104" s="333">
        <v>0.12</v>
      </c>
      <c r="E104" s="270" t="s">
        <v>122</v>
      </c>
      <c r="F104" s="303">
        <v>0</v>
      </c>
      <c r="G104" s="187">
        <v>311.19920000000002</v>
      </c>
      <c r="H104" s="112">
        <v>0</v>
      </c>
      <c r="I104" s="112">
        <v>0</v>
      </c>
      <c r="J104" s="257">
        <v>0</v>
      </c>
      <c r="K104" s="239"/>
      <c r="L104" s="55" t="s">
        <v>9</v>
      </c>
      <c r="M104" s="55" t="s">
        <v>9</v>
      </c>
      <c r="N104" s="6">
        <v>7908007900237</v>
      </c>
      <c r="O104" s="199" t="s">
        <v>45</v>
      </c>
    </row>
    <row r="105" spans="1:15" s="4" customFormat="1" x14ac:dyDescent="0.25">
      <c r="A105" s="555"/>
      <c r="B105" s="174" t="s">
        <v>111</v>
      </c>
      <c r="C105" s="270" t="s">
        <v>219</v>
      </c>
      <c r="D105" s="332">
        <v>0.12</v>
      </c>
      <c r="E105" s="270" t="s">
        <v>123</v>
      </c>
      <c r="F105" s="303">
        <v>0</v>
      </c>
      <c r="G105" s="187">
        <v>131.14080000000001</v>
      </c>
      <c r="H105" s="112">
        <v>0</v>
      </c>
      <c r="I105" s="112">
        <v>0</v>
      </c>
      <c r="J105" s="257">
        <v>0</v>
      </c>
      <c r="K105" s="239"/>
      <c r="L105" s="55" t="s">
        <v>9</v>
      </c>
      <c r="M105" s="55" t="s">
        <v>9</v>
      </c>
      <c r="N105" s="6">
        <v>7908007906833</v>
      </c>
      <c r="O105" s="199" t="s">
        <v>45</v>
      </c>
    </row>
    <row r="106" spans="1:15" s="4" customFormat="1" ht="30" x14ac:dyDescent="0.25">
      <c r="A106" s="555"/>
      <c r="B106" s="42">
        <v>2869</v>
      </c>
      <c r="C106" s="270" t="s">
        <v>220</v>
      </c>
      <c r="D106" s="332">
        <v>0.12</v>
      </c>
      <c r="E106" s="270" t="s">
        <v>122</v>
      </c>
      <c r="F106" s="303">
        <v>0</v>
      </c>
      <c r="G106" s="187">
        <v>370.52480000000003</v>
      </c>
      <c r="H106" s="112">
        <v>0</v>
      </c>
      <c r="I106" s="112">
        <v>0</v>
      </c>
      <c r="J106" s="257">
        <v>0</v>
      </c>
      <c r="K106" s="239"/>
      <c r="L106" s="55" t="s">
        <v>9</v>
      </c>
      <c r="M106" s="55" t="s">
        <v>9</v>
      </c>
      <c r="N106" s="6">
        <v>7908007905522</v>
      </c>
      <c r="O106" s="199" t="s">
        <v>45</v>
      </c>
    </row>
    <row r="107" spans="1:15" s="4" customFormat="1" ht="15.75" thickBot="1" x14ac:dyDescent="0.3">
      <c r="A107" s="555"/>
      <c r="B107" s="185">
        <v>2871</v>
      </c>
      <c r="C107" s="270" t="s">
        <v>221</v>
      </c>
      <c r="D107" s="328">
        <v>0.12</v>
      </c>
      <c r="E107" s="270" t="s">
        <v>123</v>
      </c>
      <c r="F107" s="303">
        <v>0</v>
      </c>
      <c r="G107" s="187">
        <v>156.12</v>
      </c>
      <c r="H107" s="112">
        <v>0</v>
      </c>
      <c r="I107" s="112">
        <v>0</v>
      </c>
      <c r="J107" s="257">
        <v>0</v>
      </c>
      <c r="K107" s="239"/>
      <c r="L107" s="55" t="s">
        <v>9</v>
      </c>
      <c r="M107" s="55" t="s">
        <v>9</v>
      </c>
      <c r="N107" s="6">
        <v>7908007906925</v>
      </c>
      <c r="O107" s="199" t="s">
        <v>45</v>
      </c>
    </row>
    <row r="108" spans="1:15" s="4" customFormat="1" ht="15.75" thickBot="1" x14ac:dyDescent="0.3">
      <c r="A108" s="555"/>
      <c r="B108" s="101">
        <v>2967</v>
      </c>
      <c r="C108" s="408" t="s">
        <v>173</v>
      </c>
      <c r="D108" s="334">
        <v>0.12</v>
      </c>
      <c r="E108" s="270" t="s">
        <v>124</v>
      </c>
      <c r="F108" s="303">
        <v>0</v>
      </c>
      <c r="G108" s="187">
        <v>3.0183200000000001</v>
      </c>
      <c r="H108" s="112">
        <v>0</v>
      </c>
      <c r="I108" s="112">
        <v>0</v>
      </c>
      <c r="J108" s="257">
        <v>0</v>
      </c>
      <c r="K108" s="239"/>
      <c r="L108" s="55" t="s">
        <v>9</v>
      </c>
      <c r="M108" s="55" t="s">
        <v>9</v>
      </c>
      <c r="N108" s="6">
        <v>7908007905478</v>
      </c>
      <c r="O108" s="199" t="s">
        <v>45</v>
      </c>
    </row>
    <row r="109" spans="1:15" s="4" customFormat="1" ht="15.75" thickBot="1" x14ac:dyDescent="0.3">
      <c r="A109" s="555"/>
      <c r="B109" s="101">
        <v>2967</v>
      </c>
      <c r="C109" s="408" t="s">
        <v>174</v>
      </c>
      <c r="D109" s="334">
        <v>0.12</v>
      </c>
      <c r="E109" s="270" t="s">
        <v>124</v>
      </c>
      <c r="F109" s="303">
        <v>0</v>
      </c>
      <c r="G109" s="187">
        <v>6.14072</v>
      </c>
      <c r="H109" s="112">
        <v>0</v>
      </c>
      <c r="I109" s="112">
        <v>0</v>
      </c>
      <c r="J109" s="257">
        <v>0</v>
      </c>
      <c r="K109" s="239"/>
      <c r="L109" s="55" t="s">
        <v>9</v>
      </c>
      <c r="M109" s="55" t="s">
        <v>9</v>
      </c>
      <c r="N109" s="6">
        <v>7908007905478</v>
      </c>
      <c r="O109" s="199" t="s">
        <v>45</v>
      </c>
    </row>
    <row r="110" spans="1:15" s="4" customFormat="1" x14ac:dyDescent="0.25">
      <c r="A110" s="555"/>
      <c r="B110" s="39">
        <v>603</v>
      </c>
      <c r="C110" s="184" t="s">
        <v>147</v>
      </c>
      <c r="D110" s="335">
        <v>0.12</v>
      </c>
      <c r="E110" s="270" t="s">
        <v>122</v>
      </c>
      <c r="F110" s="303">
        <v>0</v>
      </c>
      <c r="G110" s="187">
        <v>301.83199999999999</v>
      </c>
      <c r="H110" s="112">
        <v>0</v>
      </c>
      <c r="I110" s="112">
        <v>0</v>
      </c>
      <c r="J110" s="257">
        <v>0</v>
      </c>
      <c r="K110" s="239"/>
      <c r="L110" s="55" t="s">
        <v>9</v>
      </c>
      <c r="M110" s="55" t="s">
        <v>9</v>
      </c>
      <c r="N110" s="6">
        <v>7908007900213</v>
      </c>
      <c r="O110" s="199" t="s">
        <v>45</v>
      </c>
    </row>
    <row r="111" spans="1:15" s="4" customFormat="1" ht="15.75" thickBot="1" x14ac:dyDescent="0.3">
      <c r="A111" s="555"/>
      <c r="B111" s="39">
        <v>2974</v>
      </c>
      <c r="C111" s="184" t="s">
        <v>151</v>
      </c>
      <c r="D111" s="335">
        <v>0.12</v>
      </c>
      <c r="E111" s="270" t="s">
        <v>123</v>
      </c>
      <c r="F111" s="303">
        <v>0</v>
      </c>
      <c r="G111" s="187">
        <v>126.9776</v>
      </c>
      <c r="H111" s="112">
        <v>0</v>
      </c>
      <c r="I111" s="112">
        <v>0</v>
      </c>
      <c r="J111" s="257">
        <v>0</v>
      </c>
      <c r="K111" s="239"/>
      <c r="L111" s="55" t="s">
        <v>9</v>
      </c>
      <c r="M111" s="55" t="s">
        <v>9</v>
      </c>
      <c r="N111" s="6">
        <v>7908007906826</v>
      </c>
      <c r="O111" s="199" t="s">
        <v>45</v>
      </c>
    </row>
    <row r="112" spans="1:15" s="4" customFormat="1" ht="15.75" thickBot="1" x14ac:dyDescent="0.3">
      <c r="A112" s="555"/>
      <c r="B112" s="39">
        <v>1332</v>
      </c>
      <c r="C112" s="406" t="s">
        <v>175</v>
      </c>
      <c r="D112" s="335">
        <v>0.12</v>
      </c>
      <c r="E112" s="270" t="s">
        <v>122</v>
      </c>
      <c r="F112" s="303">
        <v>0</v>
      </c>
      <c r="G112" s="187">
        <v>218.17126369280001</v>
      </c>
      <c r="H112" s="112">
        <v>0</v>
      </c>
      <c r="I112" s="112">
        <v>0</v>
      </c>
      <c r="J112" s="257">
        <v>0</v>
      </c>
      <c r="K112" s="239"/>
      <c r="L112" s="55" t="s">
        <v>9</v>
      </c>
      <c r="M112" s="55" t="s">
        <v>9</v>
      </c>
      <c r="N112" s="6">
        <v>7908007904891</v>
      </c>
      <c r="O112" s="199" t="s">
        <v>45</v>
      </c>
    </row>
    <row r="113" spans="1:15" s="4" customFormat="1" ht="15.75" thickBot="1" x14ac:dyDescent="0.3">
      <c r="A113" s="555"/>
      <c r="B113" s="42">
        <v>2978</v>
      </c>
      <c r="C113" s="406" t="s">
        <v>176</v>
      </c>
      <c r="D113" s="336">
        <v>0.12</v>
      </c>
      <c r="E113" s="270" t="s">
        <v>123</v>
      </c>
      <c r="F113" s="303">
        <v>0</v>
      </c>
      <c r="G113" s="187">
        <v>91.235255726079998</v>
      </c>
      <c r="H113" s="112">
        <v>0</v>
      </c>
      <c r="I113" s="112">
        <v>0</v>
      </c>
      <c r="J113" s="257">
        <v>0</v>
      </c>
      <c r="K113" s="239"/>
      <c r="L113" s="55" t="s">
        <v>9</v>
      </c>
      <c r="M113" s="55" t="s">
        <v>9</v>
      </c>
      <c r="N113" s="6">
        <v>7908007906963</v>
      </c>
      <c r="O113" s="199" t="s">
        <v>45</v>
      </c>
    </row>
    <row r="114" spans="1:15" s="4" customFormat="1" ht="15.75" thickBot="1" x14ac:dyDescent="0.3">
      <c r="A114" s="555"/>
      <c r="B114" s="42">
        <v>1431</v>
      </c>
      <c r="C114" s="270" t="s">
        <v>222</v>
      </c>
      <c r="D114" s="332">
        <v>0.12</v>
      </c>
      <c r="E114" s="270" t="s">
        <v>122</v>
      </c>
      <c r="F114" s="303">
        <v>0</v>
      </c>
      <c r="G114" s="187">
        <v>450.14600000000002</v>
      </c>
      <c r="H114" s="112">
        <v>0</v>
      </c>
      <c r="I114" s="112">
        <v>0</v>
      </c>
      <c r="J114" s="257">
        <v>0</v>
      </c>
      <c r="K114" s="239"/>
      <c r="L114" s="55" t="s">
        <v>9</v>
      </c>
      <c r="M114" s="55" t="s">
        <v>9</v>
      </c>
      <c r="N114" s="6">
        <v>7908007905393</v>
      </c>
      <c r="O114" s="199" t="s">
        <v>45</v>
      </c>
    </row>
    <row r="115" spans="1:15" s="4" customFormat="1" ht="15.75" thickBot="1" x14ac:dyDescent="0.3">
      <c r="A115" s="555"/>
      <c r="B115" s="79">
        <v>2872</v>
      </c>
      <c r="C115" s="44" t="s">
        <v>223</v>
      </c>
      <c r="D115" s="337">
        <v>0.12</v>
      </c>
      <c r="E115" s="308" t="s">
        <v>123</v>
      </c>
      <c r="F115" s="304">
        <v>0</v>
      </c>
      <c r="G115" s="189">
        <v>189.4256</v>
      </c>
      <c r="H115" s="148">
        <v>0</v>
      </c>
      <c r="I115" s="148">
        <v>0</v>
      </c>
      <c r="J115" s="260">
        <v>0</v>
      </c>
      <c r="K115" s="240"/>
      <c r="L115" s="55" t="s">
        <v>9</v>
      </c>
      <c r="M115" s="55" t="s">
        <v>9</v>
      </c>
      <c r="N115" s="17">
        <v>7908007906956</v>
      </c>
      <c r="O115" s="200" t="s">
        <v>45</v>
      </c>
    </row>
    <row r="116" spans="1:15" s="4" customFormat="1" ht="30" customHeight="1" thickBot="1" x14ac:dyDescent="0.3">
      <c r="A116" s="555"/>
      <c r="B116" s="183" t="s">
        <v>99</v>
      </c>
      <c r="C116" s="280" t="s">
        <v>112</v>
      </c>
      <c r="D116" s="183" t="s">
        <v>55</v>
      </c>
      <c r="E116" s="307" t="s">
        <v>121</v>
      </c>
      <c r="F116" s="301"/>
      <c r="G116" s="192" t="s">
        <v>126</v>
      </c>
      <c r="H116" s="171"/>
      <c r="I116" s="171"/>
      <c r="J116" s="255"/>
      <c r="K116" s="237"/>
      <c r="L116" s="188" t="s">
        <v>4</v>
      </c>
      <c r="M116" s="194"/>
      <c r="N116" s="195" t="s">
        <v>6</v>
      </c>
      <c r="O116" s="201" t="s">
        <v>7</v>
      </c>
    </row>
    <row r="117" spans="1:15" s="4" customFormat="1" ht="18.95" customHeight="1" thickBot="1" x14ac:dyDescent="0.3">
      <c r="A117" s="555"/>
      <c r="B117" s="72">
        <v>625</v>
      </c>
      <c r="C117" s="275" t="s">
        <v>152</v>
      </c>
      <c r="D117" s="331">
        <v>0.12</v>
      </c>
      <c r="E117" s="274" t="s">
        <v>122</v>
      </c>
      <c r="F117" s="302">
        <v>0</v>
      </c>
      <c r="G117" s="191">
        <v>72.973235712000005</v>
      </c>
      <c r="H117" s="149">
        <v>0</v>
      </c>
      <c r="I117" s="149">
        <v>0</v>
      </c>
      <c r="J117" s="256">
        <v>0</v>
      </c>
      <c r="K117" s="238"/>
      <c r="L117" s="55" t="s">
        <v>9</v>
      </c>
      <c r="M117" s="55" t="s">
        <v>9</v>
      </c>
      <c r="N117" s="52">
        <v>7908007903863</v>
      </c>
      <c r="O117" s="202" t="s">
        <v>45</v>
      </c>
    </row>
    <row r="118" spans="1:15" s="4" customFormat="1" ht="18.95" customHeight="1" thickBot="1" x14ac:dyDescent="0.3">
      <c r="A118" s="555"/>
      <c r="B118" s="39">
        <v>624</v>
      </c>
      <c r="C118" s="406" t="s">
        <v>177</v>
      </c>
      <c r="D118" s="331">
        <v>0.12</v>
      </c>
      <c r="E118" s="274" t="s">
        <v>122</v>
      </c>
      <c r="F118" s="303">
        <v>0</v>
      </c>
      <c r="G118" s="187">
        <v>140.33314559999999</v>
      </c>
      <c r="H118" s="112">
        <v>0</v>
      </c>
      <c r="I118" s="112">
        <v>0</v>
      </c>
      <c r="J118" s="257">
        <v>0</v>
      </c>
      <c r="K118" s="239"/>
      <c r="L118" s="55" t="s">
        <v>9</v>
      </c>
      <c r="M118" s="55" t="s">
        <v>9</v>
      </c>
      <c r="N118" s="6">
        <v>7908007900497</v>
      </c>
      <c r="O118" s="199" t="s">
        <v>45</v>
      </c>
    </row>
    <row r="119" spans="1:15" s="4" customFormat="1" ht="18.95" customHeight="1" thickBot="1" x14ac:dyDescent="0.3">
      <c r="A119" s="555"/>
      <c r="B119" s="185">
        <v>2977</v>
      </c>
      <c r="C119" s="406" t="s">
        <v>224</v>
      </c>
      <c r="D119" s="268">
        <v>0.12</v>
      </c>
      <c r="E119" s="270" t="s">
        <v>123</v>
      </c>
      <c r="F119" s="303">
        <v>0</v>
      </c>
      <c r="G119" s="187">
        <v>38.357726463999995</v>
      </c>
      <c r="H119" s="112">
        <v>0</v>
      </c>
      <c r="I119" s="112">
        <v>0</v>
      </c>
      <c r="J119" s="257">
        <v>0</v>
      </c>
      <c r="K119" s="239"/>
      <c r="L119" s="55" t="s">
        <v>9</v>
      </c>
      <c r="M119" s="55" t="s">
        <v>9</v>
      </c>
      <c r="N119" s="6">
        <v>7908007906864</v>
      </c>
      <c r="O119" s="199" t="s">
        <v>45</v>
      </c>
    </row>
    <row r="120" spans="1:15" s="4" customFormat="1" ht="18.95" customHeight="1" thickBot="1" x14ac:dyDescent="0.3">
      <c r="A120" s="555"/>
      <c r="B120" s="185">
        <v>2976</v>
      </c>
      <c r="C120" s="406" t="s">
        <v>178</v>
      </c>
      <c r="D120" s="328">
        <v>0.12</v>
      </c>
      <c r="E120" s="270" t="s">
        <v>123</v>
      </c>
      <c r="F120" s="303">
        <v>0</v>
      </c>
      <c r="G120" s="187">
        <v>61.746584063999997</v>
      </c>
      <c r="H120" s="112">
        <v>0</v>
      </c>
      <c r="I120" s="112">
        <v>0</v>
      </c>
      <c r="J120" s="257">
        <v>0</v>
      </c>
      <c r="K120" s="239"/>
      <c r="L120" s="55" t="s">
        <v>9</v>
      </c>
      <c r="M120" s="55" t="s">
        <v>9</v>
      </c>
      <c r="N120" s="6">
        <v>7908007906871</v>
      </c>
      <c r="O120" s="199" t="s">
        <v>45</v>
      </c>
    </row>
    <row r="121" spans="1:15" s="4" customFormat="1" ht="18.95" customHeight="1" thickBot="1" x14ac:dyDescent="0.3">
      <c r="A121" s="555"/>
      <c r="B121" s="42" t="s">
        <v>113</v>
      </c>
      <c r="C121" s="270" t="s">
        <v>114</v>
      </c>
      <c r="D121" s="161">
        <v>0.12</v>
      </c>
      <c r="E121" s="270" t="s">
        <v>122</v>
      </c>
      <c r="F121" s="303">
        <v>0</v>
      </c>
      <c r="G121" s="187">
        <v>72.973235712000005</v>
      </c>
      <c r="H121" s="112">
        <v>0</v>
      </c>
      <c r="I121" s="112">
        <v>0</v>
      </c>
      <c r="J121" s="257">
        <v>0</v>
      </c>
      <c r="K121" s="239"/>
      <c r="L121" s="55" t="s">
        <v>9</v>
      </c>
      <c r="M121" s="55" t="s">
        <v>9</v>
      </c>
      <c r="N121" s="6">
        <v>7898919506354</v>
      </c>
      <c r="O121" s="199" t="s">
        <v>45</v>
      </c>
    </row>
    <row r="122" spans="1:15" s="4" customFormat="1" ht="18.95" customHeight="1" thickBot="1" x14ac:dyDescent="0.3">
      <c r="A122" s="555"/>
      <c r="B122" s="185">
        <v>2973</v>
      </c>
      <c r="C122" s="406" t="s">
        <v>225</v>
      </c>
      <c r="D122" s="268">
        <v>0.12</v>
      </c>
      <c r="E122" s="270" t="s">
        <v>123</v>
      </c>
      <c r="F122" s="303">
        <v>0</v>
      </c>
      <c r="G122" s="187">
        <v>38.357726463999995</v>
      </c>
      <c r="H122" s="112">
        <v>0</v>
      </c>
      <c r="I122" s="112">
        <v>0</v>
      </c>
      <c r="J122" s="257">
        <v>0</v>
      </c>
      <c r="K122" s="239"/>
      <c r="L122" s="55" t="s">
        <v>9</v>
      </c>
      <c r="M122" s="55" t="s">
        <v>9</v>
      </c>
      <c r="N122" s="6">
        <v>7908007906772</v>
      </c>
      <c r="O122" s="199" t="s">
        <v>45</v>
      </c>
    </row>
    <row r="123" spans="1:15" s="4" customFormat="1" ht="18.95" customHeight="1" thickBot="1" x14ac:dyDescent="0.3">
      <c r="A123" s="555"/>
      <c r="B123" s="39">
        <v>766</v>
      </c>
      <c r="C123" s="406" t="s">
        <v>227</v>
      </c>
      <c r="D123" s="161">
        <v>0.12</v>
      </c>
      <c r="E123" s="270" t="s">
        <v>122</v>
      </c>
      <c r="F123" s="303">
        <v>0</v>
      </c>
      <c r="G123" s="187">
        <v>61.746584063999997</v>
      </c>
      <c r="H123" s="112">
        <v>0</v>
      </c>
      <c r="I123" s="112">
        <v>0</v>
      </c>
      <c r="J123" s="257">
        <v>0</v>
      </c>
      <c r="K123" s="239"/>
      <c r="L123" s="55" t="s">
        <v>9</v>
      </c>
      <c r="M123" s="55" t="s">
        <v>9</v>
      </c>
      <c r="N123" s="6">
        <v>7908007903474</v>
      </c>
      <c r="O123" s="199" t="s">
        <v>45</v>
      </c>
    </row>
    <row r="124" spans="1:15" s="4" customFormat="1" ht="18.95" customHeight="1" thickBot="1" x14ac:dyDescent="0.3">
      <c r="A124" s="555"/>
      <c r="B124" s="185">
        <v>2971</v>
      </c>
      <c r="C124" s="406" t="s">
        <v>226</v>
      </c>
      <c r="D124" s="268">
        <v>0.12</v>
      </c>
      <c r="E124" s="270" t="s">
        <v>123</v>
      </c>
      <c r="F124" s="303">
        <v>0</v>
      </c>
      <c r="G124" s="187">
        <v>38.357726463999995</v>
      </c>
      <c r="H124" s="112">
        <v>0</v>
      </c>
      <c r="I124" s="112">
        <v>0</v>
      </c>
      <c r="J124" s="257">
        <v>0</v>
      </c>
      <c r="K124" s="239"/>
      <c r="L124" s="55" t="s">
        <v>9</v>
      </c>
      <c r="M124" s="55" t="s">
        <v>9</v>
      </c>
      <c r="N124" s="6">
        <v>7908007906857</v>
      </c>
      <c r="O124" s="199" t="s">
        <v>45</v>
      </c>
    </row>
    <row r="125" spans="1:15" s="4" customFormat="1" ht="23.25" thickBot="1" x14ac:dyDescent="0.3">
      <c r="A125" s="555"/>
      <c r="B125" s="183" t="s">
        <v>99</v>
      </c>
      <c r="C125" s="280" t="s">
        <v>115</v>
      </c>
      <c r="D125" s="183" t="s">
        <v>55</v>
      </c>
      <c r="E125" s="307" t="s">
        <v>121</v>
      </c>
      <c r="F125" s="301"/>
      <c r="G125" s="192" t="s">
        <v>126</v>
      </c>
      <c r="H125" s="171"/>
      <c r="I125" s="171"/>
      <c r="J125" s="255"/>
      <c r="K125" s="237"/>
      <c r="L125" s="193" t="s">
        <v>4</v>
      </c>
      <c r="M125" s="194"/>
      <c r="N125" s="195" t="s">
        <v>6</v>
      </c>
      <c r="O125" s="201" t="s">
        <v>7</v>
      </c>
    </row>
    <row r="126" spans="1:15" s="4" customFormat="1" ht="18.95" customHeight="1" thickBot="1" x14ac:dyDescent="0.3">
      <c r="A126" s="555"/>
      <c r="B126" s="174" t="s">
        <v>116</v>
      </c>
      <c r="C126" s="44" t="s">
        <v>228</v>
      </c>
      <c r="D126" s="338">
        <v>0.12</v>
      </c>
      <c r="E126" s="274" t="s">
        <v>122</v>
      </c>
      <c r="F126" s="302">
        <v>0</v>
      </c>
      <c r="G126" s="191">
        <v>124.428722432</v>
      </c>
      <c r="H126" s="149">
        <v>0</v>
      </c>
      <c r="I126" s="149">
        <v>0</v>
      </c>
      <c r="J126" s="256">
        <v>0</v>
      </c>
      <c r="K126" s="238"/>
      <c r="L126" s="71" t="s">
        <v>9</v>
      </c>
      <c r="M126" s="71" t="s">
        <v>9</v>
      </c>
      <c r="N126" s="52">
        <v>7908007900015</v>
      </c>
      <c r="O126" s="202" t="s">
        <v>45</v>
      </c>
    </row>
    <row r="127" spans="1:15" s="4" customFormat="1" ht="18.95" customHeight="1" thickBot="1" x14ac:dyDescent="0.3">
      <c r="A127" s="555"/>
      <c r="B127" s="42">
        <v>2975</v>
      </c>
      <c r="C127" s="44" t="s">
        <v>229</v>
      </c>
      <c r="D127" s="336">
        <v>0.12</v>
      </c>
      <c r="E127" s="270" t="s">
        <v>123</v>
      </c>
      <c r="F127" s="303">
        <v>0</v>
      </c>
      <c r="G127" s="187">
        <v>52.391041024000003</v>
      </c>
      <c r="H127" s="112">
        <v>0</v>
      </c>
      <c r="I127" s="112">
        <v>0</v>
      </c>
      <c r="J127" s="257">
        <v>0</v>
      </c>
      <c r="K127" s="239"/>
      <c r="L127" s="55" t="s">
        <v>9</v>
      </c>
      <c r="M127" s="55" t="s">
        <v>9</v>
      </c>
      <c r="N127" s="6">
        <v>7908007906819</v>
      </c>
      <c r="O127" s="199" t="s">
        <v>45</v>
      </c>
    </row>
    <row r="128" spans="1:15" s="4" customFormat="1" ht="18.95" customHeight="1" thickBot="1" x14ac:dyDescent="0.3">
      <c r="A128" s="555"/>
      <c r="B128" s="186">
        <v>3827</v>
      </c>
      <c r="C128" s="44" t="s">
        <v>230</v>
      </c>
      <c r="D128" s="339">
        <v>0.12</v>
      </c>
      <c r="E128" s="274" t="s">
        <v>122</v>
      </c>
      <c r="F128" s="303">
        <v>0</v>
      </c>
      <c r="G128" s="187">
        <v>679.212424704</v>
      </c>
      <c r="H128" s="112">
        <v>0</v>
      </c>
      <c r="I128" s="112">
        <v>0</v>
      </c>
      <c r="J128" s="257">
        <v>0</v>
      </c>
      <c r="K128" s="239"/>
      <c r="L128" s="55" t="s">
        <v>9</v>
      </c>
      <c r="M128" s="55" t="s">
        <v>9</v>
      </c>
      <c r="N128" s="6">
        <v>7908007906741</v>
      </c>
      <c r="O128" s="199" t="s">
        <v>45</v>
      </c>
    </row>
    <row r="129" spans="1:15" s="4" customFormat="1" ht="18.95" customHeight="1" thickBot="1" x14ac:dyDescent="0.3">
      <c r="A129" s="555"/>
      <c r="B129" s="44">
        <v>3824</v>
      </c>
      <c r="C129" s="44" t="s">
        <v>231</v>
      </c>
      <c r="D129" s="328">
        <v>0.12</v>
      </c>
      <c r="E129" s="274" t="s">
        <v>122</v>
      </c>
      <c r="F129" s="303">
        <v>0</v>
      </c>
      <c r="G129" s="187">
        <v>757.79898623999998</v>
      </c>
      <c r="H129" s="112">
        <v>0</v>
      </c>
      <c r="I129" s="112">
        <v>0</v>
      </c>
      <c r="J129" s="257">
        <v>0</v>
      </c>
      <c r="K129" s="239"/>
      <c r="L129" s="55" t="s">
        <v>9</v>
      </c>
      <c r="M129" s="55" t="s">
        <v>9</v>
      </c>
      <c r="N129" s="6">
        <v>7908007906703</v>
      </c>
      <c r="O129" s="199" t="s">
        <v>45</v>
      </c>
    </row>
    <row r="130" spans="1:15" s="4" customFormat="1" ht="18.95" customHeight="1" thickBot="1" x14ac:dyDescent="0.3">
      <c r="A130" s="555"/>
      <c r="B130" s="406" t="s">
        <v>239</v>
      </c>
      <c r="C130" s="406" t="s">
        <v>232</v>
      </c>
      <c r="D130" s="340">
        <v>0.12</v>
      </c>
      <c r="E130" s="281" t="s">
        <v>122</v>
      </c>
      <c r="F130" s="304">
        <v>0</v>
      </c>
      <c r="G130" s="189">
        <v>637.11248102399986</v>
      </c>
      <c r="H130" s="148">
        <v>0</v>
      </c>
      <c r="I130" s="148">
        <v>0</v>
      </c>
      <c r="J130" s="260">
        <v>0</v>
      </c>
      <c r="K130" s="240"/>
      <c r="L130" s="190" t="s">
        <v>9</v>
      </c>
      <c r="M130" s="190" t="s">
        <v>9</v>
      </c>
      <c r="N130" s="17">
        <v>7908007906673</v>
      </c>
      <c r="O130" s="200" t="s">
        <v>45</v>
      </c>
    </row>
    <row r="131" spans="1:15" s="4" customFormat="1" ht="24" thickBot="1" x14ac:dyDescent="0.3">
      <c r="A131" s="555"/>
      <c r="B131" s="183" t="s">
        <v>99</v>
      </c>
      <c r="C131" s="280" t="s">
        <v>117</v>
      </c>
      <c r="D131" s="341" t="s">
        <v>55</v>
      </c>
      <c r="E131" s="309" t="s">
        <v>121</v>
      </c>
      <c r="F131" s="301"/>
      <c r="G131" s="192" t="s">
        <v>126</v>
      </c>
      <c r="H131" s="171"/>
      <c r="I131" s="171"/>
      <c r="J131" s="255"/>
      <c r="K131" s="237"/>
      <c r="L131" s="193" t="s">
        <v>4</v>
      </c>
      <c r="M131" s="194"/>
      <c r="N131" s="195" t="s">
        <v>6</v>
      </c>
      <c r="O131" s="201" t="s">
        <v>7</v>
      </c>
    </row>
    <row r="132" spans="1:15" s="4" customFormat="1" ht="21" customHeight="1" thickBot="1" x14ac:dyDescent="0.3">
      <c r="A132" s="555"/>
      <c r="B132" s="406">
        <v>596</v>
      </c>
      <c r="C132" s="406" t="s">
        <v>179</v>
      </c>
      <c r="D132" s="331">
        <v>0.12</v>
      </c>
      <c r="E132" s="274" t="s">
        <v>122</v>
      </c>
      <c r="F132" s="302">
        <v>0</v>
      </c>
      <c r="G132" s="191">
        <v>291.42399999999998</v>
      </c>
      <c r="H132" s="149">
        <v>0</v>
      </c>
      <c r="I132" s="149">
        <v>0</v>
      </c>
      <c r="J132" s="256">
        <v>0</v>
      </c>
      <c r="K132" s="238"/>
      <c r="L132" s="71" t="s">
        <v>9</v>
      </c>
      <c r="M132" s="71" t="s">
        <v>9</v>
      </c>
      <c r="N132" s="52">
        <v>7908007904778</v>
      </c>
      <c r="O132" s="202" t="s">
        <v>45</v>
      </c>
    </row>
    <row r="133" spans="1:15" s="4" customFormat="1" ht="21" customHeight="1" thickBot="1" x14ac:dyDescent="0.3">
      <c r="A133" s="555"/>
      <c r="B133" s="406">
        <v>2969</v>
      </c>
      <c r="C133" s="406" t="s">
        <v>180</v>
      </c>
      <c r="D133" s="328">
        <v>0.12</v>
      </c>
      <c r="E133" s="270" t="s">
        <v>123</v>
      </c>
      <c r="F133" s="303">
        <v>0</v>
      </c>
      <c r="G133" s="187">
        <v>122.81440000000001</v>
      </c>
      <c r="H133" s="112">
        <v>0</v>
      </c>
      <c r="I133" s="112">
        <v>0</v>
      </c>
      <c r="J133" s="257">
        <v>0</v>
      </c>
      <c r="K133" s="239"/>
      <c r="L133" s="55" t="s">
        <v>9</v>
      </c>
      <c r="M133" s="55" t="s">
        <v>9</v>
      </c>
      <c r="N133" s="6">
        <v>7908007906901</v>
      </c>
      <c r="O133" s="199" t="s">
        <v>45</v>
      </c>
    </row>
    <row r="134" spans="1:15" s="4" customFormat="1" ht="21" customHeight="1" thickBot="1" x14ac:dyDescent="0.3">
      <c r="A134" s="555"/>
      <c r="B134" s="406">
        <v>628</v>
      </c>
      <c r="C134" s="406" t="s">
        <v>181</v>
      </c>
      <c r="D134" s="161">
        <v>0.12</v>
      </c>
      <c r="E134" s="270" t="s">
        <v>122</v>
      </c>
      <c r="F134" s="303">
        <v>0</v>
      </c>
      <c r="G134" s="187">
        <v>130.1</v>
      </c>
      <c r="H134" s="112">
        <v>0</v>
      </c>
      <c r="I134" s="112">
        <v>0</v>
      </c>
      <c r="J134" s="257">
        <v>0</v>
      </c>
      <c r="K134" s="239"/>
      <c r="L134" s="55" t="s">
        <v>9</v>
      </c>
      <c r="M134" s="55" t="s">
        <v>9</v>
      </c>
      <c r="N134" s="6">
        <v>7908007900190</v>
      </c>
      <c r="O134" s="199" t="s">
        <v>45</v>
      </c>
    </row>
    <row r="135" spans="1:15" s="4" customFormat="1" ht="21" customHeight="1" thickBot="1" x14ac:dyDescent="0.3">
      <c r="A135" s="555"/>
      <c r="B135" s="406">
        <v>2979</v>
      </c>
      <c r="C135" s="406" t="s">
        <v>182</v>
      </c>
      <c r="D135" s="340">
        <v>0.12</v>
      </c>
      <c r="E135" s="308" t="s">
        <v>123</v>
      </c>
      <c r="F135" s="304">
        <v>0</v>
      </c>
      <c r="G135" s="189">
        <v>54.642000000000003</v>
      </c>
      <c r="H135" s="148">
        <v>0</v>
      </c>
      <c r="I135" s="148">
        <v>0</v>
      </c>
      <c r="J135" s="260">
        <v>0</v>
      </c>
      <c r="K135" s="240"/>
      <c r="L135" s="190" t="s">
        <v>9</v>
      </c>
      <c r="M135" s="190" t="s">
        <v>9</v>
      </c>
      <c r="N135" s="17">
        <v>7908007906994</v>
      </c>
      <c r="O135" s="200" t="s">
        <v>45</v>
      </c>
    </row>
    <row r="136" spans="1:15" s="4" customFormat="1" ht="32.1" customHeight="1" thickBot="1" x14ac:dyDescent="0.3">
      <c r="A136" s="555"/>
      <c r="B136" s="183" t="s">
        <v>99</v>
      </c>
      <c r="C136" s="280" t="s">
        <v>118</v>
      </c>
      <c r="D136" s="183" t="s">
        <v>55</v>
      </c>
      <c r="E136" s="307" t="s">
        <v>121</v>
      </c>
      <c r="F136" s="301"/>
      <c r="G136" s="192" t="s">
        <v>126</v>
      </c>
      <c r="H136" s="171"/>
      <c r="I136" s="171"/>
      <c r="J136" s="255"/>
      <c r="K136" s="237"/>
      <c r="L136" s="193" t="s">
        <v>4</v>
      </c>
      <c r="M136" s="194"/>
      <c r="N136" s="195" t="s">
        <v>6</v>
      </c>
      <c r="O136" s="201" t="s">
        <v>7</v>
      </c>
    </row>
    <row r="137" spans="1:15" s="4" customFormat="1" ht="21" customHeight="1" thickBot="1" x14ac:dyDescent="0.3">
      <c r="A137" s="555"/>
      <c r="B137" s="264">
        <v>2365</v>
      </c>
      <c r="C137" s="282" t="s">
        <v>233</v>
      </c>
      <c r="D137" s="342">
        <v>0.12</v>
      </c>
      <c r="E137" s="281" t="s">
        <v>123</v>
      </c>
      <c r="F137" s="305">
        <v>0</v>
      </c>
      <c r="G137" s="198">
        <v>196.46640384</v>
      </c>
      <c r="H137" s="150">
        <v>0</v>
      </c>
      <c r="I137" s="150">
        <v>0</v>
      </c>
      <c r="J137" s="261">
        <v>0</v>
      </c>
      <c r="K137" s="243"/>
      <c r="L137" s="59" t="s">
        <v>9</v>
      </c>
      <c r="M137" s="59" t="s">
        <v>9</v>
      </c>
      <c r="N137" s="27">
        <v>7908007907007</v>
      </c>
      <c r="O137" s="266" t="s">
        <v>45</v>
      </c>
    </row>
    <row r="138" spans="1:15" s="4" customFormat="1" ht="32.1" customHeight="1" thickBot="1" x14ac:dyDescent="0.3">
      <c r="A138" s="555"/>
      <c r="B138" s="183" t="s">
        <v>99</v>
      </c>
      <c r="C138" s="280" t="s">
        <v>119</v>
      </c>
      <c r="D138" s="183" t="s">
        <v>55</v>
      </c>
      <c r="E138" s="307" t="s">
        <v>121</v>
      </c>
      <c r="F138" s="301"/>
      <c r="G138" s="192" t="s">
        <v>126</v>
      </c>
      <c r="H138" s="171"/>
      <c r="I138" s="171"/>
      <c r="J138" s="255"/>
      <c r="K138" s="237"/>
      <c r="L138" s="193" t="s">
        <v>4</v>
      </c>
      <c r="M138" s="194"/>
      <c r="N138" s="267" t="s">
        <v>6</v>
      </c>
      <c r="O138" s="196"/>
    </row>
    <row r="139" spans="1:15" s="4" customFormat="1" ht="21" customHeight="1" thickBot="1" x14ac:dyDescent="0.3">
      <c r="A139" s="584"/>
      <c r="B139" s="182" t="s">
        <v>120</v>
      </c>
      <c r="C139" s="281" t="s">
        <v>234</v>
      </c>
      <c r="D139" s="342">
        <v>0.12</v>
      </c>
      <c r="E139" s="182" t="s">
        <v>134</v>
      </c>
      <c r="F139" s="305">
        <v>0</v>
      </c>
      <c r="G139" s="203">
        <v>2.70608</v>
      </c>
      <c r="H139" s="150">
        <v>0</v>
      </c>
      <c r="I139" s="150">
        <v>0</v>
      </c>
      <c r="J139" s="261">
        <v>0</v>
      </c>
      <c r="K139" s="243"/>
      <c r="L139" s="59" t="s">
        <v>9</v>
      </c>
      <c r="M139" s="59" t="s">
        <v>9</v>
      </c>
      <c r="N139" s="265">
        <v>1000000559613</v>
      </c>
      <c r="O139" s="266" t="s">
        <v>45</v>
      </c>
    </row>
    <row r="140" spans="1:15" s="4" customFormat="1" ht="32.1" customHeight="1" thickBot="1" x14ac:dyDescent="0.3">
      <c r="A140" s="554" t="s">
        <v>131</v>
      </c>
      <c r="B140" s="183" t="s">
        <v>99</v>
      </c>
      <c r="C140" s="280" t="s">
        <v>145</v>
      </c>
      <c r="D140" s="183" t="s">
        <v>55</v>
      </c>
      <c r="E140" s="307" t="s">
        <v>121</v>
      </c>
      <c r="F140" s="301"/>
      <c r="G140" s="192" t="s">
        <v>126</v>
      </c>
      <c r="H140" s="171"/>
      <c r="I140" s="171"/>
      <c r="J140" s="255"/>
      <c r="K140" s="237"/>
      <c r="L140" s="193" t="s">
        <v>4</v>
      </c>
      <c r="M140" s="194"/>
      <c r="N140" s="267" t="s">
        <v>6</v>
      </c>
      <c r="O140" s="196"/>
    </row>
    <row r="141" spans="1:15" s="4" customFormat="1" ht="27.95" customHeight="1" x14ac:dyDescent="0.25">
      <c r="A141" s="555"/>
      <c r="B141" s="185">
        <v>2704</v>
      </c>
      <c r="C141" s="185" t="s">
        <v>132</v>
      </c>
      <c r="D141" s="268">
        <v>0.04</v>
      </c>
      <c r="E141" s="270" t="s">
        <v>124</v>
      </c>
      <c r="F141" s="303">
        <v>0</v>
      </c>
      <c r="G141" s="187">
        <v>999.16800000000001</v>
      </c>
      <c r="H141" s="112">
        <v>0</v>
      </c>
      <c r="I141" s="112">
        <v>0</v>
      </c>
      <c r="J141" s="257">
        <v>0</v>
      </c>
      <c r="K141" s="239"/>
      <c r="L141" s="55" t="s">
        <v>9</v>
      </c>
      <c r="M141" s="55" t="s">
        <v>9</v>
      </c>
      <c r="N141" s="6">
        <v>7908007900190</v>
      </c>
      <c r="O141" s="199" t="s">
        <v>45</v>
      </c>
    </row>
    <row r="142" spans="1:15" s="4" customFormat="1" ht="27.95" customHeight="1" thickBot="1" x14ac:dyDescent="0.3">
      <c r="A142" s="584"/>
      <c r="B142" s="102">
        <v>2845</v>
      </c>
      <c r="C142" s="102" t="s">
        <v>133</v>
      </c>
      <c r="D142" s="269">
        <v>0.04</v>
      </c>
      <c r="E142" s="271" t="s">
        <v>122</v>
      </c>
      <c r="F142" s="312">
        <v>0</v>
      </c>
      <c r="G142" s="313">
        <v>390.3</v>
      </c>
      <c r="H142" s="141">
        <v>0</v>
      </c>
      <c r="I142" s="141">
        <v>0</v>
      </c>
      <c r="J142" s="247">
        <v>0</v>
      </c>
      <c r="K142" s="229"/>
      <c r="L142" s="54" t="s">
        <v>9</v>
      </c>
      <c r="M142" s="54" t="s">
        <v>9</v>
      </c>
      <c r="N142" s="13">
        <v>7908007906994</v>
      </c>
      <c r="O142" s="314" t="s">
        <v>45</v>
      </c>
    </row>
    <row r="143" spans="1:15" s="4" customFormat="1" ht="27.95" customHeight="1" x14ac:dyDescent="0.25">
      <c r="A143" s="554" t="s">
        <v>141</v>
      </c>
      <c r="B143" s="100">
        <v>680</v>
      </c>
      <c r="C143" s="40" t="s">
        <v>135</v>
      </c>
      <c r="D143" s="532">
        <v>0.12</v>
      </c>
      <c r="E143" s="40" t="s">
        <v>8</v>
      </c>
      <c r="F143" s="322">
        <v>20.972119999999997</v>
      </c>
      <c r="G143" s="319">
        <v>0</v>
      </c>
      <c r="H143" s="147">
        <v>0</v>
      </c>
      <c r="I143" s="147">
        <v>0</v>
      </c>
      <c r="J143" s="254">
        <v>0</v>
      </c>
      <c r="K143" s="236"/>
      <c r="L143" s="206" t="s">
        <v>9</v>
      </c>
      <c r="M143" s="206" t="s">
        <v>9</v>
      </c>
      <c r="N143" s="324">
        <v>7899032200549</v>
      </c>
      <c r="O143" s="318" t="s">
        <v>142</v>
      </c>
    </row>
    <row r="144" spans="1:15" s="4" customFormat="1" ht="27.95" customHeight="1" x14ac:dyDescent="0.25">
      <c r="A144" s="555"/>
      <c r="B144" s="39">
        <v>1543</v>
      </c>
      <c r="C144" s="315" t="s">
        <v>136</v>
      </c>
      <c r="D144" s="416">
        <v>0.12</v>
      </c>
      <c r="E144" s="39" t="s">
        <v>8</v>
      </c>
      <c r="F144" s="323">
        <v>19.754384000000002</v>
      </c>
      <c r="G144" s="320">
        <v>0</v>
      </c>
      <c r="H144" s="148">
        <v>0</v>
      </c>
      <c r="I144" s="148">
        <v>0</v>
      </c>
      <c r="J144" s="260">
        <v>0</v>
      </c>
      <c r="K144" s="240"/>
      <c r="L144" s="208" t="s">
        <v>9</v>
      </c>
      <c r="M144" s="208" t="s">
        <v>9</v>
      </c>
      <c r="N144" s="325">
        <v>7899032201515</v>
      </c>
      <c r="O144" s="200" t="s">
        <v>143</v>
      </c>
    </row>
    <row r="145" spans="1:15" s="4" customFormat="1" ht="27.95" customHeight="1" x14ac:dyDescent="0.25">
      <c r="A145" s="555"/>
      <c r="B145" s="101">
        <v>1539</v>
      </c>
      <c r="C145" s="316" t="s">
        <v>137</v>
      </c>
      <c r="D145" s="416">
        <v>0.12</v>
      </c>
      <c r="E145" s="101" t="s">
        <v>8</v>
      </c>
      <c r="F145" s="323">
        <v>19.754384000000002</v>
      </c>
      <c r="G145" s="320">
        <v>0</v>
      </c>
      <c r="H145" s="148">
        <v>0</v>
      </c>
      <c r="I145" s="148">
        <v>0</v>
      </c>
      <c r="J145" s="260">
        <v>0</v>
      </c>
      <c r="K145" s="240"/>
      <c r="L145" s="208" t="s">
        <v>9</v>
      </c>
      <c r="M145" s="208" t="s">
        <v>9</v>
      </c>
      <c r="N145" s="325">
        <v>7899032201508</v>
      </c>
      <c r="O145" s="200" t="s">
        <v>143</v>
      </c>
    </row>
    <row r="146" spans="1:15" s="4" customFormat="1" ht="27.95" customHeight="1" x14ac:dyDescent="0.25">
      <c r="A146" s="555"/>
      <c r="B146" s="101">
        <v>1540</v>
      </c>
      <c r="C146" s="39" t="s">
        <v>138</v>
      </c>
      <c r="D146" s="416">
        <v>0.12</v>
      </c>
      <c r="E146" s="101" t="s">
        <v>8</v>
      </c>
      <c r="F146" s="323">
        <v>19.754384000000002</v>
      </c>
      <c r="G146" s="320">
        <v>0</v>
      </c>
      <c r="H146" s="148">
        <v>0</v>
      </c>
      <c r="I146" s="148">
        <v>0</v>
      </c>
      <c r="J146" s="260">
        <v>0</v>
      </c>
      <c r="K146" s="240"/>
      <c r="L146" s="208" t="s">
        <v>9</v>
      </c>
      <c r="M146" s="208" t="s">
        <v>9</v>
      </c>
      <c r="N146" s="325">
        <v>7899032201492</v>
      </c>
      <c r="O146" s="200" t="s">
        <v>143</v>
      </c>
    </row>
    <row r="147" spans="1:15" s="4" customFormat="1" ht="27.95" customHeight="1" x14ac:dyDescent="0.25">
      <c r="A147" s="555"/>
      <c r="B147" s="101">
        <v>2859</v>
      </c>
      <c r="C147" s="315" t="s">
        <v>139</v>
      </c>
      <c r="D147" s="416">
        <v>0.12</v>
      </c>
      <c r="E147" s="101" t="s">
        <v>8</v>
      </c>
      <c r="F147" s="323">
        <v>14.88344</v>
      </c>
      <c r="G147" s="320">
        <v>0</v>
      </c>
      <c r="H147" s="148">
        <v>0</v>
      </c>
      <c r="I147" s="148">
        <v>0</v>
      </c>
      <c r="J147" s="260">
        <v>0</v>
      </c>
      <c r="K147" s="240"/>
      <c r="L147" s="208" t="s">
        <v>9</v>
      </c>
      <c r="M147" s="208" t="s">
        <v>9</v>
      </c>
      <c r="N147" s="325">
        <v>7899032201720</v>
      </c>
      <c r="O147" s="200" t="s">
        <v>143</v>
      </c>
    </row>
    <row r="148" spans="1:15" s="4" customFormat="1" ht="27.95" customHeight="1" thickBot="1" x14ac:dyDescent="0.3">
      <c r="A148" s="584"/>
      <c r="B148" s="124">
        <v>1470</v>
      </c>
      <c r="C148" s="317" t="s">
        <v>140</v>
      </c>
      <c r="D148" s="533">
        <v>0.12</v>
      </c>
      <c r="E148" s="124" t="s">
        <v>8</v>
      </c>
      <c r="F148" s="116">
        <v>14.88344</v>
      </c>
      <c r="G148" s="321">
        <v>0</v>
      </c>
      <c r="H148" s="141">
        <v>0</v>
      </c>
      <c r="I148" s="141">
        <v>0</v>
      </c>
      <c r="J148" s="247">
        <v>0</v>
      </c>
      <c r="K148" s="229"/>
      <c r="L148" s="207" t="s">
        <v>9</v>
      </c>
      <c r="M148" s="207" t="s">
        <v>9</v>
      </c>
      <c r="N148" s="326">
        <v>7899032201737</v>
      </c>
      <c r="O148" s="314" t="s">
        <v>143</v>
      </c>
    </row>
    <row r="149" spans="1:15" s="4" customFormat="1" ht="30.6" customHeight="1" thickBot="1" x14ac:dyDescent="0.3">
      <c r="A149" s="632" t="s">
        <v>33</v>
      </c>
      <c r="B149" s="633"/>
      <c r="C149" s="633"/>
      <c r="D149" s="633"/>
      <c r="E149" s="633"/>
      <c r="F149" s="633"/>
      <c r="G149" s="633"/>
      <c r="H149" s="633"/>
      <c r="I149" s="633"/>
      <c r="J149" s="633"/>
      <c r="K149" s="633"/>
      <c r="L149" s="633"/>
      <c r="M149" s="633"/>
      <c r="N149" s="633"/>
      <c r="O149" s="634"/>
    </row>
    <row r="150" spans="1:15" s="4" customFormat="1" x14ac:dyDescent="0.25">
      <c r="A150" s="559" t="s">
        <v>237</v>
      </c>
      <c r="B150" s="19">
        <v>797</v>
      </c>
      <c r="C150" s="119" t="s">
        <v>34</v>
      </c>
      <c r="D150" s="36">
        <v>0.04</v>
      </c>
      <c r="E150" s="42" t="s">
        <v>8</v>
      </c>
      <c r="F150" s="113">
        <v>48.709440000000001</v>
      </c>
      <c r="G150" s="106">
        <v>0</v>
      </c>
      <c r="H150" s="112">
        <v>0</v>
      </c>
      <c r="I150" s="112">
        <v>0</v>
      </c>
      <c r="J150" s="152">
        <v>0</v>
      </c>
      <c r="K150" s="239"/>
      <c r="L150" s="55" t="s">
        <v>9</v>
      </c>
      <c r="M150" s="2" t="s">
        <v>9</v>
      </c>
      <c r="N150" s="6" t="s">
        <v>258</v>
      </c>
      <c r="O150" s="11" t="s">
        <v>94</v>
      </c>
    </row>
    <row r="151" spans="1:15" x14ac:dyDescent="0.25">
      <c r="A151" s="559"/>
      <c r="B151" s="19">
        <v>798</v>
      </c>
      <c r="C151" s="119" t="s">
        <v>35</v>
      </c>
      <c r="D151" s="36">
        <v>0.04</v>
      </c>
      <c r="E151" s="42" t="s">
        <v>8</v>
      </c>
      <c r="F151" s="113">
        <v>48.709440000000001</v>
      </c>
      <c r="G151" s="106">
        <v>0</v>
      </c>
      <c r="H151" s="112">
        <v>0</v>
      </c>
      <c r="I151" s="112">
        <v>0</v>
      </c>
      <c r="J151" s="152">
        <v>0</v>
      </c>
      <c r="K151" s="239"/>
      <c r="L151" s="55" t="s">
        <v>9</v>
      </c>
      <c r="M151" s="2" t="s">
        <v>9</v>
      </c>
      <c r="N151" s="6" t="s">
        <v>259</v>
      </c>
      <c r="O151" s="11" t="s">
        <v>93</v>
      </c>
    </row>
    <row r="152" spans="1:15" x14ac:dyDescent="0.25">
      <c r="A152" s="559"/>
      <c r="B152" s="19">
        <v>799</v>
      </c>
      <c r="C152" s="119" t="s">
        <v>36</v>
      </c>
      <c r="D152" s="36">
        <v>0.04</v>
      </c>
      <c r="E152" s="42" t="s">
        <v>8</v>
      </c>
      <c r="F152" s="113">
        <v>48.709440000000001</v>
      </c>
      <c r="G152" s="106">
        <v>0</v>
      </c>
      <c r="H152" s="112">
        <v>0</v>
      </c>
      <c r="I152" s="112">
        <v>0</v>
      </c>
      <c r="J152" s="152">
        <v>0</v>
      </c>
      <c r="K152" s="239"/>
      <c r="L152" s="55" t="s">
        <v>9</v>
      </c>
      <c r="M152" s="2" t="s">
        <v>9</v>
      </c>
      <c r="N152" s="6" t="s">
        <v>260</v>
      </c>
      <c r="O152" s="11" t="s">
        <v>93</v>
      </c>
    </row>
    <row r="153" spans="1:15" ht="15.75" thickBot="1" x14ac:dyDescent="0.3">
      <c r="A153" s="561"/>
      <c r="B153" s="20">
        <v>671</v>
      </c>
      <c r="C153" s="118" t="s">
        <v>37</v>
      </c>
      <c r="D153" s="35">
        <v>0.04</v>
      </c>
      <c r="E153" s="38" t="s">
        <v>8</v>
      </c>
      <c r="F153" s="114">
        <v>26.018959199999998</v>
      </c>
      <c r="G153" s="107">
        <v>0</v>
      </c>
      <c r="H153" s="141">
        <v>0</v>
      </c>
      <c r="I153" s="141">
        <v>0</v>
      </c>
      <c r="J153" s="142">
        <v>0</v>
      </c>
      <c r="K153" s="229"/>
      <c r="L153" s="54" t="s">
        <v>9</v>
      </c>
      <c r="M153" s="12" t="s">
        <v>9</v>
      </c>
      <c r="N153" s="13" t="s">
        <v>261</v>
      </c>
      <c r="O153" s="14" t="s">
        <v>95</v>
      </c>
    </row>
    <row r="154" spans="1:15" x14ac:dyDescent="0.25">
      <c r="A154" s="204" t="s">
        <v>38</v>
      </c>
      <c r="B154" s="21">
        <v>332</v>
      </c>
      <c r="C154" s="117" t="s">
        <v>39</v>
      </c>
      <c r="D154" s="43">
        <v>0.04</v>
      </c>
      <c r="E154" s="37" t="s">
        <v>8</v>
      </c>
      <c r="F154" s="115">
        <v>67.652000000000001</v>
      </c>
      <c r="G154" s="108">
        <v>0</v>
      </c>
      <c r="H154" s="175">
        <v>0</v>
      </c>
      <c r="I154" s="175">
        <v>0</v>
      </c>
      <c r="J154" s="172">
        <v>0</v>
      </c>
      <c r="K154" s="244"/>
      <c r="L154" s="56" t="s">
        <v>9</v>
      </c>
      <c r="M154" s="15" t="s">
        <v>9</v>
      </c>
      <c r="N154" s="9" t="s">
        <v>262</v>
      </c>
      <c r="O154" s="10" t="s">
        <v>96</v>
      </c>
    </row>
    <row r="155" spans="1:15" ht="15.75" thickBot="1" x14ac:dyDescent="0.3">
      <c r="A155" s="103" t="s">
        <v>40</v>
      </c>
      <c r="B155" s="176">
        <v>137</v>
      </c>
      <c r="C155" s="177" t="s">
        <v>41</v>
      </c>
      <c r="D155" s="178">
        <v>0.12</v>
      </c>
      <c r="E155" s="98" t="s">
        <v>8</v>
      </c>
      <c r="F155" s="179">
        <v>4.0591200000000001</v>
      </c>
      <c r="G155" s="180">
        <v>0</v>
      </c>
      <c r="H155" s="141">
        <v>0</v>
      </c>
      <c r="I155" s="141">
        <v>0</v>
      </c>
      <c r="J155" s="142">
        <v>0</v>
      </c>
      <c r="K155" s="235"/>
      <c r="L155" s="59" t="s">
        <v>9</v>
      </c>
      <c r="M155" s="30" t="s">
        <v>9</v>
      </c>
      <c r="N155" s="27" t="s">
        <v>263</v>
      </c>
      <c r="O155" s="28" t="s">
        <v>97</v>
      </c>
    </row>
    <row r="156" spans="1:15" ht="14.45" customHeight="1" thickBot="1" x14ac:dyDescent="0.3">
      <c r="A156" s="629" t="s">
        <v>43</v>
      </c>
      <c r="B156" s="630"/>
      <c r="C156" s="630"/>
      <c r="D156" s="630"/>
      <c r="E156" s="630"/>
      <c r="F156" s="630"/>
      <c r="G156" s="630"/>
      <c r="H156" s="630"/>
      <c r="I156" s="630"/>
      <c r="J156" s="630"/>
      <c r="K156" s="630"/>
      <c r="L156" s="630"/>
      <c r="M156" s="630"/>
      <c r="N156" s="630"/>
      <c r="O156" s="631"/>
    </row>
    <row r="157" spans="1:15" ht="14.45" customHeight="1" thickBot="1" x14ac:dyDescent="0.3">
      <c r="A157" s="626" t="s">
        <v>91</v>
      </c>
      <c r="B157" s="627"/>
      <c r="C157" s="627"/>
      <c r="D157" s="627"/>
      <c r="E157" s="627"/>
      <c r="F157" s="627"/>
      <c r="G157" s="627"/>
      <c r="H157" s="627"/>
      <c r="I157" s="627"/>
      <c r="J157" s="627"/>
      <c r="K157" s="627"/>
      <c r="L157" s="627"/>
      <c r="M157" s="627"/>
      <c r="N157" s="627"/>
      <c r="O157" s="628"/>
    </row>
    <row r="158" spans="1:15" ht="14.45" customHeight="1" thickBot="1" x14ac:dyDescent="0.3">
      <c r="A158" s="623" t="s">
        <v>44</v>
      </c>
      <c r="B158" s="624"/>
      <c r="C158" s="624"/>
      <c r="D158" s="624"/>
      <c r="E158" s="624"/>
      <c r="F158" s="624"/>
      <c r="G158" s="624"/>
      <c r="H158" s="624"/>
      <c r="I158" s="624"/>
      <c r="J158" s="624"/>
      <c r="K158" s="624"/>
      <c r="L158" s="624"/>
      <c r="M158" s="624"/>
      <c r="N158" s="624"/>
      <c r="O158" s="625"/>
    </row>
    <row r="159" spans="1:15" ht="15" customHeight="1" thickBot="1" x14ac:dyDescent="0.3">
      <c r="A159" s="623" t="s">
        <v>235</v>
      </c>
      <c r="B159" s="624"/>
      <c r="C159" s="624"/>
      <c r="D159" s="624"/>
      <c r="E159" s="624"/>
      <c r="F159" s="624"/>
      <c r="G159" s="624"/>
      <c r="H159" s="624"/>
      <c r="I159" s="624"/>
      <c r="J159" s="624"/>
      <c r="K159" s="624"/>
      <c r="L159" s="624"/>
      <c r="M159" s="624"/>
      <c r="N159" s="624"/>
      <c r="O159" s="625"/>
    </row>
  </sheetData>
  <phoneticPr fontId="39" type="noConversion"/>
  <pageMargins left="0.511811024" right="0.511811024" top="0.78740157499999996" bottom="0.78740157499999996" header="0.31496062000000002" footer="0.31496062000000002"/>
  <pageSetup paperSize="9" scale="61"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B171D-2288-420E-9B2B-4FF642FFA115}">
  <dimension ref="A1:F6"/>
  <sheetViews>
    <sheetView workbookViewId="0">
      <selection activeCell="B2" sqref="B2:F3"/>
    </sheetView>
  </sheetViews>
  <sheetFormatPr defaultRowHeight="15" x14ac:dyDescent="0.25"/>
  <cols>
    <col min="1" max="1" width="5.42578125" style="1" customWidth="1"/>
    <col min="2" max="2" width="17.5703125" style="1" bestFit="1" customWidth="1"/>
    <col min="3" max="3" width="45.140625" style="67" bestFit="1" customWidth="1"/>
    <col min="4" max="4" width="10.42578125" style="1" bestFit="1" customWidth="1"/>
    <col min="5" max="5" width="32.85546875" bestFit="1" customWidth="1"/>
  </cols>
  <sheetData>
    <row r="1" spans="2:6" x14ac:dyDescent="0.25">
      <c r="B1" s="1" t="s">
        <v>48</v>
      </c>
      <c r="C1" s="1" t="s">
        <v>49</v>
      </c>
      <c r="D1" s="1" t="s">
        <v>53</v>
      </c>
      <c r="E1" t="s">
        <v>54</v>
      </c>
      <c r="F1" s="1" t="s">
        <v>72</v>
      </c>
    </row>
    <row r="2" spans="2:6" x14ac:dyDescent="0.25">
      <c r="B2" s="1">
        <v>119</v>
      </c>
      <c r="C2" s="67" t="s">
        <v>63</v>
      </c>
      <c r="D2" s="1">
        <v>274</v>
      </c>
      <c r="E2" t="s">
        <v>12</v>
      </c>
      <c r="F2" t="e">
        <v>#N/A</v>
      </c>
    </row>
    <row r="3" spans="2:6" x14ac:dyDescent="0.25">
      <c r="B3" s="1">
        <v>369</v>
      </c>
      <c r="C3" s="67" t="s">
        <v>64</v>
      </c>
      <c r="D3" s="1">
        <v>207</v>
      </c>
      <c r="E3" t="s">
        <v>62</v>
      </c>
      <c r="F3" t="e">
        <v>#N/A</v>
      </c>
    </row>
    <row r="4" spans="2:6" x14ac:dyDescent="0.25">
      <c r="B4" s="1">
        <v>808</v>
      </c>
      <c r="C4" s="67" t="s">
        <v>65</v>
      </c>
      <c r="D4" s="1">
        <v>118</v>
      </c>
      <c r="E4" t="s">
        <v>66</v>
      </c>
      <c r="F4" t="e">
        <v>#N/A</v>
      </c>
    </row>
    <row r="5" spans="2:6" x14ac:dyDescent="0.25">
      <c r="B5" s="1">
        <v>1940</v>
      </c>
      <c r="C5" s="67" t="s">
        <v>68</v>
      </c>
      <c r="D5" s="1">
        <v>132</v>
      </c>
      <c r="E5" t="s">
        <v>42</v>
      </c>
      <c r="F5" t="e">
        <v>#REF!</v>
      </c>
    </row>
    <row r="6" spans="2:6" x14ac:dyDescent="0.25">
      <c r="B6" s="66">
        <v>2313</v>
      </c>
      <c r="C6" s="67" t="s">
        <v>69</v>
      </c>
      <c r="D6" s="1">
        <v>6000</v>
      </c>
      <c r="E6" t="s">
        <v>10</v>
      </c>
      <c r="F6" t="e">
        <v>#REF!</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 VAREJO</vt:lpstr>
      <vt:lpstr>Planilha3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Caren Paula Dutra Mattos</cp:lastModifiedBy>
  <cp:lastPrinted>2026-01-10T23:59:17Z</cp:lastPrinted>
  <dcterms:created xsi:type="dcterms:W3CDTF">2022-03-14T16:58:04Z</dcterms:created>
  <dcterms:modified xsi:type="dcterms:W3CDTF">2026-07-03T21:42:38Z</dcterms:modified>
</cp:coreProperties>
</file>