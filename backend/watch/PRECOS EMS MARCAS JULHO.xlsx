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0043224\Documents\EMS\2026\Formulário de pedido Sell In\Jul\"/>
    </mc:Choice>
  </mc:AlternateContent>
  <xr:revisionPtr revIDLastSave="0" documentId="8_{EFA3937B-C43C-444C-93BD-88910A50B76D}" xr6:coauthVersionLast="47" xr6:coauthVersionMax="47" xr10:uidLastSave="{00000000-0000-0000-0000-000000000000}"/>
  <bookViews>
    <workbookView xWindow="-110" yWindow="-110" windowWidth="19420" windowHeight="10300" xr2:uid="{80FCAFE2-243A-4134-95E4-25EDDD5BAD45}"/>
  </bookViews>
  <sheets>
    <sheet name="Atacado" sheetId="1" r:id="rId1"/>
  </sheets>
  <externalReferences>
    <externalReference r:id="rId2"/>
  </externalReferences>
  <definedNames>
    <definedName name="_xlnm._FilterDatabase" localSheetId="0" hidden="1">Atacado!$H$3:$J$6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9" i="1"/>
  <c r="I33" i="1"/>
  <c r="HB65269" i="1"/>
  <c r="GY65269" i="1"/>
  <c r="G53" i="1"/>
  <c r="F53" i="1"/>
  <c r="G52" i="1"/>
  <c r="F52" i="1"/>
  <c r="G51" i="1"/>
  <c r="F51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I6" i="1"/>
  <c r="J35" i="1" s="1"/>
  <c r="H5" i="1"/>
  <c r="HA65257" i="1" s="1"/>
  <c r="J50" i="1" l="1"/>
  <c r="J54" i="1"/>
  <c r="J53" i="1"/>
  <c r="J52" i="1"/>
  <c r="J51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</calcChain>
</file>

<file path=xl/sharedStrings.xml><?xml version="1.0" encoding="utf-8"?>
<sst xmlns="http://schemas.openxmlformats.org/spreadsheetml/2006/main" count="178" uniqueCount="164">
  <si>
    <t>UIDADE FEDERATIVA:</t>
  </si>
  <si>
    <t>TABELA</t>
  </si>
  <si>
    <t>SC</t>
  </si>
  <si>
    <t>REPASSE ICMS</t>
  </si>
  <si>
    <t>CÓDIGO</t>
  </si>
  <si>
    <t>EAN</t>
  </si>
  <si>
    <t>Produto</t>
  </si>
  <si>
    <t>APRESENT.</t>
  </si>
  <si>
    <t>LISTA</t>
  </si>
  <si>
    <t>CX. PAD.</t>
  </si>
  <si>
    <t>PF</t>
  </si>
  <si>
    <t>POLITICA</t>
  </si>
  <si>
    <t>TOTAL LIQ. R$</t>
  </si>
  <si>
    <t>A SAUDE DA MULHER 150ML SOLUCAO</t>
  </si>
  <si>
    <t>FR X 150 ML</t>
  </si>
  <si>
    <t>ALLEXOFEDRIN 120MG 1BLTC/10 COM REV-E</t>
  </si>
  <si>
    <t>1 BL X 10 COMP REVEST</t>
  </si>
  <si>
    <t>ALLEXOFEDRIN 180MG 1BLTC/10 COM REV-E</t>
  </si>
  <si>
    <t>ALLEXOFEDRIN D 60+120MG 1BLT C/10C.REV</t>
  </si>
  <si>
    <t>ALLEXOFEDRIN PEDIATRICO6MG/MLSUS 60ML-E</t>
  </si>
  <si>
    <t>6MG/MLSUS 60ML-E</t>
  </si>
  <si>
    <t>ALLEXOFEDRIN PEDIATRICO6MG/MLSUS150 ML-E</t>
  </si>
  <si>
    <t>6MG/MLSUS150 ML-E</t>
  </si>
  <si>
    <t>2 BL X 15</t>
  </si>
  <si>
    <t>APEVITIN BC XPE FRC/240ML</t>
  </si>
  <si>
    <t>FR X 240 ML</t>
  </si>
  <si>
    <t>1 BL X 15 COMP.</t>
  </si>
  <si>
    <t>2 BL X 15 COMP.</t>
  </si>
  <si>
    <t>BENZIFLEX LIS 125MG+5MG 15COM.REV.-E</t>
  </si>
  <si>
    <t>BENZIFLEX LIS 125MG+5MG 2BL15 COM.REV.-E</t>
  </si>
  <si>
    <t>BISURAN 4MG/5ML XPE INF 120ML-E</t>
  </si>
  <si>
    <t>FR X 120 ML</t>
  </si>
  <si>
    <t>BISURAN 8MG/5ML XPE AD. 120ML-E</t>
  </si>
  <si>
    <t>CELERGIN 20 COMP-E</t>
  </si>
  <si>
    <t>CX. C/20 COMP.</t>
  </si>
  <si>
    <t>CELERGIN XPE 120ML-E</t>
  </si>
  <si>
    <t>CLOPE 3,54MG/ML XPE 120ML FR PLAS-E</t>
  </si>
  <si>
    <t>COMPLEXO B 12 XPE FR C/120ML E</t>
  </si>
  <si>
    <t>COMPLEXO B CPR REVEST x 20</t>
  </si>
  <si>
    <t xml:space="preserve">FR X 20 </t>
  </si>
  <si>
    <t>COMPLEXO B FR C/100 COM REV  E</t>
  </si>
  <si>
    <t>FR X 100</t>
  </si>
  <si>
    <t>CYSTEX FR C/24 DRG</t>
  </si>
  <si>
    <t xml:space="preserve">FR X 24 </t>
  </si>
  <si>
    <t>DIOVASES 450+50MG C/30 COM.REV. - E</t>
  </si>
  <si>
    <t>DIOVASES 450+50MG C/60 COM.REV. - E</t>
  </si>
  <si>
    <t>4 BL X 15 COMP.</t>
  </si>
  <si>
    <t>EMSEXPECTOR XAROPE FR C/120ML - E</t>
  </si>
  <si>
    <t>ENDCOFF PAST MEL ELIMAO C/12UN</t>
  </si>
  <si>
    <t>3 STP X 4</t>
  </si>
  <si>
    <t>ENDCOFF PAST STP MENTA C/12 UN</t>
  </si>
  <si>
    <t>EXPECTUSS XPE ADULTO FR C/100ML</t>
  </si>
  <si>
    <t>FR X 100 ML</t>
  </si>
  <si>
    <t>EXPECTUSS XPE INF FR C/100ML</t>
  </si>
  <si>
    <t>FOLIFOLIN 5MG 2BLTX15COMP - E</t>
  </si>
  <si>
    <t>2 BLT X 15 COMP.</t>
  </si>
  <si>
    <t>GEROVITAL  2BLT15 CAP MOLE-E</t>
  </si>
  <si>
    <t>3 BL X 10</t>
  </si>
  <si>
    <t>GEROVITAL 3BLT C/20 CAP</t>
  </si>
  <si>
    <t>6 BL X 10</t>
  </si>
  <si>
    <t>IBULIV 400MG 2 BLT C/ 4CAPS GEL.MOLES-E</t>
  </si>
  <si>
    <t>2 BLT X 4 CÁPS.</t>
  </si>
  <si>
    <t>INFRALAX 1BLT C/15COMP - EMS</t>
  </si>
  <si>
    <t>1 BLT C/ 15</t>
  </si>
  <si>
    <t>INFRALAX 20BLTX10COMP - E</t>
  </si>
  <si>
    <t>20 BLT X 10</t>
  </si>
  <si>
    <t>INFRALAX 2BLT C/15COMP - EMS</t>
  </si>
  <si>
    <t>NARIDRIN 12HS GOTAS FR C/30ML</t>
  </si>
  <si>
    <t>FR X 30 ML</t>
  </si>
  <si>
    <t>NARIDRIN ALTO VOL 30ENVX2,16G+FR240ML</t>
  </si>
  <si>
    <t>30ENVX2,16G+FR240ML</t>
  </si>
  <si>
    <t>NARIDRIN ALTO VOL REFIL</t>
  </si>
  <si>
    <t>30 ENV X 2,16G</t>
  </si>
  <si>
    <t>NARIDRIN AQUA 9MG/ML FRASCO C/50ML-E</t>
  </si>
  <si>
    <t>FR X 50 ML SPRAY</t>
  </si>
  <si>
    <t>NARIDRIN GOTAS AD FR C/15ML</t>
  </si>
  <si>
    <t>FR X 15 ML</t>
  </si>
  <si>
    <t>NARIDRIN GOTAS INF FR C/15ML</t>
  </si>
  <si>
    <t>NARIDRIN H 30MG/ML SOL.NAS SPRAY 60ML-E</t>
  </si>
  <si>
    <t>FRASCO X 60ML</t>
  </si>
  <si>
    <t>SOMINEX COMPOS OTC CPR REVEST x 20</t>
  </si>
  <si>
    <t>2 BL X 10</t>
  </si>
  <si>
    <t>SUPLEVIT MULHER VIT. 2BLT C/15 CAP.GEL-E</t>
  </si>
  <si>
    <t>2 BLT C/15</t>
  </si>
  <si>
    <t>SUPLEVIT MULHER VIT. 4BLT C/15 CAP.GEL-E</t>
  </si>
  <si>
    <t>4 BLT C/15</t>
  </si>
  <si>
    <t>VITAFER FR C/50 COMP-E</t>
  </si>
  <si>
    <t>FR X 50</t>
  </si>
  <si>
    <t>P.Inform.</t>
  </si>
  <si>
    <t>AC</t>
  </si>
  <si>
    <t>ACRE</t>
  </si>
  <si>
    <t xml:space="preserve">CANAL </t>
  </si>
  <si>
    <t>AL</t>
  </si>
  <si>
    <t>ALAGOAS</t>
  </si>
  <si>
    <t>AM</t>
  </si>
  <si>
    <t>AMAZONAS</t>
  </si>
  <si>
    <t>AP</t>
  </si>
  <si>
    <t>AMAPA</t>
  </si>
  <si>
    <t>BA</t>
  </si>
  <si>
    <t>BAHIA</t>
  </si>
  <si>
    <t>CE</t>
  </si>
  <si>
    <t>CEARA</t>
  </si>
  <si>
    <t>DF</t>
  </si>
  <si>
    <t>DISTRITO FEDERAL</t>
  </si>
  <si>
    <t>ES</t>
  </si>
  <si>
    <t>ESPIRITO SANTO</t>
  </si>
  <si>
    <t>GO</t>
  </si>
  <si>
    <t>GOIAS</t>
  </si>
  <si>
    <t>NORDESTE</t>
  </si>
  <si>
    <t>MA</t>
  </si>
  <si>
    <t>MARANHAO</t>
  </si>
  <si>
    <t>MG</t>
  </si>
  <si>
    <t>MINAS GERAIS</t>
  </si>
  <si>
    <t>P.INFORMADO</t>
  </si>
  <si>
    <t>MS</t>
  </si>
  <si>
    <t>MATO GROSSO DO SUL</t>
  </si>
  <si>
    <t>CENTRO OESTE</t>
  </si>
  <si>
    <t>MT</t>
  </si>
  <si>
    <t>MATO GROSSO</t>
  </si>
  <si>
    <t>PA</t>
  </si>
  <si>
    <t>PARA</t>
  </si>
  <si>
    <t>Positivo</t>
  </si>
  <si>
    <t>PB</t>
  </si>
  <si>
    <t>PARAIBA</t>
  </si>
  <si>
    <t>Negativo</t>
  </si>
  <si>
    <t>PE</t>
  </si>
  <si>
    <t>PERNAMBUCO</t>
  </si>
  <si>
    <t>PI</t>
  </si>
  <si>
    <t>PIAUI</t>
  </si>
  <si>
    <t>SUL</t>
  </si>
  <si>
    <t>PR</t>
  </si>
  <si>
    <t>PARANA</t>
  </si>
  <si>
    <t>RJ</t>
  </si>
  <si>
    <t>RIO DE JANEIRO</t>
  </si>
  <si>
    <t>RN</t>
  </si>
  <si>
    <t>RIO GRANDE DO NORTE</t>
  </si>
  <si>
    <t>NORTE</t>
  </si>
  <si>
    <t>RO</t>
  </si>
  <si>
    <t>RONDONIA</t>
  </si>
  <si>
    <t>RR</t>
  </si>
  <si>
    <t>RORAIMA</t>
  </si>
  <si>
    <t>RS</t>
  </si>
  <si>
    <t>RIO GRANDE DO SUL</t>
  </si>
  <si>
    <t>SANTA CATARINA</t>
  </si>
  <si>
    <t>SE</t>
  </si>
  <si>
    <t>SERGIPE</t>
  </si>
  <si>
    <t>SUDESTE</t>
  </si>
  <si>
    <t>SP</t>
  </si>
  <si>
    <t>SAO PAULO</t>
  </si>
  <si>
    <t>TO</t>
  </si>
  <si>
    <t>TOCANTINS</t>
  </si>
  <si>
    <t>DF/DF</t>
  </si>
  <si>
    <t>BRASÍLIA</t>
  </si>
  <si>
    <t>DF/DM</t>
  </si>
  <si>
    <t>BRASÍLIA/DEMAIS</t>
  </si>
  <si>
    <t>REP.MÉD</t>
  </si>
  <si>
    <t>REPASSE MÉDIO</t>
  </si>
  <si>
    <t>SECRELISE</t>
  </si>
  <si>
    <t>XPE 120ML</t>
  </si>
  <si>
    <t>FOLIFOLIN 5MG 90CP</t>
  </si>
  <si>
    <t>90 CP</t>
  </si>
  <si>
    <t>SOMINEX COMPOSTO 60CP</t>
  </si>
  <si>
    <t>60CP</t>
  </si>
  <si>
    <t>POLÍTICA COMERCIAL JULHO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</si>
</sst>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indexed="10"/>
      <name val="Arial"/>
      <family val="2"/>
    </font>
    <font>
      <b/>
      <sz val="10"/>
      <color theme="1"/>
      <name val="Calibri Light"/>
      <family val="2"/>
    </font>
    <font>
      <b/>
      <sz val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name val="Verdana"/>
      <family val="2"/>
    </font>
    <font>
      <sz val="10"/>
      <color indexed="6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49" fontId="7" fillId="0" borderId="0" xfId="0" applyNumberFormat="1" applyFont="1" applyProtection="1">
      <protection locked="0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0" fontId="1" fillId="0" borderId="9" xfId="2" applyNumberFormat="1" applyFont="1" applyBorder="1" applyAlignment="1">
      <alignment vertical="center"/>
    </xf>
    <xf numFmtId="0" fontId="7" fillId="0" borderId="0" xfId="0" applyFont="1"/>
    <xf numFmtId="9" fontId="9" fillId="0" borderId="0" xfId="0" applyNumberFormat="1" applyFont="1"/>
    <xf numFmtId="49" fontId="10" fillId="3" borderId="0" xfId="0" applyNumberFormat="1" applyFont="1" applyFill="1"/>
    <xf numFmtId="0" fontId="4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0" xfId="0" applyFont="1"/>
    <xf numFmtId="0" fontId="13" fillId="0" borderId="9" xfId="0" applyFont="1" applyBorder="1"/>
    <xf numFmtId="165" fontId="6" fillId="0" borderId="9" xfId="3" applyBorder="1" applyAlignment="1">
      <alignment horizontal="center"/>
    </xf>
    <xf numFmtId="0" fontId="6" fillId="0" borderId="9" xfId="0" applyFont="1" applyBorder="1" applyAlignment="1">
      <alignment horizontal="center"/>
    </xf>
    <xf numFmtId="2" fontId="6" fillId="0" borderId="9" xfId="0" applyNumberFormat="1" applyFont="1" applyBorder="1" applyAlignment="1">
      <alignment horizontal="right"/>
    </xf>
    <xf numFmtId="10" fontId="14" fillId="0" borderId="9" xfId="2" applyNumberFormat="1" applyFont="1" applyBorder="1" applyAlignment="1">
      <alignment horizontal="center"/>
    </xf>
    <xf numFmtId="165" fontId="6" fillId="0" borderId="9" xfId="3" applyBorder="1" applyAlignment="1">
      <alignment horizontal="right"/>
    </xf>
    <xf numFmtId="4" fontId="0" fillId="0" borderId="0" xfId="0" applyNumberFormat="1"/>
    <xf numFmtId="10" fontId="0" fillId="0" borderId="0" xfId="0" applyNumberFormat="1"/>
    <xf numFmtId="0" fontId="15" fillId="0" borderId="0" xfId="0" applyFont="1"/>
    <xf numFmtId="0" fontId="0" fillId="4" borderId="0" xfId="0" applyFill="1"/>
    <xf numFmtId="0" fontId="16" fillId="4" borderId="0" xfId="0" applyFont="1" applyFill="1"/>
    <xf numFmtId="0" fontId="6" fillId="4" borderId="0" xfId="0" applyFont="1" applyFill="1"/>
    <xf numFmtId="10" fontId="6" fillId="4" borderId="0" xfId="2" applyNumberFormat="1" applyFont="1" applyFill="1"/>
    <xf numFmtId="0" fontId="6" fillId="5" borderId="0" xfId="0" applyFont="1" applyFill="1" applyProtection="1">
      <protection locked="0"/>
    </xf>
    <xf numFmtId="0" fontId="0" fillId="5" borderId="0" xfId="0" applyFill="1" applyAlignment="1">
      <alignment horizontal="right"/>
    </xf>
    <xf numFmtId="0" fontId="0" fillId="6" borderId="0" xfId="0" applyFill="1"/>
    <xf numFmtId="0" fontId="16" fillId="6" borderId="0" xfId="0" applyFont="1" applyFill="1"/>
    <xf numFmtId="0" fontId="6" fillId="6" borderId="0" xfId="0" applyFont="1" applyFill="1"/>
    <xf numFmtId="10" fontId="6" fillId="6" borderId="0" xfId="0" applyNumberFormat="1" applyFont="1" applyFill="1"/>
    <xf numFmtId="1" fontId="6" fillId="5" borderId="0" xfId="3" applyNumberFormat="1" applyFont="1" applyFill="1" applyAlignment="1">
      <alignment horizontal="right"/>
    </xf>
    <xf numFmtId="9" fontId="0" fillId="5" borderId="0" xfId="0" applyNumberFormat="1" applyFill="1"/>
    <xf numFmtId="1" fontId="17" fillId="5" borderId="0" xfId="0" applyNumberFormat="1" applyFont="1" applyFill="1"/>
    <xf numFmtId="1" fontId="6" fillId="5" borderId="0" xfId="0" applyNumberFormat="1" applyFont="1" applyFill="1"/>
    <xf numFmtId="0" fontId="0" fillId="7" borderId="0" xfId="0" applyFill="1"/>
    <xf numFmtId="0" fontId="16" fillId="7" borderId="0" xfId="0" applyFont="1" applyFill="1"/>
    <xf numFmtId="0" fontId="6" fillId="7" borderId="0" xfId="0" applyFont="1" applyFill="1"/>
    <xf numFmtId="10" fontId="6" fillId="8" borderId="0" xfId="2" applyNumberFormat="1" applyFont="1" applyFill="1"/>
    <xf numFmtId="0" fontId="0" fillId="9" borderId="0" xfId="0" applyFill="1"/>
    <xf numFmtId="0" fontId="16" fillId="9" borderId="0" xfId="0" applyFont="1" applyFill="1"/>
    <xf numFmtId="0" fontId="6" fillId="9" borderId="0" xfId="0" applyFont="1" applyFill="1"/>
    <xf numFmtId="10" fontId="6" fillId="9" borderId="0" xfId="2" applyNumberFormat="1" applyFont="1" applyFill="1"/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right"/>
      <protection locked="0"/>
    </xf>
    <xf numFmtId="0" fontId="0" fillId="10" borderId="0" xfId="0" applyFill="1"/>
    <xf numFmtId="0" fontId="16" fillId="10" borderId="0" xfId="0" applyFont="1" applyFill="1"/>
    <xf numFmtId="0" fontId="6" fillId="10" borderId="0" xfId="0" applyFont="1" applyFill="1"/>
    <xf numFmtId="10" fontId="6" fillId="10" borderId="0" xfId="2" applyNumberFormat="1" applyFont="1" applyFill="1"/>
    <xf numFmtId="0" fontId="3" fillId="0" borderId="0" xfId="1" applyFont="1" applyAlignment="1" applyProtection="1">
      <alignment horizontal="center" vertical="center"/>
    </xf>
    <xf numFmtId="0" fontId="13" fillId="3" borderId="9" xfId="0" applyFont="1" applyFill="1" applyBorder="1"/>
    <xf numFmtId="165" fontId="6" fillId="3" borderId="9" xfId="3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2" fontId="6" fillId="3" borderId="9" xfId="0" applyNumberFormat="1" applyFont="1" applyFill="1" applyBorder="1" applyAlignment="1">
      <alignment horizontal="right"/>
    </xf>
    <xf numFmtId="10" fontId="14" fillId="3" borderId="9" xfId="2" applyNumberFormat="1" applyFont="1" applyFill="1" applyBorder="1" applyAlignment="1">
      <alignment horizontal="center"/>
    </xf>
    <xf numFmtId="1" fontId="12" fillId="3" borderId="9" xfId="0" applyNumberFormat="1" applyFont="1" applyFill="1" applyBorder="1" applyAlignment="1">
      <alignment horizontal="center"/>
    </xf>
    <xf numFmtId="164" fontId="12" fillId="3" borderId="9" xfId="0" applyNumberFormat="1" applyFont="1" applyFill="1" applyBorder="1" applyAlignment="1">
      <alignment horizontal="center"/>
    </xf>
    <xf numFmtId="10" fontId="8" fillId="0" borderId="5" xfId="2" applyNumberFormat="1" applyFont="1" applyBorder="1" applyAlignment="1">
      <alignment horizontal="center" vertical="center"/>
    </xf>
    <xf numFmtId="10" fontId="8" fillId="0" borderId="11" xfId="2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1" fillId="0" borderId="6" xfId="2" applyNumberFormat="1" applyFont="1" applyBorder="1" applyAlignment="1" applyProtection="1">
      <alignment horizontal="center" vertical="center"/>
      <protection locked="0"/>
    </xf>
    <xf numFmtId="49" fontId="1" fillId="0" borderId="7" xfId="2" applyNumberFormat="1" applyFont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">
    <cellStyle name="Hiperlink" xfId="1" builtinId="8"/>
    <cellStyle name="Normal" xfId="0" builtinId="0"/>
    <cellStyle name="Porcentagem 6" xfId="2" xr:uid="{E9EAF75B-345A-4E6C-B88C-341CDFB68F1A}"/>
    <cellStyle name="Vírgula 6 2" xfId="3" xr:uid="{20D070E1-7EC2-40CB-B7D5-C90CAC7FC701}"/>
  </cellStyles>
  <dxfs count="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/>
        <condense val="0"/>
        <extend val="0"/>
        <color indexed="12"/>
      </font>
    </dxf>
    <dxf>
      <font>
        <b val="0"/>
        <i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38100</xdr:rowOff>
    </xdr:from>
    <xdr:to>
      <xdr:col>2</xdr:col>
      <xdr:colOff>238125</xdr:colOff>
      <xdr:row>5</xdr:row>
      <xdr:rowOff>136525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B513F276-723D-42CB-952F-03058201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203200"/>
          <a:ext cx="765175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/Formul&#225;rio%20Pedido%20Sell%20In/Jun/Politica%20Comercial%20JUNHO%2025%20DIST%20-ATAC%20-%20REDE.xlsm" TargetMode="External"/><Relationship Id="rId2" Type="http://schemas.openxmlformats.org/officeDocument/2006/relationships/externalLinkPath" Target="file:///C:\Users\W0043224\Documents\EMS\2025\Formul&#225;rio%20Pedido%20Sell%20In\Politica%20Comercial%20JUNHO%2025%20DIST%20-ATAC%20-%20REDE.xlsm" TargetMode="External"/><Relationship Id="rId1" Type="http://schemas.openxmlformats.org/officeDocument/2006/relationships/externalLinkPath" Target="/Users/W0043224/Documents/EMS/2025/Formul&#225;rio%20Pedido%20Sell%20In/Jun/Politica%20Comercial%20JUNHO%2025%20DIST%20-ATAC%20-%20RED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ário ems"/>
      <sheetName val="MEMORIA"/>
      <sheetName val="DISTRIBUIDOR"/>
      <sheetName val="ATACADO"/>
      <sheetName val="REDE"/>
      <sheetName val="POLITICA x CLUST"/>
      <sheetName val="Mkups uf"/>
      <sheetName val="REPASSE"/>
      <sheetName val="estrutura time e clientes"/>
      <sheetName val="CLIENTES"/>
      <sheetName val="Planilha1"/>
      <sheetName val="tab aliq uf"/>
      <sheetName val="PEDIDO 2"/>
      <sheetName val="TABELA PROCX"/>
      <sheetName val="TABELA"/>
      <sheetName val="Plan1"/>
    </sheetNames>
    <sheetDataSet>
      <sheetData sheetId="0"/>
      <sheetData sheetId="1"/>
      <sheetData sheetId="2"/>
      <sheetData sheetId="3"/>
      <sheetData sheetId="4"/>
      <sheetData sheetId="5">
        <row r="1">
          <cell r="B1">
            <v>45810</v>
          </cell>
        </row>
        <row r="2">
          <cell r="A2" t="str">
            <v>CHAVE</v>
          </cell>
          <cell r="B2" t="str">
            <v>Prod_Cod</v>
          </cell>
          <cell r="C2" t="str">
            <v>Prod_Nome</v>
          </cell>
          <cell r="D2" t="str">
            <v>APRESENT.</v>
          </cell>
          <cell r="E2" t="str">
            <v>UF</v>
          </cell>
          <cell r="F2" t="str">
            <v>ORÇADO/ DISTRI ABRIL 25</v>
          </cell>
          <cell r="G2" t="str">
            <v>VERBA TRADE</v>
          </cell>
          <cell r="H2" t="str">
            <v>DISTRIBUIDOR -TRADE</v>
          </cell>
        </row>
        <row r="3">
          <cell r="A3" t="str">
            <v>60000AC</v>
          </cell>
          <cell r="B3">
            <v>60000</v>
          </cell>
          <cell r="C3" t="str">
            <v>A SAUDE DA MULHER 150ML SOLUCAO</v>
          </cell>
          <cell r="D3" t="str">
            <v>FR X 150 ML</v>
          </cell>
          <cell r="E3" t="str">
            <v>AC</v>
          </cell>
          <cell r="F3">
            <v>0.26999999999999996</v>
          </cell>
          <cell r="G3">
            <v>0</v>
          </cell>
          <cell r="H3">
            <v>0.26999999999999996</v>
          </cell>
        </row>
        <row r="4">
          <cell r="A4" t="str">
            <v>2256AC</v>
          </cell>
          <cell r="B4">
            <v>2256</v>
          </cell>
          <cell r="C4" t="str">
            <v>ALLEXOFEDRIN 120MG 1BLTC/10 COM REV-E</v>
          </cell>
          <cell r="D4" t="str">
            <v>1 BL X 10 COMP REVEST</v>
          </cell>
          <cell r="E4" t="str">
            <v>AC</v>
          </cell>
          <cell r="F4">
            <v>0.75</v>
          </cell>
          <cell r="G4">
            <v>0</v>
          </cell>
          <cell r="H4">
            <v>0.75</v>
          </cell>
        </row>
        <row r="5">
          <cell r="A5" t="str">
            <v>2255AC</v>
          </cell>
          <cell r="B5">
            <v>2255</v>
          </cell>
          <cell r="C5" t="str">
            <v>ALLEXOFEDRIN 180MG 1BLTC/10 COM REV-E</v>
          </cell>
          <cell r="D5" t="str">
            <v>1 BL X 10 COMP REVEST</v>
          </cell>
          <cell r="E5" t="str">
            <v>AC</v>
          </cell>
          <cell r="F5">
            <v>0.74999999999999989</v>
          </cell>
          <cell r="G5">
            <v>0</v>
          </cell>
          <cell r="H5">
            <v>0.74999999999999989</v>
          </cell>
        </row>
        <row r="6">
          <cell r="A6" t="str">
            <v>2133AC</v>
          </cell>
          <cell r="B6">
            <v>2133</v>
          </cell>
          <cell r="C6" t="str">
            <v>ALLEXOFEDRIN D 60+120MG 1BLT C/10C.REV</v>
          </cell>
          <cell r="D6" t="str">
            <v>1 BL X 10 COMP REVEST</v>
          </cell>
          <cell r="E6" t="str">
            <v>AC</v>
          </cell>
          <cell r="F6">
            <v>0.26</v>
          </cell>
          <cell r="G6">
            <v>0</v>
          </cell>
          <cell r="H6">
            <v>0.26</v>
          </cell>
        </row>
        <row r="7">
          <cell r="A7" t="str">
            <v>2346AC</v>
          </cell>
          <cell r="B7">
            <v>2346</v>
          </cell>
          <cell r="C7" t="str">
            <v>ALLEXOFEDRIN PEDIATRICO6MG/MLSUS 60ML-E</v>
          </cell>
          <cell r="D7" t="str">
            <v>6MG/MLSUS 60ML-E</v>
          </cell>
          <cell r="E7" t="str">
            <v>AC</v>
          </cell>
          <cell r="F7">
            <v>0.5514</v>
          </cell>
          <cell r="G7">
            <v>0</v>
          </cell>
          <cell r="H7">
            <v>0.5514</v>
          </cell>
        </row>
        <row r="8">
          <cell r="A8" t="str">
            <v>2347AC</v>
          </cell>
          <cell r="B8">
            <v>2347</v>
          </cell>
          <cell r="C8" t="str">
            <v>ALLEXOFEDRIN PEDIATRICO6MG/MLSUS150 ML-E</v>
          </cell>
          <cell r="D8" t="str">
            <v>6MG/MLSUS150 ML-E</v>
          </cell>
          <cell r="E8" t="str">
            <v>AC</v>
          </cell>
          <cell r="F8">
            <v>0.60909999999999997</v>
          </cell>
          <cell r="G8">
            <v>0</v>
          </cell>
          <cell r="H8">
            <v>0.60909999999999997</v>
          </cell>
        </row>
        <row r="9">
          <cell r="A9" t="str">
            <v>2190AC</v>
          </cell>
          <cell r="B9">
            <v>2190</v>
          </cell>
          <cell r="C9" t="str">
            <v>ANTIVIRAX 400MG 2BLTX15 COM - E</v>
          </cell>
          <cell r="D9" t="str">
            <v>2 BL X 15</v>
          </cell>
          <cell r="E9" t="str">
            <v>AC</v>
          </cell>
          <cell r="F9">
            <v>0.68</v>
          </cell>
          <cell r="G9">
            <v>0</v>
          </cell>
          <cell r="H9">
            <v>0.68</v>
          </cell>
        </row>
        <row r="10">
          <cell r="A10" t="str">
            <v>3009AC</v>
          </cell>
          <cell r="B10">
            <v>3009</v>
          </cell>
          <cell r="C10" t="str">
            <v>ANTIVIRAX CR BG C/10 G</v>
          </cell>
          <cell r="D10" t="str">
            <v>BISN X 10 G</v>
          </cell>
          <cell r="E10" t="str">
            <v>AC</v>
          </cell>
          <cell r="F10">
            <v>0.74999999999999989</v>
          </cell>
          <cell r="G10">
            <v>0</v>
          </cell>
          <cell r="H10">
            <v>0.74999999999999989</v>
          </cell>
        </row>
        <row r="11">
          <cell r="A11" t="str">
            <v>1001AC</v>
          </cell>
          <cell r="B11">
            <v>1001</v>
          </cell>
          <cell r="C11" t="str">
            <v>APEVITIN BC XPE FRC/240ML</v>
          </cell>
          <cell r="D11" t="str">
            <v>FR X 240 ML</v>
          </cell>
          <cell r="E11" t="str">
            <v>AC</v>
          </cell>
          <cell r="F11">
            <v>0.80710000000000004</v>
          </cell>
          <cell r="G11">
            <v>0</v>
          </cell>
          <cell r="H11">
            <v>0.80710000000000004</v>
          </cell>
        </row>
        <row r="12">
          <cell r="A12" t="str">
            <v>1226AC</v>
          </cell>
          <cell r="B12">
            <v>1226</v>
          </cell>
          <cell r="C12" t="str">
            <v>BENZIFLEX 10MG 1BLX15COMP.REV-E</v>
          </cell>
          <cell r="D12" t="str">
            <v>1 BL X 15 COMP.</v>
          </cell>
          <cell r="E12" t="str">
            <v>AC</v>
          </cell>
          <cell r="F12">
            <v>0.71</v>
          </cell>
          <cell r="G12">
            <v>0</v>
          </cell>
          <cell r="H12">
            <v>0.71</v>
          </cell>
        </row>
        <row r="13">
          <cell r="A13" t="str">
            <v>1227AC</v>
          </cell>
          <cell r="B13">
            <v>1227</v>
          </cell>
          <cell r="C13" t="str">
            <v>BENZIFLEX 10MG 2BLX15COMP.REV-E</v>
          </cell>
          <cell r="D13" t="str">
            <v>2 BL X 15 COMP.</v>
          </cell>
          <cell r="E13" t="str">
            <v>AC</v>
          </cell>
          <cell r="F13">
            <v>0.71</v>
          </cell>
          <cell r="G13">
            <v>0</v>
          </cell>
          <cell r="H13">
            <v>0.71</v>
          </cell>
        </row>
        <row r="14">
          <cell r="A14" t="str">
            <v>1233AC</v>
          </cell>
          <cell r="B14">
            <v>1233</v>
          </cell>
          <cell r="C14" t="str">
            <v>BENZIFLEX 5MG 2BLX15COMP.REV-E</v>
          </cell>
          <cell r="D14" t="str">
            <v>2 BL X 15 COMP.</v>
          </cell>
          <cell r="E14" t="str">
            <v>AC</v>
          </cell>
          <cell r="F14">
            <v>0.71</v>
          </cell>
          <cell r="G14">
            <v>0</v>
          </cell>
          <cell r="H14">
            <v>0.71</v>
          </cell>
        </row>
        <row r="15">
          <cell r="A15" t="str">
            <v>1574AC</v>
          </cell>
          <cell r="B15">
            <v>1574</v>
          </cell>
          <cell r="C15" t="str">
            <v>BENZIFLEX LIS 125MG+5MG 15COM.REV.-E</v>
          </cell>
          <cell r="D15" t="str">
            <v>1 BL X 15 COMP.</v>
          </cell>
          <cell r="E15" t="str">
            <v>AC</v>
          </cell>
          <cell r="F15">
            <v>0.5</v>
          </cell>
          <cell r="G15">
            <v>0</v>
          </cell>
          <cell r="H15">
            <v>0.5</v>
          </cell>
        </row>
        <row r="16">
          <cell r="A16" t="str">
            <v>2292AC</v>
          </cell>
          <cell r="B16">
            <v>2292</v>
          </cell>
          <cell r="C16" t="str">
            <v>BENZIFLEX LIS 125MG+5MG 2BL15 COM.REV.-E</v>
          </cell>
          <cell r="D16" t="str">
            <v>2 BL X 15 COMP.</v>
          </cell>
          <cell r="E16" t="str">
            <v>AC</v>
          </cell>
          <cell r="F16">
            <v>0.53</v>
          </cell>
          <cell r="G16">
            <v>0</v>
          </cell>
          <cell r="H16">
            <v>0.53</v>
          </cell>
        </row>
        <row r="17">
          <cell r="A17" t="str">
            <v>1155AC</v>
          </cell>
          <cell r="B17">
            <v>1155</v>
          </cell>
          <cell r="C17" t="str">
            <v>BIOFLADEX AEROSSOL 60G- E</v>
          </cell>
          <cell r="D17" t="str">
            <v>FRASCO 60 G</v>
          </cell>
          <cell r="E17" t="str">
            <v>AC</v>
          </cell>
          <cell r="F17">
            <v>0.66</v>
          </cell>
          <cell r="G17">
            <v>0</v>
          </cell>
          <cell r="H17">
            <v>0.66</v>
          </cell>
        </row>
        <row r="18">
          <cell r="A18" t="str">
            <v>1072AC</v>
          </cell>
          <cell r="B18">
            <v>1072</v>
          </cell>
          <cell r="C18" t="str">
            <v>BISURAN 4MG/5ML XPE INF 120ML-E</v>
          </cell>
          <cell r="D18" t="str">
            <v>FR X 120 ML</v>
          </cell>
          <cell r="E18" t="str">
            <v>AC</v>
          </cell>
          <cell r="F18">
            <v>0.53</v>
          </cell>
          <cell r="G18">
            <v>0</v>
          </cell>
          <cell r="H18">
            <v>0.53</v>
          </cell>
        </row>
        <row r="19">
          <cell r="A19" t="str">
            <v>1318AC</v>
          </cell>
          <cell r="B19">
            <v>1318</v>
          </cell>
          <cell r="C19" t="str">
            <v>BISURAN 8MG/5ML XPE AD. 120ML-E</v>
          </cell>
          <cell r="D19" t="str">
            <v>FR X 120 ML</v>
          </cell>
          <cell r="E19" t="str">
            <v>AC</v>
          </cell>
          <cell r="F19">
            <v>0.61999999999999988</v>
          </cell>
          <cell r="G19">
            <v>0</v>
          </cell>
          <cell r="H19">
            <v>0.61999999999999988</v>
          </cell>
        </row>
        <row r="20">
          <cell r="A20" t="str">
            <v>2141AC</v>
          </cell>
          <cell r="B20">
            <v>2141</v>
          </cell>
          <cell r="C20" t="str">
            <v>CELERGIN 20 COMP-E</v>
          </cell>
          <cell r="D20" t="str">
            <v>CX. C/20 COMP.</v>
          </cell>
          <cell r="E20" t="str">
            <v>AC</v>
          </cell>
          <cell r="F20">
            <v>0.65649999999999986</v>
          </cell>
          <cell r="G20">
            <v>0</v>
          </cell>
          <cell r="H20">
            <v>0.65649999999999986</v>
          </cell>
        </row>
        <row r="21">
          <cell r="A21" t="str">
            <v>2346AL</v>
          </cell>
          <cell r="B21">
            <v>2346</v>
          </cell>
          <cell r="C21" t="str">
            <v>ALLEXOFEDRIN PEDIATRICO6MG/MLSUS 60ML-E</v>
          </cell>
          <cell r="D21" t="str">
            <v>6MG/MLSUS 60ML-E</v>
          </cell>
          <cell r="E21" t="str">
            <v>AL</v>
          </cell>
          <cell r="F21">
            <v>0.5514</v>
          </cell>
          <cell r="G21">
            <v>0</v>
          </cell>
          <cell r="H21">
            <v>0.5514</v>
          </cell>
        </row>
        <row r="22">
          <cell r="A22" t="str">
            <v>2322AC</v>
          </cell>
          <cell r="B22">
            <v>2322</v>
          </cell>
          <cell r="C22" t="str">
            <v>CLOPE 3,54MG/ML XPE 120ML FR PLAS-E</v>
          </cell>
          <cell r="D22" t="str">
            <v>FR X 120 ML</v>
          </cell>
          <cell r="E22" t="str">
            <v>AC</v>
          </cell>
          <cell r="F22">
            <v>0.53</v>
          </cell>
          <cell r="G22">
            <v>0</v>
          </cell>
          <cell r="H22">
            <v>0.53</v>
          </cell>
        </row>
        <row r="23">
          <cell r="A23" t="str">
            <v>2383AC</v>
          </cell>
          <cell r="B23">
            <v>2383</v>
          </cell>
          <cell r="C23" t="str">
            <v>COMPLEXO B 12 XPE FR C/120ML E</v>
          </cell>
          <cell r="D23" t="str">
            <v>FR X 120 ML</v>
          </cell>
          <cell r="E23" t="str">
            <v>AC</v>
          </cell>
          <cell r="F23">
            <v>0.67000000000000015</v>
          </cell>
          <cell r="G23">
            <v>0</v>
          </cell>
          <cell r="H23">
            <v>0.67000000000000015</v>
          </cell>
        </row>
        <row r="24">
          <cell r="A24" t="str">
            <v>2384AC</v>
          </cell>
          <cell r="B24">
            <v>2384</v>
          </cell>
          <cell r="C24" t="str">
            <v>COMPLEXO B CPR REVEST x 20</v>
          </cell>
          <cell r="D24" t="str">
            <v xml:space="preserve">FR X 20 </v>
          </cell>
          <cell r="E24" t="str">
            <v>AC</v>
          </cell>
          <cell r="F24">
            <v>0.66000000000000014</v>
          </cell>
          <cell r="G24">
            <v>0</v>
          </cell>
          <cell r="H24">
            <v>0.66000000000000014</v>
          </cell>
        </row>
        <row r="25">
          <cell r="A25" t="str">
            <v>2382AC</v>
          </cell>
          <cell r="B25">
            <v>2382</v>
          </cell>
          <cell r="C25" t="str">
            <v>COMPLEXO B FR C/100 COM REV  E</v>
          </cell>
          <cell r="D25" t="str">
            <v>FR X 100</v>
          </cell>
          <cell r="E25" t="str">
            <v>AC</v>
          </cell>
          <cell r="F25">
            <v>0.64000000000000012</v>
          </cell>
          <cell r="G25">
            <v>0</v>
          </cell>
          <cell r="H25">
            <v>0.64000000000000012</v>
          </cell>
        </row>
        <row r="26">
          <cell r="A26" t="str">
            <v>2011AC</v>
          </cell>
          <cell r="B26">
            <v>2011</v>
          </cell>
          <cell r="C26" t="str">
            <v>CYSTEX FR C/24 DRG</v>
          </cell>
          <cell r="D26" t="str">
            <v xml:space="preserve">FR X 24 </v>
          </cell>
          <cell r="E26" t="str">
            <v>AC</v>
          </cell>
          <cell r="F26">
            <v>0.36070000000000002</v>
          </cell>
          <cell r="G26">
            <v>0</v>
          </cell>
          <cell r="H26">
            <v>0.36070000000000002</v>
          </cell>
        </row>
        <row r="27">
          <cell r="A27" t="str">
            <v>1837AC</v>
          </cell>
          <cell r="B27">
            <v>1837</v>
          </cell>
          <cell r="C27" t="str">
            <v>DIOVASES 450+50MG C/30 COM.REV. - E</v>
          </cell>
          <cell r="D27" t="str">
            <v>2 BL X 15 COMP.</v>
          </cell>
          <cell r="E27" t="str">
            <v>AC</v>
          </cell>
          <cell r="F27">
            <v>0.68</v>
          </cell>
          <cell r="G27">
            <v>0</v>
          </cell>
          <cell r="H27">
            <v>0.68</v>
          </cell>
        </row>
        <row r="28">
          <cell r="A28" t="str">
            <v>1838AC</v>
          </cell>
          <cell r="B28">
            <v>1838</v>
          </cell>
          <cell r="C28" t="str">
            <v>DIOVASES 450+50MG C/60 COM.REV. - E</v>
          </cell>
          <cell r="D28" t="str">
            <v>4 BL X 15 COMP.</v>
          </cell>
          <cell r="E28" t="str">
            <v>AC</v>
          </cell>
          <cell r="F28">
            <v>0.72</v>
          </cell>
          <cell r="G28">
            <v>0</v>
          </cell>
          <cell r="H28">
            <v>0.72</v>
          </cell>
        </row>
        <row r="29">
          <cell r="A29" t="str">
            <v>2261AC</v>
          </cell>
          <cell r="B29">
            <v>2261</v>
          </cell>
          <cell r="C29" t="str">
            <v>DORICIN CPR x 24</v>
          </cell>
          <cell r="D29" t="str">
            <v>2BL C/12 COMPRIMIDOS -E</v>
          </cell>
          <cell r="E29" t="str">
            <v>AC</v>
          </cell>
          <cell r="F29">
            <v>0.74099999999999999</v>
          </cell>
          <cell r="G29">
            <v>0</v>
          </cell>
          <cell r="H29">
            <v>0.74099999999999999</v>
          </cell>
        </row>
        <row r="30">
          <cell r="A30" t="str">
            <v>2264AC</v>
          </cell>
          <cell r="B30">
            <v>2264</v>
          </cell>
          <cell r="C30" t="str">
            <v>DORICIN CPR x 300</v>
          </cell>
          <cell r="D30" t="str">
            <v>30BL C/10 COMPRIMIDOS -E</v>
          </cell>
          <cell r="E30" t="str">
            <v>AC</v>
          </cell>
          <cell r="F30">
            <v>0.74099999999999999</v>
          </cell>
          <cell r="G30">
            <v>0</v>
          </cell>
          <cell r="H30">
            <v>0.74099999999999999</v>
          </cell>
        </row>
        <row r="31">
          <cell r="A31" t="str">
            <v>2262AC</v>
          </cell>
          <cell r="B31">
            <v>2262</v>
          </cell>
          <cell r="C31" t="str">
            <v>DORICIN CPR X 36</v>
          </cell>
          <cell r="D31" t="str">
            <v>3BL C/12 COMPRIMIDOS -E</v>
          </cell>
          <cell r="E31" t="str">
            <v>AC</v>
          </cell>
          <cell r="F31">
            <v>0.75139999999999996</v>
          </cell>
          <cell r="G31">
            <v>0</v>
          </cell>
          <cell r="H31">
            <v>0.75139999999999996</v>
          </cell>
        </row>
        <row r="32">
          <cell r="A32" t="str">
            <v>2263AC</v>
          </cell>
          <cell r="B32">
            <v>2263</v>
          </cell>
          <cell r="C32" t="str">
            <v>DORICIN CPR X 50</v>
          </cell>
          <cell r="D32" t="str">
            <v>5BL C/10 COMPRIMIDOS - E</v>
          </cell>
          <cell r="E32" t="str">
            <v>AC</v>
          </cell>
          <cell r="F32">
            <v>0.66100000000000003</v>
          </cell>
          <cell r="G32">
            <v>0</v>
          </cell>
          <cell r="H32">
            <v>0.66100000000000003</v>
          </cell>
        </row>
        <row r="33">
          <cell r="A33" t="str">
            <v>1173AC</v>
          </cell>
          <cell r="B33">
            <v>1173</v>
          </cell>
          <cell r="C33" t="str">
            <v>DORICIN GOTAS 20ML x 1</v>
          </cell>
          <cell r="D33" t="str">
            <v>FR X 20 ML</v>
          </cell>
          <cell r="E33" t="str">
            <v>AC</v>
          </cell>
          <cell r="F33">
            <v>0.65</v>
          </cell>
          <cell r="G33">
            <v>0</v>
          </cell>
          <cell r="H33">
            <v>0.65</v>
          </cell>
        </row>
        <row r="34">
          <cell r="A34" t="str">
            <v>2018AC</v>
          </cell>
          <cell r="B34">
            <v>2018</v>
          </cell>
          <cell r="C34" t="str">
            <v>EMISTIN BLT 1X20=20COMP</v>
          </cell>
          <cell r="D34" t="str">
            <v>1 BL X 20</v>
          </cell>
          <cell r="E34" t="str">
            <v>AC</v>
          </cell>
          <cell r="F34">
            <v>0.67</v>
          </cell>
          <cell r="G34">
            <v>0</v>
          </cell>
          <cell r="H34">
            <v>0.67</v>
          </cell>
        </row>
        <row r="35">
          <cell r="A35" t="str">
            <v>3008AC</v>
          </cell>
          <cell r="B35">
            <v>3008</v>
          </cell>
          <cell r="C35" t="str">
            <v>EMISTIN CR BG C/20G</v>
          </cell>
          <cell r="D35" t="str">
            <v>BISN X 20 G</v>
          </cell>
          <cell r="E35" t="str">
            <v>AC</v>
          </cell>
          <cell r="F35">
            <v>0.77</v>
          </cell>
          <cell r="G35">
            <v>0</v>
          </cell>
          <cell r="H35">
            <v>0.77</v>
          </cell>
        </row>
        <row r="36">
          <cell r="A36" t="str">
            <v>3020AC</v>
          </cell>
          <cell r="B36">
            <v>3020</v>
          </cell>
          <cell r="C36" t="str">
            <v>EMSCORT CR BG C/30G</v>
          </cell>
          <cell r="D36" t="str">
            <v>BISN X 30 G</v>
          </cell>
          <cell r="E36" t="str">
            <v>AC</v>
          </cell>
          <cell r="F36">
            <v>0.77000000000000013</v>
          </cell>
          <cell r="G36">
            <v>0</v>
          </cell>
          <cell r="H36">
            <v>0.77000000000000013</v>
          </cell>
        </row>
        <row r="37">
          <cell r="A37" t="str">
            <v>6023AC</v>
          </cell>
          <cell r="B37">
            <v>6023</v>
          </cell>
          <cell r="C37" t="str">
            <v>EMSCORT POM BISN 30G-E</v>
          </cell>
          <cell r="D37" t="str">
            <v>BISN X 30 G</v>
          </cell>
          <cell r="E37" t="str">
            <v>AC</v>
          </cell>
          <cell r="F37">
            <v>0.7639999999999999</v>
          </cell>
          <cell r="G37">
            <v>0</v>
          </cell>
          <cell r="H37">
            <v>0.7639999999999999</v>
          </cell>
        </row>
        <row r="38">
          <cell r="A38" t="str">
            <v>1190AC</v>
          </cell>
          <cell r="B38">
            <v>1190</v>
          </cell>
          <cell r="C38" t="str">
            <v>EMSEXPECTOR XAROPE FR C/120ML - E</v>
          </cell>
          <cell r="D38" t="str">
            <v>FR X 120 ML</v>
          </cell>
          <cell r="E38" t="str">
            <v>AC</v>
          </cell>
          <cell r="F38">
            <v>0.48</v>
          </cell>
          <cell r="G38">
            <v>0</v>
          </cell>
          <cell r="H38">
            <v>0.48</v>
          </cell>
        </row>
        <row r="39">
          <cell r="A39" t="str">
            <v>2111AC</v>
          </cell>
          <cell r="B39">
            <v>2111</v>
          </cell>
          <cell r="C39" t="str">
            <v>ENDCOFF PAST MEL ELIMAO C/12UN</v>
          </cell>
          <cell r="D39" t="str">
            <v>3 STP X 4</v>
          </cell>
          <cell r="E39" t="str">
            <v>AC</v>
          </cell>
          <cell r="F39">
            <v>0.48</v>
          </cell>
          <cell r="G39">
            <v>0</v>
          </cell>
          <cell r="H39">
            <v>0.48</v>
          </cell>
        </row>
        <row r="40">
          <cell r="A40" t="str">
            <v>2092AC</v>
          </cell>
          <cell r="B40">
            <v>2092</v>
          </cell>
          <cell r="C40" t="str">
            <v>ENDCOFF PAST STP MENTA C/12 UN</v>
          </cell>
          <cell r="D40" t="str">
            <v>3 STP X 4</v>
          </cell>
          <cell r="E40" t="str">
            <v>AC</v>
          </cell>
          <cell r="F40">
            <v>0.48</v>
          </cell>
          <cell r="G40">
            <v>0</v>
          </cell>
          <cell r="H40">
            <v>0.48</v>
          </cell>
        </row>
        <row r="41">
          <cell r="A41" t="str">
            <v>1905AC</v>
          </cell>
          <cell r="B41">
            <v>1905</v>
          </cell>
          <cell r="C41" t="str">
            <v>ESMOG 20MG 4BLTC/7 COM REV LIB RETARD- E</v>
          </cell>
          <cell r="D41" t="str">
            <v>4 BLT C/7</v>
          </cell>
          <cell r="E41" t="str">
            <v>AC</v>
          </cell>
          <cell r="F41">
            <v>0.77800000000000002</v>
          </cell>
          <cell r="G41">
            <v>0</v>
          </cell>
          <cell r="H41">
            <v>0.77800000000000002</v>
          </cell>
        </row>
        <row r="42">
          <cell r="A42" t="str">
            <v>1906AC</v>
          </cell>
          <cell r="B42">
            <v>1906</v>
          </cell>
          <cell r="C42" t="str">
            <v>ESMOG 40MG 4BLTC/7 COM REV LIB RETARD- E</v>
          </cell>
          <cell r="D42" t="str">
            <v>4 BLT C/7</v>
          </cell>
          <cell r="E42" t="str">
            <v>AC</v>
          </cell>
          <cell r="F42">
            <v>0.8</v>
          </cell>
          <cell r="G42">
            <v>0</v>
          </cell>
          <cell r="H42">
            <v>0.8</v>
          </cell>
        </row>
        <row r="43">
          <cell r="A43" t="str">
            <v>1016AC</v>
          </cell>
          <cell r="B43">
            <v>1016</v>
          </cell>
          <cell r="C43" t="str">
            <v>EXPECTUSS XPE ADULTO FR C/100ML</v>
          </cell>
          <cell r="D43" t="str">
            <v>FR X 100 ML</v>
          </cell>
          <cell r="E43" t="str">
            <v>AC</v>
          </cell>
          <cell r="F43">
            <v>0.55000000000000016</v>
          </cell>
          <cell r="G43">
            <v>0</v>
          </cell>
          <cell r="H43">
            <v>0.55000000000000016</v>
          </cell>
        </row>
        <row r="44">
          <cell r="A44" t="str">
            <v>1015AC</v>
          </cell>
          <cell r="B44">
            <v>1015</v>
          </cell>
          <cell r="C44" t="str">
            <v>EXPECTUSS XPE INF FR C/100ML</v>
          </cell>
          <cell r="D44" t="str">
            <v>FR X 100 ML</v>
          </cell>
          <cell r="E44" t="str">
            <v>AC</v>
          </cell>
          <cell r="F44">
            <v>0.5099999999999999</v>
          </cell>
          <cell r="G44">
            <v>0</v>
          </cell>
          <cell r="H44">
            <v>0.5099999999999999</v>
          </cell>
        </row>
        <row r="45">
          <cell r="A45" t="str">
            <v>1363AC</v>
          </cell>
          <cell r="B45">
            <v>1363</v>
          </cell>
          <cell r="C45" t="str">
            <v>FLUITEINA 600MG GRAN 16ENV 5G-E</v>
          </cell>
          <cell r="D45" t="str">
            <v>CX. C/16 ENV X 5GR</v>
          </cell>
          <cell r="E45" t="str">
            <v>AC</v>
          </cell>
          <cell r="F45">
            <v>0.42999999999999994</v>
          </cell>
          <cell r="G45">
            <v>0</v>
          </cell>
          <cell r="H45">
            <v>0.42999999999999994</v>
          </cell>
        </row>
        <row r="46">
          <cell r="A46" t="str">
            <v>1364AC</v>
          </cell>
          <cell r="B46">
            <v>1364</v>
          </cell>
          <cell r="C46" t="str">
            <v>FLUITEINA XPE AD 40MG/ML120ML-E</v>
          </cell>
          <cell r="D46" t="str">
            <v>FR X 120 ML</v>
          </cell>
          <cell r="E46" t="str">
            <v>AC</v>
          </cell>
          <cell r="F46">
            <v>0.56999999999999973</v>
          </cell>
          <cell r="G46">
            <v>0</v>
          </cell>
          <cell r="H46">
            <v>0.56999999999999973</v>
          </cell>
        </row>
        <row r="47">
          <cell r="A47" t="str">
            <v>1163AC</v>
          </cell>
          <cell r="B47">
            <v>1163</v>
          </cell>
          <cell r="C47" t="str">
            <v>FLUITEINA XPE INF 20MG/ML 120ML-E</v>
          </cell>
          <cell r="D47" t="str">
            <v>FR X 120 ML</v>
          </cell>
          <cell r="E47" t="str">
            <v>AC</v>
          </cell>
          <cell r="F47">
            <v>0.51900000000000002</v>
          </cell>
          <cell r="G47">
            <v>0</v>
          </cell>
          <cell r="H47">
            <v>0.51900000000000002</v>
          </cell>
        </row>
        <row r="48">
          <cell r="A48" t="str">
            <v>1168AC</v>
          </cell>
          <cell r="B48">
            <v>1168</v>
          </cell>
          <cell r="C48" t="str">
            <v>FOLIFOLIN 5MG 2BLTX15COMP - E</v>
          </cell>
          <cell r="D48" t="str">
            <v>2 BLT X 15 COMP.</v>
          </cell>
          <cell r="E48" t="str">
            <v>AC</v>
          </cell>
          <cell r="F48">
            <v>0.66</v>
          </cell>
          <cell r="G48">
            <v>0</v>
          </cell>
          <cell r="H48">
            <v>0.66</v>
          </cell>
        </row>
        <row r="49">
          <cell r="A49" t="str">
            <v>2318AC</v>
          </cell>
          <cell r="B49">
            <v>2318</v>
          </cell>
          <cell r="C49" t="str">
            <v>GEROVITAL  2BLT15 CAP MOLE-E</v>
          </cell>
          <cell r="D49" t="str">
            <v>3 BL X 10</v>
          </cell>
          <cell r="E49" t="str">
            <v>AC</v>
          </cell>
          <cell r="F49">
            <v>0.57899999999999996</v>
          </cell>
          <cell r="G49">
            <v>0</v>
          </cell>
          <cell r="H49">
            <v>0.57899999999999996</v>
          </cell>
        </row>
        <row r="50">
          <cell r="A50" t="str">
            <v>2062AC</v>
          </cell>
          <cell r="B50">
            <v>2062</v>
          </cell>
          <cell r="C50" t="str">
            <v>GEROVITAL 3BLT C/20 CAP</v>
          </cell>
          <cell r="D50" t="str">
            <v>6 BL X 10</v>
          </cell>
          <cell r="E50" t="str">
            <v>AC</v>
          </cell>
          <cell r="F50">
            <v>0.48100000000000004</v>
          </cell>
          <cell r="G50">
            <v>0</v>
          </cell>
          <cell r="H50">
            <v>0.48100000000000004</v>
          </cell>
        </row>
        <row r="51">
          <cell r="A51" t="str">
            <v>1230AC</v>
          </cell>
          <cell r="B51">
            <v>1230</v>
          </cell>
          <cell r="C51" t="str">
            <v>IBULIV 100MG/ML SUP ORAL C/ 20 ML-E</v>
          </cell>
          <cell r="D51" t="str">
            <v>FR X 20 ML</v>
          </cell>
          <cell r="E51" t="str">
            <v>AC</v>
          </cell>
          <cell r="F51">
            <v>0.68000000000000016</v>
          </cell>
          <cell r="G51">
            <v>0</v>
          </cell>
          <cell r="H51">
            <v>0.68000000000000016</v>
          </cell>
        </row>
        <row r="52">
          <cell r="A52" t="str">
            <v>1472AC</v>
          </cell>
          <cell r="B52">
            <v>1472</v>
          </cell>
          <cell r="C52" t="str">
            <v>IBULIV 400MG 10 BLT C/ 4CAPS GEL.MOLES-E</v>
          </cell>
          <cell r="D52" t="str">
            <v>10 BLT X 4 CÁPS</v>
          </cell>
          <cell r="E52" t="str">
            <v>AC</v>
          </cell>
          <cell r="F52">
            <v>0.71000000000000019</v>
          </cell>
          <cell r="G52">
            <v>0</v>
          </cell>
          <cell r="H52">
            <v>0.71000000000000019</v>
          </cell>
        </row>
        <row r="53">
          <cell r="A53" t="str">
            <v>2469AC</v>
          </cell>
          <cell r="B53">
            <v>2469</v>
          </cell>
          <cell r="C53" t="str">
            <v>IBULIV 400MG 2 BLT C/ 10CAPS GEL.MOLES-E</v>
          </cell>
          <cell r="D53" t="str">
            <v>20 CÁPS.</v>
          </cell>
          <cell r="E53" t="str">
            <v>AC</v>
          </cell>
          <cell r="F53">
            <v>0.71</v>
          </cell>
          <cell r="G53">
            <v>0</v>
          </cell>
          <cell r="H53">
            <v>0.71</v>
          </cell>
        </row>
        <row r="54">
          <cell r="A54" t="str">
            <v>1471AC</v>
          </cell>
          <cell r="B54">
            <v>1471</v>
          </cell>
          <cell r="C54" t="str">
            <v>IBULIV 400MG 2 BLT C/ 4CAPS GEL.MOLES-E</v>
          </cell>
          <cell r="D54" t="str">
            <v>2 BLT X 4 CÁPS.</v>
          </cell>
          <cell r="E54" t="str">
            <v>AC</v>
          </cell>
          <cell r="F54">
            <v>0.71</v>
          </cell>
          <cell r="G54">
            <v>0</v>
          </cell>
          <cell r="H54">
            <v>0.71</v>
          </cell>
        </row>
        <row r="55">
          <cell r="A55" t="str">
            <v>1175AC</v>
          </cell>
          <cell r="B55">
            <v>1175</v>
          </cell>
          <cell r="C55" t="str">
            <v>INFRALAX 1BLT C/15COMP - EMS</v>
          </cell>
          <cell r="D55" t="str">
            <v>1 BLT C/ 15</v>
          </cell>
          <cell r="E55" t="str">
            <v>AC</v>
          </cell>
          <cell r="F55">
            <v>0.74280000000000002</v>
          </cell>
          <cell r="G55">
            <v>0</v>
          </cell>
          <cell r="H55">
            <v>0.74280000000000002</v>
          </cell>
        </row>
        <row r="56">
          <cell r="A56" t="str">
            <v>1821AC</v>
          </cell>
          <cell r="B56">
            <v>1821</v>
          </cell>
          <cell r="C56" t="str">
            <v>INFRALAX 20BLTX10COMP - E</v>
          </cell>
          <cell r="D56" t="str">
            <v>20 BLT X 10</v>
          </cell>
          <cell r="E56" t="str">
            <v>AC</v>
          </cell>
          <cell r="F56">
            <v>0.81</v>
          </cell>
          <cell r="G56">
            <v>0</v>
          </cell>
          <cell r="H56">
            <v>0.81</v>
          </cell>
        </row>
        <row r="57">
          <cell r="A57" t="str">
            <v>2138AC</v>
          </cell>
          <cell r="B57">
            <v>2138</v>
          </cell>
          <cell r="C57" t="str">
            <v>INFRALAX 2BLT C/15COMP - EMS</v>
          </cell>
          <cell r="D57" t="str">
            <v>2 BL X 15</v>
          </cell>
          <cell r="E57" t="str">
            <v>AC</v>
          </cell>
          <cell r="F57">
            <v>0.74650000000000005</v>
          </cell>
          <cell r="G57">
            <v>0</v>
          </cell>
          <cell r="H57">
            <v>0.74650000000000005</v>
          </cell>
        </row>
        <row r="58">
          <cell r="A58" t="str">
            <v>6011AC</v>
          </cell>
          <cell r="B58">
            <v>6011</v>
          </cell>
          <cell r="C58" t="str">
            <v>NARIDRIN 12HS GOTAS FR C/30ML</v>
          </cell>
          <cell r="D58" t="str">
            <v>FR X 30 ML</v>
          </cell>
          <cell r="E58" t="str">
            <v>AC</v>
          </cell>
          <cell r="F58">
            <v>0.74</v>
          </cell>
          <cell r="G58">
            <v>0</v>
          </cell>
          <cell r="H58">
            <v>0.74</v>
          </cell>
        </row>
        <row r="59">
          <cell r="A59" t="str">
            <v>2604AC</v>
          </cell>
          <cell r="B59">
            <v>2604</v>
          </cell>
          <cell r="C59" t="str">
            <v>NARIDRIN ALTO VOL 30ENVX2,16G+FR240ML</v>
          </cell>
          <cell r="D59" t="str">
            <v>30ENVX2,16G+FR240ML</v>
          </cell>
          <cell r="E59" t="str">
            <v>AC</v>
          </cell>
          <cell r="F59">
            <v>0.64</v>
          </cell>
          <cell r="G59">
            <v>0</v>
          </cell>
          <cell r="H59">
            <v>0.64</v>
          </cell>
        </row>
        <row r="60">
          <cell r="A60" t="str">
            <v>2605AC</v>
          </cell>
          <cell r="B60">
            <v>2605</v>
          </cell>
          <cell r="C60" t="str">
            <v>NARIDRIN ALTO VOL REFIL</v>
          </cell>
          <cell r="D60" t="str">
            <v>30 ENV X 2,16G</v>
          </cell>
          <cell r="E60" t="str">
            <v>AC</v>
          </cell>
          <cell r="F60">
            <v>0.59999999999999987</v>
          </cell>
          <cell r="G60">
            <v>0</v>
          </cell>
          <cell r="H60">
            <v>0.59999999999999987</v>
          </cell>
        </row>
        <row r="61">
          <cell r="A61" t="str">
            <v>1433AC</v>
          </cell>
          <cell r="B61">
            <v>1433</v>
          </cell>
          <cell r="C61" t="str">
            <v>NARIDRIN AQUA 9MG/ML FRASCO C/50ML-E</v>
          </cell>
          <cell r="D61" t="str">
            <v>FR X 50 ML SPRAY</v>
          </cell>
          <cell r="E61" t="str">
            <v>AC</v>
          </cell>
          <cell r="F61">
            <v>0.71</v>
          </cell>
          <cell r="G61">
            <v>0</v>
          </cell>
          <cell r="H61">
            <v>0.71</v>
          </cell>
        </row>
        <row r="62">
          <cell r="A62" t="str">
            <v>6005AC</v>
          </cell>
          <cell r="B62">
            <v>6005</v>
          </cell>
          <cell r="C62" t="str">
            <v>NARIDRIN GOTAS AD FR C/15ML</v>
          </cell>
          <cell r="D62" t="str">
            <v>FR X 15 ML</v>
          </cell>
          <cell r="E62" t="str">
            <v>AC</v>
          </cell>
          <cell r="F62">
            <v>0.74</v>
          </cell>
          <cell r="G62">
            <v>0</v>
          </cell>
          <cell r="H62">
            <v>0.74</v>
          </cell>
        </row>
        <row r="63">
          <cell r="A63" t="str">
            <v>6006AC</v>
          </cell>
          <cell r="B63">
            <v>6006</v>
          </cell>
          <cell r="C63" t="str">
            <v>NARIDRIN GOTAS INF FR C/15ML</v>
          </cell>
          <cell r="D63" t="str">
            <v>FR X 15 ML</v>
          </cell>
          <cell r="E63" t="str">
            <v>AC</v>
          </cell>
          <cell r="F63">
            <v>0.72999999999999987</v>
          </cell>
          <cell r="G63">
            <v>0</v>
          </cell>
          <cell r="H63">
            <v>0.72999999999999987</v>
          </cell>
        </row>
        <row r="64">
          <cell r="A64" t="str">
            <v>1079AC</v>
          </cell>
          <cell r="B64">
            <v>1079</v>
          </cell>
          <cell r="C64" t="str">
            <v>NARIDRIN H 30MG/ML SOL.NAS SPRAY 60ML-E</v>
          </cell>
          <cell r="D64" t="str">
            <v>FRASCO X 60ML</v>
          </cell>
          <cell r="E64" t="str">
            <v>AC</v>
          </cell>
          <cell r="F64">
            <v>0.7</v>
          </cell>
          <cell r="G64">
            <v>0</v>
          </cell>
          <cell r="H64">
            <v>0.7</v>
          </cell>
        </row>
        <row r="65">
          <cell r="A65" t="str">
            <v>1368AC</v>
          </cell>
          <cell r="B65">
            <v>1368</v>
          </cell>
          <cell r="C65" t="str">
            <v>NIMESILAM BLT 1X12= 12 COM - E</v>
          </cell>
          <cell r="D65" t="str">
            <v>1 BLT X 12</v>
          </cell>
          <cell r="E65" t="str">
            <v>AC</v>
          </cell>
          <cell r="F65">
            <v>0.89999999999999991</v>
          </cell>
          <cell r="G65">
            <v>0</v>
          </cell>
          <cell r="H65">
            <v>0.89999999999999991</v>
          </cell>
        </row>
        <row r="66">
          <cell r="A66" t="str">
            <v>1367AC</v>
          </cell>
          <cell r="B66">
            <v>1367</v>
          </cell>
          <cell r="C66" t="str">
            <v>NIMESILAM GOTAS FRC/15ML  - E</v>
          </cell>
          <cell r="D66" t="str">
            <v>FR 15 ML</v>
          </cell>
          <cell r="E66" t="str">
            <v>AC</v>
          </cell>
          <cell r="F66">
            <v>0.73</v>
          </cell>
          <cell r="G66">
            <v>0</v>
          </cell>
          <cell r="H66">
            <v>0.73</v>
          </cell>
        </row>
        <row r="67">
          <cell r="A67" t="str">
            <v>2058AC</v>
          </cell>
          <cell r="B67">
            <v>2058</v>
          </cell>
          <cell r="C67" t="str">
            <v>NOCICLIN 1BLT C/21COM-EMS</v>
          </cell>
          <cell r="D67" t="str">
            <v>1 BL X 21</v>
          </cell>
          <cell r="E67" t="str">
            <v>AC</v>
          </cell>
          <cell r="F67">
            <v>0.68</v>
          </cell>
          <cell r="G67">
            <v>0</v>
          </cell>
          <cell r="H67">
            <v>0.68</v>
          </cell>
        </row>
        <row r="68">
          <cell r="A68" t="str">
            <v>2391AC</v>
          </cell>
          <cell r="B68">
            <v>2391</v>
          </cell>
          <cell r="C68" t="str">
            <v>RUDITE 20MG/ML PO SUS 100ML-E</v>
          </cell>
          <cell r="D68" t="str">
            <v>FR X 100 ML</v>
          </cell>
          <cell r="E68" t="str">
            <v>AC</v>
          </cell>
          <cell r="F68">
            <v>0.59899999999999998</v>
          </cell>
          <cell r="G68">
            <v>0</v>
          </cell>
          <cell r="H68">
            <v>0.59899999999999998</v>
          </cell>
        </row>
        <row r="69">
          <cell r="A69" t="str">
            <v>2392AC</v>
          </cell>
          <cell r="B69">
            <v>2392</v>
          </cell>
          <cell r="C69" t="str">
            <v>RUDITE 20MG/ML PO SUS 45ML-E</v>
          </cell>
          <cell r="D69" t="str">
            <v>FR X 45 ML</v>
          </cell>
          <cell r="E69" t="str">
            <v>AC</v>
          </cell>
          <cell r="F69">
            <v>0.58999999999999986</v>
          </cell>
          <cell r="G69">
            <v>0</v>
          </cell>
          <cell r="H69">
            <v>0.58999999999999986</v>
          </cell>
        </row>
        <row r="70">
          <cell r="A70" t="str">
            <v>2390AC</v>
          </cell>
          <cell r="B70">
            <v>2390</v>
          </cell>
          <cell r="C70" t="str">
            <v>RUDITE(C1)500MG C/6 COM REV-E</v>
          </cell>
          <cell r="D70" t="str">
            <v>1 BLT X 6</v>
          </cell>
          <cell r="E70" t="str">
            <v>AC</v>
          </cell>
          <cell r="F70">
            <v>0.7</v>
          </cell>
          <cell r="G70">
            <v>0</v>
          </cell>
          <cell r="H70">
            <v>0.7</v>
          </cell>
        </row>
        <row r="71">
          <cell r="A71" t="str">
            <v>2398AC</v>
          </cell>
          <cell r="B71">
            <v>2398</v>
          </cell>
          <cell r="C71" t="str">
            <v>SOMINEX COMPOS OTC CPR REVEST x 20</v>
          </cell>
          <cell r="D71" t="str">
            <v>2 BL X 10</v>
          </cell>
          <cell r="E71" t="str">
            <v>AC</v>
          </cell>
          <cell r="F71">
            <v>0.68899999999999995</v>
          </cell>
          <cell r="G71">
            <v>0</v>
          </cell>
          <cell r="H71">
            <v>0.68899999999999995</v>
          </cell>
        </row>
        <row r="72">
          <cell r="A72" t="str">
            <v>1818AC</v>
          </cell>
          <cell r="B72">
            <v>1818</v>
          </cell>
          <cell r="C72" t="str">
            <v>SUPLEVIT MULHER VIT. 2BLT C/15 CAP.GEL-E</v>
          </cell>
          <cell r="D72" t="str">
            <v>2 BLT C/15</v>
          </cell>
          <cell r="E72" t="str">
            <v>AC</v>
          </cell>
          <cell r="F72">
            <v>0.82</v>
          </cell>
          <cell r="G72">
            <v>0</v>
          </cell>
          <cell r="H72">
            <v>0.82</v>
          </cell>
        </row>
        <row r="73">
          <cell r="A73" t="str">
            <v>1819AC</v>
          </cell>
          <cell r="B73">
            <v>1819</v>
          </cell>
          <cell r="C73" t="str">
            <v>SUPLEVIT MULHER VIT. 4BLT C/15 CAP.GEL-E</v>
          </cell>
          <cell r="D73" t="str">
            <v>4 BLT C/15</v>
          </cell>
          <cell r="E73" t="str">
            <v>AC</v>
          </cell>
          <cell r="F73">
            <v>0.81999999999999984</v>
          </cell>
          <cell r="G73">
            <v>0</v>
          </cell>
          <cell r="H73">
            <v>0.81999999999999984</v>
          </cell>
        </row>
        <row r="74">
          <cell r="A74" t="str">
            <v>2036AC</v>
          </cell>
          <cell r="B74">
            <v>2036</v>
          </cell>
          <cell r="C74" t="str">
            <v>VITAFER FR C/50 COMP-E</v>
          </cell>
          <cell r="D74" t="str">
            <v>FR X 50</v>
          </cell>
          <cell r="E74" t="str">
            <v>AC</v>
          </cell>
          <cell r="F74">
            <v>0.52999999999999992</v>
          </cell>
          <cell r="G74">
            <v>0</v>
          </cell>
          <cell r="H74">
            <v>0.52999999999999992</v>
          </cell>
        </row>
        <row r="75">
          <cell r="A75" t="str">
            <v>60000AL</v>
          </cell>
          <cell r="B75">
            <v>60000</v>
          </cell>
          <cell r="C75" t="str">
            <v>A SAUDE DA MULHER 150ML SOLUCAO</v>
          </cell>
          <cell r="D75" t="str">
            <v>FR X 150 ML</v>
          </cell>
          <cell r="E75" t="str">
            <v>AL</v>
          </cell>
          <cell r="F75">
            <v>0.26999999999999996</v>
          </cell>
          <cell r="G75">
            <v>0</v>
          </cell>
          <cell r="H75">
            <v>0.26999999999999996</v>
          </cell>
        </row>
        <row r="76">
          <cell r="A76" t="str">
            <v>2256AL</v>
          </cell>
          <cell r="B76">
            <v>2256</v>
          </cell>
          <cell r="C76" t="str">
            <v>ALLEXOFEDRIN 120MG 1BLTC/10 COM REV-E</v>
          </cell>
          <cell r="D76" t="str">
            <v>1 BL X 10 COMP REVEST</v>
          </cell>
          <cell r="E76" t="str">
            <v>AL</v>
          </cell>
          <cell r="F76">
            <v>0.75</v>
          </cell>
          <cell r="G76">
            <v>0</v>
          </cell>
          <cell r="H76">
            <v>0.75</v>
          </cell>
        </row>
        <row r="77">
          <cell r="A77" t="str">
            <v>2255AL</v>
          </cell>
          <cell r="B77">
            <v>2255</v>
          </cell>
          <cell r="C77" t="str">
            <v>ALLEXOFEDRIN 180MG 1BLTC/10 COM REV-E</v>
          </cell>
          <cell r="D77" t="str">
            <v>1 BL X 10 COMP REVEST</v>
          </cell>
          <cell r="E77" t="str">
            <v>AL</v>
          </cell>
          <cell r="F77">
            <v>0.74999999999999989</v>
          </cell>
          <cell r="G77">
            <v>0</v>
          </cell>
          <cell r="H77">
            <v>0.74999999999999989</v>
          </cell>
        </row>
        <row r="78">
          <cell r="A78" t="str">
            <v>2133AL</v>
          </cell>
          <cell r="B78">
            <v>2133</v>
          </cell>
          <cell r="C78" t="str">
            <v>ALLEXOFEDRIN D 60+120MG 1BLT C/10C.REV</v>
          </cell>
          <cell r="D78" t="str">
            <v>1 BL X 10 COMP REVEST</v>
          </cell>
          <cell r="E78" t="str">
            <v>AL</v>
          </cell>
          <cell r="F78">
            <v>0.26</v>
          </cell>
          <cell r="G78">
            <v>0</v>
          </cell>
          <cell r="H78">
            <v>0.26</v>
          </cell>
        </row>
        <row r="79">
          <cell r="A79" t="str">
            <v>2346AM</v>
          </cell>
          <cell r="B79">
            <v>2346</v>
          </cell>
          <cell r="C79" t="str">
            <v>ALLEXOFEDRIN PEDIATRICO6MG/MLSUS 60ML-E</v>
          </cell>
          <cell r="D79" t="str">
            <v>6MG/MLSUS 60ML-E</v>
          </cell>
          <cell r="E79" t="str">
            <v>AM</v>
          </cell>
          <cell r="F79">
            <v>0.5514</v>
          </cell>
          <cell r="G79">
            <v>0</v>
          </cell>
          <cell r="H79">
            <v>0.5514</v>
          </cell>
        </row>
        <row r="80">
          <cell r="A80" t="str">
            <v>2347AL</v>
          </cell>
          <cell r="B80">
            <v>2347</v>
          </cell>
          <cell r="C80" t="str">
            <v>ALLEXOFEDRIN PEDIATRICO6MG/MLSUS150 ML-E</v>
          </cell>
          <cell r="D80" t="str">
            <v>6MG/MLSUS150 ML-E</v>
          </cell>
          <cell r="E80" t="str">
            <v>AL</v>
          </cell>
          <cell r="F80">
            <v>0.60909999999999997</v>
          </cell>
          <cell r="G80">
            <v>0</v>
          </cell>
          <cell r="H80">
            <v>0.60909999999999997</v>
          </cell>
        </row>
        <row r="81">
          <cell r="A81" t="str">
            <v>2190AL</v>
          </cell>
          <cell r="B81">
            <v>2190</v>
          </cell>
          <cell r="C81" t="str">
            <v>ANTIVIRAX 400MG 2BLTX15 COM - E</v>
          </cell>
          <cell r="D81" t="str">
            <v>2 BL X 15</v>
          </cell>
          <cell r="E81" t="str">
            <v>AL</v>
          </cell>
          <cell r="F81">
            <v>0.68</v>
          </cell>
          <cell r="G81">
            <v>0</v>
          </cell>
          <cell r="H81">
            <v>0.68</v>
          </cell>
        </row>
        <row r="82">
          <cell r="A82" t="str">
            <v>3009AL</v>
          </cell>
          <cell r="B82">
            <v>3009</v>
          </cell>
          <cell r="C82" t="str">
            <v>ANTIVIRAX CR BG C/10 G</v>
          </cell>
          <cell r="D82" t="str">
            <v>BISN X 10 G</v>
          </cell>
          <cell r="E82" t="str">
            <v>AL</v>
          </cell>
          <cell r="F82">
            <v>0.74999999999999989</v>
          </cell>
          <cell r="G82">
            <v>0</v>
          </cell>
          <cell r="H82">
            <v>0.74999999999999989</v>
          </cell>
        </row>
        <row r="83">
          <cell r="A83" t="str">
            <v>1001AL</v>
          </cell>
          <cell r="B83">
            <v>1001</v>
          </cell>
          <cell r="C83" t="str">
            <v>APEVITIN BC XPE FRC/240ML</v>
          </cell>
          <cell r="D83" t="str">
            <v>FR X 240 ML</v>
          </cell>
          <cell r="E83" t="str">
            <v>AL</v>
          </cell>
          <cell r="F83">
            <v>0.80710000000000004</v>
          </cell>
          <cell r="G83">
            <v>0</v>
          </cell>
          <cell r="H83">
            <v>0.80710000000000004</v>
          </cell>
        </row>
        <row r="84">
          <cell r="A84" t="str">
            <v>1226AL</v>
          </cell>
          <cell r="B84">
            <v>1226</v>
          </cell>
          <cell r="C84" t="str">
            <v>BENZIFLEX 10MG 1BLX15COMP.REV-E</v>
          </cell>
          <cell r="D84" t="str">
            <v>1 BL X 15 COMP.</v>
          </cell>
          <cell r="E84" t="str">
            <v>AL</v>
          </cell>
          <cell r="F84">
            <v>0.71</v>
          </cell>
          <cell r="G84">
            <v>0</v>
          </cell>
          <cell r="H84">
            <v>0.71</v>
          </cell>
        </row>
        <row r="85">
          <cell r="A85" t="str">
            <v>1227AL</v>
          </cell>
          <cell r="B85">
            <v>1227</v>
          </cell>
          <cell r="C85" t="str">
            <v>BENZIFLEX 10MG 2BLX15COMP.REV-E</v>
          </cell>
          <cell r="D85" t="str">
            <v>2 BL X 15 COMP.</v>
          </cell>
          <cell r="E85" t="str">
            <v>AL</v>
          </cell>
          <cell r="F85">
            <v>0.71</v>
          </cell>
          <cell r="G85">
            <v>0</v>
          </cell>
          <cell r="H85">
            <v>0.71</v>
          </cell>
        </row>
        <row r="86">
          <cell r="A86" t="str">
            <v>1233AL</v>
          </cell>
          <cell r="B86">
            <v>1233</v>
          </cell>
          <cell r="C86" t="str">
            <v>BENZIFLEX 5MG 2BLX15COMP.REV-E</v>
          </cell>
          <cell r="D86" t="str">
            <v>2 BL X 15 COMP.</v>
          </cell>
          <cell r="E86" t="str">
            <v>AL</v>
          </cell>
          <cell r="F86">
            <v>0.71</v>
          </cell>
          <cell r="G86">
            <v>0</v>
          </cell>
          <cell r="H86">
            <v>0.71</v>
          </cell>
        </row>
        <row r="87">
          <cell r="A87" t="str">
            <v>1574AL</v>
          </cell>
          <cell r="B87">
            <v>1574</v>
          </cell>
          <cell r="C87" t="str">
            <v>BENZIFLEX LIS 125MG+5MG 15COM.REV.-E</v>
          </cell>
          <cell r="D87" t="str">
            <v>1 BL X 15 COMP.</v>
          </cell>
          <cell r="E87" t="str">
            <v>AL</v>
          </cell>
          <cell r="F87">
            <v>0.5</v>
          </cell>
          <cell r="G87">
            <v>0</v>
          </cell>
          <cell r="H87">
            <v>0.5</v>
          </cell>
        </row>
        <row r="88">
          <cell r="A88" t="str">
            <v>2292AL</v>
          </cell>
          <cell r="B88">
            <v>2292</v>
          </cell>
          <cell r="C88" t="str">
            <v>BENZIFLEX LIS 125MG+5MG 2BL15 COM.REV.-E</v>
          </cell>
          <cell r="D88" t="str">
            <v>2 BL X 15 COMP.</v>
          </cell>
          <cell r="E88" t="str">
            <v>AL</v>
          </cell>
          <cell r="F88">
            <v>0.53</v>
          </cell>
          <cell r="G88">
            <v>0</v>
          </cell>
          <cell r="H88">
            <v>0.53</v>
          </cell>
        </row>
        <row r="89">
          <cell r="A89" t="str">
            <v>1155AL</v>
          </cell>
          <cell r="B89">
            <v>1155</v>
          </cell>
          <cell r="C89" t="str">
            <v>BIOFLADEX AEROSSOL 60G- E</v>
          </cell>
          <cell r="D89" t="str">
            <v>FRASCO 60 G</v>
          </cell>
          <cell r="E89" t="str">
            <v>AL</v>
          </cell>
          <cell r="F89">
            <v>0.66</v>
          </cell>
          <cell r="G89">
            <v>0</v>
          </cell>
          <cell r="H89">
            <v>0.66</v>
          </cell>
        </row>
        <row r="90">
          <cell r="A90" t="str">
            <v>1072AL</v>
          </cell>
          <cell r="B90">
            <v>1072</v>
          </cell>
          <cell r="C90" t="str">
            <v>BISURAN 4MG/5ML XPE INF 120ML-E</v>
          </cell>
          <cell r="D90" t="str">
            <v>FR X 120 ML</v>
          </cell>
          <cell r="E90" t="str">
            <v>AL</v>
          </cell>
          <cell r="F90">
            <v>0.53</v>
          </cell>
          <cell r="G90">
            <v>0</v>
          </cell>
          <cell r="H90">
            <v>0.53</v>
          </cell>
        </row>
        <row r="91">
          <cell r="A91" t="str">
            <v>1318AL</v>
          </cell>
          <cell r="B91">
            <v>1318</v>
          </cell>
          <cell r="C91" t="str">
            <v>BISURAN 8MG/5ML XPE AD. 120ML-E</v>
          </cell>
          <cell r="D91" t="str">
            <v>FR X 120 ML</v>
          </cell>
          <cell r="E91" t="str">
            <v>AL</v>
          </cell>
          <cell r="F91">
            <v>0.61999999999999988</v>
          </cell>
          <cell r="G91">
            <v>0</v>
          </cell>
          <cell r="H91">
            <v>0.61999999999999988</v>
          </cell>
        </row>
        <row r="92">
          <cell r="A92" t="str">
            <v>2141AL</v>
          </cell>
          <cell r="B92">
            <v>2141</v>
          </cell>
          <cell r="C92" t="str">
            <v>CELERGIN 20 COMP-E</v>
          </cell>
          <cell r="D92" t="str">
            <v>CX. C/20 COMP.</v>
          </cell>
          <cell r="E92" t="str">
            <v>AL</v>
          </cell>
          <cell r="F92">
            <v>0.65649999999999986</v>
          </cell>
          <cell r="G92">
            <v>0</v>
          </cell>
          <cell r="H92">
            <v>0.65649999999999986</v>
          </cell>
        </row>
        <row r="93">
          <cell r="A93" t="str">
            <v>2346AP</v>
          </cell>
          <cell r="B93">
            <v>2346</v>
          </cell>
          <cell r="C93" t="str">
            <v>ALLEXOFEDRIN PEDIATRICO6MG/MLSUS 60ML-E</v>
          </cell>
          <cell r="D93" t="str">
            <v>6MG/MLSUS 60ML-E</v>
          </cell>
          <cell r="E93" t="str">
            <v>AP</v>
          </cell>
          <cell r="F93">
            <v>0.5514</v>
          </cell>
          <cell r="G93">
            <v>0</v>
          </cell>
          <cell r="H93">
            <v>0.5514</v>
          </cell>
        </row>
        <row r="94">
          <cell r="A94" t="str">
            <v>2322AL</v>
          </cell>
          <cell r="B94">
            <v>2322</v>
          </cell>
          <cell r="C94" t="str">
            <v>CLOPE 3,54MG/ML XPE 120ML FR PLAS-E</v>
          </cell>
          <cell r="D94" t="str">
            <v>FR X 120 ML</v>
          </cell>
          <cell r="E94" t="str">
            <v>AL</v>
          </cell>
          <cell r="F94">
            <v>0.53</v>
          </cell>
          <cell r="G94">
            <v>0</v>
          </cell>
          <cell r="H94">
            <v>0.53</v>
          </cell>
        </row>
        <row r="95">
          <cell r="A95" t="str">
            <v>2383AL</v>
          </cell>
          <cell r="B95">
            <v>2383</v>
          </cell>
          <cell r="C95" t="str">
            <v>COMPLEXO B 12 XPE FR C/120ML E</v>
          </cell>
          <cell r="D95" t="str">
            <v>FR X 120 ML</v>
          </cell>
          <cell r="E95" t="str">
            <v>AL</v>
          </cell>
          <cell r="F95">
            <v>0.67000000000000015</v>
          </cell>
          <cell r="G95">
            <v>0</v>
          </cell>
          <cell r="H95">
            <v>0.67000000000000015</v>
          </cell>
        </row>
        <row r="96">
          <cell r="A96" t="str">
            <v>2384AL</v>
          </cell>
          <cell r="B96">
            <v>2384</v>
          </cell>
          <cell r="C96" t="str">
            <v>COMPLEXO B CPR REVEST x 20</v>
          </cell>
          <cell r="D96" t="str">
            <v xml:space="preserve">FR X 20 </v>
          </cell>
          <cell r="E96" t="str">
            <v>AL</v>
          </cell>
          <cell r="F96">
            <v>0.66000000000000014</v>
          </cell>
          <cell r="G96">
            <v>0</v>
          </cell>
          <cell r="H96">
            <v>0.66000000000000014</v>
          </cell>
        </row>
        <row r="97">
          <cell r="A97" t="str">
            <v>2382AL</v>
          </cell>
          <cell r="B97">
            <v>2382</v>
          </cell>
          <cell r="C97" t="str">
            <v>COMPLEXO B FR C/100 COM REV  E</v>
          </cell>
          <cell r="D97" t="str">
            <v>FR X 100</v>
          </cell>
          <cell r="E97" t="str">
            <v>AL</v>
          </cell>
          <cell r="F97">
            <v>0.64000000000000012</v>
          </cell>
          <cell r="G97">
            <v>0</v>
          </cell>
          <cell r="H97">
            <v>0.64000000000000012</v>
          </cell>
        </row>
        <row r="98">
          <cell r="A98" t="str">
            <v>2011AL</v>
          </cell>
          <cell r="B98">
            <v>2011</v>
          </cell>
          <cell r="C98" t="str">
            <v>CYSTEX FR C/24 DRG</v>
          </cell>
          <cell r="D98" t="str">
            <v xml:space="preserve">FR X 24 </v>
          </cell>
          <cell r="E98" t="str">
            <v>AL</v>
          </cell>
          <cell r="F98">
            <v>0.36070000000000002</v>
          </cell>
          <cell r="G98">
            <v>0</v>
          </cell>
          <cell r="H98">
            <v>0.36070000000000002</v>
          </cell>
        </row>
        <row r="99">
          <cell r="A99" t="str">
            <v>1837AL</v>
          </cell>
          <cell r="B99">
            <v>1837</v>
          </cell>
          <cell r="C99" t="str">
            <v>DIOVASES 450+50MG C/30 COM.REV. - E</v>
          </cell>
          <cell r="D99" t="str">
            <v>2 BL X 15 COMP.</v>
          </cell>
          <cell r="E99" t="str">
            <v>AL</v>
          </cell>
          <cell r="F99">
            <v>0.68</v>
          </cell>
          <cell r="G99">
            <v>0</v>
          </cell>
          <cell r="H99">
            <v>0.68</v>
          </cell>
        </row>
        <row r="100">
          <cell r="A100" t="str">
            <v>1838AL</v>
          </cell>
          <cell r="B100">
            <v>1838</v>
          </cell>
          <cell r="C100" t="str">
            <v>DIOVASES 450+50MG C/60 COM.REV. - E</v>
          </cell>
          <cell r="D100" t="str">
            <v>4 BL X 15 COMP.</v>
          </cell>
          <cell r="E100" t="str">
            <v>AL</v>
          </cell>
          <cell r="F100">
            <v>0.72</v>
          </cell>
          <cell r="G100">
            <v>0</v>
          </cell>
          <cell r="H100">
            <v>0.72</v>
          </cell>
        </row>
        <row r="101">
          <cell r="A101" t="str">
            <v>2261AL</v>
          </cell>
          <cell r="B101">
            <v>2261</v>
          </cell>
          <cell r="C101" t="str">
            <v>DORICIN CPR x 24</v>
          </cell>
          <cell r="D101" t="str">
            <v>2BL C/12 COMPRIMIDOS -E</v>
          </cell>
          <cell r="E101" t="str">
            <v>AL</v>
          </cell>
          <cell r="F101">
            <v>0.74099999999999999</v>
          </cell>
          <cell r="G101">
            <v>0</v>
          </cell>
          <cell r="H101">
            <v>0.74099999999999999</v>
          </cell>
        </row>
        <row r="102">
          <cell r="A102" t="str">
            <v>2264AL</v>
          </cell>
          <cell r="B102">
            <v>2264</v>
          </cell>
          <cell r="C102" t="str">
            <v>DORICIN CPR x 300</v>
          </cell>
          <cell r="D102" t="str">
            <v>30BL C/10 COMPRIMIDOS -E</v>
          </cell>
          <cell r="E102" t="str">
            <v>AL</v>
          </cell>
          <cell r="F102">
            <v>0.74099999999999999</v>
          </cell>
          <cell r="G102">
            <v>0</v>
          </cell>
          <cell r="H102">
            <v>0.74099999999999999</v>
          </cell>
        </row>
        <row r="103">
          <cell r="A103" t="str">
            <v>2262AL</v>
          </cell>
          <cell r="B103">
            <v>2262</v>
          </cell>
          <cell r="C103" t="str">
            <v>DORICIN CPR X 36</v>
          </cell>
          <cell r="D103" t="str">
            <v>3BL C/12 COMPRIMIDOS -E</v>
          </cell>
          <cell r="E103" t="str">
            <v>AL</v>
          </cell>
          <cell r="F103">
            <v>0.75139999999999996</v>
          </cell>
          <cell r="G103">
            <v>0</v>
          </cell>
          <cell r="H103">
            <v>0.75139999999999996</v>
          </cell>
        </row>
        <row r="104">
          <cell r="A104" t="str">
            <v>2263AL</v>
          </cell>
          <cell r="B104">
            <v>2263</v>
          </cell>
          <cell r="C104" t="str">
            <v>DORICIN CPR X 50</v>
          </cell>
          <cell r="D104" t="str">
            <v>5BL C/10 COMPRIMIDOS - E</v>
          </cell>
          <cell r="E104" t="str">
            <v>AL</v>
          </cell>
          <cell r="F104">
            <v>0.66100000000000003</v>
          </cell>
          <cell r="G104">
            <v>0</v>
          </cell>
          <cell r="H104">
            <v>0.66100000000000003</v>
          </cell>
        </row>
        <row r="105">
          <cell r="A105" t="str">
            <v>1173AL</v>
          </cell>
          <cell r="B105">
            <v>1173</v>
          </cell>
          <cell r="C105" t="str">
            <v>DORICIN GOTAS 20ML x 1</v>
          </cell>
          <cell r="D105" t="str">
            <v>FR X 20 ML</v>
          </cell>
          <cell r="E105" t="str">
            <v>AL</v>
          </cell>
          <cell r="F105">
            <v>0.65</v>
          </cell>
          <cell r="G105">
            <v>0</v>
          </cell>
          <cell r="H105">
            <v>0.65</v>
          </cell>
        </row>
        <row r="106">
          <cell r="A106" t="str">
            <v>2018AL</v>
          </cell>
          <cell r="B106">
            <v>2018</v>
          </cell>
          <cell r="C106" t="str">
            <v>EMISTIN BLT 1X20=20COMP</v>
          </cell>
          <cell r="D106" t="str">
            <v>1 BL X 20</v>
          </cell>
          <cell r="E106" t="str">
            <v>AL</v>
          </cell>
          <cell r="F106">
            <v>0.67</v>
          </cell>
          <cell r="G106">
            <v>0</v>
          </cell>
          <cell r="H106">
            <v>0.67</v>
          </cell>
        </row>
        <row r="107">
          <cell r="A107" t="str">
            <v>3008AL</v>
          </cell>
          <cell r="B107">
            <v>3008</v>
          </cell>
          <cell r="C107" t="str">
            <v>EMISTIN CR BG C/20G</v>
          </cell>
          <cell r="D107" t="str">
            <v>BISN X 20 G</v>
          </cell>
          <cell r="E107" t="str">
            <v>AL</v>
          </cell>
          <cell r="F107">
            <v>0.77</v>
          </cell>
          <cell r="G107">
            <v>0</v>
          </cell>
          <cell r="H107">
            <v>0.77</v>
          </cell>
        </row>
        <row r="108">
          <cell r="A108" t="str">
            <v>3020AL</v>
          </cell>
          <cell r="B108">
            <v>3020</v>
          </cell>
          <cell r="C108" t="str">
            <v>EMSCORT CR BG C/30G</v>
          </cell>
          <cell r="D108" t="str">
            <v>BISN X 30 G</v>
          </cell>
          <cell r="E108" t="str">
            <v>AL</v>
          </cell>
          <cell r="F108">
            <v>0.77000000000000013</v>
          </cell>
          <cell r="G108">
            <v>0</v>
          </cell>
          <cell r="H108">
            <v>0.77000000000000013</v>
          </cell>
        </row>
        <row r="109">
          <cell r="A109" t="str">
            <v>6023AL</v>
          </cell>
          <cell r="B109">
            <v>6023</v>
          </cell>
          <cell r="C109" t="str">
            <v>EMSCORT POM BISN 30G-E</v>
          </cell>
          <cell r="D109" t="str">
            <v>BISN X 30 G</v>
          </cell>
          <cell r="E109" t="str">
            <v>AL</v>
          </cell>
          <cell r="F109">
            <v>0.7639999999999999</v>
          </cell>
          <cell r="G109">
            <v>0</v>
          </cell>
          <cell r="H109">
            <v>0.7639999999999999</v>
          </cell>
        </row>
        <row r="110">
          <cell r="A110" t="str">
            <v>1190AL</v>
          </cell>
          <cell r="B110">
            <v>1190</v>
          </cell>
          <cell r="C110" t="str">
            <v>EMSEXPECTOR XAROPE FR C/120ML - E</v>
          </cell>
          <cell r="D110" t="str">
            <v>FR X 120 ML</v>
          </cell>
          <cell r="E110" t="str">
            <v>AL</v>
          </cell>
          <cell r="F110">
            <v>0.48</v>
          </cell>
          <cell r="G110">
            <v>0</v>
          </cell>
          <cell r="H110">
            <v>0.48</v>
          </cell>
        </row>
        <row r="111">
          <cell r="A111" t="str">
            <v>2111AL</v>
          </cell>
          <cell r="B111">
            <v>2111</v>
          </cell>
          <cell r="C111" t="str">
            <v>ENDCOFF PAST MEL ELIMAO C/12UN</v>
          </cell>
          <cell r="D111" t="str">
            <v>3 STP X 4</v>
          </cell>
          <cell r="E111" t="str">
            <v>AL</v>
          </cell>
          <cell r="F111">
            <v>0.48</v>
          </cell>
          <cell r="G111">
            <v>0</v>
          </cell>
          <cell r="H111">
            <v>0.48</v>
          </cell>
        </row>
        <row r="112">
          <cell r="A112" t="str">
            <v>2092AL</v>
          </cell>
          <cell r="B112">
            <v>2092</v>
          </cell>
          <cell r="C112" t="str">
            <v>ENDCOFF PAST STP MENTA C/12 UN</v>
          </cell>
          <cell r="D112" t="str">
            <v>3 STP X 4</v>
          </cell>
          <cell r="E112" t="str">
            <v>AL</v>
          </cell>
          <cell r="F112">
            <v>0.48</v>
          </cell>
          <cell r="G112">
            <v>0</v>
          </cell>
          <cell r="H112">
            <v>0.48</v>
          </cell>
        </row>
        <row r="113">
          <cell r="A113" t="str">
            <v>1905AL</v>
          </cell>
          <cell r="B113">
            <v>1905</v>
          </cell>
          <cell r="C113" t="str">
            <v>ESMOG 20MG 4BLTC/7 COM REV LIB RETARD- E</v>
          </cell>
          <cell r="D113" t="str">
            <v>4 BLT C/7</v>
          </cell>
          <cell r="E113" t="str">
            <v>AL</v>
          </cell>
          <cell r="F113">
            <v>0.77800000000000002</v>
          </cell>
          <cell r="G113">
            <v>0</v>
          </cell>
          <cell r="H113">
            <v>0.77800000000000002</v>
          </cell>
        </row>
        <row r="114">
          <cell r="A114" t="str">
            <v>1906AL</v>
          </cell>
          <cell r="B114">
            <v>1906</v>
          </cell>
          <cell r="C114" t="str">
            <v>ESMOG 40MG 4BLTC/7 COM REV LIB RETARD- E</v>
          </cell>
          <cell r="D114" t="str">
            <v>4 BLT C/7</v>
          </cell>
          <cell r="E114" t="str">
            <v>AL</v>
          </cell>
          <cell r="F114">
            <v>0.8</v>
          </cell>
          <cell r="G114">
            <v>0</v>
          </cell>
          <cell r="H114">
            <v>0.8</v>
          </cell>
        </row>
        <row r="115">
          <cell r="A115" t="str">
            <v>1016AL</v>
          </cell>
          <cell r="B115">
            <v>1016</v>
          </cell>
          <cell r="C115" t="str">
            <v>EXPECTUSS XPE ADULTO FR C/100ML</v>
          </cell>
          <cell r="D115" t="str">
            <v>FR X 100 ML</v>
          </cell>
          <cell r="E115" t="str">
            <v>AL</v>
          </cell>
          <cell r="F115">
            <v>0.55000000000000016</v>
          </cell>
          <cell r="G115">
            <v>0</v>
          </cell>
          <cell r="H115">
            <v>0.55000000000000016</v>
          </cell>
        </row>
        <row r="116">
          <cell r="A116" t="str">
            <v>1015AL</v>
          </cell>
          <cell r="B116">
            <v>1015</v>
          </cell>
          <cell r="C116" t="str">
            <v>EXPECTUSS XPE INF FR C/100ML</v>
          </cell>
          <cell r="D116" t="str">
            <v>FR X 100 ML</v>
          </cell>
          <cell r="E116" t="str">
            <v>AL</v>
          </cell>
          <cell r="F116">
            <v>0.5099999999999999</v>
          </cell>
          <cell r="G116">
            <v>0</v>
          </cell>
          <cell r="H116">
            <v>0.5099999999999999</v>
          </cell>
        </row>
        <row r="117">
          <cell r="A117" t="str">
            <v>1363AL</v>
          </cell>
          <cell r="B117">
            <v>1363</v>
          </cell>
          <cell r="C117" t="str">
            <v>FLUITEINA 600MG GRAN 16ENV 5G-E</v>
          </cell>
          <cell r="D117" t="str">
            <v>CX. C/16 ENV X 5GR</v>
          </cell>
          <cell r="E117" t="str">
            <v>AL</v>
          </cell>
          <cell r="F117">
            <v>0.42999999999999994</v>
          </cell>
          <cell r="G117">
            <v>0</v>
          </cell>
          <cell r="H117">
            <v>0.42999999999999994</v>
          </cell>
        </row>
        <row r="118">
          <cell r="A118" t="str">
            <v>1364AL</v>
          </cell>
          <cell r="B118">
            <v>1364</v>
          </cell>
          <cell r="C118" t="str">
            <v>FLUITEINA XPE AD 40MG/ML120ML-E</v>
          </cell>
          <cell r="D118" t="str">
            <v>FR X 120 ML</v>
          </cell>
          <cell r="E118" t="str">
            <v>AL</v>
          </cell>
          <cell r="F118">
            <v>0.56999999999999973</v>
          </cell>
          <cell r="G118">
            <v>0</v>
          </cell>
          <cell r="H118">
            <v>0.56999999999999973</v>
          </cell>
        </row>
        <row r="119">
          <cell r="A119" t="str">
            <v>1163AL</v>
          </cell>
          <cell r="B119">
            <v>1163</v>
          </cell>
          <cell r="C119" t="str">
            <v>FLUITEINA XPE INF 20MG/ML 120ML-E</v>
          </cell>
          <cell r="D119" t="str">
            <v>FR X 120 ML</v>
          </cell>
          <cell r="E119" t="str">
            <v>AL</v>
          </cell>
          <cell r="F119">
            <v>0.51900000000000002</v>
          </cell>
          <cell r="G119">
            <v>0</v>
          </cell>
          <cell r="H119">
            <v>0.51900000000000002</v>
          </cell>
        </row>
        <row r="120">
          <cell r="A120" t="str">
            <v>1168AL</v>
          </cell>
          <cell r="B120">
            <v>1168</v>
          </cell>
          <cell r="C120" t="str">
            <v>FOLIFOLIN 5MG 2BLTX15COMP - E</v>
          </cell>
          <cell r="D120" t="str">
            <v>2 BLT X 15 COMP.</v>
          </cell>
          <cell r="E120" t="str">
            <v>AL</v>
          </cell>
          <cell r="F120">
            <v>0.66</v>
          </cell>
          <cell r="G120">
            <v>0</v>
          </cell>
          <cell r="H120">
            <v>0.66</v>
          </cell>
        </row>
        <row r="121">
          <cell r="A121" t="str">
            <v>2318AL</v>
          </cell>
          <cell r="B121">
            <v>2318</v>
          </cell>
          <cell r="C121" t="str">
            <v>GEROVITAL  2BLT15 CAP MOLE-E</v>
          </cell>
          <cell r="D121" t="str">
            <v>3 BL X 10</v>
          </cell>
          <cell r="E121" t="str">
            <v>AL</v>
          </cell>
          <cell r="F121">
            <v>0.57899999999999996</v>
          </cell>
          <cell r="G121">
            <v>0</v>
          </cell>
          <cell r="H121">
            <v>0.57899999999999996</v>
          </cell>
        </row>
        <row r="122">
          <cell r="A122" t="str">
            <v>2062AL</v>
          </cell>
          <cell r="B122">
            <v>2062</v>
          </cell>
          <cell r="C122" t="str">
            <v>GEROVITAL 3BLT C/20 CAP</v>
          </cell>
          <cell r="D122" t="str">
            <v>6 BL X 10</v>
          </cell>
          <cell r="E122" t="str">
            <v>AL</v>
          </cell>
          <cell r="F122">
            <v>0.48100000000000004</v>
          </cell>
          <cell r="G122">
            <v>0</v>
          </cell>
          <cell r="H122">
            <v>0.48100000000000004</v>
          </cell>
        </row>
        <row r="123">
          <cell r="A123" t="str">
            <v>1230AL</v>
          </cell>
          <cell r="B123">
            <v>1230</v>
          </cell>
          <cell r="C123" t="str">
            <v>IBULIV 100MG/ML SUP ORAL C/ 20 ML-E</v>
          </cell>
          <cell r="D123" t="str">
            <v>FR X 20 ML</v>
          </cell>
          <cell r="E123" t="str">
            <v>AL</v>
          </cell>
          <cell r="F123">
            <v>0.68000000000000016</v>
          </cell>
          <cell r="G123">
            <v>0</v>
          </cell>
          <cell r="H123">
            <v>0.68000000000000016</v>
          </cell>
        </row>
        <row r="124">
          <cell r="A124" t="str">
            <v>1472AL</v>
          </cell>
          <cell r="B124">
            <v>1472</v>
          </cell>
          <cell r="C124" t="str">
            <v>IBULIV 400MG 10 BLT C/ 4CAPS GEL.MOLES-E</v>
          </cell>
          <cell r="D124" t="str">
            <v>10 BLT X 4 CÁPS</v>
          </cell>
          <cell r="E124" t="str">
            <v>AL</v>
          </cell>
          <cell r="F124">
            <v>0.71000000000000019</v>
          </cell>
          <cell r="G124">
            <v>0</v>
          </cell>
          <cell r="H124">
            <v>0.71000000000000019</v>
          </cell>
        </row>
        <row r="125">
          <cell r="A125" t="str">
            <v>2469AL</v>
          </cell>
          <cell r="B125">
            <v>2469</v>
          </cell>
          <cell r="C125" t="str">
            <v>IBULIV 400MG 2 BLT C/ 10CAPS GEL.MOLES-E</v>
          </cell>
          <cell r="D125" t="str">
            <v>20 CÁPS.</v>
          </cell>
          <cell r="E125" t="str">
            <v>AL</v>
          </cell>
          <cell r="F125">
            <v>0.71</v>
          </cell>
          <cell r="G125">
            <v>0</v>
          </cell>
          <cell r="H125">
            <v>0.71</v>
          </cell>
        </row>
        <row r="126">
          <cell r="A126" t="str">
            <v>1471AL</v>
          </cell>
          <cell r="B126">
            <v>1471</v>
          </cell>
          <cell r="C126" t="str">
            <v>IBULIV 400MG 2 BLT C/ 4CAPS GEL.MOLES-E</v>
          </cell>
          <cell r="D126" t="str">
            <v>2 BLT X 4 CÁPS.</v>
          </cell>
          <cell r="E126" t="str">
            <v>AL</v>
          </cell>
          <cell r="F126">
            <v>0.71</v>
          </cell>
          <cell r="G126">
            <v>0</v>
          </cell>
          <cell r="H126">
            <v>0.71</v>
          </cell>
        </row>
        <row r="127">
          <cell r="A127" t="str">
            <v>1175AL</v>
          </cell>
          <cell r="B127">
            <v>1175</v>
          </cell>
          <cell r="C127" t="str">
            <v>INFRALAX 1BLT C/15COMP - EMS</v>
          </cell>
          <cell r="D127" t="str">
            <v>1 BLT C/ 15</v>
          </cell>
          <cell r="E127" t="str">
            <v>AL</v>
          </cell>
          <cell r="F127">
            <v>0.74280000000000002</v>
          </cell>
          <cell r="G127">
            <v>0</v>
          </cell>
          <cell r="H127">
            <v>0.74280000000000002</v>
          </cell>
        </row>
        <row r="128">
          <cell r="A128" t="str">
            <v>1821AL</v>
          </cell>
          <cell r="B128">
            <v>1821</v>
          </cell>
          <cell r="C128" t="str">
            <v>INFRALAX 20BLTX10COMP - E</v>
          </cell>
          <cell r="D128" t="str">
            <v>20 BLT X 10</v>
          </cell>
          <cell r="E128" t="str">
            <v>AL</v>
          </cell>
          <cell r="F128">
            <v>0.81</v>
          </cell>
          <cell r="G128">
            <v>0</v>
          </cell>
          <cell r="H128">
            <v>0.81</v>
          </cell>
        </row>
        <row r="129">
          <cell r="A129" t="str">
            <v>2138AL</v>
          </cell>
          <cell r="B129">
            <v>2138</v>
          </cell>
          <cell r="C129" t="str">
            <v>INFRALAX 2BLT C/15COMP - EMS</v>
          </cell>
          <cell r="D129" t="str">
            <v>2 BL X 15</v>
          </cell>
          <cell r="E129" t="str">
            <v>AL</v>
          </cell>
          <cell r="F129">
            <v>0.74650000000000005</v>
          </cell>
          <cell r="G129">
            <v>0</v>
          </cell>
          <cell r="H129">
            <v>0.74650000000000005</v>
          </cell>
        </row>
        <row r="130">
          <cell r="A130" t="str">
            <v>6011AL</v>
          </cell>
          <cell r="B130">
            <v>6011</v>
          </cell>
          <cell r="C130" t="str">
            <v>NARIDRIN 12HS GOTAS FR C/30ML</v>
          </cell>
          <cell r="D130" t="str">
            <v>FR X 30 ML</v>
          </cell>
          <cell r="E130" t="str">
            <v>AL</v>
          </cell>
          <cell r="F130">
            <v>0.74</v>
          </cell>
          <cell r="G130">
            <v>0</v>
          </cell>
          <cell r="H130">
            <v>0.74</v>
          </cell>
        </row>
        <row r="131">
          <cell r="A131" t="str">
            <v>2604AL</v>
          </cell>
          <cell r="B131">
            <v>2604</v>
          </cell>
          <cell r="C131" t="str">
            <v>NARIDRIN ALTO VOL 30ENVX2,16G+FR240ML</v>
          </cell>
          <cell r="D131" t="str">
            <v>30ENVX2,16G+FR240ML</v>
          </cell>
          <cell r="E131" t="str">
            <v>AL</v>
          </cell>
          <cell r="F131">
            <v>0.64</v>
          </cell>
          <cell r="G131">
            <v>0</v>
          </cell>
          <cell r="H131">
            <v>0.64</v>
          </cell>
        </row>
        <row r="132">
          <cell r="A132" t="str">
            <v>2605AL</v>
          </cell>
          <cell r="B132">
            <v>2605</v>
          </cell>
          <cell r="C132" t="str">
            <v>NARIDRIN ALTO VOL REFIL</v>
          </cell>
          <cell r="D132" t="str">
            <v>30 ENV X 2,16G</v>
          </cell>
          <cell r="E132" t="str">
            <v>AL</v>
          </cell>
          <cell r="F132">
            <v>0.59999999999999987</v>
          </cell>
          <cell r="G132">
            <v>0</v>
          </cell>
          <cell r="H132">
            <v>0.59999999999999987</v>
          </cell>
        </row>
        <row r="133">
          <cell r="A133" t="str">
            <v>1433AL</v>
          </cell>
          <cell r="B133">
            <v>1433</v>
          </cell>
          <cell r="C133" t="str">
            <v>NARIDRIN AQUA 9MG/ML FRASCO C/50ML-E</v>
          </cell>
          <cell r="D133" t="str">
            <v>FR X 50 ML SPRAY</v>
          </cell>
          <cell r="E133" t="str">
            <v>AL</v>
          </cell>
          <cell r="F133">
            <v>0.71</v>
          </cell>
          <cell r="G133">
            <v>0</v>
          </cell>
          <cell r="H133">
            <v>0.71</v>
          </cell>
        </row>
        <row r="134">
          <cell r="A134" t="str">
            <v>6005AL</v>
          </cell>
          <cell r="B134">
            <v>6005</v>
          </cell>
          <cell r="C134" t="str">
            <v>NARIDRIN GOTAS AD FR C/15ML</v>
          </cell>
          <cell r="D134" t="str">
            <v>FR X 15 ML</v>
          </cell>
          <cell r="E134" t="str">
            <v>AL</v>
          </cell>
          <cell r="F134">
            <v>0.74</v>
          </cell>
          <cell r="G134">
            <v>0</v>
          </cell>
          <cell r="H134">
            <v>0.74</v>
          </cell>
        </row>
        <row r="135">
          <cell r="A135" t="str">
            <v>6006AL</v>
          </cell>
          <cell r="B135">
            <v>6006</v>
          </cell>
          <cell r="C135" t="str">
            <v>NARIDRIN GOTAS INF FR C/15ML</v>
          </cell>
          <cell r="D135" t="str">
            <v>FR X 15 ML</v>
          </cell>
          <cell r="E135" t="str">
            <v>AL</v>
          </cell>
          <cell r="F135">
            <v>0.72999999999999987</v>
          </cell>
          <cell r="G135">
            <v>0</v>
          </cell>
          <cell r="H135">
            <v>0.72999999999999987</v>
          </cell>
        </row>
        <row r="136">
          <cell r="A136" t="str">
            <v>1079AL</v>
          </cell>
          <cell r="B136">
            <v>1079</v>
          </cell>
          <cell r="C136" t="str">
            <v>NARIDRIN H 30MG/ML SOL.NAS SPRAY 60ML-E</v>
          </cell>
          <cell r="D136" t="str">
            <v>FRASCO X 60ML</v>
          </cell>
          <cell r="E136" t="str">
            <v>AL</v>
          </cell>
          <cell r="F136">
            <v>0.7</v>
          </cell>
          <cell r="G136">
            <v>0</v>
          </cell>
          <cell r="H136">
            <v>0.7</v>
          </cell>
        </row>
        <row r="137">
          <cell r="A137" t="str">
            <v>1368AL</v>
          </cell>
          <cell r="B137">
            <v>1368</v>
          </cell>
          <cell r="C137" t="str">
            <v>NIMESILAM BLT 1X12= 12 COM - E</v>
          </cell>
          <cell r="D137" t="str">
            <v>1 BLT X 12</v>
          </cell>
          <cell r="E137" t="str">
            <v>AL</v>
          </cell>
          <cell r="F137">
            <v>0.89999999999999991</v>
          </cell>
          <cell r="G137">
            <v>0</v>
          </cell>
          <cell r="H137">
            <v>0.89999999999999991</v>
          </cell>
        </row>
        <row r="138">
          <cell r="A138" t="str">
            <v>1367AL</v>
          </cell>
          <cell r="B138">
            <v>1367</v>
          </cell>
          <cell r="C138" t="str">
            <v>NIMESILAM GOTAS FRC/15ML  - E</v>
          </cell>
          <cell r="D138" t="str">
            <v>FR 15 ML</v>
          </cell>
          <cell r="E138" t="str">
            <v>AL</v>
          </cell>
          <cell r="F138">
            <v>0.73</v>
          </cell>
          <cell r="G138">
            <v>0</v>
          </cell>
          <cell r="H138">
            <v>0.73</v>
          </cell>
        </row>
        <row r="139">
          <cell r="A139" t="str">
            <v>2058AL</v>
          </cell>
          <cell r="B139">
            <v>2058</v>
          </cell>
          <cell r="C139" t="str">
            <v>NOCICLIN 1BLT C/21COM-EMS</v>
          </cell>
          <cell r="D139" t="str">
            <v>1 BL X 21</v>
          </cell>
          <cell r="E139" t="str">
            <v>AL</v>
          </cell>
          <cell r="F139">
            <v>0.68</v>
          </cell>
          <cell r="G139">
            <v>0</v>
          </cell>
          <cell r="H139">
            <v>0.68</v>
          </cell>
        </row>
        <row r="140">
          <cell r="A140" t="str">
            <v>2391AL</v>
          </cell>
          <cell r="B140">
            <v>2391</v>
          </cell>
          <cell r="C140" t="str">
            <v>RUDITE 20MG/ML PO SUS 100ML-E</v>
          </cell>
          <cell r="D140" t="str">
            <v>FR X 100 ML</v>
          </cell>
          <cell r="E140" t="str">
            <v>AL</v>
          </cell>
          <cell r="F140">
            <v>0.59899999999999998</v>
          </cell>
          <cell r="G140">
            <v>0</v>
          </cell>
          <cell r="H140">
            <v>0.59899999999999998</v>
          </cell>
        </row>
        <row r="141">
          <cell r="A141" t="str">
            <v>2392AL</v>
          </cell>
          <cell r="B141">
            <v>2392</v>
          </cell>
          <cell r="C141" t="str">
            <v>RUDITE 20MG/ML PO SUS 45ML-E</v>
          </cell>
          <cell r="D141" t="str">
            <v>FR X 45 ML</v>
          </cell>
          <cell r="E141" t="str">
            <v>AL</v>
          </cell>
          <cell r="F141">
            <v>0.58999999999999986</v>
          </cell>
          <cell r="G141">
            <v>0</v>
          </cell>
          <cell r="H141">
            <v>0.58999999999999986</v>
          </cell>
        </row>
        <row r="142">
          <cell r="A142" t="str">
            <v>2390AL</v>
          </cell>
          <cell r="B142">
            <v>2390</v>
          </cell>
          <cell r="C142" t="str">
            <v>RUDITE(C1)500MG C/6 COM REV-E</v>
          </cell>
          <cell r="D142" t="str">
            <v>1 BLT X 6</v>
          </cell>
          <cell r="E142" t="str">
            <v>AL</v>
          </cell>
          <cell r="F142">
            <v>0.7</v>
          </cell>
          <cell r="G142">
            <v>0</v>
          </cell>
          <cell r="H142">
            <v>0.7</v>
          </cell>
        </row>
        <row r="143">
          <cell r="A143" t="str">
            <v>2398AL</v>
          </cell>
          <cell r="B143">
            <v>2398</v>
          </cell>
          <cell r="C143" t="str">
            <v>SOMINEX COMPOS OTC CPR REVEST x 20</v>
          </cell>
          <cell r="D143" t="str">
            <v>2 BL X 10</v>
          </cell>
          <cell r="E143" t="str">
            <v>AL</v>
          </cell>
          <cell r="F143">
            <v>0.68899999999999995</v>
          </cell>
          <cell r="G143">
            <v>0</v>
          </cell>
          <cell r="H143">
            <v>0.68899999999999995</v>
          </cell>
        </row>
        <row r="144">
          <cell r="A144" t="str">
            <v>1818AL</v>
          </cell>
          <cell r="B144">
            <v>1818</v>
          </cell>
          <cell r="C144" t="str">
            <v>SUPLEVIT MULHER VIT. 2BLT C/15 CAP.GEL-E</v>
          </cell>
          <cell r="D144" t="str">
            <v>2 BLT C/15</v>
          </cell>
          <cell r="E144" t="str">
            <v>AL</v>
          </cell>
          <cell r="F144">
            <v>0.82</v>
          </cell>
          <cell r="G144">
            <v>0</v>
          </cell>
          <cell r="H144">
            <v>0.82</v>
          </cell>
        </row>
        <row r="145">
          <cell r="A145" t="str">
            <v>1819AL</v>
          </cell>
          <cell r="B145">
            <v>1819</v>
          </cell>
          <cell r="C145" t="str">
            <v>SUPLEVIT MULHER VIT. 4BLT C/15 CAP.GEL-E</v>
          </cell>
          <cell r="D145" t="str">
            <v>4 BLT C/15</v>
          </cell>
          <cell r="E145" t="str">
            <v>AL</v>
          </cell>
          <cell r="F145">
            <v>0.81999999999999984</v>
          </cell>
          <cell r="G145">
            <v>0</v>
          </cell>
          <cell r="H145">
            <v>0.81999999999999984</v>
          </cell>
        </row>
        <row r="146">
          <cell r="A146" t="str">
            <v>2036AL</v>
          </cell>
          <cell r="B146">
            <v>2036</v>
          </cell>
          <cell r="C146" t="str">
            <v>VITAFER FR C/50 COMP-E</v>
          </cell>
          <cell r="D146" t="str">
            <v>FR X 50</v>
          </cell>
          <cell r="E146" t="str">
            <v>AL</v>
          </cell>
          <cell r="F146">
            <v>0.52999999999999992</v>
          </cell>
          <cell r="G146">
            <v>0</v>
          </cell>
          <cell r="H146">
            <v>0.52999999999999992</v>
          </cell>
        </row>
        <row r="147">
          <cell r="A147" t="str">
            <v>60000AM</v>
          </cell>
          <cell r="B147">
            <v>60000</v>
          </cell>
          <cell r="C147" t="str">
            <v>A SAUDE DA MULHER 150ML SOLUCAO</v>
          </cell>
          <cell r="D147" t="str">
            <v>FR X 150 ML</v>
          </cell>
          <cell r="E147" t="str">
            <v>AM</v>
          </cell>
          <cell r="F147">
            <v>0.26999999999999996</v>
          </cell>
          <cell r="G147">
            <v>0</v>
          </cell>
          <cell r="H147">
            <v>0.26999999999999996</v>
          </cell>
        </row>
        <row r="148">
          <cell r="A148" t="str">
            <v>2256AM</v>
          </cell>
          <cell r="B148">
            <v>2256</v>
          </cell>
          <cell r="C148" t="str">
            <v>ALLEXOFEDRIN 120MG 1BLTC/10 COM REV-E</v>
          </cell>
          <cell r="D148" t="str">
            <v>1 BL X 10 COMP REVEST</v>
          </cell>
          <cell r="E148" t="str">
            <v>AM</v>
          </cell>
          <cell r="F148">
            <v>0.75</v>
          </cell>
          <cell r="G148">
            <v>0</v>
          </cell>
          <cell r="H148">
            <v>0.75</v>
          </cell>
        </row>
        <row r="149">
          <cell r="A149" t="str">
            <v>2255AM</v>
          </cell>
          <cell r="B149">
            <v>2255</v>
          </cell>
          <cell r="C149" t="str">
            <v>ALLEXOFEDRIN 180MG 1BLTC/10 COM REV-E</v>
          </cell>
          <cell r="D149" t="str">
            <v>1 BL X 10 COMP REVEST</v>
          </cell>
          <cell r="E149" t="str">
            <v>AM</v>
          </cell>
          <cell r="F149">
            <v>0.74999999999999989</v>
          </cell>
          <cell r="G149">
            <v>0</v>
          </cell>
          <cell r="H149">
            <v>0.74999999999999989</v>
          </cell>
        </row>
        <row r="150">
          <cell r="A150" t="str">
            <v>2133AM</v>
          </cell>
          <cell r="B150">
            <v>2133</v>
          </cell>
          <cell r="C150" t="str">
            <v>ALLEXOFEDRIN D 60+120MG 1BLT C/10C.REV</v>
          </cell>
          <cell r="D150" t="str">
            <v>1 BL X 10 COMP REVEST</v>
          </cell>
          <cell r="E150" t="str">
            <v>AM</v>
          </cell>
          <cell r="F150">
            <v>0.26</v>
          </cell>
          <cell r="G150">
            <v>0</v>
          </cell>
          <cell r="H150">
            <v>0.26</v>
          </cell>
        </row>
        <row r="151">
          <cell r="A151" t="str">
            <v>2346BA</v>
          </cell>
          <cell r="B151">
            <v>2346</v>
          </cell>
          <cell r="C151" t="str">
            <v>ALLEXOFEDRIN PEDIATRICO6MG/MLSUS 60ML-E</v>
          </cell>
          <cell r="D151" t="str">
            <v>6MG/MLSUS 60ML-E</v>
          </cell>
          <cell r="E151" t="str">
            <v>BA</v>
          </cell>
          <cell r="F151">
            <v>0.5514</v>
          </cell>
          <cell r="G151">
            <v>0</v>
          </cell>
          <cell r="H151">
            <v>0.5514</v>
          </cell>
        </row>
        <row r="152">
          <cell r="A152" t="str">
            <v>2347AM</v>
          </cell>
          <cell r="B152">
            <v>2347</v>
          </cell>
          <cell r="C152" t="str">
            <v>ALLEXOFEDRIN PEDIATRICO6MG/MLSUS150 ML-E</v>
          </cell>
          <cell r="D152" t="str">
            <v>6MG/MLSUS150 ML-E</v>
          </cell>
          <cell r="E152" t="str">
            <v>AM</v>
          </cell>
          <cell r="F152">
            <v>0.60909999999999997</v>
          </cell>
          <cell r="G152">
            <v>0</v>
          </cell>
          <cell r="H152">
            <v>0.60909999999999997</v>
          </cell>
        </row>
        <row r="153">
          <cell r="A153" t="str">
            <v>2190AM</v>
          </cell>
          <cell r="B153">
            <v>2190</v>
          </cell>
          <cell r="C153" t="str">
            <v>ANTIVIRAX 400MG 2BLTX15 COM - E</v>
          </cell>
          <cell r="D153" t="str">
            <v>2 BL X 15</v>
          </cell>
          <cell r="E153" t="str">
            <v>AM</v>
          </cell>
          <cell r="F153">
            <v>0.68</v>
          </cell>
          <cell r="G153">
            <v>0</v>
          </cell>
          <cell r="H153">
            <v>0.68</v>
          </cell>
        </row>
        <row r="154">
          <cell r="A154" t="str">
            <v>3009AM</v>
          </cell>
          <cell r="B154">
            <v>3009</v>
          </cell>
          <cell r="C154" t="str">
            <v>ANTIVIRAX CR BG C/10 G</v>
          </cell>
          <cell r="D154" t="str">
            <v>BISN X 10 G</v>
          </cell>
          <cell r="E154" t="str">
            <v>AM</v>
          </cell>
          <cell r="F154">
            <v>0.74999999999999989</v>
          </cell>
          <cell r="G154">
            <v>0</v>
          </cell>
          <cell r="H154">
            <v>0.74999999999999989</v>
          </cell>
        </row>
        <row r="155">
          <cell r="A155" t="str">
            <v>1001AM</v>
          </cell>
          <cell r="B155">
            <v>1001</v>
          </cell>
          <cell r="C155" t="str">
            <v>APEVITIN BC XPE FRC/240ML</v>
          </cell>
          <cell r="D155" t="str">
            <v>FR X 240 ML</v>
          </cell>
          <cell r="E155" t="str">
            <v>AM</v>
          </cell>
          <cell r="F155">
            <v>0.80710000000000004</v>
          </cell>
          <cell r="G155">
            <v>0</v>
          </cell>
          <cell r="H155">
            <v>0.80710000000000004</v>
          </cell>
        </row>
        <row r="156">
          <cell r="A156" t="str">
            <v>1226AM</v>
          </cell>
          <cell r="B156">
            <v>1226</v>
          </cell>
          <cell r="C156" t="str">
            <v>BENZIFLEX 10MG 1BLX15COMP.REV-E</v>
          </cell>
          <cell r="D156" t="str">
            <v>1 BL X 15 COMP.</v>
          </cell>
          <cell r="E156" t="str">
            <v>AM</v>
          </cell>
          <cell r="F156">
            <v>0.71</v>
          </cell>
          <cell r="G156">
            <v>0</v>
          </cell>
          <cell r="H156">
            <v>0.71</v>
          </cell>
        </row>
        <row r="157">
          <cell r="A157" t="str">
            <v>1227AM</v>
          </cell>
          <cell r="B157">
            <v>1227</v>
          </cell>
          <cell r="C157" t="str">
            <v>BENZIFLEX 10MG 2BLX15COMP.REV-E</v>
          </cell>
          <cell r="D157" t="str">
            <v>2 BL X 15 COMP.</v>
          </cell>
          <cell r="E157" t="str">
            <v>AM</v>
          </cell>
          <cell r="F157">
            <v>0.71</v>
          </cell>
          <cell r="G157">
            <v>0</v>
          </cell>
          <cell r="H157">
            <v>0.71</v>
          </cell>
        </row>
        <row r="158">
          <cell r="A158" t="str">
            <v>1233AM</v>
          </cell>
          <cell r="B158">
            <v>1233</v>
          </cell>
          <cell r="C158" t="str">
            <v>BENZIFLEX 5MG 2BLX15COMP.REV-E</v>
          </cell>
          <cell r="D158" t="str">
            <v>2 BL X 15 COMP.</v>
          </cell>
          <cell r="E158" t="str">
            <v>AM</v>
          </cell>
          <cell r="F158">
            <v>0.71</v>
          </cell>
          <cell r="G158">
            <v>0</v>
          </cell>
          <cell r="H158">
            <v>0.71</v>
          </cell>
        </row>
        <row r="159">
          <cell r="A159" t="str">
            <v>1574AM</v>
          </cell>
          <cell r="B159">
            <v>1574</v>
          </cell>
          <cell r="C159" t="str">
            <v>BENZIFLEX LIS 125MG+5MG 15COM.REV.-E</v>
          </cell>
          <cell r="D159" t="str">
            <v>1 BL X 15 COMP.</v>
          </cell>
          <cell r="E159" t="str">
            <v>AM</v>
          </cell>
          <cell r="F159">
            <v>0.5</v>
          </cell>
          <cell r="G159">
            <v>0</v>
          </cell>
          <cell r="H159">
            <v>0.5</v>
          </cell>
        </row>
        <row r="160">
          <cell r="A160" t="str">
            <v>2292AM</v>
          </cell>
          <cell r="B160">
            <v>2292</v>
          </cell>
          <cell r="C160" t="str">
            <v>BENZIFLEX LIS 125MG+5MG 2BL15 COM.REV.-E</v>
          </cell>
          <cell r="D160" t="str">
            <v>2 BL X 15 COMP.</v>
          </cell>
          <cell r="E160" t="str">
            <v>AM</v>
          </cell>
          <cell r="F160">
            <v>0.53</v>
          </cell>
          <cell r="G160">
            <v>0</v>
          </cell>
          <cell r="H160">
            <v>0.53</v>
          </cell>
        </row>
        <row r="161">
          <cell r="A161" t="str">
            <v>1155AM</v>
          </cell>
          <cell r="B161">
            <v>1155</v>
          </cell>
          <cell r="C161" t="str">
            <v>BIOFLADEX AEROSSOL 60G- E</v>
          </cell>
          <cell r="D161" t="str">
            <v>FRASCO 60 G</v>
          </cell>
          <cell r="E161" t="str">
            <v>AM</v>
          </cell>
          <cell r="F161">
            <v>0.66</v>
          </cell>
          <cell r="G161">
            <v>0</v>
          </cell>
          <cell r="H161">
            <v>0.66</v>
          </cell>
        </row>
        <row r="162">
          <cell r="A162" t="str">
            <v>1072AM</v>
          </cell>
          <cell r="B162">
            <v>1072</v>
          </cell>
          <cell r="C162" t="str">
            <v>BISURAN 4MG/5ML XPE INF 120ML-E</v>
          </cell>
          <cell r="D162" t="str">
            <v>FR X 120 ML</v>
          </cell>
          <cell r="E162" t="str">
            <v>AM</v>
          </cell>
          <cell r="F162">
            <v>0.53</v>
          </cell>
          <cell r="G162">
            <v>0</v>
          </cell>
          <cell r="H162">
            <v>0.53</v>
          </cell>
        </row>
        <row r="163">
          <cell r="A163" t="str">
            <v>1318AM</v>
          </cell>
          <cell r="B163">
            <v>1318</v>
          </cell>
          <cell r="C163" t="str">
            <v>BISURAN 8MG/5ML XPE AD. 120ML-E</v>
          </cell>
          <cell r="D163" t="str">
            <v>FR X 120 ML</v>
          </cell>
          <cell r="E163" t="str">
            <v>AM</v>
          </cell>
          <cell r="F163">
            <v>0.61999999999999988</v>
          </cell>
          <cell r="G163">
            <v>0</v>
          </cell>
          <cell r="H163">
            <v>0.61999999999999988</v>
          </cell>
        </row>
        <row r="164">
          <cell r="A164" t="str">
            <v>2141AM</v>
          </cell>
          <cell r="B164">
            <v>2141</v>
          </cell>
          <cell r="C164" t="str">
            <v>CELERGIN 20 COMP-E</v>
          </cell>
          <cell r="D164" t="str">
            <v>CX. C/20 COMP.</v>
          </cell>
          <cell r="E164" t="str">
            <v>AM</v>
          </cell>
          <cell r="F164">
            <v>0.65649999999999986</v>
          </cell>
          <cell r="G164">
            <v>0</v>
          </cell>
          <cell r="H164">
            <v>0.65649999999999986</v>
          </cell>
        </row>
        <row r="165">
          <cell r="A165" t="str">
            <v>2346CE</v>
          </cell>
          <cell r="B165">
            <v>2346</v>
          </cell>
          <cell r="C165" t="str">
            <v>ALLEXOFEDRIN PEDIATRICO6MG/MLSUS 60ML-E</v>
          </cell>
          <cell r="D165" t="str">
            <v>6MG/MLSUS 60ML-E</v>
          </cell>
          <cell r="E165" t="str">
            <v>CE</v>
          </cell>
          <cell r="F165">
            <v>0.5514</v>
          </cell>
          <cell r="G165">
            <v>0</v>
          </cell>
          <cell r="H165">
            <v>0.5514</v>
          </cell>
        </row>
        <row r="166">
          <cell r="A166" t="str">
            <v>2322AM</v>
          </cell>
          <cell r="B166">
            <v>2322</v>
          </cell>
          <cell r="C166" t="str">
            <v>CLOPE 3,54MG/ML XPE 120ML FR PLAS-E</v>
          </cell>
          <cell r="D166" t="str">
            <v>FR X 120 ML</v>
          </cell>
          <cell r="E166" t="str">
            <v>AM</v>
          </cell>
          <cell r="F166">
            <v>0.53</v>
          </cell>
          <cell r="G166">
            <v>0</v>
          </cell>
          <cell r="H166">
            <v>0.53</v>
          </cell>
        </row>
        <row r="167">
          <cell r="A167" t="str">
            <v>2383AM</v>
          </cell>
          <cell r="B167">
            <v>2383</v>
          </cell>
          <cell r="C167" t="str">
            <v>COMPLEXO B 12 XPE FR C/120ML E</v>
          </cell>
          <cell r="D167" t="str">
            <v>FR X 120 ML</v>
          </cell>
          <cell r="E167" t="str">
            <v>AM</v>
          </cell>
          <cell r="F167">
            <v>0.67000000000000015</v>
          </cell>
          <cell r="G167">
            <v>0</v>
          </cell>
          <cell r="H167">
            <v>0.67000000000000015</v>
          </cell>
        </row>
        <row r="168">
          <cell r="A168" t="str">
            <v>2384AM</v>
          </cell>
          <cell r="B168">
            <v>2384</v>
          </cell>
          <cell r="C168" t="str">
            <v>COMPLEXO B CPR REVEST x 20</v>
          </cell>
          <cell r="D168" t="str">
            <v xml:space="preserve">FR X 20 </v>
          </cell>
          <cell r="E168" t="str">
            <v>AM</v>
          </cell>
          <cell r="F168">
            <v>0.66000000000000014</v>
          </cell>
          <cell r="G168">
            <v>0</v>
          </cell>
          <cell r="H168">
            <v>0.66000000000000014</v>
          </cell>
        </row>
        <row r="169">
          <cell r="A169" t="str">
            <v>2382AM</v>
          </cell>
          <cell r="B169">
            <v>2382</v>
          </cell>
          <cell r="C169" t="str">
            <v>COMPLEXO B FR C/100 COM REV  E</v>
          </cell>
          <cell r="D169" t="str">
            <v>FR X 100</v>
          </cell>
          <cell r="E169" t="str">
            <v>AM</v>
          </cell>
          <cell r="F169">
            <v>0.64000000000000012</v>
          </cell>
          <cell r="G169">
            <v>0</v>
          </cell>
          <cell r="H169">
            <v>0.64000000000000012</v>
          </cell>
        </row>
        <row r="170">
          <cell r="A170" t="str">
            <v>2011AM</v>
          </cell>
          <cell r="B170">
            <v>2011</v>
          </cell>
          <cell r="C170" t="str">
            <v>CYSTEX FR C/24 DRG</v>
          </cell>
          <cell r="D170" t="str">
            <v xml:space="preserve">FR X 24 </v>
          </cell>
          <cell r="E170" t="str">
            <v>AM</v>
          </cell>
          <cell r="F170">
            <v>0.36070000000000002</v>
          </cell>
          <cell r="G170">
            <v>0</v>
          </cell>
          <cell r="H170">
            <v>0.36070000000000002</v>
          </cell>
        </row>
        <row r="171">
          <cell r="A171" t="str">
            <v>1837AM</v>
          </cell>
          <cell r="B171">
            <v>1837</v>
          </cell>
          <cell r="C171" t="str">
            <v>DIOVASES 450+50MG C/30 COM.REV. - E</v>
          </cell>
          <cell r="D171" t="str">
            <v>2 BL X 15 COMP.</v>
          </cell>
          <cell r="E171" t="str">
            <v>AM</v>
          </cell>
          <cell r="F171">
            <v>0.68</v>
          </cell>
          <cell r="G171">
            <v>0</v>
          </cell>
          <cell r="H171">
            <v>0.68</v>
          </cell>
        </row>
        <row r="172">
          <cell r="A172" t="str">
            <v>1838AM</v>
          </cell>
          <cell r="B172">
            <v>1838</v>
          </cell>
          <cell r="C172" t="str">
            <v>DIOVASES 450+50MG C/60 COM.REV. - E</v>
          </cell>
          <cell r="D172" t="str">
            <v>4 BL X 15 COMP.</v>
          </cell>
          <cell r="E172" t="str">
            <v>AM</v>
          </cell>
          <cell r="F172">
            <v>0.72</v>
          </cell>
          <cell r="G172">
            <v>0</v>
          </cell>
          <cell r="H172">
            <v>0.72</v>
          </cell>
        </row>
        <row r="173">
          <cell r="A173" t="str">
            <v>2261AM</v>
          </cell>
          <cell r="B173">
            <v>2261</v>
          </cell>
          <cell r="C173" t="str">
            <v>DORICIN CPR x 24</v>
          </cell>
          <cell r="D173" t="str">
            <v>2BL C/12 COMPRIMIDOS -E</v>
          </cell>
          <cell r="E173" t="str">
            <v>AM</v>
          </cell>
          <cell r="F173">
            <v>0.74099999999999999</v>
          </cell>
          <cell r="G173">
            <v>0</v>
          </cell>
          <cell r="H173">
            <v>0.74099999999999999</v>
          </cell>
        </row>
        <row r="174">
          <cell r="A174" t="str">
            <v>2264AM</v>
          </cell>
          <cell r="B174">
            <v>2264</v>
          </cell>
          <cell r="C174" t="str">
            <v>DORICIN CPR x 300</v>
          </cell>
          <cell r="D174" t="str">
            <v>30BL C/10 COMPRIMIDOS -E</v>
          </cell>
          <cell r="E174" t="str">
            <v>AM</v>
          </cell>
          <cell r="F174">
            <v>0.74099999999999999</v>
          </cell>
          <cell r="G174">
            <v>0</v>
          </cell>
          <cell r="H174">
            <v>0.74099999999999999</v>
          </cell>
        </row>
        <row r="175">
          <cell r="A175" t="str">
            <v>2262AM</v>
          </cell>
          <cell r="B175">
            <v>2262</v>
          </cell>
          <cell r="C175" t="str">
            <v>DORICIN CPR X 36</v>
          </cell>
          <cell r="D175" t="str">
            <v>3BL C/12 COMPRIMIDOS -E</v>
          </cell>
          <cell r="E175" t="str">
            <v>AM</v>
          </cell>
          <cell r="F175">
            <v>0.75139999999999996</v>
          </cell>
          <cell r="G175">
            <v>0</v>
          </cell>
          <cell r="H175">
            <v>0.75139999999999996</v>
          </cell>
        </row>
        <row r="176">
          <cell r="A176" t="str">
            <v>2263AM</v>
          </cell>
          <cell r="B176">
            <v>2263</v>
          </cell>
          <cell r="C176" t="str">
            <v>DORICIN CPR X 50</v>
          </cell>
          <cell r="D176" t="str">
            <v>5BL C/10 COMPRIMIDOS - E</v>
          </cell>
          <cell r="E176" t="str">
            <v>AM</v>
          </cell>
          <cell r="F176">
            <v>0.66100000000000003</v>
          </cell>
          <cell r="G176">
            <v>0</v>
          </cell>
          <cell r="H176">
            <v>0.66100000000000003</v>
          </cell>
        </row>
        <row r="177">
          <cell r="A177" t="str">
            <v>1173AM</v>
          </cell>
          <cell r="B177">
            <v>1173</v>
          </cell>
          <cell r="C177" t="str">
            <v>DORICIN GOTAS 20ML x 1</v>
          </cell>
          <cell r="D177" t="str">
            <v>FR X 20 ML</v>
          </cell>
          <cell r="E177" t="str">
            <v>AM</v>
          </cell>
          <cell r="F177">
            <v>0.65</v>
          </cell>
          <cell r="G177">
            <v>0</v>
          </cell>
          <cell r="H177">
            <v>0.65</v>
          </cell>
        </row>
        <row r="178">
          <cell r="A178" t="str">
            <v>2018AM</v>
          </cell>
          <cell r="B178">
            <v>2018</v>
          </cell>
          <cell r="C178" t="str">
            <v>EMISTIN BLT 1X20=20COMP</v>
          </cell>
          <cell r="D178" t="str">
            <v>1 BL X 20</v>
          </cell>
          <cell r="E178" t="str">
            <v>AM</v>
          </cell>
          <cell r="F178">
            <v>0.67</v>
          </cell>
          <cell r="G178">
            <v>0</v>
          </cell>
          <cell r="H178">
            <v>0.67</v>
          </cell>
        </row>
        <row r="179">
          <cell r="A179" t="str">
            <v>3008AM</v>
          </cell>
          <cell r="B179">
            <v>3008</v>
          </cell>
          <cell r="C179" t="str">
            <v>EMISTIN CR BG C/20G</v>
          </cell>
          <cell r="D179" t="str">
            <v>BISN X 20 G</v>
          </cell>
          <cell r="E179" t="str">
            <v>AM</v>
          </cell>
          <cell r="F179">
            <v>0.77</v>
          </cell>
          <cell r="G179">
            <v>0</v>
          </cell>
          <cell r="H179">
            <v>0.77</v>
          </cell>
        </row>
        <row r="180">
          <cell r="A180" t="str">
            <v>3020AM</v>
          </cell>
          <cell r="B180">
            <v>3020</v>
          </cell>
          <cell r="C180" t="str">
            <v>EMSCORT CR BG C/30G</v>
          </cell>
          <cell r="D180" t="str">
            <v>BISN X 30 G</v>
          </cell>
          <cell r="E180" t="str">
            <v>AM</v>
          </cell>
          <cell r="F180">
            <v>0.77000000000000013</v>
          </cell>
          <cell r="G180">
            <v>0</v>
          </cell>
          <cell r="H180">
            <v>0.77000000000000013</v>
          </cell>
        </row>
        <row r="181">
          <cell r="A181" t="str">
            <v>6023AM</v>
          </cell>
          <cell r="B181">
            <v>6023</v>
          </cell>
          <cell r="C181" t="str">
            <v>EMSCORT POM BISN 30G-E</v>
          </cell>
          <cell r="D181" t="str">
            <v>BISN X 30 G</v>
          </cell>
          <cell r="E181" t="str">
            <v>AM</v>
          </cell>
          <cell r="F181">
            <v>0.7639999999999999</v>
          </cell>
          <cell r="G181">
            <v>0</v>
          </cell>
          <cell r="H181">
            <v>0.7639999999999999</v>
          </cell>
        </row>
        <row r="182">
          <cell r="A182" t="str">
            <v>1190AM</v>
          </cell>
          <cell r="B182">
            <v>1190</v>
          </cell>
          <cell r="C182" t="str">
            <v>EMSEXPECTOR XAROPE FR C/120ML - E</v>
          </cell>
          <cell r="D182" t="str">
            <v>FR X 120 ML</v>
          </cell>
          <cell r="E182" t="str">
            <v>AM</v>
          </cell>
          <cell r="F182">
            <v>0.48</v>
          </cell>
          <cell r="G182">
            <v>0</v>
          </cell>
          <cell r="H182">
            <v>0.48</v>
          </cell>
        </row>
        <row r="183">
          <cell r="A183" t="str">
            <v>2111AM</v>
          </cell>
          <cell r="B183">
            <v>2111</v>
          </cell>
          <cell r="C183" t="str">
            <v>ENDCOFF PAST MEL ELIMAO C/12UN</v>
          </cell>
          <cell r="D183" t="str">
            <v>3 STP X 4</v>
          </cell>
          <cell r="E183" t="str">
            <v>AM</v>
          </cell>
          <cell r="F183">
            <v>0.48</v>
          </cell>
          <cell r="G183">
            <v>0</v>
          </cell>
          <cell r="H183">
            <v>0.48</v>
          </cell>
        </row>
        <row r="184">
          <cell r="A184" t="str">
            <v>2092AM</v>
          </cell>
          <cell r="B184">
            <v>2092</v>
          </cell>
          <cell r="C184" t="str">
            <v>ENDCOFF PAST STP MENTA C/12 UN</v>
          </cell>
          <cell r="D184" t="str">
            <v>3 STP X 4</v>
          </cell>
          <cell r="E184" t="str">
            <v>AM</v>
          </cell>
          <cell r="F184">
            <v>0.48</v>
          </cell>
          <cell r="G184">
            <v>0</v>
          </cell>
          <cell r="H184">
            <v>0.48</v>
          </cell>
        </row>
        <row r="185">
          <cell r="A185" t="str">
            <v>1905AM</v>
          </cell>
          <cell r="B185">
            <v>1905</v>
          </cell>
          <cell r="C185" t="str">
            <v>ESMOG 20MG 4BLTC/7 COM REV LIB RETARD- E</v>
          </cell>
          <cell r="D185" t="str">
            <v>4 BLT C/7</v>
          </cell>
          <cell r="E185" t="str">
            <v>AM</v>
          </cell>
          <cell r="F185">
            <v>0.77800000000000002</v>
          </cell>
          <cell r="G185">
            <v>0</v>
          </cell>
          <cell r="H185">
            <v>0.77800000000000002</v>
          </cell>
        </row>
        <row r="186">
          <cell r="A186" t="str">
            <v>1906AM</v>
          </cell>
          <cell r="B186">
            <v>1906</v>
          </cell>
          <cell r="C186" t="str">
            <v>ESMOG 40MG 4BLTC/7 COM REV LIB RETARD- E</v>
          </cell>
          <cell r="D186" t="str">
            <v>4 BLT C/7</v>
          </cell>
          <cell r="E186" t="str">
            <v>AM</v>
          </cell>
          <cell r="F186">
            <v>0.8</v>
          </cell>
          <cell r="G186">
            <v>0</v>
          </cell>
          <cell r="H186">
            <v>0.8</v>
          </cell>
        </row>
        <row r="187">
          <cell r="A187" t="str">
            <v>1016AM</v>
          </cell>
          <cell r="B187">
            <v>1016</v>
          </cell>
          <cell r="C187" t="str">
            <v>EXPECTUSS XPE ADULTO FR C/100ML</v>
          </cell>
          <cell r="D187" t="str">
            <v>FR X 100 ML</v>
          </cell>
          <cell r="E187" t="str">
            <v>AM</v>
          </cell>
          <cell r="F187">
            <v>0.55000000000000016</v>
          </cell>
          <cell r="G187">
            <v>0</v>
          </cell>
          <cell r="H187">
            <v>0.55000000000000016</v>
          </cell>
        </row>
        <row r="188">
          <cell r="A188" t="str">
            <v>1015AM</v>
          </cell>
          <cell r="B188">
            <v>1015</v>
          </cell>
          <cell r="C188" t="str">
            <v>EXPECTUSS XPE INF FR C/100ML</v>
          </cell>
          <cell r="D188" t="str">
            <v>FR X 100 ML</v>
          </cell>
          <cell r="E188" t="str">
            <v>AM</v>
          </cell>
          <cell r="F188">
            <v>0.5099999999999999</v>
          </cell>
          <cell r="G188">
            <v>0</v>
          </cell>
          <cell r="H188">
            <v>0.5099999999999999</v>
          </cell>
        </row>
        <row r="189">
          <cell r="A189" t="str">
            <v>1363AM</v>
          </cell>
          <cell r="B189">
            <v>1363</v>
          </cell>
          <cell r="C189" t="str">
            <v>FLUITEINA 600MG GRAN 16ENV 5G-E</v>
          </cell>
          <cell r="D189" t="str">
            <v>CX. C/16 ENV X 5GR</v>
          </cell>
          <cell r="E189" t="str">
            <v>AM</v>
          </cell>
          <cell r="F189">
            <v>0.42999999999999994</v>
          </cell>
          <cell r="G189">
            <v>0</v>
          </cell>
          <cell r="H189">
            <v>0.42999999999999994</v>
          </cell>
        </row>
        <row r="190">
          <cell r="A190" t="str">
            <v>1364AM</v>
          </cell>
          <cell r="B190">
            <v>1364</v>
          </cell>
          <cell r="C190" t="str">
            <v>FLUITEINA XPE AD 40MG/ML120ML-E</v>
          </cell>
          <cell r="D190" t="str">
            <v>FR X 120 ML</v>
          </cell>
          <cell r="E190" t="str">
            <v>AM</v>
          </cell>
          <cell r="F190">
            <v>0.56999999999999973</v>
          </cell>
          <cell r="G190">
            <v>0</v>
          </cell>
          <cell r="H190">
            <v>0.56999999999999973</v>
          </cell>
        </row>
        <row r="191">
          <cell r="A191" t="str">
            <v>1163AM</v>
          </cell>
          <cell r="B191">
            <v>1163</v>
          </cell>
          <cell r="C191" t="str">
            <v>FLUITEINA XPE INF 20MG/ML 120ML-E</v>
          </cell>
          <cell r="D191" t="str">
            <v>FR X 120 ML</v>
          </cell>
          <cell r="E191" t="str">
            <v>AM</v>
          </cell>
          <cell r="F191">
            <v>0.51900000000000002</v>
          </cell>
          <cell r="G191">
            <v>0</v>
          </cell>
          <cell r="H191">
            <v>0.51900000000000002</v>
          </cell>
        </row>
        <row r="192">
          <cell r="A192" t="str">
            <v>1168AM</v>
          </cell>
          <cell r="B192">
            <v>1168</v>
          </cell>
          <cell r="C192" t="str">
            <v>FOLIFOLIN 5MG 2BLTX15COMP - E</v>
          </cell>
          <cell r="D192" t="str">
            <v>2 BLT X 15 COMP.</v>
          </cell>
          <cell r="E192" t="str">
            <v>AM</v>
          </cell>
          <cell r="F192">
            <v>0.66</v>
          </cell>
          <cell r="G192">
            <v>0</v>
          </cell>
          <cell r="H192">
            <v>0.66</v>
          </cell>
        </row>
        <row r="193">
          <cell r="A193" t="str">
            <v>2318AM</v>
          </cell>
          <cell r="B193">
            <v>2318</v>
          </cell>
          <cell r="C193" t="str">
            <v>GEROVITAL  2BLT15 CAP MOLE-E</v>
          </cell>
          <cell r="D193" t="str">
            <v>3 BL X 10</v>
          </cell>
          <cell r="E193" t="str">
            <v>AM</v>
          </cell>
          <cell r="F193">
            <v>0.57899999999999996</v>
          </cell>
          <cell r="G193">
            <v>0</v>
          </cell>
          <cell r="H193">
            <v>0.57899999999999996</v>
          </cell>
        </row>
        <row r="194">
          <cell r="A194" t="str">
            <v>2062AM</v>
          </cell>
          <cell r="B194">
            <v>2062</v>
          </cell>
          <cell r="C194" t="str">
            <v>GEROVITAL 3BLT C/20 CAP</v>
          </cell>
          <cell r="D194" t="str">
            <v>6 BL X 10</v>
          </cell>
          <cell r="E194" t="str">
            <v>AM</v>
          </cell>
          <cell r="F194">
            <v>0.48100000000000004</v>
          </cell>
          <cell r="G194">
            <v>0</v>
          </cell>
          <cell r="H194">
            <v>0.48100000000000004</v>
          </cell>
        </row>
        <row r="195">
          <cell r="A195" t="str">
            <v>1230AM</v>
          </cell>
          <cell r="B195">
            <v>1230</v>
          </cell>
          <cell r="C195" t="str">
            <v>IBULIV 100MG/ML SUP ORAL C/ 20 ML-E</v>
          </cell>
          <cell r="D195" t="str">
            <v>FR X 20 ML</v>
          </cell>
          <cell r="E195" t="str">
            <v>AM</v>
          </cell>
          <cell r="F195">
            <v>0.68000000000000016</v>
          </cell>
          <cell r="G195">
            <v>0</v>
          </cell>
          <cell r="H195">
            <v>0.68000000000000016</v>
          </cell>
        </row>
        <row r="196">
          <cell r="A196" t="str">
            <v>1472AM</v>
          </cell>
          <cell r="B196">
            <v>1472</v>
          </cell>
          <cell r="C196" t="str">
            <v>IBULIV 400MG 10 BLT C/ 4CAPS GEL.MOLES-E</v>
          </cell>
          <cell r="D196" t="str">
            <v>10 BLT X 4 CÁPS</v>
          </cell>
          <cell r="E196" t="str">
            <v>AM</v>
          </cell>
          <cell r="F196">
            <v>0.71000000000000019</v>
          </cell>
          <cell r="G196">
            <v>0</v>
          </cell>
          <cell r="H196">
            <v>0.71000000000000019</v>
          </cell>
        </row>
        <row r="197">
          <cell r="A197" t="str">
            <v>2469AM</v>
          </cell>
          <cell r="B197">
            <v>2469</v>
          </cell>
          <cell r="C197" t="str">
            <v>IBULIV 400MG 2 BLT C/ 10CAPS GEL.MOLES-E</v>
          </cell>
          <cell r="D197" t="str">
            <v>20 CÁPS.</v>
          </cell>
          <cell r="E197" t="str">
            <v>AM</v>
          </cell>
          <cell r="F197">
            <v>0.71</v>
          </cell>
          <cell r="G197">
            <v>0</v>
          </cell>
          <cell r="H197">
            <v>0.71</v>
          </cell>
        </row>
        <row r="198">
          <cell r="A198" t="str">
            <v>1471AM</v>
          </cell>
          <cell r="B198">
            <v>1471</v>
          </cell>
          <cell r="C198" t="str">
            <v>IBULIV 400MG 2 BLT C/ 4CAPS GEL.MOLES-E</v>
          </cell>
          <cell r="D198" t="str">
            <v>2 BLT X 4 CÁPS.</v>
          </cell>
          <cell r="E198" t="str">
            <v>AM</v>
          </cell>
          <cell r="F198">
            <v>0.71</v>
          </cell>
          <cell r="G198">
            <v>0</v>
          </cell>
          <cell r="H198">
            <v>0.71</v>
          </cell>
        </row>
        <row r="199">
          <cell r="A199" t="str">
            <v>1175AM</v>
          </cell>
          <cell r="B199">
            <v>1175</v>
          </cell>
          <cell r="C199" t="str">
            <v>INFRALAX 1BLT C/15COMP - EMS</v>
          </cell>
          <cell r="D199" t="str">
            <v>1 BLT C/ 15</v>
          </cell>
          <cell r="E199" t="str">
            <v>AM</v>
          </cell>
          <cell r="F199">
            <v>0.74280000000000002</v>
          </cell>
          <cell r="G199">
            <v>0</v>
          </cell>
          <cell r="H199">
            <v>0.74280000000000002</v>
          </cell>
        </row>
        <row r="200">
          <cell r="A200" t="str">
            <v>1821AM</v>
          </cell>
          <cell r="B200">
            <v>1821</v>
          </cell>
          <cell r="C200" t="str">
            <v>INFRALAX 20BLTX10COMP - E</v>
          </cell>
          <cell r="D200" t="str">
            <v>20 BLT X 10</v>
          </cell>
          <cell r="E200" t="str">
            <v>AM</v>
          </cell>
          <cell r="F200">
            <v>0.81</v>
          </cell>
          <cell r="G200">
            <v>0</v>
          </cell>
          <cell r="H200">
            <v>0.81</v>
          </cell>
        </row>
        <row r="201">
          <cell r="A201" t="str">
            <v>2138AM</v>
          </cell>
          <cell r="B201">
            <v>2138</v>
          </cell>
          <cell r="C201" t="str">
            <v>INFRALAX 2BLT C/15COMP - EMS</v>
          </cell>
          <cell r="D201" t="str">
            <v>2 BL X 15</v>
          </cell>
          <cell r="E201" t="str">
            <v>AM</v>
          </cell>
          <cell r="F201">
            <v>0.74650000000000005</v>
          </cell>
          <cell r="G201">
            <v>0</v>
          </cell>
          <cell r="H201">
            <v>0.74650000000000005</v>
          </cell>
        </row>
        <row r="202">
          <cell r="A202" t="str">
            <v>6011AM</v>
          </cell>
          <cell r="B202">
            <v>6011</v>
          </cell>
          <cell r="C202" t="str">
            <v>NARIDRIN 12HS GOTAS FR C/30ML</v>
          </cell>
          <cell r="D202" t="str">
            <v>FR X 30 ML</v>
          </cell>
          <cell r="E202" t="str">
            <v>AM</v>
          </cell>
          <cell r="F202">
            <v>0.74</v>
          </cell>
          <cell r="G202">
            <v>0</v>
          </cell>
          <cell r="H202">
            <v>0.74</v>
          </cell>
        </row>
        <row r="203">
          <cell r="A203" t="str">
            <v>2604AM</v>
          </cell>
          <cell r="B203">
            <v>2604</v>
          </cell>
          <cell r="C203" t="str">
            <v>NARIDRIN ALTO VOL 30ENVX2,16G+FR240ML</v>
          </cell>
          <cell r="D203" t="str">
            <v>30ENVX2,16G+FR240ML</v>
          </cell>
          <cell r="E203" t="str">
            <v>AM</v>
          </cell>
          <cell r="F203">
            <v>0.64</v>
          </cell>
          <cell r="G203">
            <v>0</v>
          </cell>
          <cell r="H203">
            <v>0.64</v>
          </cell>
        </row>
        <row r="204">
          <cell r="A204" t="str">
            <v>2605AM</v>
          </cell>
          <cell r="B204">
            <v>2605</v>
          </cell>
          <cell r="C204" t="str">
            <v>NARIDRIN ALTO VOL REFIL</v>
          </cell>
          <cell r="D204" t="str">
            <v>30 ENV X 2,16G</v>
          </cell>
          <cell r="E204" t="str">
            <v>AM</v>
          </cell>
          <cell r="F204">
            <v>0.59999999999999987</v>
          </cell>
          <cell r="G204">
            <v>0</v>
          </cell>
          <cell r="H204">
            <v>0.59999999999999987</v>
          </cell>
        </row>
        <row r="205">
          <cell r="A205" t="str">
            <v>1433AM</v>
          </cell>
          <cell r="B205">
            <v>1433</v>
          </cell>
          <cell r="C205" t="str">
            <v>NARIDRIN AQUA 9MG/ML FRASCO C/50ML-E</v>
          </cell>
          <cell r="D205" t="str">
            <v>FR X 50 ML SPRAY</v>
          </cell>
          <cell r="E205" t="str">
            <v>AM</v>
          </cell>
          <cell r="F205">
            <v>0.71</v>
          </cell>
          <cell r="G205">
            <v>0</v>
          </cell>
          <cell r="H205">
            <v>0.71</v>
          </cell>
        </row>
        <row r="206">
          <cell r="A206" t="str">
            <v>6005AM</v>
          </cell>
          <cell r="B206">
            <v>6005</v>
          </cell>
          <cell r="C206" t="str">
            <v>NARIDRIN GOTAS AD FR C/15ML</v>
          </cell>
          <cell r="D206" t="str">
            <v>FR X 15 ML</v>
          </cell>
          <cell r="E206" t="str">
            <v>AM</v>
          </cell>
          <cell r="F206">
            <v>0.74</v>
          </cell>
          <cell r="G206">
            <v>0</v>
          </cell>
          <cell r="H206">
            <v>0.74</v>
          </cell>
        </row>
        <row r="207">
          <cell r="A207" t="str">
            <v>6006AM</v>
          </cell>
          <cell r="B207">
            <v>6006</v>
          </cell>
          <cell r="C207" t="str">
            <v>NARIDRIN GOTAS INF FR C/15ML</v>
          </cell>
          <cell r="D207" t="str">
            <v>FR X 15 ML</v>
          </cell>
          <cell r="E207" t="str">
            <v>AM</v>
          </cell>
          <cell r="F207">
            <v>0.72999999999999987</v>
          </cell>
          <cell r="G207">
            <v>0</v>
          </cell>
          <cell r="H207">
            <v>0.72999999999999987</v>
          </cell>
        </row>
        <row r="208">
          <cell r="A208" t="str">
            <v>1079AM</v>
          </cell>
          <cell r="B208">
            <v>1079</v>
          </cell>
          <cell r="C208" t="str">
            <v>NARIDRIN H 30MG/ML SOL.NAS SPRAY 60ML-E</v>
          </cell>
          <cell r="D208" t="str">
            <v>FRASCO X 60ML</v>
          </cell>
          <cell r="E208" t="str">
            <v>AM</v>
          </cell>
          <cell r="F208">
            <v>0.7</v>
          </cell>
          <cell r="G208">
            <v>0</v>
          </cell>
          <cell r="H208">
            <v>0.7</v>
          </cell>
        </row>
        <row r="209">
          <cell r="A209" t="str">
            <v>1368AM</v>
          </cell>
          <cell r="B209">
            <v>1368</v>
          </cell>
          <cell r="C209" t="str">
            <v>NIMESILAM BLT 1X12= 12 COM - E</v>
          </cell>
          <cell r="D209" t="str">
            <v>1 BLT X 12</v>
          </cell>
          <cell r="E209" t="str">
            <v>AM</v>
          </cell>
          <cell r="F209">
            <v>0.89999999999999991</v>
          </cell>
          <cell r="G209">
            <v>0</v>
          </cell>
          <cell r="H209">
            <v>0.89999999999999991</v>
          </cell>
        </row>
        <row r="210">
          <cell r="A210" t="str">
            <v>1367AM</v>
          </cell>
          <cell r="B210">
            <v>1367</v>
          </cell>
          <cell r="C210" t="str">
            <v>NIMESILAM GOTAS FRC/15ML  - E</v>
          </cell>
          <cell r="D210" t="str">
            <v>FR 15 ML</v>
          </cell>
          <cell r="E210" t="str">
            <v>AM</v>
          </cell>
          <cell r="F210">
            <v>0.73</v>
          </cell>
          <cell r="G210">
            <v>0</v>
          </cell>
          <cell r="H210">
            <v>0.73</v>
          </cell>
        </row>
        <row r="211">
          <cell r="A211" t="str">
            <v>2058AM</v>
          </cell>
          <cell r="B211">
            <v>2058</v>
          </cell>
          <cell r="C211" t="str">
            <v>NOCICLIN 1BLT C/21COM-EMS</v>
          </cell>
          <cell r="D211" t="str">
            <v>1 BL X 21</v>
          </cell>
          <cell r="E211" t="str">
            <v>AM</v>
          </cell>
          <cell r="F211">
            <v>0.68</v>
          </cell>
          <cell r="G211">
            <v>0</v>
          </cell>
          <cell r="H211">
            <v>0.68</v>
          </cell>
        </row>
        <row r="212">
          <cell r="A212" t="str">
            <v>2391AM</v>
          </cell>
          <cell r="B212">
            <v>2391</v>
          </cell>
          <cell r="C212" t="str">
            <v>RUDITE 20MG/ML PO SUS 100ML-E</v>
          </cell>
          <cell r="D212" t="str">
            <v>FR X 100 ML</v>
          </cell>
          <cell r="E212" t="str">
            <v>AM</v>
          </cell>
          <cell r="F212">
            <v>0.59899999999999998</v>
          </cell>
          <cell r="G212">
            <v>0</v>
          </cell>
          <cell r="H212">
            <v>0.59899999999999998</v>
          </cell>
        </row>
        <row r="213">
          <cell r="A213" t="str">
            <v>2392AM</v>
          </cell>
          <cell r="B213">
            <v>2392</v>
          </cell>
          <cell r="C213" t="str">
            <v>RUDITE 20MG/ML PO SUS 45ML-E</v>
          </cell>
          <cell r="D213" t="str">
            <v>FR X 45 ML</v>
          </cell>
          <cell r="E213" t="str">
            <v>AM</v>
          </cell>
          <cell r="F213">
            <v>0.58999999999999986</v>
          </cell>
          <cell r="G213">
            <v>0</v>
          </cell>
          <cell r="H213">
            <v>0.58999999999999986</v>
          </cell>
        </row>
        <row r="214">
          <cell r="A214" t="str">
            <v>2390AM</v>
          </cell>
          <cell r="B214">
            <v>2390</v>
          </cell>
          <cell r="C214" t="str">
            <v>RUDITE(C1)500MG C/6 COM REV-E</v>
          </cell>
          <cell r="D214" t="str">
            <v>1 BLT X 6</v>
          </cell>
          <cell r="E214" t="str">
            <v>AM</v>
          </cell>
          <cell r="F214">
            <v>0.7</v>
          </cell>
          <cell r="G214">
            <v>0</v>
          </cell>
          <cell r="H214">
            <v>0.7</v>
          </cell>
        </row>
        <row r="215">
          <cell r="A215" t="str">
            <v>2398AM</v>
          </cell>
          <cell r="B215">
            <v>2398</v>
          </cell>
          <cell r="C215" t="str">
            <v>SOMINEX COMPOS OTC CPR REVEST x 20</v>
          </cell>
          <cell r="D215" t="str">
            <v>2 BL X 10</v>
          </cell>
          <cell r="E215" t="str">
            <v>AM</v>
          </cell>
          <cell r="F215">
            <v>0.68899999999999995</v>
          </cell>
          <cell r="G215">
            <v>0</v>
          </cell>
          <cell r="H215">
            <v>0.68899999999999995</v>
          </cell>
        </row>
        <row r="216">
          <cell r="A216" t="str">
            <v>1818AM</v>
          </cell>
          <cell r="B216">
            <v>1818</v>
          </cell>
          <cell r="C216" t="str">
            <v>SUPLEVIT MULHER VIT. 2BLT C/15 CAP.GEL-E</v>
          </cell>
          <cell r="D216" t="str">
            <v>2 BLT C/15</v>
          </cell>
          <cell r="E216" t="str">
            <v>AM</v>
          </cell>
          <cell r="F216">
            <v>0.82</v>
          </cell>
          <cell r="G216">
            <v>0</v>
          </cell>
          <cell r="H216">
            <v>0.82</v>
          </cell>
        </row>
        <row r="217">
          <cell r="A217" t="str">
            <v>1819AM</v>
          </cell>
          <cell r="B217">
            <v>1819</v>
          </cell>
          <cell r="C217" t="str">
            <v>SUPLEVIT MULHER VIT. 4BLT C/15 CAP.GEL-E</v>
          </cell>
          <cell r="D217" t="str">
            <v>4 BLT C/15</v>
          </cell>
          <cell r="E217" t="str">
            <v>AM</v>
          </cell>
          <cell r="F217">
            <v>0.81999999999999984</v>
          </cell>
          <cell r="G217">
            <v>0</v>
          </cell>
          <cell r="H217">
            <v>0.81999999999999984</v>
          </cell>
        </row>
        <row r="218">
          <cell r="A218" t="str">
            <v>2036AM</v>
          </cell>
          <cell r="B218">
            <v>2036</v>
          </cell>
          <cell r="C218" t="str">
            <v>VITAFER FR C/50 COMP-E</v>
          </cell>
          <cell r="D218" t="str">
            <v>FR X 50</v>
          </cell>
          <cell r="E218" t="str">
            <v>AM</v>
          </cell>
          <cell r="F218">
            <v>0.52999999999999992</v>
          </cell>
          <cell r="G218">
            <v>0</v>
          </cell>
          <cell r="H218">
            <v>0.52999999999999992</v>
          </cell>
        </row>
        <row r="219">
          <cell r="A219" t="str">
            <v>60000AP</v>
          </cell>
          <cell r="B219">
            <v>60000</v>
          </cell>
          <cell r="C219" t="str">
            <v>A SAUDE DA MULHER 150ML SOLUCAO</v>
          </cell>
          <cell r="D219" t="str">
            <v>FR X 150 ML</v>
          </cell>
          <cell r="E219" t="str">
            <v>AP</v>
          </cell>
          <cell r="F219">
            <v>0.26999999999999996</v>
          </cell>
          <cell r="G219">
            <v>0</v>
          </cell>
          <cell r="H219">
            <v>0.26999999999999996</v>
          </cell>
        </row>
        <row r="220">
          <cell r="A220" t="str">
            <v>2256AP</v>
          </cell>
          <cell r="B220">
            <v>2256</v>
          </cell>
          <cell r="C220" t="str">
            <v>ALLEXOFEDRIN 120MG 1BLTC/10 COM REV-E</v>
          </cell>
          <cell r="D220" t="str">
            <v>1 BL X 10 COMP REVEST</v>
          </cell>
          <cell r="E220" t="str">
            <v>AP</v>
          </cell>
          <cell r="F220">
            <v>0.75</v>
          </cell>
          <cell r="G220">
            <v>0</v>
          </cell>
          <cell r="H220">
            <v>0.75</v>
          </cell>
        </row>
        <row r="221">
          <cell r="A221" t="str">
            <v>2255AP</v>
          </cell>
          <cell r="B221">
            <v>2255</v>
          </cell>
          <cell r="C221" t="str">
            <v>ALLEXOFEDRIN 180MG 1BLTC/10 COM REV-E</v>
          </cell>
          <cell r="D221" t="str">
            <v>1 BL X 10 COMP REVEST</v>
          </cell>
          <cell r="E221" t="str">
            <v>AP</v>
          </cell>
          <cell r="F221">
            <v>0.74999999999999989</v>
          </cell>
          <cell r="G221">
            <v>0</v>
          </cell>
          <cell r="H221">
            <v>0.74999999999999989</v>
          </cell>
        </row>
        <row r="222">
          <cell r="A222" t="str">
            <v>2133AP</v>
          </cell>
          <cell r="B222">
            <v>2133</v>
          </cell>
          <cell r="C222" t="str">
            <v>ALLEXOFEDRIN D 60+120MG 1BLT C/10C.REV</v>
          </cell>
          <cell r="D222" t="str">
            <v>1 BL X 10 COMP REVEST</v>
          </cell>
          <cell r="E222" t="str">
            <v>AP</v>
          </cell>
          <cell r="F222">
            <v>0.26</v>
          </cell>
          <cell r="G222">
            <v>0</v>
          </cell>
          <cell r="H222">
            <v>0.26</v>
          </cell>
        </row>
        <row r="223">
          <cell r="A223" t="str">
            <v>2346DF</v>
          </cell>
          <cell r="B223">
            <v>2346</v>
          </cell>
          <cell r="C223" t="str">
            <v>ALLEXOFEDRIN PEDIATRICO6MG/MLSUS 60ML-E</v>
          </cell>
          <cell r="D223" t="str">
            <v>6MG/MLSUS 60ML-E</v>
          </cell>
          <cell r="E223" t="str">
            <v>DF</v>
          </cell>
          <cell r="F223">
            <v>0.5514</v>
          </cell>
          <cell r="G223">
            <v>0</v>
          </cell>
          <cell r="H223">
            <v>0.5514</v>
          </cell>
        </row>
        <row r="224">
          <cell r="A224" t="str">
            <v>2347AP</v>
          </cell>
          <cell r="B224">
            <v>2347</v>
          </cell>
          <cell r="C224" t="str">
            <v>ALLEXOFEDRIN PEDIATRICO6MG/MLSUS150 ML-E</v>
          </cell>
          <cell r="D224" t="str">
            <v>6MG/MLSUS150 ML-E</v>
          </cell>
          <cell r="E224" t="str">
            <v>AP</v>
          </cell>
          <cell r="F224">
            <v>0.60909999999999997</v>
          </cell>
          <cell r="G224">
            <v>0</v>
          </cell>
          <cell r="H224">
            <v>0.60909999999999997</v>
          </cell>
        </row>
        <row r="225">
          <cell r="A225" t="str">
            <v>2190AP</v>
          </cell>
          <cell r="B225">
            <v>2190</v>
          </cell>
          <cell r="C225" t="str">
            <v>ANTIVIRAX 400MG 2BLTX15 COM - E</v>
          </cell>
          <cell r="D225" t="str">
            <v>2 BL X 15</v>
          </cell>
          <cell r="E225" t="str">
            <v>AP</v>
          </cell>
          <cell r="F225">
            <v>0.68</v>
          </cell>
          <cell r="G225">
            <v>0</v>
          </cell>
          <cell r="H225">
            <v>0.68</v>
          </cell>
        </row>
        <row r="226">
          <cell r="A226" t="str">
            <v>3009AP</v>
          </cell>
          <cell r="B226">
            <v>3009</v>
          </cell>
          <cell r="C226" t="str">
            <v>ANTIVIRAX CR BG C/10 G</v>
          </cell>
          <cell r="D226" t="str">
            <v>BISN X 10 G</v>
          </cell>
          <cell r="E226" t="str">
            <v>AP</v>
          </cell>
          <cell r="F226">
            <v>0.74999999999999989</v>
          </cell>
          <cell r="G226">
            <v>0</v>
          </cell>
          <cell r="H226">
            <v>0.74999999999999989</v>
          </cell>
        </row>
        <row r="227">
          <cell r="A227" t="str">
            <v>1001AP</v>
          </cell>
          <cell r="B227">
            <v>1001</v>
          </cell>
          <cell r="C227" t="str">
            <v>APEVITIN BC XPE FRC/240ML</v>
          </cell>
          <cell r="D227" t="str">
            <v>FR X 240 ML</v>
          </cell>
          <cell r="E227" t="str">
            <v>AP</v>
          </cell>
          <cell r="F227">
            <v>0.80710000000000004</v>
          </cell>
          <cell r="G227">
            <v>0</v>
          </cell>
          <cell r="H227">
            <v>0.80710000000000004</v>
          </cell>
        </row>
        <row r="228">
          <cell r="A228" t="str">
            <v>1226AP</v>
          </cell>
          <cell r="B228">
            <v>1226</v>
          </cell>
          <cell r="C228" t="str">
            <v>BENZIFLEX 10MG 1BLX15COMP.REV-E</v>
          </cell>
          <cell r="D228" t="str">
            <v>1 BL X 15 COMP.</v>
          </cell>
          <cell r="E228" t="str">
            <v>AP</v>
          </cell>
          <cell r="F228">
            <v>0.71</v>
          </cell>
          <cell r="G228">
            <v>0</v>
          </cell>
          <cell r="H228">
            <v>0.71</v>
          </cell>
        </row>
        <row r="229">
          <cell r="A229" t="str">
            <v>1227AP</v>
          </cell>
          <cell r="B229">
            <v>1227</v>
          </cell>
          <cell r="C229" t="str">
            <v>BENZIFLEX 10MG 2BLX15COMP.REV-E</v>
          </cell>
          <cell r="D229" t="str">
            <v>2 BL X 15 COMP.</v>
          </cell>
          <cell r="E229" t="str">
            <v>AP</v>
          </cell>
          <cell r="F229">
            <v>0.71</v>
          </cell>
          <cell r="G229">
            <v>0</v>
          </cell>
          <cell r="H229">
            <v>0.71</v>
          </cell>
        </row>
        <row r="230">
          <cell r="A230" t="str">
            <v>1233AP</v>
          </cell>
          <cell r="B230">
            <v>1233</v>
          </cell>
          <cell r="C230" t="str">
            <v>BENZIFLEX 5MG 2BLX15COMP.REV-E</v>
          </cell>
          <cell r="D230" t="str">
            <v>2 BL X 15 COMP.</v>
          </cell>
          <cell r="E230" t="str">
            <v>AP</v>
          </cell>
          <cell r="F230">
            <v>0.71</v>
          </cell>
          <cell r="G230">
            <v>0</v>
          </cell>
          <cell r="H230">
            <v>0.71</v>
          </cell>
        </row>
        <row r="231">
          <cell r="A231" t="str">
            <v>1574AP</v>
          </cell>
          <cell r="B231">
            <v>1574</v>
          </cell>
          <cell r="C231" t="str">
            <v>BENZIFLEX LIS 125MG+5MG 15COM.REV.-E</v>
          </cell>
          <cell r="D231" t="str">
            <v>1 BL X 15 COMP.</v>
          </cell>
          <cell r="E231" t="str">
            <v>AP</v>
          </cell>
          <cell r="F231">
            <v>0.5</v>
          </cell>
          <cell r="G231">
            <v>0</v>
          </cell>
          <cell r="H231">
            <v>0.5</v>
          </cell>
        </row>
        <row r="232">
          <cell r="A232" t="str">
            <v>2292AP</v>
          </cell>
          <cell r="B232">
            <v>2292</v>
          </cell>
          <cell r="C232" t="str">
            <v>BENZIFLEX LIS 125MG+5MG 2BL15 COM.REV.-E</v>
          </cell>
          <cell r="D232" t="str">
            <v>2 BL X 15 COMP.</v>
          </cell>
          <cell r="E232" t="str">
            <v>AP</v>
          </cell>
          <cell r="F232">
            <v>0.53</v>
          </cell>
          <cell r="G232">
            <v>0</v>
          </cell>
          <cell r="H232">
            <v>0.53</v>
          </cell>
        </row>
        <row r="233">
          <cell r="A233" t="str">
            <v>1155AP</v>
          </cell>
          <cell r="B233">
            <v>1155</v>
          </cell>
          <cell r="C233" t="str">
            <v>BIOFLADEX AEROSSOL 60G- E</v>
          </cell>
          <cell r="D233" t="str">
            <v>FRASCO 60 G</v>
          </cell>
          <cell r="E233" t="str">
            <v>AP</v>
          </cell>
          <cell r="F233">
            <v>0.66</v>
          </cell>
          <cell r="G233">
            <v>0</v>
          </cell>
          <cell r="H233">
            <v>0.66</v>
          </cell>
        </row>
        <row r="234">
          <cell r="A234" t="str">
            <v>1072AP</v>
          </cell>
          <cell r="B234">
            <v>1072</v>
          </cell>
          <cell r="C234" t="str">
            <v>BISURAN 4MG/5ML XPE INF 120ML-E</v>
          </cell>
          <cell r="D234" t="str">
            <v>FR X 120 ML</v>
          </cell>
          <cell r="E234" t="str">
            <v>AP</v>
          </cell>
          <cell r="F234">
            <v>0.53</v>
          </cell>
          <cell r="G234">
            <v>0</v>
          </cell>
          <cell r="H234">
            <v>0.53</v>
          </cell>
        </row>
        <row r="235">
          <cell r="A235" t="str">
            <v>1318AP</v>
          </cell>
          <cell r="B235">
            <v>1318</v>
          </cell>
          <cell r="C235" t="str">
            <v>BISURAN 8MG/5ML XPE AD. 120ML-E</v>
          </cell>
          <cell r="D235" t="str">
            <v>FR X 120 ML</v>
          </cell>
          <cell r="E235" t="str">
            <v>AP</v>
          </cell>
          <cell r="F235">
            <v>0.61999999999999988</v>
          </cell>
          <cell r="G235">
            <v>0</v>
          </cell>
          <cell r="H235">
            <v>0.61999999999999988</v>
          </cell>
        </row>
        <row r="236">
          <cell r="A236" t="str">
            <v>2141AP</v>
          </cell>
          <cell r="B236">
            <v>2141</v>
          </cell>
          <cell r="C236" t="str">
            <v>CELERGIN 20 COMP-E</v>
          </cell>
          <cell r="D236" t="str">
            <v>CX. C/20 COMP.</v>
          </cell>
          <cell r="E236" t="str">
            <v>AP</v>
          </cell>
          <cell r="F236">
            <v>0.65649999999999986</v>
          </cell>
          <cell r="G236">
            <v>0</v>
          </cell>
          <cell r="H236">
            <v>0.65649999999999986</v>
          </cell>
        </row>
        <row r="237">
          <cell r="A237" t="str">
            <v>2346ES</v>
          </cell>
          <cell r="B237">
            <v>2346</v>
          </cell>
          <cell r="C237" t="str">
            <v>ALLEXOFEDRIN PEDIATRICO6MG/MLSUS 60ML-E</v>
          </cell>
          <cell r="D237" t="str">
            <v>6MG/MLSUS 60ML-E</v>
          </cell>
          <cell r="E237" t="str">
            <v>ES</v>
          </cell>
          <cell r="F237">
            <v>0.5514</v>
          </cell>
          <cell r="G237">
            <v>0</v>
          </cell>
          <cell r="H237">
            <v>0.5514</v>
          </cell>
        </row>
        <row r="238">
          <cell r="A238" t="str">
            <v>2322AP</v>
          </cell>
          <cell r="B238">
            <v>2322</v>
          </cell>
          <cell r="C238" t="str">
            <v>CLOPE 3,54MG/ML XPE 120ML FR PLAS-E</v>
          </cell>
          <cell r="D238" t="str">
            <v>FR X 120 ML</v>
          </cell>
          <cell r="E238" t="str">
            <v>AP</v>
          </cell>
          <cell r="F238">
            <v>0.53</v>
          </cell>
          <cell r="G238">
            <v>0</v>
          </cell>
          <cell r="H238">
            <v>0.53</v>
          </cell>
        </row>
        <row r="239">
          <cell r="A239" t="str">
            <v>2383AP</v>
          </cell>
          <cell r="B239">
            <v>2383</v>
          </cell>
          <cell r="C239" t="str">
            <v>COMPLEXO B 12 XPE FR C/120ML E</v>
          </cell>
          <cell r="D239" t="str">
            <v>FR X 120 ML</v>
          </cell>
          <cell r="E239" t="str">
            <v>AP</v>
          </cell>
          <cell r="F239">
            <v>0.67000000000000015</v>
          </cell>
          <cell r="G239">
            <v>0</v>
          </cell>
          <cell r="H239">
            <v>0.67000000000000015</v>
          </cell>
        </row>
        <row r="240">
          <cell r="A240" t="str">
            <v>2384AP</v>
          </cell>
          <cell r="B240">
            <v>2384</v>
          </cell>
          <cell r="C240" t="str">
            <v>COMPLEXO B CPR REVEST x 20</v>
          </cell>
          <cell r="D240" t="str">
            <v xml:space="preserve">FR X 20 </v>
          </cell>
          <cell r="E240" t="str">
            <v>AP</v>
          </cell>
          <cell r="F240">
            <v>0.66000000000000014</v>
          </cell>
          <cell r="G240">
            <v>0</v>
          </cell>
          <cell r="H240">
            <v>0.66000000000000014</v>
          </cell>
        </row>
        <row r="241">
          <cell r="A241" t="str">
            <v>2382AP</v>
          </cell>
          <cell r="B241">
            <v>2382</v>
          </cell>
          <cell r="C241" t="str">
            <v>COMPLEXO B FR C/100 COM REV  E</v>
          </cell>
          <cell r="D241" t="str">
            <v>FR X 100</v>
          </cell>
          <cell r="E241" t="str">
            <v>AP</v>
          </cell>
          <cell r="F241">
            <v>0.64000000000000012</v>
          </cell>
          <cell r="G241">
            <v>0</v>
          </cell>
          <cell r="H241">
            <v>0.64000000000000012</v>
          </cell>
        </row>
        <row r="242">
          <cell r="A242" t="str">
            <v>2011AP</v>
          </cell>
          <cell r="B242">
            <v>2011</v>
          </cell>
          <cell r="C242" t="str">
            <v>CYSTEX FR C/24 DRG</v>
          </cell>
          <cell r="D242" t="str">
            <v xml:space="preserve">FR X 24 </v>
          </cell>
          <cell r="E242" t="str">
            <v>AP</v>
          </cell>
          <cell r="F242">
            <v>0.36070000000000002</v>
          </cell>
          <cell r="G242">
            <v>0</v>
          </cell>
          <cell r="H242">
            <v>0.36070000000000002</v>
          </cell>
        </row>
        <row r="243">
          <cell r="A243" t="str">
            <v>1837AP</v>
          </cell>
          <cell r="B243">
            <v>1837</v>
          </cell>
          <cell r="C243" t="str">
            <v>DIOVASES 450+50MG C/30 COM.REV. - E</v>
          </cell>
          <cell r="D243" t="str">
            <v>2 BL X 15 COMP.</v>
          </cell>
          <cell r="E243" t="str">
            <v>AP</v>
          </cell>
          <cell r="F243">
            <v>0.68</v>
          </cell>
          <cell r="G243">
            <v>0</v>
          </cell>
          <cell r="H243">
            <v>0.68</v>
          </cell>
        </row>
        <row r="244">
          <cell r="A244" t="str">
            <v>1838AP</v>
          </cell>
          <cell r="B244">
            <v>1838</v>
          </cell>
          <cell r="C244" t="str">
            <v>DIOVASES 450+50MG C/60 COM.REV. - E</v>
          </cell>
          <cell r="D244" t="str">
            <v>4 BL X 15 COMP.</v>
          </cell>
          <cell r="E244" t="str">
            <v>AP</v>
          </cell>
          <cell r="F244">
            <v>0.72</v>
          </cell>
          <cell r="G244">
            <v>0</v>
          </cell>
          <cell r="H244">
            <v>0.72</v>
          </cell>
        </row>
        <row r="245">
          <cell r="A245" t="str">
            <v>2261AP</v>
          </cell>
          <cell r="B245">
            <v>2261</v>
          </cell>
          <cell r="C245" t="str">
            <v>DORICIN CPR x 24</v>
          </cell>
          <cell r="D245" t="str">
            <v>2BL C/12 COMPRIMIDOS -E</v>
          </cell>
          <cell r="E245" t="str">
            <v>AP</v>
          </cell>
          <cell r="F245">
            <v>0.74099999999999999</v>
          </cell>
          <cell r="G245">
            <v>0</v>
          </cell>
          <cell r="H245">
            <v>0.74099999999999999</v>
          </cell>
        </row>
        <row r="246">
          <cell r="A246" t="str">
            <v>2264AP</v>
          </cell>
          <cell r="B246">
            <v>2264</v>
          </cell>
          <cell r="C246" t="str">
            <v>DORICIN CPR x 300</v>
          </cell>
          <cell r="D246" t="str">
            <v>30BL C/10 COMPRIMIDOS -E</v>
          </cell>
          <cell r="E246" t="str">
            <v>AP</v>
          </cell>
          <cell r="F246">
            <v>0.74099999999999999</v>
          </cell>
          <cell r="G246">
            <v>0</v>
          </cell>
          <cell r="H246">
            <v>0.74099999999999999</v>
          </cell>
        </row>
        <row r="247">
          <cell r="A247" t="str">
            <v>2262AP</v>
          </cell>
          <cell r="B247">
            <v>2262</v>
          </cell>
          <cell r="C247" t="str">
            <v>DORICIN CPR X 36</v>
          </cell>
          <cell r="D247" t="str">
            <v>3BL C/12 COMPRIMIDOS -E</v>
          </cell>
          <cell r="E247" t="str">
            <v>AP</v>
          </cell>
          <cell r="F247">
            <v>0.75139999999999996</v>
          </cell>
          <cell r="G247">
            <v>0</v>
          </cell>
          <cell r="H247">
            <v>0.75139999999999996</v>
          </cell>
        </row>
        <row r="248">
          <cell r="A248" t="str">
            <v>2263AP</v>
          </cell>
          <cell r="B248">
            <v>2263</v>
          </cell>
          <cell r="C248" t="str">
            <v>DORICIN CPR X 50</v>
          </cell>
          <cell r="D248" t="str">
            <v>5BL C/10 COMPRIMIDOS - E</v>
          </cell>
          <cell r="E248" t="str">
            <v>AP</v>
          </cell>
          <cell r="F248">
            <v>0.66100000000000003</v>
          </cell>
          <cell r="G248">
            <v>0</v>
          </cell>
          <cell r="H248">
            <v>0.66100000000000003</v>
          </cell>
        </row>
        <row r="249">
          <cell r="A249" t="str">
            <v>1173AP</v>
          </cell>
          <cell r="B249">
            <v>1173</v>
          </cell>
          <cell r="C249" t="str">
            <v>DORICIN GOTAS 20ML x 1</v>
          </cell>
          <cell r="D249" t="str">
            <v>FR X 20 ML</v>
          </cell>
          <cell r="E249" t="str">
            <v>AP</v>
          </cell>
          <cell r="F249">
            <v>0.65</v>
          </cell>
          <cell r="G249">
            <v>0</v>
          </cell>
          <cell r="H249">
            <v>0.65</v>
          </cell>
        </row>
        <row r="250">
          <cell r="A250" t="str">
            <v>2018AP</v>
          </cell>
          <cell r="B250">
            <v>2018</v>
          </cell>
          <cell r="C250" t="str">
            <v>EMISTIN BLT 1X20=20COMP</v>
          </cell>
          <cell r="D250" t="str">
            <v>1 BL X 20</v>
          </cell>
          <cell r="E250" t="str">
            <v>AP</v>
          </cell>
          <cell r="F250">
            <v>0.67</v>
          </cell>
          <cell r="G250">
            <v>0</v>
          </cell>
          <cell r="H250">
            <v>0.67</v>
          </cell>
        </row>
        <row r="251">
          <cell r="A251" t="str">
            <v>3008AP</v>
          </cell>
          <cell r="B251">
            <v>3008</v>
          </cell>
          <cell r="C251" t="str">
            <v>EMISTIN CR BG C/20G</v>
          </cell>
          <cell r="D251" t="str">
            <v>BISN X 20 G</v>
          </cell>
          <cell r="E251" t="str">
            <v>AP</v>
          </cell>
          <cell r="F251">
            <v>0.77</v>
          </cell>
          <cell r="G251">
            <v>0</v>
          </cell>
          <cell r="H251">
            <v>0.77</v>
          </cell>
        </row>
        <row r="252">
          <cell r="A252" t="str">
            <v>3020AP</v>
          </cell>
          <cell r="B252">
            <v>3020</v>
          </cell>
          <cell r="C252" t="str">
            <v>EMSCORT CR BG C/30G</v>
          </cell>
          <cell r="D252" t="str">
            <v>BISN X 30 G</v>
          </cell>
          <cell r="E252" t="str">
            <v>AP</v>
          </cell>
          <cell r="F252">
            <v>0.77000000000000013</v>
          </cell>
          <cell r="G252">
            <v>0</v>
          </cell>
          <cell r="H252">
            <v>0.77000000000000013</v>
          </cell>
        </row>
        <row r="253">
          <cell r="A253" t="str">
            <v>6023AP</v>
          </cell>
          <cell r="B253">
            <v>6023</v>
          </cell>
          <cell r="C253" t="str">
            <v>EMSCORT POM BISN 30G-E</v>
          </cell>
          <cell r="D253" t="str">
            <v>BISN X 30 G</v>
          </cell>
          <cell r="E253" t="str">
            <v>AP</v>
          </cell>
          <cell r="F253">
            <v>0.7639999999999999</v>
          </cell>
          <cell r="G253">
            <v>0</v>
          </cell>
          <cell r="H253">
            <v>0.7639999999999999</v>
          </cell>
        </row>
        <row r="254">
          <cell r="A254" t="str">
            <v>1190AP</v>
          </cell>
          <cell r="B254">
            <v>1190</v>
          </cell>
          <cell r="C254" t="str">
            <v>EMSEXPECTOR XAROPE FR C/120ML - E</v>
          </cell>
          <cell r="D254" t="str">
            <v>FR X 120 ML</v>
          </cell>
          <cell r="E254" t="str">
            <v>AP</v>
          </cell>
          <cell r="F254">
            <v>0.48</v>
          </cell>
          <cell r="G254">
            <v>0</v>
          </cell>
          <cell r="H254">
            <v>0.48</v>
          </cell>
        </row>
        <row r="255">
          <cell r="A255" t="str">
            <v>2111AP</v>
          </cell>
          <cell r="B255">
            <v>2111</v>
          </cell>
          <cell r="C255" t="str">
            <v>ENDCOFF PAST MEL ELIMAO C/12UN</v>
          </cell>
          <cell r="D255" t="str">
            <v>3 STP X 4</v>
          </cell>
          <cell r="E255" t="str">
            <v>AP</v>
          </cell>
          <cell r="F255">
            <v>0.48</v>
          </cell>
          <cell r="G255">
            <v>0</v>
          </cell>
          <cell r="H255">
            <v>0.48</v>
          </cell>
        </row>
        <row r="256">
          <cell r="A256" t="str">
            <v>2092AP</v>
          </cell>
          <cell r="B256">
            <v>2092</v>
          </cell>
          <cell r="C256" t="str">
            <v>ENDCOFF PAST STP MENTA C/12 UN</v>
          </cell>
          <cell r="D256" t="str">
            <v>3 STP X 4</v>
          </cell>
          <cell r="E256" t="str">
            <v>AP</v>
          </cell>
          <cell r="F256">
            <v>0.48</v>
          </cell>
          <cell r="G256">
            <v>0</v>
          </cell>
          <cell r="H256">
            <v>0.48</v>
          </cell>
        </row>
        <row r="257">
          <cell r="A257" t="str">
            <v>1905AP</v>
          </cell>
          <cell r="B257">
            <v>1905</v>
          </cell>
          <cell r="C257" t="str">
            <v>ESMOG 20MG 4BLTC/7 COM REV LIB RETARD- E</v>
          </cell>
          <cell r="D257" t="str">
            <v>4 BLT C/7</v>
          </cell>
          <cell r="E257" t="str">
            <v>AP</v>
          </cell>
          <cell r="F257">
            <v>0.77800000000000002</v>
          </cell>
          <cell r="G257">
            <v>0</v>
          </cell>
          <cell r="H257">
            <v>0.77800000000000002</v>
          </cell>
        </row>
        <row r="258">
          <cell r="A258" t="str">
            <v>1906AP</v>
          </cell>
          <cell r="B258">
            <v>1906</v>
          </cell>
          <cell r="C258" t="str">
            <v>ESMOG 40MG 4BLTC/7 COM REV LIB RETARD- E</v>
          </cell>
          <cell r="D258" t="str">
            <v>4 BLT C/7</v>
          </cell>
          <cell r="E258" t="str">
            <v>AP</v>
          </cell>
          <cell r="F258">
            <v>0.8</v>
          </cell>
          <cell r="G258">
            <v>0</v>
          </cell>
          <cell r="H258">
            <v>0.8</v>
          </cell>
        </row>
        <row r="259">
          <cell r="A259" t="str">
            <v>1016AP</v>
          </cell>
          <cell r="B259">
            <v>1016</v>
          </cell>
          <cell r="C259" t="str">
            <v>EXPECTUSS XPE ADULTO FR C/100ML</v>
          </cell>
          <cell r="D259" t="str">
            <v>FR X 100 ML</v>
          </cell>
          <cell r="E259" t="str">
            <v>AP</v>
          </cell>
          <cell r="F259">
            <v>0.55000000000000016</v>
          </cell>
          <cell r="G259">
            <v>0</v>
          </cell>
          <cell r="H259">
            <v>0.55000000000000016</v>
          </cell>
        </row>
        <row r="260">
          <cell r="A260" t="str">
            <v>1015AP</v>
          </cell>
          <cell r="B260">
            <v>1015</v>
          </cell>
          <cell r="C260" t="str">
            <v>EXPECTUSS XPE INF FR C/100ML</v>
          </cell>
          <cell r="D260" t="str">
            <v>FR X 100 ML</v>
          </cell>
          <cell r="E260" t="str">
            <v>AP</v>
          </cell>
          <cell r="F260">
            <v>0.5099999999999999</v>
          </cell>
          <cell r="G260">
            <v>0</v>
          </cell>
          <cell r="H260">
            <v>0.5099999999999999</v>
          </cell>
        </row>
        <row r="261">
          <cell r="A261" t="str">
            <v>1363AP</v>
          </cell>
          <cell r="B261">
            <v>1363</v>
          </cell>
          <cell r="C261" t="str">
            <v>FLUITEINA 600MG GRAN 16ENV 5G-E</v>
          </cell>
          <cell r="D261" t="str">
            <v>CX. C/16 ENV X 5GR</v>
          </cell>
          <cell r="E261" t="str">
            <v>AP</v>
          </cell>
          <cell r="F261">
            <v>0.42999999999999994</v>
          </cell>
          <cell r="G261">
            <v>0</v>
          </cell>
          <cell r="H261">
            <v>0.42999999999999994</v>
          </cell>
        </row>
        <row r="262">
          <cell r="A262" t="str">
            <v>1364AP</v>
          </cell>
          <cell r="B262">
            <v>1364</v>
          </cell>
          <cell r="C262" t="str">
            <v>FLUITEINA XPE AD 40MG/ML120ML-E</v>
          </cell>
          <cell r="D262" t="str">
            <v>FR X 120 ML</v>
          </cell>
          <cell r="E262" t="str">
            <v>AP</v>
          </cell>
          <cell r="F262">
            <v>0.56999999999999973</v>
          </cell>
          <cell r="G262">
            <v>0</v>
          </cell>
          <cell r="H262">
            <v>0.56999999999999973</v>
          </cell>
        </row>
        <row r="263">
          <cell r="A263" t="str">
            <v>1163AP</v>
          </cell>
          <cell r="B263">
            <v>1163</v>
          </cell>
          <cell r="C263" t="str">
            <v>FLUITEINA XPE INF 20MG/ML 120ML-E</v>
          </cell>
          <cell r="D263" t="str">
            <v>FR X 120 ML</v>
          </cell>
          <cell r="E263" t="str">
            <v>AP</v>
          </cell>
          <cell r="F263">
            <v>0.51900000000000002</v>
          </cell>
          <cell r="G263">
            <v>0</v>
          </cell>
          <cell r="H263">
            <v>0.51900000000000002</v>
          </cell>
        </row>
        <row r="264">
          <cell r="A264" t="str">
            <v>1168AP</v>
          </cell>
          <cell r="B264">
            <v>1168</v>
          </cell>
          <cell r="C264" t="str">
            <v>FOLIFOLIN 5MG 2BLTX15COMP - E</v>
          </cell>
          <cell r="D264" t="str">
            <v>2 BLT X 15 COMP.</v>
          </cell>
          <cell r="E264" t="str">
            <v>AP</v>
          </cell>
          <cell r="F264">
            <v>0.66</v>
          </cell>
          <cell r="G264">
            <v>0</v>
          </cell>
          <cell r="H264">
            <v>0.66</v>
          </cell>
        </row>
        <row r="265">
          <cell r="A265" t="str">
            <v>2318AP</v>
          </cell>
          <cell r="B265">
            <v>2318</v>
          </cell>
          <cell r="C265" t="str">
            <v>GEROVITAL  2BLT15 CAP MOLE-E</v>
          </cell>
          <cell r="D265" t="str">
            <v>3 BL X 10</v>
          </cell>
          <cell r="E265" t="str">
            <v>AP</v>
          </cell>
          <cell r="F265">
            <v>0.57899999999999996</v>
          </cell>
          <cell r="G265">
            <v>0</v>
          </cell>
          <cell r="H265">
            <v>0.57899999999999996</v>
          </cell>
        </row>
        <row r="266">
          <cell r="A266" t="str">
            <v>2062AP</v>
          </cell>
          <cell r="B266">
            <v>2062</v>
          </cell>
          <cell r="C266" t="str">
            <v>GEROVITAL 3BLT C/20 CAP</v>
          </cell>
          <cell r="D266" t="str">
            <v>6 BL X 10</v>
          </cell>
          <cell r="E266" t="str">
            <v>AP</v>
          </cell>
          <cell r="F266">
            <v>0.48100000000000004</v>
          </cell>
          <cell r="G266">
            <v>0</v>
          </cell>
          <cell r="H266">
            <v>0.48100000000000004</v>
          </cell>
        </row>
        <row r="267">
          <cell r="A267" t="str">
            <v>1230AP</v>
          </cell>
          <cell r="B267">
            <v>1230</v>
          </cell>
          <cell r="C267" t="str">
            <v>IBULIV 100MG/ML SUP ORAL C/ 20 ML-E</v>
          </cell>
          <cell r="D267" t="str">
            <v>FR X 20 ML</v>
          </cell>
          <cell r="E267" t="str">
            <v>AP</v>
          </cell>
          <cell r="F267">
            <v>0.68000000000000016</v>
          </cell>
          <cell r="G267">
            <v>0</v>
          </cell>
          <cell r="H267">
            <v>0.68000000000000016</v>
          </cell>
        </row>
        <row r="268">
          <cell r="A268" t="str">
            <v>1472AP</v>
          </cell>
          <cell r="B268">
            <v>1472</v>
          </cell>
          <cell r="C268" t="str">
            <v>IBULIV 400MG 10 BLT C/ 4CAPS GEL.MOLES-E</v>
          </cell>
          <cell r="D268" t="str">
            <v>10 BLT X 4 CÁPS</v>
          </cell>
          <cell r="E268" t="str">
            <v>AP</v>
          </cell>
          <cell r="F268">
            <v>0.71000000000000019</v>
          </cell>
          <cell r="G268">
            <v>0</v>
          </cell>
          <cell r="H268">
            <v>0.71000000000000019</v>
          </cell>
        </row>
        <row r="269">
          <cell r="A269" t="str">
            <v>2469AP</v>
          </cell>
          <cell r="B269">
            <v>2469</v>
          </cell>
          <cell r="C269" t="str">
            <v>IBULIV 400MG 2 BLT C/ 10CAPS GEL.MOLES-E</v>
          </cell>
          <cell r="D269" t="str">
            <v>20 CÁPS.</v>
          </cell>
          <cell r="E269" t="str">
            <v>AP</v>
          </cell>
          <cell r="F269">
            <v>0.71</v>
          </cell>
          <cell r="G269">
            <v>0</v>
          </cell>
          <cell r="H269">
            <v>0.71</v>
          </cell>
        </row>
        <row r="270">
          <cell r="A270" t="str">
            <v>1471AP</v>
          </cell>
          <cell r="B270">
            <v>1471</v>
          </cell>
          <cell r="C270" t="str">
            <v>IBULIV 400MG 2 BLT C/ 4CAPS GEL.MOLES-E</v>
          </cell>
          <cell r="D270" t="str">
            <v>2 BLT X 4 CÁPS.</v>
          </cell>
          <cell r="E270" t="str">
            <v>AP</v>
          </cell>
          <cell r="F270">
            <v>0.71</v>
          </cell>
          <cell r="G270">
            <v>0</v>
          </cell>
          <cell r="H270">
            <v>0.71</v>
          </cell>
        </row>
        <row r="271">
          <cell r="A271" t="str">
            <v>1175AP</v>
          </cell>
          <cell r="B271">
            <v>1175</v>
          </cell>
          <cell r="C271" t="str">
            <v>INFRALAX 1BLT C/15COMP - EMS</v>
          </cell>
          <cell r="D271" t="str">
            <v>1 BLT C/ 15</v>
          </cell>
          <cell r="E271" t="str">
            <v>AP</v>
          </cell>
          <cell r="F271">
            <v>0.74280000000000002</v>
          </cell>
          <cell r="G271">
            <v>0</v>
          </cell>
          <cell r="H271">
            <v>0.74280000000000002</v>
          </cell>
        </row>
        <row r="272">
          <cell r="A272" t="str">
            <v>1821AP</v>
          </cell>
          <cell r="B272">
            <v>1821</v>
          </cell>
          <cell r="C272" t="str">
            <v>INFRALAX 20BLTX10COMP - E</v>
          </cell>
          <cell r="D272" t="str">
            <v>20 BLT X 10</v>
          </cell>
          <cell r="E272" t="str">
            <v>AP</v>
          </cell>
          <cell r="F272">
            <v>0.81</v>
          </cell>
          <cell r="G272">
            <v>0</v>
          </cell>
          <cell r="H272">
            <v>0.81</v>
          </cell>
        </row>
        <row r="273">
          <cell r="A273" t="str">
            <v>2138AP</v>
          </cell>
          <cell r="B273">
            <v>2138</v>
          </cell>
          <cell r="C273" t="str">
            <v>INFRALAX 2BLT C/15COMP - EMS</v>
          </cell>
          <cell r="D273" t="str">
            <v>2 BL X 15</v>
          </cell>
          <cell r="E273" t="str">
            <v>AP</v>
          </cell>
          <cell r="F273">
            <v>0.74650000000000005</v>
          </cell>
          <cell r="G273">
            <v>0</v>
          </cell>
          <cell r="H273">
            <v>0.74650000000000005</v>
          </cell>
        </row>
        <row r="274">
          <cell r="A274" t="str">
            <v>6011AP</v>
          </cell>
          <cell r="B274">
            <v>6011</v>
          </cell>
          <cell r="C274" t="str">
            <v>NARIDRIN 12HS GOTAS FR C/30ML</v>
          </cell>
          <cell r="D274" t="str">
            <v>FR X 30 ML</v>
          </cell>
          <cell r="E274" t="str">
            <v>AP</v>
          </cell>
          <cell r="F274">
            <v>0.74</v>
          </cell>
          <cell r="G274">
            <v>0</v>
          </cell>
          <cell r="H274">
            <v>0.74</v>
          </cell>
        </row>
        <row r="275">
          <cell r="A275" t="str">
            <v>2604AP</v>
          </cell>
          <cell r="B275">
            <v>2604</v>
          </cell>
          <cell r="C275" t="str">
            <v>NARIDRIN ALTO VOL 30ENVX2,16G+FR240ML</v>
          </cell>
          <cell r="D275" t="str">
            <v>30ENVX2,16G+FR240ML</v>
          </cell>
          <cell r="E275" t="str">
            <v>AP</v>
          </cell>
          <cell r="F275">
            <v>0.64</v>
          </cell>
          <cell r="G275">
            <v>0</v>
          </cell>
          <cell r="H275">
            <v>0.64</v>
          </cell>
        </row>
        <row r="276">
          <cell r="A276" t="str">
            <v>2605AP</v>
          </cell>
          <cell r="B276">
            <v>2605</v>
          </cell>
          <cell r="C276" t="str">
            <v>NARIDRIN ALTO VOL REFIL</v>
          </cell>
          <cell r="D276" t="str">
            <v>30 ENV X 2,16G</v>
          </cell>
          <cell r="E276" t="str">
            <v>AP</v>
          </cell>
          <cell r="F276">
            <v>0.59999999999999987</v>
          </cell>
          <cell r="G276">
            <v>0</v>
          </cell>
          <cell r="H276">
            <v>0.59999999999999987</v>
          </cell>
        </row>
        <row r="277">
          <cell r="A277" t="str">
            <v>1433AP</v>
          </cell>
          <cell r="B277">
            <v>1433</v>
          </cell>
          <cell r="C277" t="str">
            <v>NARIDRIN AQUA 9MG/ML FRASCO C/50ML-E</v>
          </cell>
          <cell r="D277" t="str">
            <v>FR X 50 ML SPRAY</v>
          </cell>
          <cell r="E277" t="str">
            <v>AP</v>
          </cell>
          <cell r="F277">
            <v>0.71</v>
          </cell>
          <cell r="G277">
            <v>0</v>
          </cell>
          <cell r="H277">
            <v>0.71</v>
          </cell>
        </row>
        <row r="278">
          <cell r="A278" t="str">
            <v>6005AP</v>
          </cell>
          <cell r="B278">
            <v>6005</v>
          </cell>
          <cell r="C278" t="str">
            <v>NARIDRIN GOTAS AD FR C/15ML</v>
          </cell>
          <cell r="D278" t="str">
            <v>FR X 15 ML</v>
          </cell>
          <cell r="E278" t="str">
            <v>AP</v>
          </cell>
          <cell r="F278">
            <v>0.74</v>
          </cell>
          <cell r="G278">
            <v>0</v>
          </cell>
          <cell r="H278">
            <v>0.74</v>
          </cell>
        </row>
        <row r="279">
          <cell r="A279" t="str">
            <v>6006AP</v>
          </cell>
          <cell r="B279">
            <v>6006</v>
          </cell>
          <cell r="C279" t="str">
            <v>NARIDRIN GOTAS INF FR C/15ML</v>
          </cell>
          <cell r="D279" t="str">
            <v>FR X 15 ML</v>
          </cell>
          <cell r="E279" t="str">
            <v>AP</v>
          </cell>
          <cell r="F279">
            <v>0.72999999999999987</v>
          </cell>
          <cell r="G279">
            <v>0</v>
          </cell>
          <cell r="H279">
            <v>0.72999999999999987</v>
          </cell>
        </row>
        <row r="280">
          <cell r="A280" t="str">
            <v>1079AP</v>
          </cell>
          <cell r="B280">
            <v>1079</v>
          </cell>
          <cell r="C280" t="str">
            <v>NARIDRIN H 30MG/ML SOL.NAS SPRAY 60ML-E</v>
          </cell>
          <cell r="D280" t="str">
            <v>FRASCO X 60ML</v>
          </cell>
          <cell r="E280" t="str">
            <v>AP</v>
          </cell>
          <cell r="F280">
            <v>0.7</v>
          </cell>
          <cell r="G280">
            <v>0</v>
          </cell>
          <cell r="H280">
            <v>0.7</v>
          </cell>
        </row>
        <row r="281">
          <cell r="A281" t="str">
            <v>1368AP</v>
          </cell>
          <cell r="B281">
            <v>1368</v>
          </cell>
          <cell r="C281" t="str">
            <v>NIMESILAM BLT 1X12= 12 COM - E</v>
          </cell>
          <cell r="D281" t="str">
            <v>1 BLT X 12</v>
          </cell>
          <cell r="E281" t="str">
            <v>AP</v>
          </cell>
          <cell r="F281">
            <v>0.89999999999999991</v>
          </cell>
          <cell r="G281">
            <v>0</v>
          </cell>
          <cell r="H281">
            <v>0.89999999999999991</v>
          </cell>
        </row>
        <row r="282">
          <cell r="A282" t="str">
            <v>1367AP</v>
          </cell>
          <cell r="B282">
            <v>1367</v>
          </cell>
          <cell r="C282" t="str">
            <v>NIMESILAM GOTAS FRC/15ML  - E</v>
          </cell>
          <cell r="D282" t="str">
            <v>FR 15 ML</v>
          </cell>
          <cell r="E282" t="str">
            <v>AP</v>
          </cell>
          <cell r="F282">
            <v>0.73</v>
          </cell>
          <cell r="G282">
            <v>0</v>
          </cell>
          <cell r="H282">
            <v>0.73</v>
          </cell>
        </row>
        <row r="283">
          <cell r="A283" t="str">
            <v>2058AP</v>
          </cell>
          <cell r="B283">
            <v>2058</v>
          </cell>
          <cell r="C283" t="str">
            <v>NOCICLIN 1BLT C/21COM-EMS</v>
          </cell>
          <cell r="D283" t="str">
            <v>1 BL X 21</v>
          </cell>
          <cell r="E283" t="str">
            <v>AP</v>
          </cell>
          <cell r="F283">
            <v>0.68</v>
          </cell>
          <cell r="G283">
            <v>0</v>
          </cell>
          <cell r="H283">
            <v>0.68</v>
          </cell>
        </row>
        <row r="284">
          <cell r="A284" t="str">
            <v>2391AP</v>
          </cell>
          <cell r="B284">
            <v>2391</v>
          </cell>
          <cell r="C284" t="str">
            <v>RUDITE 20MG/ML PO SUS 100ML-E</v>
          </cell>
          <cell r="D284" t="str">
            <v>FR X 100 ML</v>
          </cell>
          <cell r="E284" t="str">
            <v>AP</v>
          </cell>
          <cell r="F284">
            <v>0.59899999999999998</v>
          </cell>
          <cell r="G284">
            <v>0</v>
          </cell>
          <cell r="H284">
            <v>0.59899999999999998</v>
          </cell>
        </row>
        <row r="285">
          <cell r="A285" t="str">
            <v>2392AP</v>
          </cell>
          <cell r="B285">
            <v>2392</v>
          </cell>
          <cell r="C285" t="str">
            <v>RUDITE 20MG/ML PO SUS 45ML-E</v>
          </cell>
          <cell r="D285" t="str">
            <v>FR X 45 ML</v>
          </cell>
          <cell r="E285" t="str">
            <v>AP</v>
          </cell>
          <cell r="F285">
            <v>0.58999999999999986</v>
          </cell>
          <cell r="G285">
            <v>0</v>
          </cell>
          <cell r="H285">
            <v>0.58999999999999986</v>
          </cell>
        </row>
        <row r="286">
          <cell r="A286" t="str">
            <v>2390AP</v>
          </cell>
          <cell r="B286">
            <v>2390</v>
          </cell>
          <cell r="C286" t="str">
            <v>RUDITE(C1)500MG C/6 COM REV-E</v>
          </cell>
          <cell r="D286" t="str">
            <v>1 BLT X 6</v>
          </cell>
          <cell r="E286" t="str">
            <v>AP</v>
          </cell>
          <cell r="F286">
            <v>0.7</v>
          </cell>
          <cell r="G286">
            <v>0</v>
          </cell>
          <cell r="H286">
            <v>0.7</v>
          </cell>
        </row>
        <row r="287">
          <cell r="A287" t="str">
            <v>2398AP</v>
          </cell>
          <cell r="B287">
            <v>2398</v>
          </cell>
          <cell r="C287" t="str">
            <v>SOMINEX COMPOS OTC CPR REVEST x 20</v>
          </cell>
          <cell r="D287" t="str">
            <v>2 BL X 10</v>
          </cell>
          <cell r="E287" t="str">
            <v>AP</v>
          </cell>
          <cell r="F287">
            <v>0.68899999999999995</v>
          </cell>
          <cell r="G287">
            <v>0</v>
          </cell>
          <cell r="H287">
            <v>0.68899999999999995</v>
          </cell>
        </row>
        <row r="288">
          <cell r="A288" t="str">
            <v>1818AP</v>
          </cell>
          <cell r="B288">
            <v>1818</v>
          </cell>
          <cell r="C288" t="str">
            <v>SUPLEVIT MULHER VIT. 2BLT C/15 CAP.GEL-E</v>
          </cell>
          <cell r="D288" t="str">
            <v>2 BLT C/15</v>
          </cell>
          <cell r="E288" t="str">
            <v>AP</v>
          </cell>
          <cell r="F288">
            <v>0.82</v>
          </cell>
          <cell r="G288">
            <v>0</v>
          </cell>
          <cell r="H288">
            <v>0.82</v>
          </cell>
        </row>
        <row r="289">
          <cell r="A289" t="str">
            <v>1819AP</v>
          </cell>
          <cell r="B289">
            <v>1819</v>
          </cell>
          <cell r="C289" t="str">
            <v>SUPLEVIT MULHER VIT. 4BLT C/15 CAP.GEL-E</v>
          </cell>
          <cell r="D289" t="str">
            <v>4 BLT C/15</v>
          </cell>
          <cell r="E289" t="str">
            <v>AP</v>
          </cell>
          <cell r="F289">
            <v>0.81999999999999984</v>
          </cell>
          <cell r="G289">
            <v>0</v>
          </cell>
          <cell r="H289">
            <v>0.81999999999999984</v>
          </cell>
        </row>
        <row r="290">
          <cell r="A290" t="str">
            <v>2036AP</v>
          </cell>
          <cell r="B290">
            <v>2036</v>
          </cell>
          <cell r="C290" t="str">
            <v>VITAFER FR C/50 COMP-E</v>
          </cell>
          <cell r="D290" t="str">
            <v>FR X 50</v>
          </cell>
          <cell r="E290" t="str">
            <v>AP</v>
          </cell>
          <cell r="F290">
            <v>0.52999999999999992</v>
          </cell>
          <cell r="G290">
            <v>0</v>
          </cell>
          <cell r="H290">
            <v>0.52999999999999992</v>
          </cell>
        </row>
        <row r="291">
          <cell r="A291" t="str">
            <v>60000BA</v>
          </cell>
          <cell r="B291">
            <v>60000</v>
          </cell>
          <cell r="C291" t="str">
            <v>A SAUDE DA MULHER 150ML SOLUCAO</v>
          </cell>
          <cell r="D291" t="str">
            <v>FR X 150 ML</v>
          </cell>
          <cell r="E291" t="str">
            <v>BA</v>
          </cell>
          <cell r="F291">
            <v>0.26999999999999996</v>
          </cell>
          <cell r="G291">
            <v>0</v>
          </cell>
          <cell r="H291">
            <v>0.26999999999999996</v>
          </cell>
        </row>
        <row r="292">
          <cell r="A292" t="str">
            <v>2256BA</v>
          </cell>
          <cell r="B292">
            <v>2256</v>
          </cell>
          <cell r="C292" t="str">
            <v>ALLEXOFEDRIN 120MG 1BLTC/10 COM REV-E</v>
          </cell>
          <cell r="D292" t="str">
            <v>1 BL X 10 COMP REVEST</v>
          </cell>
          <cell r="E292" t="str">
            <v>BA</v>
          </cell>
          <cell r="F292">
            <v>0.75</v>
          </cell>
          <cell r="G292">
            <v>0</v>
          </cell>
          <cell r="H292">
            <v>0.75</v>
          </cell>
        </row>
        <row r="293">
          <cell r="A293" t="str">
            <v>2255BA</v>
          </cell>
          <cell r="B293">
            <v>2255</v>
          </cell>
          <cell r="C293" t="str">
            <v>ALLEXOFEDRIN 180MG 1BLTC/10 COM REV-E</v>
          </cell>
          <cell r="D293" t="str">
            <v>1 BL X 10 COMP REVEST</v>
          </cell>
          <cell r="E293" t="str">
            <v>BA</v>
          </cell>
          <cell r="F293">
            <v>0.74999999999999989</v>
          </cell>
          <cell r="G293">
            <v>0</v>
          </cell>
          <cell r="H293">
            <v>0.74999999999999989</v>
          </cell>
        </row>
        <row r="294">
          <cell r="A294" t="str">
            <v>2133BA</v>
          </cell>
          <cell r="B294">
            <v>2133</v>
          </cell>
          <cell r="C294" t="str">
            <v>ALLEXOFEDRIN D 60+120MG 1BLT C/10C.REV</v>
          </cell>
          <cell r="D294" t="str">
            <v>1 BL X 10 COMP REVEST</v>
          </cell>
          <cell r="E294" t="str">
            <v>BA</v>
          </cell>
          <cell r="F294">
            <v>0.26</v>
          </cell>
          <cell r="G294">
            <v>0</v>
          </cell>
          <cell r="H294">
            <v>0.26</v>
          </cell>
        </row>
        <row r="295">
          <cell r="A295" t="str">
            <v>2346GO</v>
          </cell>
          <cell r="B295">
            <v>2346</v>
          </cell>
          <cell r="C295" t="str">
            <v>ALLEXOFEDRIN PEDIATRICO6MG/MLSUS 60ML-E</v>
          </cell>
          <cell r="D295" t="str">
            <v>6MG/MLSUS 60ML-E</v>
          </cell>
          <cell r="E295" t="str">
            <v>GO</v>
          </cell>
          <cell r="F295">
            <v>0.5514</v>
          </cell>
          <cell r="G295">
            <v>0</v>
          </cell>
          <cell r="H295">
            <v>0.5514</v>
          </cell>
        </row>
        <row r="296">
          <cell r="A296" t="str">
            <v>2347BA</v>
          </cell>
          <cell r="B296">
            <v>2347</v>
          </cell>
          <cell r="C296" t="str">
            <v>ALLEXOFEDRIN PEDIATRICO6MG/MLSUS150 ML-E</v>
          </cell>
          <cell r="D296" t="str">
            <v>6MG/MLSUS150 ML-E</v>
          </cell>
          <cell r="E296" t="str">
            <v>BA</v>
          </cell>
          <cell r="F296">
            <v>0.60909999999999997</v>
          </cell>
          <cell r="G296">
            <v>0</v>
          </cell>
          <cell r="H296">
            <v>0.60909999999999997</v>
          </cell>
        </row>
        <row r="297">
          <cell r="A297" t="str">
            <v>2190BA</v>
          </cell>
          <cell r="B297">
            <v>2190</v>
          </cell>
          <cell r="C297" t="str">
            <v>ANTIVIRAX 400MG 2BLTX15 COM - E</v>
          </cell>
          <cell r="D297" t="str">
            <v>2 BL X 15</v>
          </cell>
          <cell r="E297" t="str">
            <v>BA</v>
          </cell>
          <cell r="F297">
            <v>0.68</v>
          </cell>
          <cell r="G297">
            <v>0</v>
          </cell>
          <cell r="H297">
            <v>0.68</v>
          </cell>
        </row>
        <row r="298">
          <cell r="A298" t="str">
            <v>3009BA</v>
          </cell>
          <cell r="B298">
            <v>3009</v>
          </cell>
          <cell r="C298" t="str">
            <v>ANTIVIRAX CR BG C/10 G</v>
          </cell>
          <cell r="D298" t="str">
            <v>BISN X 10 G</v>
          </cell>
          <cell r="E298" t="str">
            <v>BA</v>
          </cell>
          <cell r="F298">
            <v>0.74999999999999989</v>
          </cell>
          <cell r="G298">
            <v>0</v>
          </cell>
          <cell r="H298">
            <v>0.74999999999999989</v>
          </cell>
        </row>
        <row r="299">
          <cell r="A299" t="str">
            <v>1001BA</v>
          </cell>
          <cell r="B299">
            <v>1001</v>
          </cell>
          <cell r="C299" t="str">
            <v>APEVITIN BC XPE FRC/240ML</v>
          </cell>
          <cell r="D299" t="str">
            <v>FR X 240 ML</v>
          </cell>
          <cell r="E299" t="str">
            <v>BA</v>
          </cell>
          <cell r="F299">
            <v>0.80710000000000004</v>
          </cell>
          <cell r="G299">
            <v>0</v>
          </cell>
          <cell r="H299">
            <v>0.80710000000000004</v>
          </cell>
        </row>
        <row r="300">
          <cell r="A300" t="str">
            <v>1226BA</v>
          </cell>
          <cell r="B300">
            <v>1226</v>
          </cell>
          <cell r="C300" t="str">
            <v>BENZIFLEX 10MG 1BLX15COMP.REV-E</v>
          </cell>
          <cell r="D300" t="str">
            <v>1 BL X 15 COMP.</v>
          </cell>
          <cell r="E300" t="str">
            <v>BA</v>
          </cell>
          <cell r="F300">
            <v>0.71</v>
          </cell>
          <cell r="G300">
            <v>0</v>
          </cell>
          <cell r="H300">
            <v>0.71</v>
          </cell>
        </row>
        <row r="301">
          <cell r="A301" t="str">
            <v>1227BA</v>
          </cell>
          <cell r="B301">
            <v>1227</v>
          </cell>
          <cell r="C301" t="str">
            <v>BENZIFLEX 10MG 2BLX15COMP.REV-E</v>
          </cell>
          <cell r="D301" t="str">
            <v>2 BL X 15 COMP.</v>
          </cell>
          <cell r="E301" t="str">
            <v>BA</v>
          </cell>
          <cell r="F301">
            <v>0.71</v>
          </cell>
          <cell r="G301">
            <v>0</v>
          </cell>
          <cell r="H301">
            <v>0.71</v>
          </cell>
        </row>
        <row r="302">
          <cell r="A302" t="str">
            <v>1233BA</v>
          </cell>
          <cell r="B302">
            <v>1233</v>
          </cell>
          <cell r="C302" t="str">
            <v>BENZIFLEX 5MG 2BLX15COMP.REV-E</v>
          </cell>
          <cell r="D302" t="str">
            <v>2 BL X 15 COMP.</v>
          </cell>
          <cell r="E302" t="str">
            <v>BA</v>
          </cell>
          <cell r="F302">
            <v>0.71</v>
          </cell>
          <cell r="G302">
            <v>0</v>
          </cell>
          <cell r="H302">
            <v>0.71</v>
          </cell>
        </row>
        <row r="303">
          <cell r="A303" t="str">
            <v>1574BA</v>
          </cell>
          <cell r="B303">
            <v>1574</v>
          </cell>
          <cell r="C303" t="str">
            <v>BENZIFLEX LIS 125MG+5MG 15COM.REV.-E</v>
          </cell>
          <cell r="D303" t="str">
            <v>1 BL X 15 COMP.</v>
          </cell>
          <cell r="E303" t="str">
            <v>BA</v>
          </cell>
          <cell r="F303">
            <v>0.5</v>
          </cell>
          <cell r="G303">
            <v>0</v>
          </cell>
          <cell r="H303">
            <v>0.5</v>
          </cell>
        </row>
        <row r="304">
          <cell r="A304" t="str">
            <v>2292BA</v>
          </cell>
          <cell r="B304">
            <v>2292</v>
          </cell>
          <cell r="C304" t="str">
            <v>BENZIFLEX LIS 125MG+5MG 2BL15 COM.REV.-E</v>
          </cell>
          <cell r="D304" t="str">
            <v>2 BL X 15 COMP.</v>
          </cell>
          <cell r="E304" t="str">
            <v>BA</v>
          </cell>
          <cell r="F304">
            <v>0.53</v>
          </cell>
          <cell r="G304">
            <v>0</v>
          </cell>
          <cell r="H304">
            <v>0.53</v>
          </cell>
        </row>
        <row r="305">
          <cell r="A305" t="str">
            <v>1155BA</v>
          </cell>
          <cell r="B305">
            <v>1155</v>
          </cell>
          <cell r="C305" t="str">
            <v>BIOFLADEX AEROSSOL 60G- E</v>
          </cell>
          <cell r="D305" t="str">
            <v>FRASCO 60 G</v>
          </cell>
          <cell r="E305" t="str">
            <v>BA</v>
          </cell>
          <cell r="F305">
            <v>0.66</v>
          </cell>
          <cell r="G305">
            <v>0</v>
          </cell>
          <cell r="H305">
            <v>0.66</v>
          </cell>
        </row>
        <row r="306">
          <cell r="A306" t="str">
            <v>1072BA</v>
          </cell>
          <cell r="B306">
            <v>1072</v>
          </cell>
          <cell r="C306" t="str">
            <v>BISURAN 4MG/5ML XPE INF 120ML-E</v>
          </cell>
          <cell r="D306" t="str">
            <v>FR X 120 ML</v>
          </cell>
          <cell r="E306" t="str">
            <v>BA</v>
          </cell>
          <cell r="F306">
            <v>0.53</v>
          </cell>
          <cell r="G306">
            <v>0</v>
          </cell>
          <cell r="H306">
            <v>0.53</v>
          </cell>
        </row>
        <row r="307">
          <cell r="A307" t="str">
            <v>1318BA</v>
          </cell>
          <cell r="B307">
            <v>1318</v>
          </cell>
          <cell r="C307" t="str">
            <v>BISURAN 8MG/5ML XPE AD. 120ML-E</v>
          </cell>
          <cell r="D307" t="str">
            <v>FR X 120 ML</v>
          </cell>
          <cell r="E307" t="str">
            <v>BA</v>
          </cell>
          <cell r="F307">
            <v>0.61999999999999988</v>
          </cell>
          <cell r="G307">
            <v>0</v>
          </cell>
          <cell r="H307">
            <v>0.61999999999999988</v>
          </cell>
        </row>
        <row r="308">
          <cell r="A308" t="str">
            <v>2141BA</v>
          </cell>
          <cell r="B308">
            <v>2141</v>
          </cell>
          <cell r="C308" t="str">
            <v>CELERGIN 20 COMP-E</v>
          </cell>
          <cell r="D308" t="str">
            <v>CX. C/20 COMP.</v>
          </cell>
          <cell r="E308" t="str">
            <v>BA</v>
          </cell>
          <cell r="F308">
            <v>0.65649999999999986</v>
          </cell>
          <cell r="G308">
            <v>0</v>
          </cell>
          <cell r="H308">
            <v>0.65649999999999986</v>
          </cell>
        </row>
        <row r="309">
          <cell r="A309" t="str">
            <v>2346MA</v>
          </cell>
          <cell r="B309">
            <v>2346</v>
          </cell>
          <cell r="C309" t="str">
            <v>ALLEXOFEDRIN PEDIATRICO6MG/MLSUS 60ML-E</v>
          </cell>
          <cell r="D309" t="str">
            <v>6MG/MLSUS 60ML-E</v>
          </cell>
          <cell r="E309" t="str">
            <v>MA</v>
          </cell>
          <cell r="F309">
            <v>0.5514</v>
          </cell>
          <cell r="G309">
            <v>0</v>
          </cell>
          <cell r="H309">
            <v>0.5514</v>
          </cell>
        </row>
        <row r="310">
          <cell r="A310" t="str">
            <v>2322BA</v>
          </cell>
          <cell r="B310">
            <v>2322</v>
          </cell>
          <cell r="C310" t="str">
            <v>CLOPE 3,54MG/ML XPE 120ML FR PLAS-E</v>
          </cell>
          <cell r="D310" t="str">
            <v>FR X 120 ML</v>
          </cell>
          <cell r="E310" t="str">
            <v>BA</v>
          </cell>
          <cell r="F310">
            <v>0.53</v>
          </cell>
          <cell r="G310">
            <v>0</v>
          </cell>
          <cell r="H310">
            <v>0.53</v>
          </cell>
        </row>
        <row r="311">
          <cell r="A311" t="str">
            <v>2383BA</v>
          </cell>
          <cell r="B311">
            <v>2383</v>
          </cell>
          <cell r="C311" t="str">
            <v>COMPLEXO B 12 XPE FR C/120ML E</v>
          </cell>
          <cell r="D311" t="str">
            <v>FR X 120 ML</v>
          </cell>
          <cell r="E311" t="str">
            <v>BA</v>
          </cell>
          <cell r="F311">
            <v>0.67000000000000015</v>
          </cell>
          <cell r="G311">
            <v>0</v>
          </cell>
          <cell r="H311">
            <v>0.67000000000000015</v>
          </cell>
        </row>
        <row r="312">
          <cell r="A312" t="str">
            <v>2384BA</v>
          </cell>
          <cell r="B312">
            <v>2384</v>
          </cell>
          <cell r="C312" t="str">
            <v>COMPLEXO B CPR REVEST x 20</v>
          </cell>
          <cell r="D312" t="str">
            <v xml:space="preserve">FR X 20 </v>
          </cell>
          <cell r="E312" t="str">
            <v>BA</v>
          </cell>
          <cell r="F312">
            <v>0.66000000000000014</v>
          </cell>
          <cell r="G312">
            <v>0</v>
          </cell>
          <cell r="H312">
            <v>0.66000000000000014</v>
          </cell>
        </row>
        <row r="313">
          <cell r="A313" t="str">
            <v>2382BA</v>
          </cell>
          <cell r="B313">
            <v>2382</v>
          </cell>
          <cell r="C313" t="str">
            <v>COMPLEXO B FR C/100 COM REV  E</v>
          </cell>
          <cell r="D313" t="str">
            <v>FR X 100</v>
          </cell>
          <cell r="E313" t="str">
            <v>BA</v>
          </cell>
          <cell r="F313">
            <v>0.64000000000000012</v>
          </cell>
          <cell r="G313">
            <v>0</v>
          </cell>
          <cell r="H313">
            <v>0.64000000000000012</v>
          </cell>
        </row>
        <row r="314">
          <cell r="A314" t="str">
            <v>2011BA</v>
          </cell>
          <cell r="B314">
            <v>2011</v>
          </cell>
          <cell r="C314" t="str">
            <v>CYSTEX FR C/24 DRG</v>
          </cell>
          <cell r="D314" t="str">
            <v xml:space="preserve">FR X 24 </v>
          </cell>
          <cell r="E314" t="str">
            <v>BA</v>
          </cell>
          <cell r="F314">
            <v>0.36070000000000002</v>
          </cell>
          <cell r="G314">
            <v>0</v>
          </cell>
          <cell r="H314">
            <v>0.36070000000000002</v>
          </cell>
        </row>
        <row r="315">
          <cell r="A315" t="str">
            <v>1837BA</v>
          </cell>
          <cell r="B315">
            <v>1837</v>
          </cell>
          <cell r="C315" t="str">
            <v>DIOVASES 450+50MG C/30 COM.REV. - E</v>
          </cell>
          <cell r="D315" t="str">
            <v>2 BL X 15 COMP.</v>
          </cell>
          <cell r="E315" t="str">
            <v>BA</v>
          </cell>
          <cell r="F315">
            <v>0.68</v>
          </cell>
          <cell r="G315">
            <v>0</v>
          </cell>
          <cell r="H315">
            <v>0.68</v>
          </cell>
        </row>
        <row r="316">
          <cell r="A316" t="str">
            <v>1838BA</v>
          </cell>
          <cell r="B316">
            <v>1838</v>
          </cell>
          <cell r="C316" t="str">
            <v>DIOVASES 450+50MG C/60 COM.REV. - E</v>
          </cell>
          <cell r="D316" t="str">
            <v>4 BL X 15 COMP.</v>
          </cell>
          <cell r="E316" t="str">
            <v>BA</v>
          </cell>
          <cell r="F316">
            <v>0.72</v>
          </cell>
          <cell r="G316">
            <v>0</v>
          </cell>
          <cell r="H316">
            <v>0.72</v>
          </cell>
        </row>
        <row r="317">
          <cell r="A317" t="str">
            <v>2261BA</v>
          </cell>
          <cell r="B317">
            <v>2261</v>
          </cell>
          <cell r="C317" t="str">
            <v>DORICIN CPR x 24</v>
          </cell>
          <cell r="D317" t="str">
            <v>2BL C/12 COMPRIMIDOS -E</v>
          </cell>
          <cell r="E317" t="str">
            <v>BA</v>
          </cell>
          <cell r="F317">
            <v>0.74099999999999999</v>
          </cell>
          <cell r="G317">
            <v>0</v>
          </cell>
          <cell r="H317">
            <v>0.74099999999999999</v>
          </cell>
        </row>
        <row r="318">
          <cell r="A318" t="str">
            <v>2264BA</v>
          </cell>
          <cell r="B318">
            <v>2264</v>
          </cell>
          <cell r="C318" t="str">
            <v>DORICIN CPR x 300</v>
          </cell>
          <cell r="D318" t="str">
            <v>30BL C/10 COMPRIMIDOS -E</v>
          </cell>
          <cell r="E318" t="str">
            <v>BA</v>
          </cell>
          <cell r="F318">
            <v>0.74099999999999999</v>
          </cell>
          <cell r="G318">
            <v>0</v>
          </cell>
          <cell r="H318">
            <v>0.74099999999999999</v>
          </cell>
        </row>
        <row r="319">
          <cell r="A319" t="str">
            <v>2262BA</v>
          </cell>
          <cell r="B319">
            <v>2262</v>
          </cell>
          <cell r="C319" t="str">
            <v>DORICIN CPR X 36</v>
          </cell>
          <cell r="D319" t="str">
            <v>3BL C/12 COMPRIMIDOS -E</v>
          </cell>
          <cell r="E319" t="str">
            <v>BA</v>
          </cell>
          <cell r="F319">
            <v>0.75139999999999996</v>
          </cell>
          <cell r="G319">
            <v>0</v>
          </cell>
          <cell r="H319">
            <v>0.75139999999999996</v>
          </cell>
        </row>
        <row r="320">
          <cell r="A320" t="str">
            <v>2263BA</v>
          </cell>
          <cell r="B320">
            <v>2263</v>
          </cell>
          <cell r="C320" t="str">
            <v>DORICIN CPR X 50</v>
          </cell>
          <cell r="D320" t="str">
            <v>5BL C/10 COMPRIMIDOS - E</v>
          </cell>
          <cell r="E320" t="str">
            <v>BA</v>
          </cell>
          <cell r="F320">
            <v>0.66100000000000003</v>
          </cell>
          <cell r="G320">
            <v>0</v>
          </cell>
          <cell r="H320">
            <v>0.66100000000000003</v>
          </cell>
        </row>
        <row r="321">
          <cell r="A321" t="str">
            <v>1173BA</v>
          </cell>
          <cell r="B321">
            <v>1173</v>
          </cell>
          <cell r="C321" t="str">
            <v>DORICIN GOTAS 20ML x 1</v>
          </cell>
          <cell r="D321" t="str">
            <v>FR X 20 ML</v>
          </cell>
          <cell r="E321" t="str">
            <v>BA</v>
          </cell>
          <cell r="F321">
            <v>0.65</v>
          </cell>
          <cell r="G321">
            <v>0</v>
          </cell>
          <cell r="H321">
            <v>0.65</v>
          </cell>
        </row>
        <row r="322">
          <cell r="A322" t="str">
            <v>2018BA</v>
          </cell>
          <cell r="B322">
            <v>2018</v>
          </cell>
          <cell r="C322" t="str">
            <v>EMISTIN BLT 1X20=20COMP</v>
          </cell>
          <cell r="D322" t="str">
            <v>1 BL X 20</v>
          </cell>
          <cell r="E322" t="str">
            <v>BA</v>
          </cell>
          <cell r="F322">
            <v>0.67</v>
          </cell>
          <cell r="G322">
            <v>0</v>
          </cell>
          <cell r="H322">
            <v>0.67</v>
          </cell>
        </row>
        <row r="323">
          <cell r="A323" t="str">
            <v>3008BA</v>
          </cell>
          <cell r="B323">
            <v>3008</v>
          </cell>
          <cell r="C323" t="str">
            <v>EMISTIN CR BG C/20G</v>
          </cell>
          <cell r="D323" t="str">
            <v>BISN X 20 G</v>
          </cell>
          <cell r="E323" t="str">
            <v>BA</v>
          </cell>
          <cell r="F323">
            <v>0.77</v>
          </cell>
          <cell r="G323">
            <v>0</v>
          </cell>
          <cell r="H323">
            <v>0.77</v>
          </cell>
        </row>
        <row r="324">
          <cell r="A324" t="str">
            <v>3020BA</v>
          </cell>
          <cell r="B324">
            <v>3020</v>
          </cell>
          <cell r="C324" t="str">
            <v>EMSCORT CR BG C/30G</v>
          </cell>
          <cell r="D324" t="str">
            <v>BISN X 30 G</v>
          </cell>
          <cell r="E324" t="str">
            <v>BA</v>
          </cell>
          <cell r="F324">
            <v>0.77000000000000013</v>
          </cell>
          <cell r="G324">
            <v>0</v>
          </cell>
          <cell r="H324">
            <v>0.77000000000000013</v>
          </cell>
        </row>
        <row r="325">
          <cell r="A325" t="str">
            <v>6023BA</v>
          </cell>
          <cell r="B325">
            <v>6023</v>
          </cell>
          <cell r="C325" t="str">
            <v>EMSCORT POM BISN 30G-E</v>
          </cell>
          <cell r="D325" t="str">
            <v>BISN X 30 G</v>
          </cell>
          <cell r="E325" t="str">
            <v>BA</v>
          </cell>
          <cell r="F325">
            <v>0.7639999999999999</v>
          </cell>
          <cell r="G325">
            <v>0</v>
          </cell>
          <cell r="H325">
            <v>0.7639999999999999</v>
          </cell>
        </row>
        <row r="326">
          <cell r="A326" t="str">
            <v>1190BA</v>
          </cell>
          <cell r="B326">
            <v>1190</v>
          </cell>
          <cell r="C326" t="str">
            <v>EMSEXPECTOR XAROPE FR C/120ML - E</v>
          </cell>
          <cell r="D326" t="str">
            <v>FR X 120 ML</v>
          </cell>
          <cell r="E326" t="str">
            <v>BA</v>
          </cell>
          <cell r="F326">
            <v>0.48</v>
          </cell>
          <cell r="G326">
            <v>0</v>
          </cell>
          <cell r="H326">
            <v>0.48</v>
          </cell>
        </row>
        <row r="327">
          <cell r="A327" t="str">
            <v>2111BA</v>
          </cell>
          <cell r="B327">
            <v>2111</v>
          </cell>
          <cell r="C327" t="str">
            <v>ENDCOFF PAST MEL ELIMAO C/12UN</v>
          </cell>
          <cell r="D327" t="str">
            <v>3 STP X 4</v>
          </cell>
          <cell r="E327" t="str">
            <v>BA</v>
          </cell>
          <cell r="F327">
            <v>0.48</v>
          </cell>
          <cell r="G327">
            <v>0</v>
          </cell>
          <cell r="H327">
            <v>0.48</v>
          </cell>
        </row>
        <row r="328">
          <cell r="A328" t="str">
            <v>2092BA</v>
          </cell>
          <cell r="B328">
            <v>2092</v>
          </cell>
          <cell r="C328" t="str">
            <v>ENDCOFF PAST STP MENTA C/12 UN</v>
          </cell>
          <cell r="D328" t="str">
            <v>3 STP X 4</v>
          </cell>
          <cell r="E328" t="str">
            <v>BA</v>
          </cell>
          <cell r="F328">
            <v>0.48</v>
          </cell>
          <cell r="G328">
            <v>0</v>
          </cell>
          <cell r="H328">
            <v>0.48</v>
          </cell>
        </row>
        <row r="329">
          <cell r="A329" t="str">
            <v>1905BA</v>
          </cell>
          <cell r="B329">
            <v>1905</v>
          </cell>
          <cell r="C329" t="str">
            <v>ESMOG 20MG 4BLTC/7 COM REV LIB RETARD- E</v>
          </cell>
          <cell r="D329" t="str">
            <v>4 BLT C/7</v>
          </cell>
          <cell r="E329" t="str">
            <v>BA</v>
          </cell>
          <cell r="F329">
            <v>0.77800000000000002</v>
          </cell>
          <cell r="G329">
            <v>0</v>
          </cell>
          <cell r="H329">
            <v>0.77800000000000002</v>
          </cell>
        </row>
        <row r="330">
          <cell r="A330" t="str">
            <v>1906BA</v>
          </cell>
          <cell r="B330">
            <v>1906</v>
          </cell>
          <cell r="C330" t="str">
            <v>ESMOG 40MG 4BLTC/7 COM REV LIB RETARD- E</v>
          </cell>
          <cell r="D330" t="str">
            <v>4 BLT C/7</v>
          </cell>
          <cell r="E330" t="str">
            <v>BA</v>
          </cell>
          <cell r="F330">
            <v>0.8</v>
          </cell>
          <cell r="G330">
            <v>0</v>
          </cell>
          <cell r="H330">
            <v>0.8</v>
          </cell>
        </row>
        <row r="331">
          <cell r="A331" t="str">
            <v>1016BA</v>
          </cell>
          <cell r="B331">
            <v>1016</v>
          </cell>
          <cell r="C331" t="str">
            <v>EXPECTUSS XPE ADULTO FR C/100ML</v>
          </cell>
          <cell r="D331" t="str">
            <v>FR X 100 ML</v>
          </cell>
          <cell r="E331" t="str">
            <v>BA</v>
          </cell>
          <cell r="F331">
            <v>0.55000000000000016</v>
          </cell>
          <cell r="G331">
            <v>0</v>
          </cell>
          <cell r="H331">
            <v>0.55000000000000016</v>
          </cell>
        </row>
        <row r="332">
          <cell r="A332" t="str">
            <v>1015BA</v>
          </cell>
          <cell r="B332">
            <v>1015</v>
          </cell>
          <cell r="C332" t="str">
            <v>EXPECTUSS XPE INF FR C/100ML</v>
          </cell>
          <cell r="D332" t="str">
            <v>FR X 100 ML</v>
          </cell>
          <cell r="E332" t="str">
            <v>BA</v>
          </cell>
          <cell r="F332">
            <v>0.5099999999999999</v>
          </cell>
          <cell r="G332">
            <v>0</v>
          </cell>
          <cell r="H332">
            <v>0.5099999999999999</v>
          </cell>
        </row>
        <row r="333">
          <cell r="A333" t="str">
            <v>1363BA</v>
          </cell>
          <cell r="B333">
            <v>1363</v>
          </cell>
          <cell r="C333" t="str">
            <v>FLUITEINA 600MG GRAN 16ENV 5G-E</v>
          </cell>
          <cell r="D333" t="str">
            <v>CX. C/16 ENV X 5GR</v>
          </cell>
          <cell r="E333" t="str">
            <v>BA</v>
          </cell>
          <cell r="F333">
            <v>0.42999999999999994</v>
          </cell>
          <cell r="G333">
            <v>0</v>
          </cell>
          <cell r="H333">
            <v>0.42999999999999994</v>
          </cell>
        </row>
        <row r="334">
          <cell r="A334" t="str">
            <v>1364BA</v>
          </cell>
          <cell r="B334">
            <v>1364</v>
          </cell>
          <cell r="C334" t="str">
            <v>FLUITEINA XPE AD 40MG/ML120ML-E</v>
          </cell>
          <cell r="D334" t="str">
            <v>FR X 120 ML</v>
          </cell>
          <cell r="E334" t="str">
            <v>BA</v>
          </cell>
          <cell r="F334">
            <v>0.56999999999999973</v>
          </cell>
          <cell r="G334">
            <v>0</v>
          </cell>
          <cell r="H334">
            <v>0.56999999999999973</v>
          </cell>
        </row>
        <row r="335">
          <cell r="A335" t="str">
            <v>1163BA</v>
          </cell>
          <cell r="B335">
            <v>1163</v>
          </cell>
          <cell r="C335" t="str">
            <v>FLUITEINA XPE INF 20MG/ML 120ML-E</v>
          </cell>
          <cell r="D335" t="str">
            <v>FR X 120 ML</v>
          </cell>
          <cell r="E335" t="str">
            <v>BA</v>
          </cell>
          <cell r="F335">
            <v>0.51900000000000002</v>
          </cell>
          <cell r="G335">
            <v>0</v>
          </cell>
          <cell r="H335">
            <v>0.51900000000000002</v>
          </cell>
        </row>
        <row r="336">
          <cell r="A336" t="str">
            <v>1168BA</v>
          </cell>
          <cell r="B336">
            <v>1168</v>
          </cell>
          <cell r="C336" t="str">
            <v>FOLIFOLIN 5MG 2BLTX15COMP - E</v>
          </cell>
          <cell r="D336" t="str">
            <v>2 BLT X 15 COMP.</v>
          </cell>
          <cell r="E336" t="str">
            <v>BA</v>
          </cell>
          <cell r="F336">
            <v>0.66</v>
          </cell>
          <cell r="G336">
            <v>0</v>
          </cell>
          <cell r="H336">
            <v>0.66</v>
          </cell>
        </row>
        <row r="337">
          <cell r="A337" t="str">
            <v>2318BA</v>
          </cell>
          <cell r="B337">
            <v>2318</v>
          </cell>
          <cell r="C337" t="str">
            <v>GEROVITAL  2BLT15 CAP MOLE-E</v>
          </cell>
          <cell r="D337" t="str">
            <v>3 BL X 10</v>
          </cell>
          <cell r="E337" t="str">
            <v>BA</v>
          </cell>
          <cell r="F337">
            <v>0.57899999999999996</v>
          </cell>
          <cell r="G337">
            <v>0</v>
          </cell>
          <cell r="H337">
            <v>0.57899999999999996</v>
          </cell>
        </row>
        <row r="338">
          <cell r="A338" t="str">
            <v>2062BA</v>
          </cell>
          <cell r="B338">
            <v>2062</v>
          </cell>
          <cell r="C338" t="str">
            <v>GEROVITAL 3BLT C/20 CAP</v>
          </cell>
          <cell r="D338" t="str">
            <v>6 BL X 10</v>
          </cell>
          <cell r="E338" t="str">
            <v>BA</v>
          </cell>
          <cell r="F338">
            <v>0.48100000000000004</v>
          </cell>
          <cell r="G338">
            <v>0</v>
          </cell>
          <cell r="H338">
            <v>0.48100000000000004</v>
          </cell>
        </row>
        <row r="339">
          <cell r="A339" t="str">
            <v>1230BA</v>
          </cell>
          <cell r="B339">
            <v>1230</v>
          </cell>
          <cell r="C339" t="str">
            <v>IBULIV 100MG/ML SUP ORAL C/ 20 ML-E</v>
          </cell>
          <cell r="D339" t="str">
            <v>FR X 20 ML</v>
          </cell>
          <cell r="E339" t="str">
            <v>BA</v>
          </cell>
          <cell r="F339">
            <v>0.68000000000000016</v>
          </cell>
          <cell r="G339">
            <v>0</v>
          </cell>
          <cell r="H339">
            <v>0.68000000000000016</v>
          </cell>
        </row>
        <row r="340">
          <cell r="A340" t="str">
            <v>1472BA</v>
          </cell>
          <cell r="B340">
            <v>1472</v>
          </cell>
          <cell r="C340" t="str">
            <v>IBULIV 400MG 10 BLT C/ 4CAPS GEL.MOLES-E</v>
          </cell>
          <cell r="D340" t="str">
            <v>10 BLT X 4 CÁPS</v>
          </cell>
          <cell r="E340" t="str">
            <v>BA</v>
          </cell>
          <cell r="F340">
            <v>0.71000000000000019</v>
          </cell>
          <cell r="G340">
            <v>0</v>
          </cell>
          <cell r="H340">
            <v>0.71000000000000019</v>
          </cell>
        </row>
        <row r="341">
          <cell r="A341" t="str">
            <v>2469BA</v>
          </cell>
          <cell r="B341">
            <v>2469</v>
          </cell>
          <cell r="C341" t="str">
            <v>IBULIV 400MG 2 BLT C/ 10CAPS GEL.MOLES-E</v>
          </cell>
          <cell r="D341" t="str">
            <v>20 CÁPS.</v>
          </cell>
          <cell r="E341" t="str">
            <v>BA</v>
          </cell>
          <cell r="F341">
            <v>0.71</v>
          </cell>
          <cell r="G341">
            <v>0</v>
          </cell>
          <cell r="H341">
            <v>0.71</v>
          </cell>
        </row>
        <row r="342">
          <cell r="A342" t="str">
            <v>1471BA</v>
          </cell>
          <cell r="B342">
            <v>1471</v>
          </cell>
          <cell r="C342" t="str">
            <v>IBULIV 400MG 2 BLT C/ 4CAPS GEL.MOLES-E</v>
          </cell>
          <cell r="D342" t="str">
            <v>2 BLT X 4 CÁPS.</v>
          </cell>
          <cell r="E342" t="str">
            <v>BA</v>
          </cell>
          <cell r="F342">
            <v>0.71</v>
          </cell>
          <cell r="G342">
            <v>0</v>
          </cell>
          <cell r="H342">
            <v>0.71</v>
          </cell>
        </row>
        <row r="343">
          <cell r="A343" t="str">
            <v>1175BA</v>
          </cell>
          <cell r="B343">
            <v>1175</v>
          </cell>
          <cell r="C343" t="str">
            <v>INFRALAX 1BLT C/15COMP - EMS</v>
          </cell>
          <cell r="D343" t="str">
            <v>1 BLT C/ 15</v>
          </cell>
          <cell r="E343" t="str">
            <v>BA</v>
          </cell>
          <cell r="F343">
            <v>0.74280000000000002</v>
          </cell>
          <cell r="G343">
            <v>0</v>
          </cell>
          <cell r="H343">
            <v>0.74280000000000002</v>
          </cell>
        </row>
        <row r="344">
          <cell r="A344" t="str">
            <v>1821BA</v>
          </cell>
          <cell r="B344">
            <v>1821</v>
          </cell>
          <cell r="C344" t="str">
            <v>INFRALAX 20BLTX10COMP - E</v>
          </cell>
          <cell r="D344" t="str">
            <v>20 BLT X 10</v>
          </cell>
          <cell r="E344" t="str">
            <v>BA</v>
          </cell>
          <cell r="F344">
            <v>0.81</v>
          </cell>
          <cell r="G344">
            <v>0</v>
          </cell>
          <cell r="H344">
            <v>0.81</v>
          </cell>
        </row>
        <row r="345">
          <cell r="A345" t="str">
            <v>2138BA</v>
          </cell>
          <cell r="B345">
            <v>2138</v>
          </cell>
          <cell r="C345" t="str">
            <v>INFRALAX 2BLT C/15COMP - EMS</v>
          </cell>
          <cell r="D345" t="str">
            <v>2 BL X 15</v>
          </cell>
          <cell r="E345" t="str">
            <v>BA</v>
          </cell>
          <cell r="F345">
            <v>0.74650000000000005</v>
          </cell>
          <cell r="G345">
            <v>0</v>
          </cell>
          <cell r="H345">
            <v>0.74650000000000005</v>
          </cell>
        </row>
        <row r="346">
          <cell r="A346" t="str">
            <v>6011BA</v>
          </cell>
          <cell r="B346">
            <v>6011</v>
          </cell>
          <cell r="C346" t="str">
            <v>NARIDRIN 12HS GOTAS FR C/30ML</v>
          </cell>
          <cell r="D346" t="str">
            <v>FR X 30 ML</v>
          </cell>
          <cell r="E346" t="str">
            <v>BA</v>
          </cell>
          <cell r="F346">
            <v>0.74</v>
          </cell>
          <cell r="G346">
            <v>0</v>
          </cell>
          <cell r="H346">
            <v>0.74</v>
          </cell>
        </row>
        <row r="347">
          <cell r="A347" t="str">
            <v>2604BA</v>
          </cell>
          <cell r="B347">
            <v>2604</v>
          </cell>
          <cell r="C347" t="str">
            <v>NARIDRIN ALTO VOL 30ENVX2,16G+FR240ML</v>
          </cell>
          <cell r="D347" t="str">
            <v>30ENVX2,16G+FR240ML</v>
          </cell>
          <cell r="E347" t="str">
            <v>BA</v>
          </cell>
          <cell r="F347">
            <v>0.64</v>
          </cell>
          <cell r="G347">
            <v>0</v>
          </cell>
          <cell r="H347">
            <v>0.64</v>
          </cell>
        </row>
        <row r="348">
          <cell r="A348" t="str">
            <v>2605BA</v>
          </cell>
          <cell r="B348">
            <v>2605</v>
          </cell>
          <cell r="C348" t="str">
            <v>NARIDRIN ALTO VOL REFIL</v>
          </cell>
          <cell r="D348" t="str">
            <v>30 ENV X 2,16G</v>
          </cell>
          <cell r="E348" t="str">
            <v>BA</v>
          </cell>
          <cell r="F348">
            <v>0.59999999999999987</v>
          </cell>
          <cell r="G348">
            <v>0</v>
          </cell>
          <cell r="H348">
            <v>0.59999999999999987</v>
          </cell>
        </row>
        <row r="349">
          <cell r="A349" t="str">
            <v>1433BA</v>
          </cell>
          <cell r="B349">
            <v>1433</v>
          </cell>
          <cell r="C349" t="str">
            <v>NARIDRIN AQUA 9MG/ML FRASCO C/50ML-E</v>
          </cell>
          <cell r="D349" t="str">
            <v>FR X 50 ML SPRAY</v>
          </cell>
          <cell r="E349" t="str">
            <v>BA</v>
          </cell>
          <cell r="F349">
            <v>0.71</v>
          </cell>
          <cell r="G349">
            <v>0</v>
          </cell>
          <cell r="H349">
            <v>0.71</v>
          </cell>
        </row>
        <row r="350">
          <cell r="A350" t="str">
            <v>6005BA</v>
          </cell>
          <cell r="B350">
            <v>6005</v>
          </cell>
          <cell r="C350" t="str">
            <v>NARIDRIN GOTAS AD FR C/15ML</v>
          </cell>
          <cell r="D350" t="str">
            <v>FR X 15 ML</v>
          </cell>
          <cell r="E350" t="str">
            <v>BA</v>
          </cell>
          <cell r="F350">
            <v>0.74</v>
          </cell>
          <cell r="G350">
            <v>0</v>
          </cell>
          <cell r="H350">
            <v>0.74</v>
          </cell>
        </row>
        <row r="351">
          <cell r="A351" t="str">
            <v>6006BA</v>
          </cell>
          <cell r="B351">
            <v>6006</v>
          </cell>
          <cell r="C351" t="str">
            <v>NARIDRIN GOTAS INF FR C/15ML</v>
          </cell>
          <cell r="D351" t="str">
            <v>FR X 15 ML</v>
          </cell>
          <cell r="E351" t="str">
            <v>BA</v>
          </cell>
          <cell r="F351">
            <v>0.72999999999999987</v>
          </cell>
          <cell r="G351">
            <v>0</v>
          </cell>
          <cell r="H351">
            <v>0.72999999999999987</v>
          </cell>
        </row>
        <row r="352">
          <cell r="A352" t="str">
            <v>1079BA</v>
          </cell>
          <cell r="B352">
            <v>1079</v>
          </cell>
          <cell r="C352" t="str">
            <v>NARIDRIN H 30MG/ML SOL.NAS SPRAY 60ML-E</v>
          </cell>
          <cell r="D352" t="str">
            <v>FRASCO X 60ML</v>
          </cell>
          <cell r="E352" t="str">
            <v>BA</v>
          </cell>
          <cell r="F352">
            <v>0.7</v>
          </cell>
          <cell r="G352">
            <v>0</v>
          </cell>
          <cell r="H352">
            <v>0.7</v>
          </cell>
        </row>
        <row r="353">
          <cell r="A353" t="str">
            <v>1368BA</v>
          </cell>
          <cell r="B353">
            <v>1368</v>
          </cell>
          <cell r="C353" t="str">
            <v>NIMESILAM BLT 1X12= 12 COM - E</v>
          </cell>
          <cell r="D353" t="str">
            <v>1 BLT X 12</v>
          </cell>
          <cell r="E353" t="str">
            <v>BA</v>
          </cell>
          <cell r="F353">
            <v>0.89999999999999991</v>
          </cell>
          <cell r="G353">
            <v>0</v>
          </cell>
          <cell r="H353">
            <v>0.89999999999999991</v>
          </cell>
        </row>
        <row r="354">
          <cell r="A354" t="str">
            <v>1367BA</v>
          </cell>
          <cell r="B354">
            <v>1367</v>
          </cell>
          <cell r="C354" t="str">
            <v>NIMESILAM GOTAS FRC/15ML  - E</v>
          </cell>
          <cell r="D354" t="str">
            <v>FR 15 ML</v>
          </cell>
          <cell r="E354" t="str">
            <v>BA</v>
          </cell>
          <cell r="F354">
            <v>0.73</v>
          </cell>
          <cell r="G354">
            <v>0</v>
          </cell>
          <cell r="H354">
            <v>0.73</v>
          </cell>
        </row>
        <row r="355">
          <cell r="A355" t="str">
            <v>2058BA</v>
          </cell>
          <cell r="B355">
            <v>2058</v>
          </cell>
          <cell r="C355" t="str">
            <v>NOCICLIN 1BLT C/21COM-EMS</v>
          </cell>
          <cell r="D355" t="str">
            <v>1 BL X 21</v>
          </cell>
          <cell r="E355" t="str">
            <v>BA</v>
          </cell>
          <cell r="F355">
            <v>0.68</v>
          </cell>
          <cell r="G355">
            <v>0</v>
          </cell>
          <cell r="H355">
            <v>0.68</v>
          </cell>
        </row>
        <row r="356">
          <cell r="A356" t="str">
            <v>2391BA</v>
          </cell>
          <cell r="B356">
            <v>2391</v>
          </cell>
          <cell r="C356" t="str">
            <v>RUDITE 20MG/ML PO SUS 100ML-E</v>
          </cell>
          <cell r="D356" t="str">
            <v>FR X 100 ML</v>
          </cell>
          <cell r="E356" t="str">
            <v>BA</v>
          </cell>
          <cell r="F356">
            <v>0.59899999999999998</v>
          </cell>
          <cell r="G356">
            <v>0</v>
          </cell>
          <cell r="H356">
            <v>0.59899999999999998</v>
          </cell>
        </row>
        <row r="357">
          <cell r="A357" t="str">
            <v>2392BA</v>
          </cell>
          <cell r="B357">
            <v>2392</v>
          </cell>
          <cell r="C357" t="str">
            <v>RUDITE 20MG/ML PO SUS 45ML-E</v>
          </cell>
          <cell r="D357" t="str">
            <v>FR X 45 ML</v>
          </cell>
          <cell r="E357" t="str">
            <v>BA</v>
          </cell>
          <cell r="F357">
            <v>0.58999999999999986</v>
          </cell>
          <cell r="G357">
            <v>0</v>
          </cell>
          <cell r="H357">
            <v>0.58999999999999986</v>
          </cell>
        </row>
        <row r="358">
          <cell r="A358" t="str">
            <v>2390BA</v>
          </cell>
          <cell r="B358">
            <v>2390</v>
          </cell>
          <cell r="C358" t="str">
            <v>RUDITE(C1)500MG C/6 COM REV-E</v>
          </cell>
          <cell r="D358" t="str">
            <v>1 BLT X 6</v>
          </cell>
          <cell r="E358" t="str">
            <v>BA</v>
          </cell>
          <cell r="F358">
            <v>0.7</v>
          </cell>
          <cell r="G358">
            <v>0</v>
          </cell>
          <cell r="H358">
            <v>0.7</v>
          </cell>
        </row>
        <row r="359">
          <cell r="A359" t="str">
            <v>2398BA</v>
          </cell>
          <cell r="B359">
            <v>2398</v>
          </cell>
          <cell r="C359" t="str">
            <v>SOMINEX COMPOS OTC CPR REVEST x 20</v>
          </cell>
          <cell r="D359" t="str">
            <v>2 BL X 10</v>
          </cell>
          <cell r="E359" t="str">
            <v>BA</v>
          </cell>
          <cell r="F359">
            <v>0.68899999999999995</v>
          </cell>
          <cell r="G359">
            <v>0</v>
          </cell>
          <cell r="H359">
            <v>0.68899999999999995</v>
          </cell>
        </row>
        <row r="360">
          <cell r="A360" t="str">
            <v>1818BA</v>
          </cell>
          <cell r="B360">
            <v>1818</v>
          </cell>
          <cell r="C360" t="str">
            <v>SUPLEVIT MULHER VIT. 2BLT C/15 CAP.GEL-E</v>
          </cell>
          <cell r="D360" t="str">
            <v>2 BLT C/15</v>
          </cell>
          <cell r="E360" t="str">
            <v>BA</v>
          </cell>
          <cell r="F360">
            <v>0.82</v>
          </cell>
          <cell r="G360">
            <v>0</v>
          </cell>
          <cell r="H360">
            <v>0.82</v>
          </cell>
        </row>
        <row r="361">
          <cell r="A361" t="str">
            <v>1819BA</v>
          </cell>
          <cell r="B361">
            <v>1819</v>
          </cell>
          <cell r="C361" t="str">
            <v>SUPLEVIT MULHER VIT. 4BLT C/15 CAP.GEL-E</v>
          </cell>
          <cell r="D361" t="str">
            <v>4 BLT C/15</v>
          </cell>
          <cell r="E361" t="str">
            <v>BA</v>
          </cell>
          <cell r="F361">
            <v>0.81999999999999984</v>
          </cell>
          <cell r="G361">
            <v>0</v>
          </cell>
          <cell r="H361">
            <v>0.81999999999999984</v>
          </cell>
        </row>
        <row r="362">
          <cell r="A362" t="str">
            <v>2036BA</v>
          </cell>
          <cell r="B362">
            <v>2036</v>
          </cell>
          <cell r="C362" t="str">
            <v>VITAFER FR C/50 COMP-E</v>
          </cell>
          <cell r="D362" t="str">
            <v>FR X 50</v>
          </cell>
          <cell r="E362" t="str">
            <v>BA</v>
          </cell>
          <cell r="F362">
            <v>0.52999999999999992</v>
          </cell>
          <cell r="G362">
            <v>0</v>
          </cell>
          <cell r="H362">
            <v>0.52999999999999992</v>
          </cell>
        </row>
        <row r="363">
          <cell r="A363" t="str">
            <v>60000CE</v>
          </cell>
          <cell r="B363">
            <v>60000</v>
          </cell>
          <cell r="C363" t="str">
            <v>A SAUDE DA MULHER 150ML SOLUCAO</v>
          </cell>
          <cell r="D363" t="str">
            <v>FR X 150 ML</v>
          </cell>
          <cell r="E363" t="str">
            <v>CE</v>
          </cell>
          <cell r="F363">
            <v>0.26999999999999996</v>
          </cell>
          <cell r="G363">
            <v>0</v>
          </cell>
          <cell r="H363">
            <v>0.26999999999999996</v>
          </cell>
        </row>
        <row r="364">
          <cell r="A364" t="str">
            <v>2256CE</v>
          </cell>
          <cell r="B364">
            <v>2256</v>
          </cell>
          <cell r="C364" t="str">
            <v>ALLEXOFEDRIN 120MG 1BLTC/10 COM REV-E</v>
          </cell>
          <cell r="D364" t="str">
            <v>1 BL X 10 COMP REVEST</v>
          </cell>
          <cell r="E364" t="str">
            <v>CE</v>
          </cell>
          <cell r="F364">
            <v>0.75</v>
          </cell>
          <cell r="G364">
            <v>0</v>
          </cell>
          <cell r="H364">
            <v>0.75</v>
          </cell>
        </row>
        <row r="365">
          <cell r="A365" t="str">
            <v>2255CE</v>
          </cell>
          <cell r="B365">
            <v>2255</v>
          </cell>
          <cell r="C365" t="str">
            <v>ALLEXOFEDRIN 180MG 1BLTC/10 COM REV-E</v>
          </cell>
          <cell r="D365" t="str">
            <v>1 BL X 10 COMP REVEST</v>
          </cell>
          <cell r="E365" t="str">
            <v>CE</v>
          </cell>
          <cell r="F365">
            <v>0.74999999999999989</v>
          </cell>
          <cell r="G365">
            <v>0</v>
          </cell>
          <cell r="H365">
            <v>0.74999999999999989</v>
          </cell>
        </row>
        <row r="366">
          <cell r="A366" t="str">
            <v>2133CE</v>
          </cell>
          <cell r="B366">
            <v>2133</v>
          </cell>
          <cell r="C366" t="str">
            <v>ALLEXOFEDRIN D 60+120MG 1BLT C/10C.REV</v>
          </cell>
          <cell r="D366" t="str">
            <v>1 BL X 10 COMP REVEST</v>
          </cell>
          <cell r="E366" t="str">
            <v>CE</v>
          </cell>
          <cell r="F366">
            <v>0.26</v>
          </cell>
          <cell r="G366">
            <v>0</v>
          </cell>
          <cell r="H366">
            <v>0.26</v>
          </cell>
        </row>
        <row r="367">
          <cell r="A367" t="str">
            <v>2346MG</v>
          </cell>
          <cell r="B367">
            <v>2346</v>
          </cell>
          <cell r="C367" t="str">
            <v>ALLEXOFEDRIN PEDIATRICO6MG/MLSUS 60ML-E</v>
          </cell>
          <cell r="D367" t="str">
            <v>6MG/MLSUS 60ML-E</v>
          </cell>
          <cell r="E367" t="str">
            <v>MG</v>
          </cell>
          <cell r="F367">
            <v>0.5514</v>
          </cell>
          <cell r="G367">
            <v>0</v>
          </cell>
          <cell r="H367">
            <v>0.5514</v>
          </cell>
        </row>
        <row r="368">
          <cell r="A368" t="str">
            <v>2347CE</v>
          </cell>
          <cell r="B368">
            <v>2347</v>
          </cell>
          <cell r="C368" t="str">
            <v>ALLEXOFEDRIN PEDIATRICO6MG/MLSUS150 ML-E</v>
          </cell>
          <cell r="D368" t="str">
            <v>6MG/MLSUS150 ML-E</v>
          </cell>
          <cell r="E368" t="str">
            <v>CE</v>
          </cell>
          <cell r="F368">
            <v>0.60909999999999997</v>
          </cell>
          <cell r="G368">
            <v>0</v>
          </cell>
          <cell r="H368">
            <v>0.60909999999999997</v>
          </cell>
        </row>
        <row r="369">
          <cell r="A369" t="str">
            <v>2190CE</v>
          </cell>
          <cell r="B369">
            <v>2190</v>
          </cell>
          <cell r="C369" t="str">
            <v>ANTIVIRAX 400MG 2BLTX15 COM - E</v>
          </cell>
          <cell r="D369" t="str">
            <v>2 BL X 15</v>
          </cell>
          <cell r="E369" t="str">
            <v>CE</v>
          </cell>
          <cell r="F369">
            <v>0.68</v>
          </cell>
          <cell r="G369">
            <v>0</v>
          </cell>
          <cell r="H369">
            <v>0.68</v>
          </cell>
        </row>
        <row r="370">
          <cell r="A370" t="str">
            <v>3009CE</v>
          </cell>
          <cell r="B370">
            <v>3009</v>
          </cell>
          <cell r="C370" t="str">
            <v>ANTIVIRAX CR BG C/10 G</v>
          </cell>
          <cell r="D370" t="str">
            <v>BISN X 10 G</v>
          </cell>
          <cell r="E370" t="str">
            <v>CE</v>
          </cell>
          <cell r="F370">
            <v>0.74999999999999989</v>
          </cell>
          <cell r="G370">
            <v>0</v>
          </cell>
          <cell r="H370">
            <v>0.74999999999999989</v>
          </cell>
        </row>
        <row r="371">
          <cell r="A371" t="str">
            <v>1001CE</v>
          </cell>
          <cell r="B371">
            <v>1001</v>
          </cell>
          <cell r="C371" t="str">
            <v>APEVITIN BC XPE FRC/240ML</v>
          </cell>
          <cell r="D371" t="str">
            <v>FR X 240 ML</v>
          </cell>
          <cell r="E371" t="str">
            <v>CE</v>
          </cell>
          <cell r="F371">
            <v>0.80710000000000004</v>
          </cell>
          <cell r="G371">
            <v>0</v>
          </cell>
          <cell r="H371">
            <v>0.80710000000000004</v>
          </cell>
        </row>
        <row r="372">
          <cell r="A372" t="str">
            <v>1226CE</v>
          </cell>
          <cell r="B372">
            <v>1226</v>
          </cell>
          <cell r="C372" t="str">
            <v>BENZIFLEX 10MG 1BLX15COMP.REV-E</v>
          </cell>
          <cell r="D372" t="str">
            <v>1 BL X 15 COMP.</v>
          </cell>
          <cell r="E372" t="str">
            <v>CE</v>
          </cell>
          <cell r="F372">
            <v>0.71</v>
          </cell>
          <cell r="G372">
            <v>0</v>
          </cell>
          <cell r="H372">
            <v>0.71</v>
          </cell>
        </row>
        <row r="373">
          <cell r="A373" t="str">
            <v>1227CE</v>
          </cell>
          <cell r="B373">
            <v>1227</v>
          </cell>
          <cell r="C373" t="str">
            <v>BENZIFLEX 10MG 2BLX15COMP.REV-E</v>
          </cell>
          <cell r="D373" t="str">
            <v>2 BL X 15 COMP.</v>
          </cell>
          <cell r="E373" t="str">
            <v>CE</v>
          </cell>
          <cell r="F373">
            <v>0.71</v>
          </cell>
          <cell r="G373">
            <v>0</v>
          </cell>
          <cell r="H373">
            <v>0.71</v>
          </cell>
        </row>
        <row r="374">
          <cell r="A374" t="str">
            <v>1233CE</v>
          </cell>
          <cell r="B374">
            <v>1233</v>
          </cell>
          <cell r="C374" t="str">
            <v>BENZIFLEX 5MG 2BLX15COMP.REV-E</v>
          </cell>
          <cell r="D374" t="str">
            <v>2 BL X 15 COMP.</v>
          </cell>
          <cell r="E374" t="str">
            <v>CE</v>
          </cell>
          <cell r="F374">
            <v>0.71</v>
          </cell>
          <cell r="G374">
            <v>0</v>
          </cell>
          <cell r="H374">
            <v>0.71</v>
          </cell>
        </row>
        <row r="375">
          <cell r="A375" t="str">
            <v>1574CE</v>
          </cell>
          <cell r="B375">
            <v>1574</v>
          </cell>
          <cell r="C375" t="str">
            <v>BENZIFLEX LIS 125MG+5MG 15COM.REV.-E</v>
          </cell>
          <cell r="D375" t="str">
            <v>1 BL X 15 COMP.</v>
          </cell>
          <cell r="E375" t="str">
            <v>CE</v>
          </cell>
          <cell r="F375">
            <v>0.5</v>
          </cell>
          <cell r="G375">
            <v>0</v>
          </cell>
          <cell r="H375">
            <v>0.5</v>
          </cell>
        </row>
        <row r="376">
          <cell r="A376" t="str">
            <v>2292CE</v>
          </cell>
          <cell r="B376">
            <v>2292</v>
          </cell>
          <cell r="C376" t="str">
            <v>BENZIFLEX LIS 125MG+5MG 2BL15 COM.REV.-E</v>
          </cell>
          <cell r="D376" t="str">
            <v>2 BL X 15 COMP.</v>
          </cell>
          <cell r="E376" t="str">
            <v>CE</v>
          </cell>
          <cell r="F376">
            <v>0.53</v>
          </cell>
          <cell r="G376">
            <v>0</v>
          </cell>
          <cell r="H376">
            <v>0.53</v>
          </cell>
        </row>
        <row r="377">
          <cell r="A377" t="str">
            <v>1155CE</v>
          </cell>
          <cell r="B377">
            <v>1155</v>
          </cell>
          <cell r="C377" t="str">
            <v>BIOFLADEX AEROSSOL 60G- E</v>
          </cell>
          <cell r="D377" t="str">
            <v>FRASCO 60 G</v>
          </cell>
          <cell r="E377" t="str">
            <v>CE</v>
          </cell>
          <cell r="F377">
            <v>0.66</v>
          </cell>
          <cell r="G377">
            <v>0</v>
          </cell>
          <cell r="H377">
            <v>0.66</v>
          </cell>
        </row>
        <row r="378">
          <cell r="A378" t="str">
            <v>1072CE</v>
          </cell>
          <cell r="B378">
            <v>1072</v>
          </cell>
          <cell r="C378" t="str">
            <v>BISURAN 4MG/5ML XPE INF 120ML-E</v>
          </cell>
          <cell r="D378" t="str">
            <v>FR X 120 ML</v>
          </cell>
          <cell r="E378" t="str">
            <v>CE</v>
          </cell>
          <cell r="F378">
            <v>0.53</v>
          </cell>
          <cell r="G378">
            <v>0</v>
          </cell>
          <cell r="H378">
            <v>0.53</v>
          </cell>
        </row>
        <row r="379">
          <cell r="A379" t="str">
            <v>1318CE</v>
          </cell>
          <cell r="B379">
            <v>1318</v>
          </cell>
          <cell r="C379" t="str">
            <v>BISURAN 8MG/5ML XPE AD. 120ML-E</v>
          </cell>
          <cell r="D379" t="str">
            <v>FR X 120 ML</v>
          </cell>
          <cell r="E379" t="str">
            <v>CE</v>
          </cell>
          <cell r="F379">
            <v>0.61999999999999988</v>
          </cell>
          <cell r="G379">
            <v>0</v>
          </cell>
          <cell r="H379">
            <v>0.61999999999999988</v>
          </cell>
        </row>
        <row r="380">
          <cell r="A380" t="str">
            <v>2141CE</v>
          </cell>
          <cell r="B380">
            <v>2141</v>
          </cell>
          <cell r="C380" t="str">
            <v>CELERGIN 20 COMP-E</v>
          </cell>
          <cell r="D380" t="str">
            <v>CX. C/20 COMP.</v>
          </cell>
          <cell r="E380" t="str">
            <v>CE</v>
          </cell>
          <cell r="F380">
            <v>0.65649999999999986</v>
          </cell>
          <cell r="G380">
            <v>0</v>
          </cell>
          <cell r="H380">
            <v>0.65649999999999986</v>
          </cell>
        </row>
        <row r="381">
          <cell r="A381" t="str">
            <v>2346MS</v>
          </cell>
          <cell r="B381">
            <v>2346</v>
          </cell>
          <cell r="C381" t="str">
            <v>ALLEXOFEDRIN PEDIATRICO6MG/MLSUS 60ML-E</v>
          </cell>
          <cell r="D381" t="str">
            <v>6MG/MLSUS 60ML-E</v>
          </cell>
          <cell r="E381" t="str">
            <v>MS</v>
          </cell>
          <cell r="F381">
            <v>0.5514</v>
          </cell>
          <cell r="G381">
            <v>0</v>
          </cell>
          <cell r="H381">
            <v>0.5514</v>
          </cell>
        </row>
        <row r="382">
          <cell r="A382" t="str">
            <v>2322CE</v>
          </cell>
          <cell r="B382">
            <v>2322</v>
          </cell>
          <cell r="C382" t="str">
            <v>CLOPE 3,54MG/ML XPE 120ML FR PLAS-E</v>
          </cell>
          <cell r="D382" t="str">
            <v>FR X 120 ML</v>
          </cell>
          <cell r="E382" t="str">
            <v>CE</v>
          </cell>
          <cell r="F382">
            <v>0.53</v>
          </cell>
          <cell r="G382">
            <v>0</v>
          </cell>
          <cell r="H382">
            <v>0.53</v>
          </cell>
        </row>
        <row r="383">
          <cell r="A383" t="str">
            <v>2383CE</v>
          </cell>
          <cell r="B383">
            <v>2383</v>
          </cell>
          <cell r="C383" t="str">
            <v>COMPLEXO B 12 XPE FR C/120ML E</v>
          </cell>
          <cell r="D383" t="str">
            <v>FR X 120 ML</v>
          </cell>
          <cell r="E383" t="str">
            <v>CE</v>
          </cell>
          <cell r="F383">
            <v>0.67000000000000015</v>
          </cell>
          <cell r="G383">
            <v>0</v>
          </cell>
          <cell r="H383">
            <v>0.67000000000000015</v>
          </cell>
        </row>
        <row r="384">
          <cell r="A384" t="str">
            <v>2384CE</v>
          </cell>
          <cell r="B384">
            <v>2384</v>
          </cell>
          <cell r="C384" t="str">
            <v>COMPLEXO B CPR REVEST x 20</v>
          </cell>
          <cell r="D384" t="str">
            <v xml:space="preserve">FR X 20 </v>
          </cell>
          <cell r="E384" t="str">
            <v>CE</v>
          </cell>
          <cell r="F384">
            <v>0.66000000000000014</v>
          </cell>
          <cell r="G384">
            <v>0</v>
          </cell>
          <cell r="H384">
            <v>0.66000000000000014</v>
          </cell>
        </row>
        <row r="385">
          <cell r="A385" t="str">
            <v>2382CE</v>
          </cell>
          <cell r="B385">
            <v>2382</v>
          </cell>
          <cell r="C385" t="str">
            <v>COMPLEXO B FR C/100 COM REV  E</v>
          </cell>
          <cell r="D385" t="str">
            <v>FR X 100</v>
          </cell>
          <cell r="E385" t="str">
            <v>CE</v>
          </cell>
          <cell r="F385">
            <v>0.64000000000000012</v>
          </cell>
          <cell r="G385">
            <v>0</v>
          </cell>
          <cell r="H385">
            <v>0.64000000000000012</v>
          </cell>
        </row>
        <row r="386">
          <cell r="A386" t="str">
            <v>2011CE</v>
          </cell>
          <cell r="B386">
            <v>2011</v>
          </cell>
          <cell r="C386" t="str">
            <v>CYSTEX FR C/24 DRG</v>
          </cell>
          <cell r="D386" t="str">
            <v xml:space="preserve">FR X 24 </v>
          </cell>
          <cell r="E386" t="str">
            <v>CE</v>
          </cell>
          <cell r="F386">
            <v>0.36070000000000002</v>
          </cell>
          <cell r="G386">
            <v>0</v>
          </cell>
          <cell r="H386">
            <v>0.36070000000000002</v>
          </cell>
        </row>
        <row r="387">
          <cell r="A387" t="str">
            <v>1837CE</v>
          </cell>
          <cell r="B387">
            <v>1837</v>
          </cell>
          <cell r="C387" t="str">
            <v>DIOVASES 450+50MG C/30 COM.REV. - E</v>
          </cell>
          <cell r="D387" t="str">
            <v>2 BL X 15 COMP.</v>
          </cell>
          <cell r="E387" t="str">
            <v>CE</v>
          </cell>
          <cell r="F387">
            <v>0.68</v>
          </cell>
          <cell r="G387">
            <v>0</v>
          </cell>
          <cell r="H387">
            <v>0.68</v>
          </cell>
        </row>
        <row r="388">
          <cell r="A388" t="str">
            <v>1838CE</v>
          </cell>
          <cell r="B388">
            <v>1838</v>
          </cell>
          <cell r="C388" t="str">
            <v>DIOVASES 450+50MG C/60 COM.REV. - E</v>
          </cell>
          <cell r="D388" t="str">
            <v>4 BL X 15 COMP.</v>
          </cell>
          <cell r="E388" t="str">
            <v>CE</v>
          </cell>
          <cell r="F388">
            <v>0.72</v>
          </cell>
          <cell r="G388">
            <v>0</v>
          </cell>
          <cell r="H388">
            <v>0.72</v>
          </cell>
        </row>
        <row r="389">
          <cell r="A389" t="str">
            <v>2261CE</v>
          </cell>
          <cell r="B389">
            <v>2261</v>
          </cell>
          <cell r="C389" t="str">
            <v>DORICIN CPR x 24</v>
          </cell>
          <cell r="D389" t="str">
            <v>2BL C/12 COMPRIMIDOS -E</v>
          </cell>
          <cell r="E389" t="str">
            <v>CE</v>
          </cell>
          <cell r="F389">
            <v>0.74099999999999999</v>
          </cell>
          <cell r="G389">
            <v>0</v>
          </cell>
          <cell r="H389">
            <v>0.74099999999999999</v>
          </cell>
        </row>
        <row r="390">
          <cell r="A390" t="str">
            <v>2264CE</v>
          </cell>
          <cell r="B390">
            <v>2264</v>
          </cell>
          <cell r="C390" t="str">
            <v>DORICIN CPR x 300</v>
          </cell>
          <cell r="D390" t="str">
            <v>30BL C/10 COMPRIMIDOS -E</v>
          </cell>
          <cell r="E390" t="str">
            <v>CE</v>
          </cell>
          <cell r="F390">
            <v>0.74099999999999999</v>
          </cell>
          <cell r="G390">
            <v>0</v>
          </cell>
          <cell r="H390">
            <v>0.74099999999999999</v>
          </cell>
        </row>
        <row r="391">
          <cell r="A391" t="str">
            <v>2262CE</v>
          </cell>
          <cell r="B391">
            <v>2262</v>
          </cell>
          <cell r="C391" t="str">
            <v>DORICIN CPR X 36</v>
          </cell>
          <cell r="D391" t="str">
            <v>3BL C/12 COMPRIMIDOS -E</v>
          </cell>
          <cell r="E391" t="str">
            <v>CE</v>
          </cell>
          <cell r="F391">
            <v>0.75139999999999996</v>
          </cell>
          <cell r="G391">
            <v>0</v>
          </cell>
          <cell r="H391">
            <v>0.75139999999999996</v>
          </cell>
        </row>
        <row r="392">
          <cell r="A392" t="str">
            <v>2263CE</v>
          </cell>
          <cell r="B392">
            <v>2263</v>
          </cell>
          <cell r="C392" t="str">
            <v>DORICIN CPR X 50</v>
          </cell>
          <cell r="D392" t="str">
            <v>5BL C/10 COMPRIMIDOS - E</v>
          </cell>
          <cell r="E392" t="str">
            <v>CE</v>
          </cell>
          <cell r="F392">
            <v>0.66100000000000003</v>
          </cell>
          <cell r="G392">
            <v>0</v>
          </cell>
          <cell r="H392">
            <v>0.66100000000000003</v>
          </cell>
        </row>
        <row r="393">
          <cell r="A393" t="str">
            <v>1173CE</v>
          </cell>
          <cell r="B393">
            <v>1173</v>
          </cell>
          <cell r="C393" t="str">
            <v>DORICIN GOTAS 20ML x 1</v>
          </cell>
          <cell r="D393" t="str">
            <v>FR X 20 ML</v>
          </cell>
          <cell r="E393" t="str">
            <v>CE</v>
          </cell>
          <cell r="F393">
            <v>0.65</v>
          </cell>
          <cell r="G393">
            <v>0</v>
          </cell>
          <cell r="H393">
            <v>0.65</v>
          </cell>
        </row>
        <row r="394">
          <cell r="A394" t="str">
            <v>2018CE</v>
          </cell>
          <cell r="B394">
            <v>2018</v>
          </cell>
          <cell r="C394" t="str">
            <v>EMISTIN BLT 1X20=20COMP</v>
          </cell>
          <cell r="D394" t="str">
            <v>1 BL X 20</v>
          </cell>
          <cell r="E394" t="str">
            <v>CE</v>
          </cell>
          <cell r="F394">
            <v>0.67</v>
          </cell>
          <cell r="G394">
            <v>0</v>
          </cell>
          <cell r="H394">
            <v>0.67</v>
          </cell>
        </row>
        <row r="395">
          <cell r="A395" t="str">
            <v>3008CE</v>
          </cell>
          <cell r="B395">
            <v>3008</v>
          </cell>
          <cell r="C395" t="str">
            <v>EMISTIN CR BG C/20G</v>
          </cell>
          <cell r="D395" t="str">
            <v>BISN X 20 G</v>
          </cell>
          <cell r="E395" t="str">
            <v>CE</v>
          </cell>
          <cell r="F395">
            <v>0.77</v>
          </cell>
          <cell r="G395">
            <v>0</v>
          </cell>
          <cell r="H395">
            <v>0.77</v>
          </cell>
        </row>
        <row r="396">
          <cell r="A396" t="str">
            <v>3020CE</v>
          </cell>
          <cell r="B396">
            <v>3020</v>
          </cell>
          <cell r="C396" t="str">
            <v>EMSCORT CR BG C/30G</v>
          </cell>
          <cell r="D396" t="str">
            <v>BISN X 30 G</v>
          </cell>
          <cell r="E396" t="str">
            <v>CE</v>
          </cell>
          <cell r="F396">
            <v>0.77000000000000013</v>
          </cell>
          <cell r="G396">
            <v>0</v>
          </cell>
          <cell r="H396">
            <v>0.77000000000000013</v>
          </cell>
        </row>
        <row r="397">
          <cell r="A397" t="str">
            <v>6023CE</v>
          </cell>
          <cell r="B397">
            <v>6023</v>
          </cell>
          <cell r="C397" t="str">
            <v>EMSCORT POM BISN 30G-E</v>
          </cell>
          <cell r="D397" t="str">
            <v>BISN X 30 G</v>
          </cell>
          <cell r="E397" t="str">
            <v>CE</v>
          </cell>
          <cell r="F397">
            <v>0.7639999999999999</v>
          </cell>
          <cell r="G397">
            <v>0</v>
          </cell>
          <cell r="H397">
            <v>0.7639999999999999</v>
          </cell>
        </row>
        <row r="398">
          <cell r="A398" t="str">
            <v>1190CE</v>
          </cell>
          <cell r="B398">
            <v>1190</v>
          </cell>
          <cell r="C398" t="str">
            <v>EMSEXPECTOR XAROPE FR C/120ML - E</v>
          </cell>
          <cell r="D398" t="str">
            <v>FR X 120 ML</v>
          </cell>
          <cell r="E398" t="str">
            <v>CE</v>
          </cell>
          <cell r="F398">
            <v>0.48</v>
          </cell>
          <cell r="G398">
            <v>0</v>
          </cell>
          <cell r="H398">
            <v>0.48</v>
          </cell>
        </row>
        <row r="399">
          <cell r="A399" t="str">
            <v>2111CE</v>
          </cell>
          <cell r="B399">
            <v>2111</v>
          </cell>
          <cell r="C399" t="str">
            <v>ENDCOFF PAST MEL ELIMAO C/12UN</v>
          </cell>
          <cell r="D399" t="str">
            <v>3 STP X 4</v>
          </cell>
          <cell r="E399" t="str">
            <v>CE</v>
          </cell>
          <cell r="F399">
            <v>0.48</v>
          </cell>
          <cell r="G399">
            <v>0</v>
          </cell>
          <cell r="H399">
            <v>0.48</v>
          </cell>
        </row>
        <row r="400">
          <cell r="A400" t="str">
            <v>2092CE</v>
          </cell>
          <cell r="B400">
            <v>2092</v>
          </cell>
          <cell r="C400" t="str">
            <v>ENDCOFF PAST STP MENTA C/12 UN</v>
          </cell>
          <cell r="D400" t="str">
            <v>3 STP X 4</v>
          </cell>
          <cell r="E400" t="str">
            <v>CE</v>
          </cell>
          <cell r="F400">
            <v>0.48</v>
          </cell>
          <cell r="G400">
            <v>0</v>
          </cell>
          <cell r="H400">
            <v>0.48</v>
          </cell>
        </row>
        <row r="401">
          <cell r="A401" t="str">
            <v>1905CE</v>
          </cell>
          <cell r="B401">
            <v>1905</v>
          </cell>
          <cell r="C401" t="str">
            <v>ESMOG 20MG 4BLTC/7 COM REV LIB RETARD- E</v>
          </cell>
          <cell r="D401" t="str">
            <v>4 BLT C/7</v>
          </cell>
          <cell r="E401" t="str">
            <v>CE</v>
          </cell>
          <cell r="F401">
            <v>0.77800000000000002</v>
          </cell>
          <cell r="G401">
            <v>0</v>
          </cell>
          <cell r="H401">
            <v>0.77800000000000002</v>
          </cell>
        </row>
        <row r="402">
          <cell r="A402" t="str">
            <v>1906CE</v>
          </cell>
          <cell r="B402">
            <v>1906</v>
          </cell>
          <cell r="C402" t="str">
            <v>ESMOG 40MG 4BLTC/7 COM REV LIB RETARD- E</v>
          </cell>
          <cell r="D402" t="str">
            <v>4 BLT C/7</v>
          </cell>
          <cell r="E402" t="str">
            <v>CE</v>
          </cell>
          <cell r="F402">
            <v>0.8</v>
          </cell>
          <cell r="G402">
            <v>0</v>
          </cell>
          <cell r="H402">
            <v>0.8</v>
          </cell>
        </row>
        <row r="403">
          <cell r="A403" t="str">
            <v>1016CE</v>
          </cell>
          <cell r="B403">
            <v>1016</v>
          </cell>
          <cell r="C403" t="str">
            <v>EXPECTUSS XPE ADULTO FR C/100ML</v>
          </cell>
          <cell r="D403" t="str">
            <v>FR X 100 ML</v>
          </cell>
          <cell r="E403" t="str">
            <v>CE</v>
          </cell>
          <cell r="F403">
            <v>0.55000000000000016</v>
          </cell>
          <cell r="G403">
            <v>0</v>
          </cell>
          <cell r="H403">
            <v>0.55000000000000016</v>
          </cell>
        </row>
        <row r="404">
          <cell r="A404" t="str">
            <v>1015CE</v>
          </cell>
          <cell r="B404">
            <v>1015</v>
          </cell>
          <cell r="C404" t="str">
            <v>EXPECTUSS XPE INF FR C/100ML</v>
          </cell>
          <cell r="D404" t="str">
            <v>FR X 100 ML</v>
          </cell>
          <cell r="E404" t="str">
            <v>CE</v>
          </cell>
          <cell r="F404">
            <v>0.5099999999999999</v>
          </cell>
          <cell r="G404">
            <v>0</v>
          </cell>
          <cell r="H404">
            <v>0.5099999999999999</v>
          </cell>
        </row>
        <row r="405">
          <cell r="A405" t="str">
            <v>1363CE</v>
          </cell>
          <cell r="B405">
            <v>1363</v>
          </cell>
          <cell r="C405" t="str">
            <v>FLUITEINA 600MG GRAN 16ENV 5G-E</v>
          </cell>
          <cell r="D405" t="str">
            <v>CX. C/16 ENV X 5GR</v>
          </cell>
          <cell r="E405" t="str">
            <v>CE</v>
          </cell>
          <cell r="F405">
            <v>0.42999999999999994</v>
          </cell>
          <cell r="G405">
            <v>0</v>
          </cell>
          <cell r="H405">
            <v>0.42999999999999994</v>
          </cell>
        </row>
        <row r="406">
          <cell r="A406" t="str">
            <v>1364CE</v>
          </cell>
          <cell r="B406">
            <v>1364</v>
          </cell>
          <cell r="C406" t="str">
            <v>FLUITEINA XPE AD 40MG/ML120ML-E</v>
          </cell>
          <cell r="D406" t="str">
            <v>FR X 120 ML</v>
          </cell>
          <cell r="E406" t="str">
            <v>CE</v>
          </cell>
          <cell r="F406">
            <v>0.56999999999999973</v>
          </cell>
          <cell r="G406">
            <v>0</v>
          </cell>
          <cell r="H406">
            <v>0.56999999999999973</v>
          </cell>
        </row>
        <row r="407">
          <cell r="A407" t="str">
            <v>1163CE</v>
          </cell>
          <cell r="B407">
            <v>1163</v>
          </cell>
          <cell r="C407" t="str">
            <v>FLUITEINA XPE INF 20MG/ML 120ML-E</v>
          </cell>
          <cell r="D407" t="str">
            <v>FR X 120 ML</v>
          </cell>
          <cell r="E407" t="str">
            <v>CE</v>
          </cell>
          <cell r="F407">
            <v>0.51900000000000002</v>
          </cell>
          <cell r="G407">
            <v>0</v>
          </cell>
          <cell r="H407">
            <v>0.51900000000000002</v>
          </cell>
        </row>
        <row r="408">
          <cell r="A408" t="str">
            <v>1168CE</v>
          </cell>
          <cell r="B408">
            <v>1168</v>
          </cell>
          <cell r="C408" t="str">
            <v>FOLIFOLIN 5MG 2BLTX15COMP - E</v>
          </cell>
          <cell r="D408" t="str">
            <v>2 BLT X 15 COMP.</v>
          </cell>
          <cell r="E408" t="str">
            <v>CE</v>
          </cell>
          <cell r="F408">
            <v>0.66</v>
          </cell>
          <cell r="G408">
            <v>0</v>
          </cell>
          <cell r="H408">
            <v>0.66</v>
          </cell>
        </row>
        <row r="409">
          <cell r="A409" t="str">
            <v>2318CE</v>
          </cell>
          <cell r="B409">
            <v>2318</v>
          </cell>
          <cell r="C409" t="str">
            <v>GEROVITAL  2BLT15 CAP MOLE-E</v>
          </cell>
          <cell r="D409" t="str">
            <v>3 BL X 10</v>
          </cell>
          <cell r="E409" t="str">
            <v>CE</v>
          </cell>
          <cell r="F409">
            <v>0.57899999999999996</v>
          </cell>
          <cell r="G409">
            <v>0</v>
          </cell>
          <cell r="H409">
            <v>0.57899999999999996</v>
          </cell>
        </row>
        <row r="410">
          <cell r="A410" t="str">
            <v>2062CE</v>
          </cell>
          <cell r="B410">
            <v>2062</v>
          </cell>
          <cell r="C410" t="str">
            <v>GEROVITAL 3BLT C/20 CAP</v>
          </cell>
          <cell r="D410" t="str">
            <v>6 BL X 10</v>
          </cell>
          <cell r="E410" t="str">
            <v>CE</v>
          </cell>
          <cell r="F410">
            <v>0.48100000000000004</v>
          </cell>
          <cell r="G410">
            <v>0</v>
          </cell>
          <cell r="H410">
            <v>0.48100000000000004</v>
          </cell>
        </row>
        <row r="411">
          <cell r="A411" t="str">
            <v>1230CE</v>
          </cell>
          <cell r="B411">
            <v>1230</v>
          </cell>
          <cell r="C411" t="str">
            <v>IBULIV 100MG/ML SUP ORAL C/ 20 ML-E</v>
          </cell>
          <cell r="D411" t="str">
            <v>FR X 20 ML</v>
          </cell>
          <cell r="E411" t="str">
            <v>CE</v>
          </cell>
          <cell r="F411">
            <v>0.68000000000000016</v>
          </cell>
          <cell r="G411">
            <v>0</v>
          </cell>
          <cell r="H411">
            <v>0.68000000000000016</v>
          </cell>
        </row>
        <row r="412">
          <cell r="A412" t="str">
            <v>1472CE</v>
          </cell>
          <cell r="B412">
            <v>1472</v>
          </cell>
          <cell r="C412" t="str">
            <v>IBULIV 400MG 10 BLT C/ 4CAPS GEL.MOLES-E</v>
          </cell>
          <cell r="D412" t="str">
            <v>10 BLT X 4 CÁPS</v>
          </cell>
          <cell r="E412" t="str">
            <v>CE</v>
          </cell>
          <cell r="F412">
            <v>0.71000000000000019</v>
          </cell>
          <cell r="G412">
            <v>0</v>
          </cell>
          <cell r="H412">
            <v>0.71000000000000019</v>
          </cell>
        </row>
        <row r="413">
          <cell r="A413" t="str">
            <v>2469CE</v>
          </cell>
          <cell r="B413">
            <v>2469</v>
          </cell>
          <cell r="C413" t="str">
            <v>IBULIV 400MG 2 BLT C/ 10CAPS GEL.MOLES-E</v>
          </cell>
          <cell r="D413" t="str">
            <v>20 CÁPS.</v>
          </cell>
          <cell r="E413" t="str">
            <v>CE</v>
          </cell>
          <cell r="F413">
            <v>0.71</v>
          </cell>
          <cell r="G413">
            <v>0</v>
          </cell>
          <cell r="H413">
            <v>0.71</v>
          </cell>
        </row>
        <row r="414">
          <cell r="A414" t="str">
            <v>1471CE</v>
          </cell>
          <cell r="B414">
            <v>1471</v>
          </cell>
          <cell r="C414" t="str">
            <v>IBULIV 400MG 2 BLT C/ 4CAPS GEL.MOLES-E</v>
          </cell>
          <cell r="D414" t="str">
            <v>2 BLT X 4 CÁPS.</v>
          </cell>
          <cell r="E414" t="str">
            <v>CE</v>
          </cell>
          <cell r="F414">
            <v>0.71</v>
          </cell>
          <cell r="G414">
            <v>0</v>
          </cell>
          <cell r="H414">
            <v>0.71</v>
          </cell>
        </row>
        <row r="415">
          <cell r="A415" t="str">
            <v>1175CE</v>
          </cell>
          <cell r="B415">
            <v>1175</v>
          </cell>
          <cell r="C415" t="str">
            <v>INFRALAX 1BLT C/15COMP - EMS</v>
          </cell>
          <cell r="D415" t="str">
            <v>1 BLT C/ 15</v>
          </cell>
          <cell r="E415" t="str">
            <v>CE</v>
          </cell>
          <cell r="F415">
            <v>0.74280000000000002</v>
          </cell>
          <cell r="G415">
            <v>0</v>
          </cell>
          <cell r="H415">
            <v>0.74280000000000002</v>
          </cell>
        </row>
        <row r="416">
          <cell r="A416" t="str">
            <v>1821CE</v>
          </cell>
          <cell r="B416">
            <v>1821</v>
          </cell>
          <cell r="C416" t="str">
            <v>INFRALAX 20BLTX10COMP - E</v>
          </cell>
          <cell r="D416" t="str">
            <v>20 BLT X 10</v>
          </cell>
          <cell r="E416" t="str">
            <v>CE</v>
          </cell>
          <cell r="F416">
            <v>0.81</v>
          </cell>
          <cell r="G416">
            <v>0</v>
          </cell>
          <cell r="H416">
            <v>0.81</v>
          </cell>
        </row>
        <row r="417">
          <cell r="A417" t="str">
            <v>2138CE</v>
          </cell>
          <cell r="B417">
            <v>2138</v>
          </cell>
          <cell r="C417" t="str">
            <v>INFRALAX 2BLT C/15COMP - EMS</v>
          </cell>
          <cell r="D417" t="str">
            <v>2 BL X 15</v>
          </cell>
          <cell r="E417" t="str">
            <v>CE</v>
          </cell>
          <cell r="F417">
            <v>0.74650000000000005</v>
          </cell>
          <cell r="G417">
            <v>0</v>
          </cell>
          <cell r="H417">
            <v>0.74650000000000005</v>
          </cell>
        </row>
        <row r="418">
          <cell r="A418" t="str">
            <v>6011CE</v>
          </cell>
          <cell r="B418">
            <v>6011</v>
          </cell>
          <cell r="C418" t="str">
            <v>NARIDRIN 12HS GOTAS FR C/30ML</v>
          </cell>
          <cell r="D418" t="str">
            <v>FR X 30 ML</v>
          </cell>
          <cell r="E418" t="str">
            <v>CE</v>
          </cell>
          <cell r="F418">
            <v>0.74</v>
          </cell>
          <cell r="G418">
            <v>0</v>
          </cell>
          <cell r="H418">
            <v>0.74</v>
          </cell>
        </row>
        <row r="419">
          <cell r="A419" t="str">
            <v>2604CE</v>
          </cell>
          <cell r="B419">
            <v>2604</v>
          </cell>
          <cell r="C419" t="str">
            <v>NARIDRIN ALTO VOL 30ENVX2,16G+FR240ML</v>
          </cell>
          <cell r="D419" t="str">
            <v>30ENVX2,16G+FR240ML</v>
          </cell>
          <cell r="E419" t="str">
            <v>CE</v>
          </cell>
          <cell r="F419">
            <v>0.64</v>
          </cell>
          <cell r="G419">
            <v>0</v>
          </cell>
          <cell r="H419">
            <v>0.64</v>
          </cell>
        </row>
        <row r="420">
          <cell r="A420" t="str">
            <v>2605CE</v>
          </cell>
          <cell r="B420">
            <v>2605</v>
          </cell>
          <cell r="C420" t="str">
            <v>NARIDRIN ALTO VOL REFIL</v>
          </cell>
          <cell r="D420" t="str">
            <v>30 ENV X 2,16G</v>
          </cell>
          <cell r="E420" t="str">
            <v>CE</v>
          </cell>
          <cell r="F420">
            <v>0.59999999999999987</v>
          </cell>
          <cell r="G420">
            <v>0</v>
          </cell>
          <cell r="H420">
            <v>0.59999999999999987</v>
          </cell>
        </row>
        <row r="421">
          <cell r="A421" t="str">
            <v>1433CE</v>
          </cell>
          <cell r="B421">
            <v>1433</v>
          </cell>
          <cell r="C421" t="str">
            <v>NARIDRIN AQUA 9MG/ML FRASCO C/50ML-E</v>
          </cell>
          <cell r="D421" t="str">
            <v>FR X 50 ML SPRAY</v>
          </cell>
          <cell r="E421" t="str">
            <v>CE</v>
          </cell>
          <cell r="F421">
            <v>0.71</v>
          </cell>
          <cell r="G421">
            <v>0</v>
          </cell>
          <cell r="H421">
            <v>0.71</v>
          </cell>
        </row>
        <row r="422">
          <cell r="A422" t="str">
            <v>6005CE</v>
          </cell>
          <cell r="B422">
            <v>6005</v>
          </cell>
          <cell r="C422" t="str">
            <v>NARIDRIN GOTAS AD FR C/15ML</v>
          </cell>
          <cell r="D422" t="str">
            <v>FR X 15 ML</v>
          </cell>
          <cell r="E422" t="str">
            <v>CE</v>
          </cell>
          <cell r="F422">
            <v>0.74</v>
          </cell>
          <cell r="G422">
            <v>0</v>
          </cell>
          <cell r="H422">
            <v>0.74</v>
          </cell>
        </row>
        <row r="423">
          <cell r="A423" t="str">
            <v>6006CE</v>
          </cell>
          <cell r="B423">
            <v>6006</v>
          </cell>
          <cell r="C423" t="str">
            <v>NARIDRIN GOTAS INF FR C/15ML</v>
          </cell>
          <cell r="D423" t="str">
            <v>FR X 15 ML</v>
          </cell>
          <cell r="E423" t="str">
            <v>CE</v>
          </cell>
          <cell r="F423">
            <v>0.72999999999999987</v>
          </cell>
          <cell r="G423">
            <v>0</v>
          </cell>
          <cell r="H423">
            <v>0.72999999999999987</v>
          </cell>
        </row>
        <row r="424">
          <cell r="A424" t="str">
            <v>1079CE</v>
          </cell>
          <cell r="B424">
            <v>1079</v>
          </cell>
          <cell r="C424" t="str">
            <v>NARIDRIN H 30MG/ML SOL.NAS SPRAY 60ML-E</v>
          </cell>
          <cell r="D424" t="str">
            <v>FRASCO X 60ML</v>
          </cell>
          <cell r="E424" t="str">
            <v>CE</v>
          </cell>
          <cell r="F424">
            <v>0.7</v>
          </cell>
          <cell r="G424">
            <v>0</v>
          </cell>
          <cell r="H424">
            <v>0.7</v>
          </cell>
        </row>
        <row r="425">
          <cell r="A425" t="str">
            <v>1368CE</v>
          </cell>
          <cell r="B425">
            <v>1368</v>
          </cell>
          <cell r="C425" t="str">
            <v>NIMESILAM BLT 1X12= 12 COM - E</v>
          </cell>
          <cell r="D425" t="str">
            <v>1 BLT X 12</v>
          </cell>
          <cell r="E425" t="str">
            <v>CE</v>
          </cell>
          <cell r="F425">
            <v>0.89999999999999991</v>
          </cell>
          <cell r="G425">
            <v>0</v>
          </cell>
          <cell r="H425">
            <v>0.89999999999999991</v>
          </cell>
        </row>
        <row r="426">
          <cell r="A426" t="str">
            <v>1367CE</v>
          </cell>
          <cell r="B426">
            <v>1367</v>
          </cell>
          <cell r="C426" t="str">
            <v>NIMESILAM GOTAS FRC/15ML  - E</v>
          </cell>
          <cell r="D426" t="str">
            <v>FR 15 ML</v>
          </cell>
          <cell r="E426" t="str">
            <v>CE</v>
          </cell>
          <cell r="F426">
            <v>0.73</v>
          </cell>
          <cell r="G426">
            <v>0</v>
          </cell>
          <cell r="H426">
            <v>0.73</v>
          </cell>
        </row>
        <row r="427">
          <cell r="A427" t="str">
            <v>2058CE</v>
          </cell>
          <cell r="B427">
            <v>2058</v>
          </cell>
          <cell r="C427" t="str">
            <v>NOCICLIN 1BLT C/21COM-EMS</v>
          </cell>
          <cell r="D427" t="str">
            <v>1 BL X 21</v>
          </cell>
          <cell r="E427" t="str">
            <v>CE</v>
          </cell>
          <cell r="F427">
            <v>0.68</v>
          </cell>
          <cell r="G427">
            <v>0</v>
          </cell>
          <cell r="H427">
            <v>0.68</v>
          </cell>
        </row>
        <row r="428">
          <cell r="A428" t="str">
            <v>2391CE</v>
          </cell>
          <cell r="B428">
            <v>2391</v>
          </cell>
          <cell r="C428" t="str">
            <v>RUDITE 20MG/ML PO SUS 100ML-E</v>
          </cell>
          <cell r="D428" t="str">
            <v>FR X 100 ML</v>
          </cell>
          <cell r="E428" t="str">
            <v>CE</v>
          </cell>
          <cell r="F428">
            <v>0.59899999999999998</v>
          </cell>
          <cell r="G428">
            <v>0</v>
          </cell>
          <cell r="H428">
            <v>0.59899999999999998</v>
          </cell>
        </row>
        <row r="429">
          <cell r="A429" t="str">
            <v>2392CE</v>
          </cell>
          <cell r="B429">
            <v>2392</v>
          </cell>
          <cell r="C429" t="str">
            <v>RUDITE 20MG/ML PO SUS 45ML-E</v>
          </cell>
          <cell r="D429" t="str">
            <v>FR X 45 ML</v>
          </cell>
          <cell r="E429" t="str">
            <v>CE</v>
          </cell>
          <cell r="F429">
            <v>0.58999999999999986</v>
          </cell>
          <cell r="G429">
            <v>0</v>
          </cell>
          <cell r="H429">
            <v>0.58999999999999986</v>
          </cell>
        </row>
        <row r="430">
          <cell r="A430" t="str">
            <v>2390CE</v>
          </cell>
          <cell r="B430">
            <v>2390</v>
          </cell>
          <cell r="C430" t="str">
            <v>RUDITE(C1)500MG C/6 COM REV-E</v>
          </cell>
          <cell r="D430" t="str">
            <v>1 BLT X 6</v>
          </cell>
          <cell r="E430" t="str">
            <v>CE</v>
          </cell>
          <cell r="F430">
            <v>0.7</v>
          </cell>
          <cell r="G430">
            <v>0</v>
          </cell>
          <cell r="H430">
            <v>0.7</v>
          </cell>
        </row>
        <row r="431">
          <cell r="A431" t="str">
            <v>2398CE</v>
          </cell>
          <cell r="B431">
            <v>2398</v>
          </cell>
          <cell r="C431" t="str">
            <v>SOMINEX COMPOS OTC CPR REVEST x 20</v>
          </cell>
          <cell r="D431" t="str">
            <v>2 BL X 10</v>
          </cell>
          <cell r="E431" t="str">
            <v>CE</v>
          </cell>
          <cell r="F431">
            <v>0.68899999999999995</v>
          </cell>
          <cell r="G431">
            <v>0</v>
          </cell>
          <cell r="H431">
            <v>0.68899999999999995</v>
          </cell>
        </row>
        <row r="432">
          <cell r="A432" t="str">
            <v>1818CE</v>
          </cell>
          <cell r="B432">
            <v>1818</v>
          </cell>
          <cell r="C432" t="str">
            <v>SUPLEVIT MULHER VIT. 2BLT C/15 CAP.GEL-E</v>
          </cell>
          <cell r="D432" t="str">
            <v>2 BLT C/15</v>
          </cell>
          <cell r="E432" t="str">
            <v>CE</v>
          </cell>
          <cell r="F432">
            <v>0.82</v>
          </cell>
          <cell r="G432">
            <v>0</v>
          </cell>
          <cell r="H432">
            <v>0.82</v>
          </cell>
        </row>
        <row r="433">
          <cell r="A433" t="str">
            <v>1819CE</v>
          </cell>
          <cell r="B433">
            <v>1819</v>
          </cell>
          <cell r="C433" t="str">
            <v>SUPLEVIT MULHER VIT. 4BLT C/15 CAP.GEL-E</v>
          </cell>
          <cell r="D433" t="str">
            <v>4 BLT C/15</v>
          </cell>
          <cell r="E433" t="str">
            <v>CE</v>
          </cell>
          <cell r="F433">
            <v>0.81999999999999984</v>
          </cell>
          <cell r="G433">
            <v>0</v>
          </cell>
          <cell r="H433">
            <v>0.81999999999999984</v>
          </cell>
        </row>
        <row r="434">
          <cell r="A434" t="str">
            <v>2036CE</v>
          </cell>
          <cell r="B434">
            <v>2036</v>
          </cell>
          <cell r="C434" t="str">
            <v>VITAFER FR C/50 COMP-E</v>
          </cell>
          <cell r="D434" t="str">
            <v>FR X 50</v>
          </cell>
          <cell r="E434" t="str">
            <v>CE</v>
          </cell>
          <cell r="F434">
            <v>0.52999999999999992</v>
          </cell>
          <cell r="G434">
            <v>0</v>
          </cell>
          <cell r="H434">
            <v>0.52999999999999992</v>
          </cell>
        </row>
        <row r="435">
          <cell r="A435" t="str">
            <v>60000DF</v>
          </cell>
          <cell r="B435">
            <v>60000</v>
          </cell>
          <cell r="C435" t="str">
            <v>A SAUDE DA MULHER 150ML SOLUCAO</v>
          </cell>
          <cell r="D435" t="str">
            <v>FR X 150 ML</v>
          </cell>
          <cell r="E435" t="str">
            <v>DF</v>
          </cell>
          <cell r="F435">
            <v>0.26999999999999996</v>
          </cell>
          <cell r="G435">
            <v>0</v>
          </cell>
          <cell r="H435">
            <v>0.26999999999999996</v>
          </cell>
        </row>
        <row r="436">
          <cell r="A436" t="str">
            <v>2256DF</v>
          </cell>
          <cell r="B436">
            <v>2256</v>
          </cell>
          <cell r="C436" t="str">
            <v>ALLEXOFEDRIN 120MG 1BLTC/10 COM REV-E</v>
          </cell>
          <cell r="D436" t="str">
            <v>1 BL X 10 COMP REVEST</v>
          </cell>
          <cell r="E436" t="str">
            <v>DF</v>
          </cell>
          <cell r="F436">
            <v>0.75</v>
          </cell>
          <cell r="G436">
            <v>0</v>
          </cell>
          <cell r="H436">
            <v>0.75</v>
          </cell>
        </row>
        <row r="437">
          <cell r="A437" t="str">
            <v>2255DF</v>
          </cell>
          <cell r="B437">
            <v>2255</v>
          </cell>
          <cell r="C437" t="str">
            <v>ALLEXOFEDRIN 180MG 1BLTC/10 COM REV-E</v>
          </cell>
          <cell r="D437" t="str">
            <v>1 BL X 10 COMP REVEST</v>
          </cell>
          <cell r="E437" t="str">
            <v>DF</v>
          </cell>
          <cell r="F437">
            <v>0.74999999999999989</v>
          </cell>
          <cell r="G437">
            <v>0</v>
          </cell>
          <cell r="H437">
            <v>0.74999999999999989</v>
          </cell>
        </row>
        <row r="438">
          <cell r="A438" t="str">
            <v>2133DF</v>
          </cell>
          <cell r="B438">
            <v>2133</v>
          </cell>
          <cell r="C438" t="str">
            <v>ALLEXOFEDRIN D 60+120MG 1BLT C/10C.REV</v>
          </cell>
          <cell r="D438" t="str">
            <v>1 BL X 10 COMP REVEST</v>
          </cell>
          <cell r="E438" t="str">
            <v>DF</v>
          </cell>
          <cell r="F438">
            <v>0.26</v>
          </cell>
          <cell r="G438">
            <v>0</v>
          </cell>
          <cell r="H438">
            <v>0.26</v>
          </cell>
        </row>
        <row r="439">
          <cell r="A439" t="str">
            <v>2346MT</v>
          </cell>
          <cell r="B439">
            <v>2346</v>
          </cell>
          <cell r="C439" t="str">
            <v>ALLEXOFEDRIN PEDIATRICO6MG/MLSUS 60ML-E</v>
          </cell>
          <cell r="D439" t="str">
            <v>6MG/MLSUS 60ML-E</v>
          </cell>
          <cell r="E439" t="str">
            <v>MT</v>
          </cell>
          <cell r="F439">
            <v>0.5514</v>
          </cell>
          <cell r="G439">
            <v>0</v>
          </cell>
          <cell r="H439">
            <v>0.5514</v>
          </cell>
        </row>
        <row r="440">
          <cell r="A440" t="str">
            <v>2347DF</v>
          </cell>
          <cell r="B440">
            <v>2347</v>
          </cell>
          <cell r="C440" t="str">
            <v>ALLEXOFEDRIN PEDIATRICO6MG/MLSUS150 ML-E</v>
          </cell>
          <cell r="D440" t="str">
            <v>6MG/MLSUS150 ML-E</v>
          </cell>
          <cell r="E440" t="str">
            <v>DF</v>
          </cell>
          <cell r="F440">
            <v>0.60909999999999997</v>
          </cell>
          <cell r="G440">
            <v>0</v>
          </cell>
          <cell r="H440">
            <v>0.60909999999999997</v>
          </cell>
        </row>
        <row r="441">
          <cell r="A441" t="str">
            <v>2190DF</v>
          </cell>
          <cell r="B441">
            <v>2190</v>
          </cell>
          <cell r="C441" t="str">
            <v>ANTIVIRAX 400MG 2BLTX15 COM - E</v>
          </cell>
          <cell r="D441" t="str">
            <v>2 BL X 15</v>
          </cell>
          <cell r="E441" t="str">
            <v>DF</v>
          </cell>
          <cell r="F441">
            <v>0.68</v>
          </cell>
          <cell r="G441">
            <v>0</v>
          </cell>
          <cell r="H441">
            <v>0.68</v>
          </cell>
        </row>
        <row r="442">
          <cell r="A442" t="str">
            <v>3009DF</v>
          </cell>
          <cell r="B442">
            <v>3009</v>
          </cell>
          <cell r="C442" t="str">
            <v>ANTIVIRAX CR BG C/10 G</v>
          </cell>
          <cell r="D442" t="str">
            <v>BISN X 10 G</v>
          </cell>
          <cell r="E442" t="str">
            <v>DF</v>
          </cell>
          <cell r="F442">
            <v>0.74999999999999989</v>
          </cell>
          <cell r="G442">
            <v>0</v>
          </cell>
          <cell r="H442">
            <v>0.74999999999999989</v>
          </cell>
        </row>
        <row r="443">
          <cell r="A443" t="str">
            <v>1001DF</v>
          </cell>
          <cell r="B443">
            <v>1001</v>
          </cell>
          <cell r="C443" t="str">
            <v>APEVITIN BC XPE FRC/240ML</v>
          </cell>
          <cell r="D443" t="str">
            <v>FR X 240 ML</v>
          </cell>
          <cell r="E443" t="str">
            <v>DF</v>
          </cell>
          <cell r="F443">
            <v>0.78909999999999991</v>
          </cell>
          <cell r="G443">
            <v>0</v>
          </cell>
          <cell r="H443">
            <v>0.78909999999999991</v>
          </cell>
        </row>
        <row r="444">
          <cell r="A444" t="str">
            <v>1226DF</v>
          </cell>
          <cell r="B444">
            <v>1226</v>
          </cell>
          <cell r="C444" t="str">
            <v>BENZIFLEX 10MG 1BLX15COMP.REV-E</v>
          </cell>
          <cell r="D444" t="str">
            <v>1 BL X 15 COMP.</v>
          </cell>
          <cell r="E444" t="str">
            <v>DF</v>
          </cell>
          <cell r="F444">
            <v>0.71</v>
          </cell>
          <cell r="G444">
            <v>0</v>
          </cell>
          <cell r="H444">
            <v>0.71</v>
          </cell>
        </row>
        <row r="445">
          <cell r="A445" t="str">
            <v>1227DF</v>
          </cell>
          <cell r="B445">
            <v>1227</v>
          </cell>
          <cell r="C445" t="str">
            <v>BENZIFLEX 10MG 2BLX15COMP.REV-E</v>
          </cell>
          <cell r="D445" t="str">
            <v>2 BL X 15 COMP.</v>
          </cell>
          <cell r="E445" t="str">
            <v>DF</v>
          </cell>
          <cell r="F445">
            <v>0.71</v>
          </cell>
          <cell r="G445">
            <v>0</v>
          </cell>
          <cell r="H445">
            <v>0.71</v>
          </cell>
        </row>
        <row r="446">
          <cell r="A446" t="str">
            <v>1233DF</v>
          </cell>
          <cell r="B446">
            <v>1233</v>
          </cell>
          <cell r="C446" t="str">
            <v>BENZIFLEX 5MG 2BLX15COMP.REV-E</v>
          </cell>
          <cell r="D446" t="str">
            <v>2 BL X 15 COMP.</v>
          </cell>
          <cell r="E446" t="str">
            <v>DF</v>
          </cell>
          <cell r="F446">
            <v>0.71</v>
          </cell>
          <cell r="G446">
            <v>0</v>
          </cell>
          <cell r="H446">
            <v>0.71</v>
          </cell>
        </row>
        <row r="447">
          <cell r="A447" t="str">
            <v>1574DF</v>
          </cell>
          <cell r="B447">
            <v>1574</v>
          </cell>
          <cell r="C447" t="str">
            <v>BENZIFLEX LIS 125MG+5MG 15COM.REV.-E</v>
          </cell>
          <cell r="D447" t="str">
            <v>1 BL X 15 COMP.</v>
          </cell>
          <cell r="E447" t="str">
            <v>DF</v>
          </cell>
          <cell r="F447">
            <v>0.5</v>
          </cell>
          <cell r="G447">
            <v>0</v>
          </cell>
          <cell r="H447">
            <v>0.5</v>
          </cell>
        </row>
        <row r="448">
          <cell r="A448" t="str">
            <v>2292DF</v>
          </cell>
          <cell r="B448">
            <v>2292</v>
          </cell>
          <cell r="C448" t="str">
            <v>BENZIFLEX LIS 125MG+5MG 2BL15 COM.REV.-E</v>
          </cell>
          <cell r="D448" t="str">
            <v>2 BL X 15 COMP.</v>
          </cell>
          <cell r="E448" t="str">
            <v>DF</v>
          </cell>
          <cell r="F448">
            <v>0.53</v>
          </cell>
          <cell r="G448">
            <v>0</v>
          </cell>
          <cell r="H448">
            <v>0.53</v>
          </cell>
        </row>
        <row r="449">
          <cell r="A449" t="str">
            <v>1155DF</v>
          </cell>
          <cell r="B449">
            <v>1155</v>
          </cell>
          <cell r="C449" t="str">
            <v>BIOFLADEX AEROSSOL 60G- E</v>
          </cell>
          <cell r="D449" t="str">
            <v>FRASCO 60 G</v>
          </cell>
          <cell r="E449" t="str">
            <v>DF</v>
          </cell>
          <cell r="F449">
            <v>0.66</v>
          </cell>
          <cell r="G449">
            <v>0</v>
          </cell>
          <cell r="H449">
            <v>0.66</v>
          </cell>
        </row>
        <row r="450">
          <cell r="A450" t="str">
            <v>1072DF</v>
          </cell>
          <cell r="B450">
            <v>1072</v>
          </cell>
          <cell r="C450" t="str">
            <v>BISURAN 4MG/5ML XPE INF 120ML-E</v>
          </cell>
          <cell r="D450" t="str">
            <v>FR X 120 ML</v>
          </cell>
          <cell r="E450" t="str">
            <v>DF</v>
          </cell>
          <cell r="F450">
            <v>0.53</v>
          </cell>
          <cell r="G450">
            <v>0</v>
          </cell>
          <cell r="H450">
            <v>0.53</v>
          </cell>
        </row>
        <row r="451">
          <cell r="A451" t="str">
            <v>1318DF</v>
          </cell>
          <cell r="B451">
            <v>1318</v>
          </cell>
          <cell r="C451" t="str">
            <v>BISURAN 8MG/5ML XPE AD. 120ML-E</v>
          </cell>
          <cell r="D451" t="str">
            <v>FR X 120 ML</v>
          </cell>
          <cell r="E451" t="str">
            <v>DF</v>
          </cell>
          <cell r="F451">
            <v>0.61999999999999988</v>
          </cell>
          <cell r="G451">
            <v>0</v>
          </cell>
          <cell r="H451">
            <v>0.61999999999999988</v>
          </cell>
        </row>
        <row r="452">
          <cell r="A452" t="str">
            <v>2141DF</v>
          </cell>
          <cell r="B452">
            <v>2141</v>
          </cell>
          <cell r="C452" t="str">
            <v>CELERGIN 20 COMP-E</v>
          </cell>
          <cell r="D452" t="str">
            <v>CX. C/20 COMP.</v>
          </cell>
          <cell r="E452" t="str">
            <v>DF</v>
          </cell>
          <cell r="F452">
            <v>0.65649999999999986</v>
          </cell>
          <cell r="G452">
            <v>0</v>
          </cell>
          <cell r="H452">
            <v>0.65649999999999986</v>
          </cell>
        </row>
        <row r="453">
          <cell r="A453" t="str">
            <v>2346PA</v>
          </cell>
          <cell r="B453">
            <v>2346</v>
          </cell>
          <cell r="C453" t="str">
            <v>ALLEXOFEDRIN PEDIATRICO6MG/MLSUS 60ML-E</v>
          </cell>
          <cell r="D453" t="str">
            <v>6MG/MLSUS 60ML-E</v>
          </cell>
          <cell r="E453" t="str">
            <v>PA</v>
          </cell>
          <cell r="F453">
            <v>0.5514</v>
          </cell>
          <cell r="G453">
            <v>0</v>
          </cell>
          <cell r="H453">
            <v>0.5514</v>
          </cell>
        </row>
        <row r="454">
          <cell r="A454" t="str">
            <v>2322DF</v>
          </cell>
          <cell r="B454">
            <v>2322</v>
          </cell>
          <cell r="C454" t="str">
            <v>CLOPE 3,54MG/ML XPE 120ML FR PLAS-E</v>
          </cell>
          <cell r="D454" t="str">
            <v>FR X 120 ML</v>
          </cell>
          <cell r="E454" t="str">
            <v>DF</v>
          </cell>
          <cell r="F454">
            <v>0.53</v>
          </cell>
          <cell r="G454">
            <v>0</v>
          </cell>
          <cell r="H454">
            <v>0.53</v>
          </cell>
        </row>
        <row r="455">
          <cell r="A455" t="str">
            <v>2383DF</v>
          </cell>
          <cell r="B455">
            <v>2383</v>
          </cell>
          <cell r="C455" t="str">
            <v>COMPLEXO B 12 XPE FR C/120ML E</v>
          </cell>
          <cell r="D455" t="str">
            <v>FR X 120 ML</v>
          </cell>
          <cell r="E455" t="str">
            <v>DF</v>
          </cell>
          <cell r="F455">
            <v>0.67000000000000015</v>
          </cell>
          <cell r="G455">
            <v>0</v>
          </cell>
          <cell r="H455">
            <v>0.67000000000000015</v>
          </cell>
        </row>
        <row r="456">
          <cell r="A456" t="str">
            <v>2384DF</v>
          </cell>
          <cell r="B456">
            <v>2384</v>
          </cell>
          <cell r="C456" t="str">
            <v>COMPLEXO B CPR REVEST x 20</v>
          </cell>
          <cell r="D456" t="str">
            <v xml:space="preserve">FR X 20 </v>
          </cell>
          <cell r="E456" t="str">
            <v>DF</v>
          </cell>
          <cell r="F456">
            <v>0.66000000000000014</v>
          </cell>
          <cell r="G456">
            <v>0</v>
          </cell>
          <cell r="H456">
            <v>0.66000000000000014</v>
          </cell>
        </row>
        <row r="457">
          <cell r="A457" t="str">
            <v>2382DF</v>
          </cell>
          <cell r="B457">
            <v>2382</v>
          </cell>
          <cell r="C457" t="str">
            <v>COMPLEXO B FR C/100 COM REV  E</v>
          </cell>
          <cell r="D457" t="str">
            <v>FR X 100</v>
          </cell>
          <cell r="E457" t="str">
            <v>DF</v>
          </cell>
          <cell r="F457">
            <v>0.64000000000000012</v>
          </cell>
          <cell r="G457">
            <v>0</v>
          </cell>
          <cell r="H457">
            <v>0.64000000000000012</v>
          </cell>
        </row>
        <row r="458">
          <cell r="A458" t="str">
            <v>2011DF</v>
          </cell>
          <cell r="B458">
            <v>2011</v>
          </cell>
          <cell r="C458" t="str">
            <v>CYSTEX FR C/24 DRG</v>
          </cell>
          <cell r="D458" t="str">
            <v xml:space="preserve">FR X 24 </v>
          </cell>
          <cell r="E458" t="str">
            <v>DF</v>
          </cell>
          <cell r="F458">
            <v>0.36070000000000002</v>
          </cell>
          <cell r="G458">
            <v>0</v>
          </cell>
          <cell r="H458">
            <v>0.36070000000000002</v>
          </cell>
        </row>
        <row r="459">
          <cell r="A459" t="str">
            <v>1837DF</v>
          </cell>
          <cell r="B459">
            <v>1837</v>
          </cell>
          <cell r="C459" t="str">
            <v>DIOVASES 450+50MG C/30 COM.REV. - E</v>
          </cell>
          <cell r="D459" t="str">
            <v>2 BL X 15 COMP.</v>
          </cell>
          <cell r="E459" t="str">
            <v>DF</v>
          </cell>
          <cell r="F459">
            <v>0.68</v>
          </cell>
          <cell r="G459">
            <v>0</v>
          </cell>
          <cell r="H459">
            <v>0.68</v>
          </cell>
        </row>
        <row r="460">
          <cell r="A460" t="str">
            <v>1838DF</v>
          </cell>
          <cell r="B460">
            <v>1838</v>
          </cell>
          <cell r="C460" t="str">
            <v>DIOVASES 450+50MG C/60 COM.REV. - E</v>
          </cell>
          <cell r="D460" t="str">
            <v>4 BL X 15 COMP.</v>
          </cell>
          <cell r="E460" t="str">
            <v>DF</v>
          </cell>
          <cell r="F460">
            <v>0.72</v>
          </cell>
          <cell r="G460">
            <v>0</v>
          </cell>
          <cell r="H460">
            <v>0.72</v>
          </cell>
        </row>
        <row r="461">
          <cell r="A461" t="str">
            <v>2261DF</v>
          </cell>
          <cell r="B461">
            <v>2261</v>
          </cell>
          <cell r="C461" t="str">
            <v>DORICIN CPR x 24</v>
          </cell>
          <cell r="D461" t="str">
            <v>2BL C/12 COMPRIMIDOS -E</v>
          </cell>
          <cell r="E461" t="str">
            <v>DF</v>
          </cell>
          <cell r="F461">
            <v>0.74099999999999999</v>
          </cell>
          <cell r="G461">
            <v>0</v>
          </cell>
          <cell r="H461">
            <v>0.74099999999999999</v>
          </cell>
        </row>
        <row r="462">
          <cell r="A462" t="str">
            <v>2264DF</v>
          </cell>
          <cell r="B462">
            <v>2264</v>
          </cell>
          <cell r="C462" t="str">
            <v>DORICIN CPR x 300</v>
          </cell>
          <cell r="D462" t="str">
            <v>30BL C/10 COMPRIMIDOS -E</v>
          </cell>
          <cell r="E462" t="str">
            <v>DF</v>
          </cell>
          <cell r="F462">
            <v>0.74099999999999999</v>
          </cell>
          <cell r="G462">
            <v>0</v>
          </cell>
          <cell r="H462">
            <v>0.74099999999999999</v>
          </cell>
        </row>
        <row r="463">
          <cell r="A463" t="str">
            <v>2262DF</v>
          </cell>
          <cell r="B463">
            <v>2262</v>
          </cell>
          <cell r="C463" t="str">
            <v>DORICIN CPR X 36</v>
          </cell>
          <cell r="D463" t="str">
            <v>3BL C/12 COMPRIMIDOS -E</v>
          </cell>
          <cell r="E463" t="str">
            <v>DF</v>
          </cell>
          <cell r="F463">
            <v>0.75139999999999996</v>
          </cell>
          <cell r="G463">
            <v>0</v>
          </cell>
          <cell r="H463">
            <v>0.75139999999999996</v>
          </cell>
        </row>
        <row r="464">
          <cell r="A464" t="str">
            <v>2263DF</v>
          </cell>
          <cell r="B464">
            <v>2263</v>
          </cell>
          <cell r="C464" t="str">
            <v>DORICIN CPR X 50</v>
          </cell>
          <cell r="D464" t="str">
            <v>5BL C/10 COMPRIMIDOS - E</v>
          </cell>
          <cell r="E464" t="str">
            <v>DF</v>
          </cell>
          <cell r="F464">
            <v>0.66100000000000003</v>
          </cell>
          <cell r="G464">
            <v>0</v>
          </cell>
          <cell r="H464">
            <v>0.66100000000000003</v>
          </cell>
        </row>
        <row r="465">
          <cell r="A465" t="str">
            <v>1173DF</v>
          </cell>
          <cell r="B465">
            <v>1173</v>
          </cell>
          <cell r="C465" t="str">
            <v>DORICIN GOTAS 20ML x 1</v>
          </cell>
          <cell r="D465" t="str">
            <v>FR X 20 ML</v>
          </cell>
          <cell r="E465" t="str">
            <v>DF</v>
          </cell>
          <cell r="F465">
            <v>0.65</v>
          </cell>
          <cell r="G465">
            <v>0</v>
          </cell>
          <cell r="H465">
            <v>0.65</v>
          </cell>
        </row>
        <row r="466">
          <cell r="A466" t="str">
            <v>2018DF</v>
          </cell>
          <cell r="B466">
            <v>2018</v>
          </cell>
          <cell r="C466" t="str">
            <v>EMISTIN BLT 1X20=20COMP</v>
          </cell>
          <cell r="D466" t="str">
            <v>1 BL X 20</v>
          </cell>
          <cell r="E466" t="str">
            <v>DF</v>
          </cell>
          <cell r="F466">
            <v>0.67</v>
          </cell>
          <cell r="G466">
            <v>0</v>
          </cell>
          <cell r="H466">
            <v>0.67</v>
          </cell>
        </row>
        <row r="467">
          <cell r="A467" t="str">
            <v>3008DF</v>
          </cell>
          <cell r="B467">
            <v>3008</v>
          </cell>
          <cell r="C467" t="str">
            <v>EMISTIN CR BG C/20G</v>
          </cell>
          <cell r="D467" t="str">
            <v>BISN X 20 G</v>
          </cell>
          <cell r="E467" t="str">
            <v>DF</v>
          </cell>
          <cell r="F467">
            <v>0.77</v>
          </cell>
          <cell r="G467">
            <v>0</v>
          </cell>
          <cell r="H467">
            <v>0.77</v>
          </cell>
        </row>
        <row r="468">
          <cell r="A468" t="str">
            <v>3020DF</v>
          </cell>
          <cell r="B468">
            <v>3020</v>
          </cell>
          <cell r="C468" t="str">
            <v>EMSCORT CR BG C/30G</v>
          </cell>
          <cell r="D468" t="str">
            <v>BISN X 30 G</v>
          </cell>
          <cell r="E468" t="str">
            <v>DF</v>
          </cell>
          <cell r="F468">
            <v>0.77000000000000013</v>
          </cell>
          <cell r="G468">
            <v>0</v>
          </cell>
          <cell r="H468">
            <v>0.77000000000000013</v>
          </cell>
        </row>
        <row r="469">
          <cell r="A469" t="str">
            <v>6023DF</v>
          </cell>
          <cell r="B469">
            <v>6023</v>
          </cell>
          <cell r="C469" t="str">
            <v>EMSCORT POM BISN 30G-E</v>
          </cell>
          <cell r="D469" t="str">
            <v>BISN X 30 G</v>
          </cell>
          <cell r="E469" t="str">
            <v>DF</v>
          </cell>
          <cell r="F469">
            <v>0.7639999999999999</v>
          </cell>
          <cell r="G469">
            <v>0</v>
          </cell>
          <cell r="H469">
            <v>0.7639999999999999</v>
          </cell>
        </row>
        <row r="470">
          <cell r="A470" t="str">
            <v>1190DF</v>
          </cell>
          <cell r="B470">
            <v>1190</v>
          </cell>
          <cell r="C470" t="str">
            <v>EMSEXPECTOR XAROPE FR C/120ML - E</v>
          </cell>
          <cell r="D470" t="str">
            <v>FR X 120 ML</v>
          </cell>
          <cell r="E470" t="str">
            <v>DF</v>
          </cell>
          <cell r="F470">
            <v>0.48</v>
          </cell>
          <cell r="G470">
            <v>0</v>
          </cell>
          <cell r="H470">
            <v>0.48</v>
          </cell>
        </row>
        <row r="471">
          <cell r="A471" t="str">
            <v>2111DF</v>
          </cell>
          <cell r="B471">
            <v>2111</v>
          </cell>
          <cell r="C471" t="str">
            <v>ENDCOFF PAST MEL ELIMAO C/12UN</v>
          </cell>
          <cell r="D471" t="str">
            <v>3 STP X 4</v>
          </cell>
          <cell r="E471" t="str">
            <v>DF</v>
          </cell>
          <cell r="F471">
            <v>0.48</v>
          </cell>
          <cell r="G471">
            <v>0</v>
          </cell>
          <cell r="H471">
            <v>0.48</v>
          </cell>
        </row>
        <row r="472">
          <cell r="A472" t="str">
            <v>2092DF</v>
          </cell>
          <cell r="B472">
            <v>2092</v>
          </cell>
          <cell r="C472" t="str">
            <v>ENDCOFF PAST STP MENTA C/12 UN</v>
          </cell>
          <cell r="D472" t="str">
            <v>3 STP X 4</v>
          </cell>
          <cell r="E472" t="str">
            <v>DF</v>
          </cell>
          <cell r="F472">
            <v>0.48</v>
          </cell>
          <cell r="G472">
            <v>0</v>
          </cell>
          <cell r="H472">
            <v>0.48</v>
          </cell>
        </row>
        <row r="473">
          <cell r="A473" t="str">
            <v>1905DF</v>
          </cell>
          <cell r="B473">
            <v>1905</v>
          </cell>
          <cell r="C473" t="str">
            <v>ESMOG 20MG 4BLTC/7 COM REV LIB RETARD- E</v>
          </cell>
          <cell r="D473" t="str">
            <v>4 BLT C/7</v>
          </cell>
          <cell r="E473" t="str">
            <v>DF</v>
          </cell>
          <cell r="F473">
            <v>0.77800000000000002</v>
          </cell>
          <cell r="G473">
            <v>0</v>
          </cell>
          <cell r="H473">
            <v>0.77800000000000002</v>
          </cell>
        </row>
        <row r="474">
          <cell r="A474" t="str">
            <v>1906DF</v>
          </cell>
          <cell r="B474">
            <v>1906</v>
          </cell>
          <cell r="C474" t="str">
            <v>ESMOG 40MG 4BLTC/7 COM REV LIB RETARD- E</v>
          </cell>
          <cell r="D474" t="str">
            <v>4 BLT C/7</v>
          </cell>
          <cell r="E474" t="str">
            <v>DF</v>
          </cell>
          <cell r="F474">
            <v>0.8</v>
          </cell>
          <cell r="G474">
            <v>0</v>
          </cell>
          <cell r="H474">
            <v>0.8</v>
          </cell>
        </row>
        <row r="475">
          <cell r="A475" t="str">
            <v>1016DF</v>
          </cell>
          <cell r="B475">
            <v>1016</v>
          </cell>
          <cell r="C475" t="str">
            <v>EXPECTUSS XPE ADULTO FR C/100ML</v>
          </cell>
          <cell r="D475" t="str">
            <v>FR X 100 ML</v>
          </cell>
          <cell r="E475" t="str">
            <v>DF</v>
          </cell>
          <cell r="F475">
            <v>0.55000000000000016</v>
          </cell>
          <cell r="G475">
            <v>0</v>
          </cell>
          <cell r="H475">
            <v>0.55000000000000016</v>
          </cell>
        </row>
        <row r="476">
          <cell r="A476" t="str">
            <v>1015DF</v>
          </cell>
          <cell r="B476">
            <v>1015</v>
          </cell>
          <cell r="C476" t="str">
            <v>EXPECTUSS XPE INF FR C/100ML</v>
          </cell>
          <cell r="D476" t="str">
            <v>FR X 100 ML</v>
          </cell>
          <cell r="E476" t="str">
            <v>DF</v>
          </cell>
          <cell r="F476">
            <v>0.5099999999999999</v>
          </cell>
          <cell r="G476">
            <v>0</v>
          </cell>
          <cell r="H476">
            <v>0.5099999999999999</v>
          </cell>
        </row>
        <row r="477">
          <cell r="A477" t="str">
            <v>1363DF</v>
          </cell>
          <cell r="B477">
            <v>1363</v>
          </cell>
          <cell r="C477" t="str">
            <v>FLUITEINA 600MG GRAN 16ENV 5G-E</v>
          </cell>
          <cell r="D477" t="str">
            <v>CX. C/16 ENV X 5GR</v>
          </cell>
          <cell r="E477" t="str">
            <v>DF</v>
          </cell>
          <cell r="F477">
            <v>0.42999999999999994</v>
          </cell>
          <cell r="G477">
            <v>0</v>
          </cell>
          <cell r="H477">
            <v>0.42999999999999994</v>
          </cell>
        </row>
        <row r="478">
          <cell r="A478" t="str">
            <v>1364DF</v>
          </cell>
          <cell r="B478">
            <v>1364</v>
          </cell>
          <cell r="C478" t="str">
            <v>FLUITEINA XPE AD 40MG/ML120ML-E</v>
          </cell>
          <cell r="D478" t="str">
            <v>FR X 120 ML</v>
          </cell>
          <cell r="E478" t="str">
            <v>DF</v>
          </cell>
          <cell r="F478">
            <v>0.56999999999999973</v>
          </cell>
          <cell r="G478">
            <v>0</v>
          </cell>
          <cell r="H478">
            <v>0.56999999999999973</v>
          </cell>
        </row>
        <row r="479">
          <cell r="A479" t="str">
            <v>1163DF</v>
          </cell>
          <cell r="B479">
            <v>1163</v>
          </cell>
          <cell r="C479" t="str">
            <v>FLUITEINA XPE INF 20MG/ML 120ML-E</v>
          </cell>
          <cell r="D479" t="str">
            <v>FR X 120 ML</v>
          </cell>
          <cell r="E479" t="str">
            <v>DF</v>
          </cell>
          <cell r="F479">
            <v>0.51900000000000002</v>
          </cell>
          <cell r="G479">
            <v>0</v>
          </cell>
          <cell r="H479">
            <v>0.51900000000000002</v>
          </cell>
        </row>
        <row r="480">
          <cell r="A480" t="str">
            <v>1168DF</v>
          </cell>
          <cell r="B480">
            <v>1168</v>
          </cell>
          <cell r="C480" t="str">
            <v>FOLIFOLIN 5MG 2BLTX15COMP - E</v>
          </cell>
          <cell r="D480" t="str">
            <v>2 BLT X 15 COMP.</v>
          </cell>
          <cell r="E480" t="str">
            <v>DF</v>
          </cell>
          <cell r="F480">
            <v>0.66</v>
          </cell>
          <cell r="G480">
            <v>0</v>
          </cell>
          <cell r="H480">
            <v>0.66</v>
          </cell>
        </row>
        <row r="481">
          <cell r="A481" t="str">
            <v>2318DF</v>
          </cell>
          <cell r="B481">
            <v>2318</v>
          </cell>
          <cell r="C481" t="str">
            <v>GEROVITAL  2BLT15 CAP MOLE-E</v>
          </cell>
          <cell r="D481" t="str">
            <v>3 BL X 10</v>
          </cell>
          <cell r="E481" t="str">
            <v>DF</v>
          </cell>
          <cell r="F481">
            <v>0.57899999999999996</v>
          </cell>
          <cell r="G481">
            <v>0</v>
          </cell>
          <cell r="H481">
            <v>0.57899999999999996</v>
          </cell>
        </row>
        <row r="482">
          <cell r="A482" t="str">
            <v>2062DF</v>
          </cell>
          <cell r="B482">
            <v>2062</v>
          </cell>
          <cell r="C482" t="str">
            <v>GEROVITAL 3BLT C/20 CAP</v>
          </cell>
          <cell r="D482" t="str">
            <v>6 BL X 10</v>
          </cell>
          <cell r="E482" t="str">
            <v>DF</v>
          </cell>
          <cell r="F482">
            <v>0.48100000000000004</v>
          </cell>
          <cell r="G482">
            <v>0</v>
          </cell>
          <cell r="H482">
            <v>0.48100000000000004</v>
          </cell>
        </row>
        <row r="483">
          <cell r="A483" t="str">
            <v>1230DF</v>
          </cell>
          <cell r="B483">
            <v>1230</v>
          </cell>
          <cell r="C483" t="str">
            <v>IBULIV 100MG/ML SUP ORAL C/ 20 ML-E</v>
          </cell>
          <cell r="D483" t="str">
            <v>FR X 20 ML</v>
          </cell>
          <cell r="E483" t="str">
            <v>DF</v>
          </cell>
          <cell r="F483">
            <v>0.68000000000000016</v>
          </cell>
          <cell r="G483">
            <v>0</v>
          </cell>
          <cell r="H483">
            <v>0.68000000000000016</v>
          </cell>
        </row>
        <row r="484">
          <cell r="A484" t="str">
            <v>1472DF</v>
          </cell>
          <cell r="B484">
            <v>1472</v>
          </cell>
          <cell r="C484" t="str">
            <v>IBULIV 400MG 10 BLT C/ 4CAPS GEL.MOLES-E</v>
          </cell>
          <cell r="D484" t="str">
            <v>10 BLT X 4 CÁPS</v>
          </cell>
          <cell r="E484" t="str">
            <v>DF</v>
          </cell>
          <cell r="F484">
            <v>0.71000000000000019</v>
          </cell>
          <cell r="G484">
            <v>0</v>
          </cell>
          <cell r="H484">
            <v>0.71000000000000019</v>
          </cell>
        </row>
        <row r="485">
          <cell r="A485" t="str">
            <v>2469DF</v>
          </cell>
          <cell r="B485">
            <v>2469</v>
          </cell>
          <cell r="C485" t="str">
            <v>IBULIV 400MG 2 BLT C/ 10CAPS GEL.MOLES-E</v>
          </cell>
          <cell r="D485" t="str">
            <v>20 CÁPS.</v>
          </cell>
          <cell r="E485" t="str">
            <v>DF</v>
          </cell>
          <cell r="F485">
            <v>0.71</v>
          </cell>
          <cell r="G485">
            <v>0</v>
          </cell>
          <cell r="H485">
            <v>0.71</v>
          </cell>
        </row>
        <row r="486">
          <cell r="A486" t="str">
            <v>1471DF</v>
          </cell>
          <cell r="B486">
            <v>1471</v>
          </cell>
          <cell r="C486" t="str">
            <v>IBULIV 400MG 2 BLT C/ 4CAPS GEL.MOLES-E</v>
          </cell>
          <cell r="D486" t="str">
            <v>2 BLT X 4 CÁPS.</v>
          </cell>
          <cell r="E486" t="str">
            <v>DF</v>
          </cell>
          <cell r="F486">
            <v>0.71</v>
          </cell>
          <cell r="G486">
            <v>0</v>
          </cell>
          <cell r="H486">
            <v>0.71</v>
          </cell>
        </row>
        <row r="487">
          <cell r="A487" t="str">
            <v>1175DF</v>
          </cell>
          <cell r="B487">
            <v>1175</v>
          </cell>
          <cell r="C487" t="str">
            <v>INFRALAX 1BLT C/15COMP - EMS</v>
          </cell>
          <cell r="D487" t="str">
            <v>1 BLT C/ 15</v>
          </cell>
          <cell r="E487" t="str">
            <v>DF</v>
          </cell>
          <cell r="F487">
            <v>0.74280000000000002</v>
          </cell>
          <cell r="G487">
            <v>0</v>
          </cell>
          <cell r="H487">
            <v>0.74280000000000002</v>
          </cell>
        </row>
        <row r="488">
          <cell r="A488" t="str">
            <v>1821DF</v>
          </cell>
          <cell r="B488">
            <v>1821</v>
          </cell>
          <cell r="C488" t="str">
            <v>INFRALAX 20BLTX10COMP - E</v>
          </cell>
          <cell r="D488" t="str">
            <v>20 BLT X 10</v>
          </cell>
          <cell r="E488" t="str">
            <v>DF</v>
          </cell>
          <cell r="F488">
            <v>0.81</v>
          </cell>
          <cell r="G488">
            <v>0</v>
          </cell>
          <cell r="H488">
            <v>0.81</v>
          </cell>
        </row>
        <row r="489">
          <cell r="A489" t="str">
            <v>2138DF</v>
          </cell>
          <cell r="B489">
            <v>2138</v>
          </cell>
          <cell r="C489" t="str">
            <v>INFRALAX 2BLT C/15COMP - EMS</v>
          </cell>
          <cell r="D489" t="str">
            <v>2 BL X 15</v>
          </cell>
          <cell r="E489" t="str">
            <v>DF</v>
          </cell>
          <cell r="F489">
            <v>0.74650000000000005</v>
          </cell>
          <cell r="G489">
            <v>0</v>
          </cell>
          <cell r="H489">
            <v>0.74650000000000005</v>
          </cell>
        </row>
        <row r="490">
          <cell r="A490" t="str">
            <v>6011DF</v>
          </cell>
          <cell r="B490">
            <v>6011</v>
          </cell>
          <cell r="C490" t="str">
            <v>NARIDRIN 12HS GOTAS FR C/30ML</v>
          </cell>
          <cell r="D490" t="str">
            <v>FR X 30 ML</v>
          </cell>
          <cell r="E490" t="str">
            <v>DF</v>
          </cell>
          <cell r="F490">
            <v>0.74</v>
          </cell>
          <cell r="G490">
            <v>0</v>
          </cell>
          <cell r="H490">
            <v>0.74</v>
          </cell>
        </row>
        <row r="491">
          <cell r="A491" t="str">
            <v>2604DF</v>
          </cell>
          <cell r="B491">
            <v>2604</v>
          </cell>
          <cell r="C491" t="str">
            <v>NARIDRIN ALTO VOL 30ENVX2,16G+FR240ML</v>
          </cell>
          <cell r="D491" t="str">
            <v>30ENVX2,16G+FR240ML</v>
          </cell>
          <cell r="E491" t="str">
            <v>DF</v>
          </cell>
          <cell r="F491">
            <v>0.64</v>
          </cell>
          <cell r="G491">
            <v>0</v>
          </cell>
          <cell r="H491">
            <v>0.64</v>
          </cell>
        </row>
        <row r="492">
          <cell r="A492" t="str">
            <v>2605DF</v>
          </cell>
          <cell r="B492">
            <v>2605</v>
          </cell>
          <cell r="C492" t="str">
            <v>NARIDRIN ALTO VOL REFIL</v>
          </cell>
          <cell r="D492" t="str">
            <v>30 ENV X 2,16G</v>
          </cell>
          <cell r="E492" t="str">
            <v>DF</v>
          </cell>
          <cell r="F492">
            <v>0.59999999999999987</v>
          </cell>
          <cell r="G492">
            <v>0</v>
          </cell>
          <cell r="H492">
            <v>0.59999999999999987</v>
          </cell>
        </row>
        <row r="493">
          <cell r="A493" t="str">
            <v>1433DF</v>
          </cell>
          <cell r="B493">
            <v>1433</v>
          </cell>
          <cell r="C493" t="str">
            <v>NARIDRIN AQUA 9MG/ML FRASCO C/50ML-E</v>
          </cell>
          <cell r="D493" t="str">
            <v>FR X 50 ML SPRAY</v>
          </cell>
          <cell r="E493" t="str">
            <v>DF</v>
          </cell>
          <cell r="F493">
            <v>0.71</v>
          </cell>
          <cell r="G493">
            <v>0</v>
          </cell>
          <cell r="H493">
            <v>0.71</v>
          </cell>
        </row>
        <row r="494">
          <cell r="A494" t="str">
            <v>6005DF</v>
          </cell>
          <cell r="B494">
            <v>6005</v>
          </cell>
          <cell r="C494" t="str">
            <v>NARIDRIN GOTAS AD FR C/15ML</v>
          </cell>
          <cell r="D494" t="str">
            <v>FR X 15 ML</v>
          </cell>
          <cell r="E494" t="str">
            <v>DF</v>
          </cell>
          <cell r="F494">
            <v>0.74</v>
          </cell>
          <cell r="G494">
            <v>0</v>
          </cell>
          <cell r="H494">
            <v>0.74</v>
          </cell>
        </row>
        <row r="495">
          <cell r="A495" t="str">
            <v>6006DF</v>
          </cell>
          <cell r="B495">
            <v>6006</v>
          </cell>
          <cell r="C495" t="str">
            <v>NARIDRIN GOTAS INF FR C/15ML</v>
          </cell>
          <cell r="D495" t="str">
            <v>FR X 15 ML</v>
          </cell>
          <cell r="E495" t="str">
            <v>DF</v>
          </cell>
          <cell r="F495">
            <v>0.72999999999999987</v>
          </cell>
          <cell r="G495">
            <v>0</v>
          </cell>
          <cell r="H495">
            <v>0.72999999999999987</v>
          </cell>
        </row>
        <row r="496">
          <cell r="A496" t="str">
            <v>1079DF</v>
          </cell>
          <cell r="B496">
            <v>1079</v>
          </cell>
          <cell r="C496" t="str">
            <v>NARIDRIN H 30MG/ML SOL.NAS SPRAY 60ML-E</v>
          </cell>
          <cell r="D496" t="str">
            <v>FRASCO X 60ML</v>
          </cell>
          <cell r="E496" t="str">
            <v>DF</v>
          </cell>
          <cell r="F496">
            <v>0.7</v>
          </cell>
          <cell r="G496">
            <v>0</v>
          </cell>
          <cell r="H496">
            <v>0.7</v>
          </cell>
        </row>
        <row r="497">
          <cell r="A497" t="str">
            <v>1368DF</v>
          </cell>
          <cell r="B497">
            <v>1368</v>
          </cell>
          <cell r="C497" t="str">
            <v>NIMESILAM BLT 1X12= 12 COM - E</v>
          </cell>
          <cell r="D497" t="str">
            <v>1 BLT X 12</v>
          </cell>
          <cell r="E497" t="str">
            <v>DF</v>
          </cell>
          <cell r="F497">
            <v>0.89999999999999991</v>
          </cell>
          <cell r="G497">
            <v>0</v>
          </cell>
          <cell r="H497">
            <v>0.89999999999999991</v>
          </cell>
        </row>
        <row r="498">
          <cell r="A498" t="str">
            <v>1367DF</v>
          </cell>
          <cell r="B498">
            <v>1367</v>
          </cell>
          <cell r="C498" t="str">
            <v>NIMESILAM GOTAS FRC/15ML  - E</v>
          </cell>
          <cell r="D498" t="str">
            <v>FR 15 ML</v>
          </cell>
          <cell r="E498" t="str">
            <v>DF</v>
          </cell>
          <cell r="F498">
            <v>0.73</v>
          </cell>
          <cell r="G498">
            <v>0</v>
          </cell>
          <cell r="H498">
            <v>0.73</v>
          </cell>
        </row>
        <row r="499">
          <cell r="A499" t="str">
            <v>2058DF</v>
          </cell>
          <cell r="B499">
            <v>2058</v>
          </cell>
          <cell r="C499" t="str">
            <v>NOCICLIN 1BLT C/21COM-EMS</v>
          </cell>
          <cell r="D499" t="str">
            <v>1 BL X 21</v>
          </cell>
          <cell r="E499" t="str">
            <v>DF</v>
          </cell>
          <cell r="F499">
            <v>0.68</v>
          </cell>
          <cell r="G499">
            <v>0</v>
          </cell>
          <cell r="H499">
            <v>0.68</v>
          </cell>
        </row>
        <row r="500">
          <cell r="A500" t="str">
            <v>2391DF</v>
          </cell>
          <cell r="B500">
            <v>2391</v>
          </cell>
          <cell r="C500" t="str">
            <v>RUDITE 20MG/ML PO SUS 100ML-E</v>
          </cell>
          <cell r="D500" t="str">
            <v>FR X 100 ML</v>
          </cell>
          <cell r="E500" t="str">
            <v>DF</v>
          </cell>
          <cell r="F500">
            <v>0.59899999999999998</v>
          </cell>
          <cell r="G500">
            <v>0</v>
          </cell>
          <cell r="H500">
            <v>0.59899999999999998</v>
          </cell>
        </row>
        <row r="501">
          <cell r="A501" t="str">
            <v>2392DF</v>
          </cell>
          <cell r="B501">
            <v>2392</v>
          </cell>
          <cell r="C501" t="str">
            <v>RUDITE 20MG/ML PO SUS 45ML-E</v>
          </cell>
          <cell r="D501" t="str">
            <v>FR X 45 ML</v>
          </cell>
          <cell r="E501" t="str">
            <v>DF</v>
          </cell>
          <cell r="F501">
            <v>0.58999999999999986</v>
          </cell>
          <cell r="G501">
            <v>0</v>
          </cell>
          <cell r="H501">
            <v>0.58999999999999986</v>
          </cell>
        </row>
        <row r="502">
          <cell r="A502" t="str">
            <v>2390DF</v>
          </cell>
          <cell r="B502">
            <v>2390</v>
          </cell>
          <cell r="C502" t="str">
            <v>RUDITE(C1)500MG C/6 COM REV-E</v>
          </cell>
          <cell r="D502" t="str">
            <v>1 BLT X 6</v>
          </cell>
          <cell r="E502" t="str">
            <v>DF</v>
          </cell>
          <cell r="F502">
            <v>0.7</v>
          </cell>
          <cell r="G502">
            <v>0</v>
          </cell>
          <cell r="H502">
            <v>0.7</v>
          </cell>
        </row>
        <row r="503">
          <cell r="A503" t="str">
            <v>2398DF</v>
          </cell>
          <cell r="B503">
            <v>2398</v>
          </cell>
          <cell r="C503" t="str">
            <v>SOMINEX COMPOS OTC CPR REVEST x 20</v>
          </cell>
          <cell r="D503" t="str">
            <v>2 BL X 10</v>
          </cell>
          <cell r="E503" t="str">
            <v>DF</v>
          </cell>
          <cell r="F503">
            <v>0.68899999999999995</v>
          </cell>
          <cell r="G503">
            <v>0</v>
          </cell>
          <cell r="H503">
            <v>0.68899999999999995</v>
          </cell>
        </row>
        <row r="504">
          <cell r="A504" t="str">
            <v>1818DF</v>
          </cell>
          <cell r="B504">
            <v>1818</v>
          </cell>
          <cell r="C504" t="str">
            <v>SUPLEVIT MULHER VIT. 2BLT C/15 CAP.GEL-E</v>
          </cell>
          <cell r="D504" t="str">
            <v>2 BLT C/15</v>
          </cell>
          <cell r="E504" t="str">
            <v>DF</v>
          </cell>
          <cell r="F504">
            <v>0.82</v>
          </cell>
          <cell r="G504">
            <v>0</v>
          </cell>
          <cell r="H504">
            <v>0.82</v>
          </cell>
        </row>
        <row r="505">
          <cell r="A505" t="str">
            <v>1819DF</v>
          </cell>
          <cell r="B505">
            <v>1819</v>
          </cell>
          <cell r="C505" t="str">
            <v>SUPLEVIT MULHER VIT. 4BLT C/15 CAP.GEL-E</v>
          </cell>
          <cell r="D505" t="str">
            <v>4 BLT C/15</v>
          </cell>
          <cell r="E505" t="str">
            <v>DF</v>
          </cell>
          <cell r="F505">
            <v>0.81999999999999984</v>
          </cell>
          <cell r="G505">
            <v>0</v>
          </cell>
          <cell r="H505">
            <v>0.81999999999999984</v>
          </cell>
        </row>
        <row r="506">
          <cell r="A506" t="str">
            <v>2036DF</v>
          </cell>
          <cell r="B506">
            <v>2036</v>
          </cell>
          <cell r="C506" t="str">
            <v>VITAFER FR C/50 COMP-E</v>
          </cell>
          <cell r="D506" t="str">
            <v>FR X 50</v>
          </cell>
          <cell r="E506" t="str">
            <v>DF</v>
          </cell>
          <cell r="F506">
            <v>0.52999999999999992</v>
          </cell>
          <cell r="G506">
            <v>0</v>
          </cell>
          <cell r="H506">
            <v>0.52999999999999992</v>
          </cell>
        </row>
        <row r="507">
          <cell r="A507" t="str">
            <v>60000ES</v>
          </cell>
          <cell r="B507">
            <v>60000</v>
          </cell>
          <cell r="C507" t="str">
            <v>A SAUDE DA MULHER 150ML SOLUCAO</v>
          </cell>
          <cell r="D507" t="str">
            <v>FR X 150 ML</v>
          </cell>
          <cell r="E507" t="str">
            <v>ES</v>
          </cell>
          <cell r="F507">
            <v>0.26999999999999996</v>
          </cell>
          <cell r="G507">
            <v>0</v>
          </cell>
          <cell r="H507">
            <v>0.26999999999999996</v>
          </cell>
        </row>
        <row r="508">
          <cell r="A508" t="str">
            <v>2256ES</v>
          </cell>
          <cell r="B508">
            <v>2256</v>
          </cell>
          <cell r="C508" t="str">
            <v>ALLEXOFEDRIN 120MG 1BLTC/10 COM REV-E</v>
          </cell>
          <cell r="D508" t="str">
            <v>1 BL X 10 COMP REVEST</v>
          </cell>
          <cell r="E508" t="str">
            <v>ES</v>
          </cell>
          <cell r="F508">
            <v>0.75</v>
          </cell>
          <cell r="G508">
            <v>0</v>
          </cell>
          <cell r="H508">
            <v>0.75</v>
          </cell>
        </row>
        <row r="509">
          <cell r="A509" t="str">
            <v>2255ES</v>
          </cell>
          <cell r="B509">
            <v>2255</v>
          </cell>
          <cell r="C509" t="str">
            <v>ALLEXOFEDRIN 180MG 1BLTC/10 COM REV-E</v>
          </cell>
          <cell r="D509" t="str">
            <v>1 BL X 10 COMP REVEST</v>
          </cell>
          <cell r="E509" t="str">
            <v>ES</v>
          </cell>
          <cell r="F509">
            <v>0.74999999999999989</v>
          </cell>
          <cell r="G509">
            <v>0</v>
          </cell>
          <cell r="H509">
            <v>0.74999999999999989</v>
          </cell>
        </row>
        <row r="510">
          <cell r="A510" t="str">
            <v>2133ES</v>
          </cell>
          <cell r="B510">
            <v>2133</v>
          </cell>
          <cell r="C510" t="str">
            <v>ALLEXOFEDRIN D 60+120MG 1BLT C/10C.REV</v>
          </cell>
          <cell r="D510" t="str">
            <v>1 BL X 10 COMP REVEST</v>
          </cell>
          <cell r="E510" t="str">
            <v>ES</v>
          </cell>
          <cell r="F510">
            <v>0.26</v>
          </cell>
          <cell r="G510">
            <v>0</v>
          </cell>
          <cell r="H510">
            <v>0.26</v>
          </cell>
        </row>
        <row r="511">
          <cell r="A511" t="str">
            <v>2346PB</v>
          </cell>
          <cell r="B511">
            <v>2346</v>
          </cell>
          <cell r="C511" t="str">
            <v>ALLEXOFEDRIN PEDIATRICO6MG/MLSUS 60ML-E</v>
          </cell>
          <cell r="D511" t="str">
            <v>6MG/MLSUS 60ML-E</v>
          </cell>
          <cell r="E511" t="str">
            <v>PB</v>
          </cell>
          <cell r="F511">
            <v>0.5514</v>
          </cell>
          <cell r="G511">
            <v>0</v>
          </cell>
          <cell r="H511">
            <v>0.5514</v>
          </cell>
        </row>
        <row r="512">
          <cell r="A512" t="str">
            <v>2347ES</v>
          </cell>
          <cell r="B512">
            <v>2347</v>
          </cell>
          <cell r="C512" t="str">
            <v>ALLEXOFEDRIN PEDIATRICO6MG/MLSUS150 ML-E</v>
          </cell>
          <cell r="D512" t="str">
            <v>6MG/MLSUS150 ML-E</v>
          </cell>
          <cell r="E512" t="str">
            <v>ES</v>
          </cell>
          <cell r="F512">
            <v>0.60909999999999997</v>
          </cell>
          <cell r="G512">
            <v>0</v>
          </cell>
          <cell r="H512">
            <v>0.60909999999999997</v>
          </cell>
        </row>
        <row r="513">
          <cell r="A513" t="str">
            <v>2190ES</v>
          </cell>
          <cell r="B513">
            <v>2190</v>
          </cell>
          <cell r="C513" t="str">
            <v>ANTIVIRAX 400MG 2BLTX15 COM - E</v>
          </cell>
          <cell r="D513" t="str">
            <v>2 BL X 15</v>
          </cell>
          <cell r="E513" t="str">
            <v>ES</v>
          </cell>
          <cell r="F513">
            <v>0.68</v>
          </cell>
          <cell r="G513">
            <v>0</v>
          </cell>
          <cell r="H513">
            <v>0.68</v>
          </cell>
        </row>
        <row r="514">
          <cell r="A514" t="str">
            <v>3009ES</v>
          </cell>
          <cell r="B514">
            <v>3009</v>
          </cell>
          <cell r="C514" t="str">
            <v>ANTIVIRAX CR BG C/10 G</v>
          </cell>
          <cell r="D514" t="str">
            <v>BISN X 10 G</v>
          </cell>
          <cell r="E514" t="str">
            <v>ES</v>
          </cell>
          <cell r="F514">
            <v>0.74999999999999989</v>
          </cell>
          <cell r="G514">
            <v>0</v>
          </cell>
          <cell r="H514">
            <v>0.74999999999999989</v>
          </cell>
        </row>
        <row r="515">
          <cell r="A515" t="str">
            <v>1001ES</v>
          </cell>
          <cell r="B515">
            <v>1001</v>
          </cell>
          <cell r="C515" t="str">
            <v>APEVITIN BC XPE FRC/240ML</v>
          </cell>
          <cell r="D515" t="str">
            <v>FR X 240 ML</v>
          </cell>
          <cell r="E515" t="str">
            <v>ES</v>
          </cell>
          <cell r="F515">
            <v>0.78909999999999991</v>
          </cell>
          <cell r="G515">
            <v>0</v>
          </cell>
          <cell r="H515">
            <v>0.78909999999999991</v>
          </cell>
        </row>
        <row r="516">
          <cell r="A516" t="str">
            <v>1226ES</v>
          </cell>
          <cell r="B516">
            <v>1226</v>
          </cell>
          <cell r="C516" t="str">
            <v>BENZIFLEX 10MG 1BLX15COMP.REV-E</v>
          </cell>
          <cell r="D516" t="str">
            <v>1 BL X 15 COMP.</v>
          </cell>
          <cell r="E516" t="str">
            <v>ES</v>
          </cell>
          <cell r="F516">
            <v>0.71</v>
          </cell>
          <cell r="G516">
            <v>0</v>
          </cell>
          <cell r="H516">
            <v>0.71</v>
          </cell>
        </row>
        <row r="517">
          <cell r="A517" t="str">
            <v>1227ES</v>
          </cell>
          <cell r="B517">
            <v>1227</v>
          </cell>
          <cell r="C517" t="str">
            <v>BENZIFLEX 10MG 2BLX15COMP.REV-E</v>
          </cell>
          <cell r="D517" t="str">
            <v>2 BL X 15 COMP.</v>
          </cell>
          <cell r="E517" t="str">
            <v>ES</v>
          </cell>
          <cell r="F517">
            <v>0.71</v>
          </cell>
          <cell r="G517">
            <v>0</v>
          </cell>
          <cell r="H517">
            <v>0.71</v>
          </cell>
        </row>
        <row r="518">
          <cell r="A518" t="str">
            <v>1233ES</v>
          </cell>
          <cell r="B518">
            <v>1233</v>
          </cell>
          <cell r="C518" t="str">
            <v>BENZIFLEX 5MG 2BLX15COMP.REV-E</v>
          </cell>
          <cell r="D518" t="str">
            <v>2 BL X 15 COMP.</v>
          </cell>
          <cell r="E518" t="str">
            <v>ES</v>
          </cell>
          <cell r="F518">
            <v>0.71</v>
          </cell>
          <cell r="G518">
            <v>0</v>
          </cell>
          <cell r="H518">
            <v>0.71</v>
          </cell>
        </row>
        <row r="519">
          <cell r="A519" t="str">
            <v>1574ES</v>
          </cell>
          <cell r="B519">
            <v>1574</v>
          </cell>
          <cell r="C519" t="str">
            <v>BENZIFLEX LIS 125MG+5MG 15COM.REV.-E</v>
          </cell>
          <cell r="D519" t="str">
            <v>1 BL X 15 COMP.</v>
          </cell>
          <cell r="E519" t="str">
            <v>ES</v>
          </cell>
          <cell r="F519">
            <v>0.5</v>
          </cell>
          <cell r="G519">
            <v>0</v>
          </cell>
          <cell r="H519">
            <v>0.5</v>
          </cell>
        </row>
        <row r="520">
          <cell r="A520" t="str">
            <v>2292ES</v>
          </cell>
          <cell r="B520">
            <v>2292</v>
          </cell>
          <cell r="C520" t="str">
            <v>BENZIFLEX LIS 125MG+5MG 2BL15 COM.REV.-E</v>
          </cell>
          <cell r="D520" t="str">
            <v>2 BL X 15 COMP.</v>
          </cell>
          <cell r="E520" t="str">
            <v>ES</v>
          </cell>
          <cell r="F520">
            <v>0.53</v>
          </cell>
          <cell r="G520">
            <v>0</v>
          </cell>
          <cell r="H520">
            <v>0.53</v>
          </cell>
        </row>
        <row r="521">
          <cell r="A521" t="str">
            <v>1155ES</v>
          </cell>
          <cell r="B521">
            <v>1155</v>
          </cell>
          <cell r="C521" t="str">
            <v>BIOFLADEX AEROSSOL 60G- E</v>
          </cell>
          <cell r="D521" t="str">
            <v>FRASCO 60 G</v>
          </cell>
          <cell r="E521" t="str">
            <v>ES</v>
          </cell>
          <cell r="F521">
            <v>0.66</v>
          </cell>
          <cell r="G521">
            <v>0</v>
          </cell>
          <cell r="H521">
            <v>0.66</v>
          </cell>
        </row>
        <row r="522">
          <cell r="A522" t="str">
            <v>1072ES</v>
          </cell>
          <cell r="B522">
            <v>1072</v>
          </cell>
          <cell r="C522" t="str">
            <v>BISURAN 4MG/5ML XPE INF 120ML-E</v>
          </cell>
          <cell r="D522" t="str">
            <v>FR X 120 ML</v>
          </cell>
          <cell r="E522" t="str">
            <v>ES</v>
          </cell>
          <cell r="F522">
            <v>0.53</v>
          </cell>
          <cell r="G522">
            <v>0</v>
          </cell>
          <cell r="H522">
            <v>0.53</v>
          </cell>
        </row>
        <row r="523">
          <cell r="A523" t="str">
            <v>1318ES</v>
          </cell>
          <cell r="B523">
            <v>1318</v>
          </cell>
          <cell r="C523" t="str">
            <v>BISURAN 8MG/5ML XPE AD. 120ML-E</v>
          </cell>
          <cell r="D523" t="str">
            <v>FR X 120 ML</v>
          </cell>
          <cell r="E523" t="str">
            <v>ES</v>
          </cell>
          <cell r="F523">
            <v>0.61999999999999988</v>
          </cell>
          <cell r="G523">
            <v>0</v>
          </cell>
          <cell r="H523">
            <v>0.61999999999999988</v>
          </cell>
        </row>
        <row r="524">
          <cell r="A524" t="str">
            <v>2141ES</v>
          </cell>
          <cell r="B524">
            <v>2141</v>
          </cell>
          <cell r="C524" t="str">
            <v>CELERGIN 20 COMP-E</v>
          </cell>
          <cell r="D524" t="str">
            <v>CX. C/20 COMP.</v>
          </cell>
          <cell r="E524" t="str">
            <v>ES</v>
          </cell>
          <cell r="F524">
            <v>0.65649999999999986</v>
          </cell>
          <cell r="G524">
            <v>0</v>
          </cell>
          <cell r="H524">
            <v>0.65649999999999986</v>
          </cell>
        </row>
        <row r="525">
          <cell r="A525" t="str">
            <v>2346PE</v>
          </cell>
          <cell r="B525">
            <v>2346</v>
          </cell>
          <cell r="C525" t="str">
            <v>ALLEXOFEDRIN PEDIATRICO6MG/MLSUS 60ML-E</v>
          </cell>
          <cell r="D525" t="str">
            <v>6MG/MLSUS 60ML-E</v>
          </cell>
          <cell r="E525" t="str">
            <v>PE</v>
          </cell>
          <cell r="F525">
            <v>0.5514</v>
          </cell>
          <cell r="G525">
            <v>0</v>
          </cell>
          <cell r="H525">
            <v>0.5514</v>
          </cell>
        </row>
        <row r="526">
          <cell r="A526" t="str">
            <v>2322ES</v>
          </cell>
          <cell r="B526">
            <v>2322</v>
          </cell>
          <cell r="C526" t="str">
            <v>CLOPE 3,54MG/ML XPE 120ML FR PLAS-E</v>
          </cell>
          <cell r="D526" t="str">
            <v>FR X 120 ML</v>
          </cell>
          <cell r="E526" t="str">
            <v>ES</v>
          </cell>
          <cell r="F526">
            <v>0.53</v>
          </cell>
          <cell r="G526">
            <v>0</v>
          </cell>
          <cell r="H526">
            <v>0.53</v>
          </cell>
        </row>
        <row r="527">
          <cell r="A527" t="str">
            <v>2383ES</v>
          </cell>
          <cell r="B527">
            <v>2383</v>
          </cell>
          <cell r="C527" t="str">
            <v>COMPLEXO B 12 XPE FR C/120ML E</v>
          </cell>
          <cell r="D527" t="str">
            <v>FR X 120 ML</v>
          </cell>
          <cell r="E527" t="str">
            <v>ES</v>
          </cell>
          <cell r="F527">
            <v>0.67000000000000015</v>
          </cell>
          <cell r="G527">
            <v>0</v>
          </cell>
          <cell r="H527">
            <v>0.67000000000000015</v>
          </cell>
        </row>
        <row r="528">
          <cell r="A528" t="str">
            <v>2384ES</v>
          </cell>
          <cell r="B528">
            <v>2384</v>
          </cell>
          <cell r="C528" t="str">
            <v>COMPLEXO B CPR REVEST x 20</v>
          </cell>
          <cell r="D528" t="str">
            <v xml:space="preserve">FR X 20 </v>
          </cell>
          <cell r="E528" t="str">
            <v>ES</v>
          </cell>
          <cell r="F528">
            <v>0.66000000000000014</v>
          </cell>
          <cell r="G528">
            <v>0</v>
          </cell>
          <cell r="H528">
            <v>0.66000000000000014</v>
          </cell>
        </row>
        <row r="529">
          <cell r="A529" t="str">
            <v>2382ES</v>
          </cell>
          <cell r="B529">
            <v>2382</v>
          </cell>
          <cell r="C529" t="str">
            <v>COMPLEXO B FR C/100 COM REV  E</v>
          </cell>
          <cell r="D529" t="str">
            <v>FR X 100</v>
          </cell>
          <cell r="E529" t="str">
            <v>ES</v>
          </cell>
          <cell r="F529">
            <v>0.64000000000000012</v>
          </cell>
          <cell r="G529">
            <v>0</v>
          </cell>
          <cell r="H529">
            <v>0.64000000000000012</v>
          </cell>
        </row>
        <row r="530">
          <cell r="A530" t="str">
            <v>2011ES</v>
          </cell>
          <cell r="B530">
            <v>2011</v>
          </cell>
          <cell r="C530" t="str">
            <v>CYSTEX FR C/24 DRG</v>
          </cell>
          <cell r="D530" t="str">
            <v xml:space="preserve">FR X 24 </v>
          </cell>
          <cell r="E530" t="str">
            <v>ES</v>
          </cell>
          <cell r="F530">
            <v>0.36070000000000002</v>
          </cell>
          <cell r="G530">
            <v>0</v>
          </cell>
          <cell r="H530">
            <v>0.36070000000000002</v>
          </cell>
        </row>
        <row r="531">
          <cell r="A531" t="str">
            <v>1837ES</v>
          </cell>
          <cell r="B531">
            <v>1837</v>
          </cell>
          <cell r="C531" t="str">
            <v>DIOVASES 450+50MG C/30 COM.REV. - E</v>
          </cell>
          <cell r="D531" t="str">
            <v>2 BL X 15 COMP.</v>
          </cell>
          <cell r="E531" t="str">
            <v>ES</v>
          </cell>
          <cell r="F531">
            <v>0.68</v>
          </cell>
          <cell r="G531">
            <v>0</v>
          </cell>
          <cell r="H531">
            <v>0.68</v>
          </cell>
        </row>
        <row r="532">
          <cell r="A532" t="str">
            <v>1838ES</v>
          </cell>
          <cell r="B532">
            <v>1838</v>
          </cell>
          <cell r="C532" t="str">
            <v>DIOVASES 450+50MG C/60 COM.REV. - E</v>
          </cell>
          <cell r="D532" t="str">
            <v>4 BL X 15 COMP.</v>
          </cell>
          <cell r="E532" t="str">
            <v>ES</v>
          </cell>
          <cell r="F532">
            <v>0.72</v>
          </cell>
          <cell r="G532">
            <v>0</v>
          </cell>
          <cell r="H532">
            <v>0.72</v>
          </cell>
        </row>
        <row r="533">
          <cell r="A533" t="str">
            <v>2261ES</v>
          </cell>
          <cell r="B533">
            <v>2261</v>
          </cell>
          <cell r="C533" t="str">
            <v>DORICIN CPR x 24</v>
          </cell>
          <cell r="D533" t="str">
            <v>2BL C/12 COMPRIMIDOS -E</v>
          </cell>
          <cell r="E533" t="str">
            <v>ES</v>
          </cell>
          <cell r="F533">
            <v>0.74099999999999999</v>
          </cell>
          <cell r="G533">
            <v>0</v>
          </cell>
          <cell r="H533">
            <v>0.74099999999999999</v>
          </cell>
        </row>
        <row r="534">
          <cell r="A534" t="str">
            <v>2264ES</v>
          </cell>
          <cell r="B534">
            <v>2264</v>
          </cell>
          <cell r="C534" t="str">
            <v>DORICIN CPR x 300</v>
          </cell>
          <cell r="D534" t="str">
            <v>30BL C/10 COMPRIMIDOS -E</v>
          </cell>
          <cell r="E534" t="str">
            <v>ES</v>
          </cell>
          <cell r="F534">
            <v>0.74099999999999999</v>
          </cell>
          <cell r="G534">
            <v>0</v>
          </cell>
          <cell r="H534">
            <v>0.74099999999999999</v>
          </cell>
        </row>
        <row r="535">
          <cell r="A535" t="str">
            <v>2262ES</v>
          </cell>
          <cell r="B535">
            <v>2262</v>
          </cell>
          <cell r="C535" t="str">
            <v>DORICIN CPR X 36</v>
          </cell>
          <cell r="D535" t="str">
            <v>3BL C/12 COMPRIMIDOS -E</v>
          </cell>
          <cell r="E535" t="str">
            <v>ES</v>
          </cell>
          <cell r="F535">
            <v>0.75139999999999996</v>
          </cell>
          <cell r="G535">
            <v>0</v>
          </cell>
          <cell r="H535">
            <v>0.75139999999999996</v>
          </cell>
        </row>
        <row r="536">
          <cell r="A536" t="str">
            <v>2263ES</v>
          </cell>
          <cell r="B536">
            <v>2263</v>
          </cell>
          <cell r="C536" t="str">
            <v>DORICIN CPR X 50</v>
          </cell>
          <cell r="D536" t="str">
            <v>5BL C/10 COMPRIMIDOS - E</v>
          </cell>
          <cell r="E536" t="str">
            <v>ES</v>
          </cell>
          <cell r="F536">
            <v>0.66100000000000003</v>
          </cell>
          <cell r="G536">
            <v>0</v>
          </cell>
          <cell r="H536">
            <v>0.66100000000000003</v>
          </cell>
        </row>
        <row r="537">
          <cell r="A537" t="str">
            <v>1173ES</v>
          </cell>
          <cell r="B537">
            <v>1173</v>
          </cell>
          <cell r="C537" t="str">
            <v>DORICIN GOTAS 20ML x 1</v>
          </cell>
          <cell r="D537" t="str">
            <v>FR X 20 ML</v>
          </cell>
          <cell r="E537" t="str">
            <v>ES</v>
          </cell>
          <cell r="F537">
            <v>0.65</v>
          </cell>
          <cell r="G537">
            <v>0</v>
          </cell>
          <cell r="H537">
            <v>0.65</v>
          </cell>
        </row>
        <row r="538">
          <cell r="A538" t="str">
            <v>2018ES</v>
          </cell>
          <cell r="B538">
            <v>2018</v>
          </cell>
          <cell r="C538" t="str">
            <v>EMISTIN BLT 1X20=20COMP</v>
          </cell>
          <cell r="D538" t="str">
            <v>1 BL X 20</v>
          </cell>
          <cell r="E538" t="str">
            <v>ES</v>
          </cell>
          <cell r="F538">
            <v>0.67</v>
          </cell>
          <cell r="G538">
            <v>0</v>
          </cell>
          <cell r="H538">
            <v>0.67</v>
          </cell>
        </row>
        <row r="539">
          <cell r="A539" t="str">
            <v>3008ES</v>
          </cell>
          <cell r="B539">
            <v>3008</v>
          </cell>
          <cell r="C539" t="str">
            <v>EMISTIN CR BG C/20G</v>
          </cell>
          <cell r="D539" t="str">
            <v>BISN X 20 G</v>
          </cell>
          <cell r="E539" t="str">
            <v>ES</v>
          </cell>
          <cell r="F539">
            <v>0.77</v>
          </cell>
          <cell r="G539">
            <v>0</v>
          </cell>
          <cell r="H539">
            <v>0.77</v>
          </cell>
        </row>
        <row r="540">
          <cell r="A540" t="str">
            <v>3020ES</v>
          </cell>
          <cell r="B540">
            <v>3020</v>
          </cell>
          <cell r="C540" t="str">
            <v>EMSCORT CR BG C/30G</v>
          </cell>
          <cell r="D540" t="str">
            <v>BISN X 30 G</v>
          </cell>
          <cell r="E540" t="str">
            <v>ES</v>
          </cell>
          <cell r="F540">
            <v>0.77000000000000013</v>
          </cell>
          <cell r="G540">
            <v>0</v>
          </cell>
          <cell r="H540">
            <v>0.77000000000000013</v>
          </cell>
        </row>
        <row r="541">
          <cell r="A541" t="str">
            <v>6023ES</v>
          </cell>
          <cell r="B541">
            <v>6023</v>
          </cell>
          <cell r="C541" t="str">
            <v>EMSCORT POM BISN 30G-E</v>
          </cell>
          <cell r="D541" t="str">
            <v>BISN X 30 G</v>
          </cell>
          <cell r="E541" t="str">
            <v>ES</v>
          </cell>
          <cell r="F541">
            <v>0.7639999999999999</v>
          </cell>
          <cell r="G541">
            <v>0</v>
          </cell>
          <cell r="H541">
            <v>0.7639999999999999</v>
          </cell>
        </row>
        <row r="542">
          <cell r="A542" t="str">
            <v>1190ES</v>
          </cell>
          <cell r="B542">
            <v>1190</v>
          </cell>
          <cell r="C542" t="str">
            <v>EMSEXPECTOR XAROPE FR C/120ML - E</v>
          </cell>
          <cell r="D542" t="str">
            <v>FR X 120 ML</v>
          </cell>
          <cell r="E542" t="str">
            <v>ES</v>
          </cell>
          <cell r="F542">
            <v>0.48</v>
          </cell>
          <cell r="G542">
            <v>0</v>
          </cell>
          <cell r="H542">
            <v>0.48</v>
          </cell>
        </row>
        <row r="543">
          <cell r="A543" t="str">
            <v>2111ES</v>
          </cell>
          <cell r="B543">
            <v>2111</v>
          </cell>
          <cell r="C543" t="str">
            <v>ENDCOFF PAST MEL ELIMAO C/12UN</v>
          </cell>
          <cell r="D543" t="str">
            <v>3 STP X 4</v>
          </cell>
          <cell r="E543" t="str">
            <v>ES</v>
          </cell>
          <cell r="F543">
            <v>0.48</v>
          </cell>
          <cell r="G543">
            <v>0</v>
          </cell>
          <cell r="H543">
            <v>0.48</v>
          </cell>
        </row>
        <row r="544">
          <cell r="A544" t="str">
            <v>2092ES</v>
          </cell>
          <cell r="B544">
            <v>2092</v>
          </cell>
          <cell r="C544" t="str">
            <v>ENDCOFF PAST STP MENTA C/12 UN</v>
          </cell>
          <cell r="D544" t="str">
            <v>3 STP X 4</v>
          </cell>
          <cell r="E544" t="str">
            <v>ES</v>
          </cell>
          <cell r="F544">
            <v>0.48</v>
          </cell>
          <cell r="G544">
            <v>0</v>
          </cell>
          <cell r="H544">
            <v>0.48</v>
          </cell>
        </row>
        <row r="545">
          <cell r="A545" t="str">
            <v>1905ES</v>
          </cell>
          <cell r="B545">
            <v>1905</v>
          </cell>
          <cell r="C545" t="str">
            <v>ESMOG 20MG 4BLTC/7 COM REV LIB RETARD- E</v>
          </cell>
          <cell r="D545" t="str">
            <v>4 BLT C/7</v>
          </cell>
          <cell r="E545" t="str">
            <v>ES</v>
          </cell>
          <cell r="F545">
            <v>0.77800000000000002</v>
          </cell>
          <cell r="G545">
            <v>0</v>
          </cell>
          <cell r="H545">
            <v>0.77800000000000002</v>
          </cell>
        </row>
        <row r="546">
          <cell r="A546" t="str">
            <v>1906ES</v>
          </cell>
          <cell r="B546">
            <v>1906</v>
          </cell>
          <cell r="C546" t="str">
            <v>ESMOG 40MG 4BLTC/7 COM REV LIB RETARD- E</v>
          </cell>
          <cell r="D546" t="str">
            <v>4 BLT C/7</v>
          </cell>
          <cell r="E546" t="str">
            <v>ES</v>
          </cell>
          <cell r="F546">
            <v>0.8</v>
          </cell>
          <cell r="G546">
            <v>0</v>
          </cell>
          <cell r="H546">
            <v>0.8</v>
          </cell>
        </row>
        <row r="547">
          <cell r="A547" t="str">
            <v>1016ES</v>
          </cell>
          <cell r="B547">
            <v>1016</v>
          </cell>
          <cell r="C547" t="str">
            <v>EXPECTUSS XPE ADULTO FR C/100ML</v>
          </cell>
          <cell r="D547" t="str">
            <v>FR X 100 ML</v>
          </cell>
          <cell r="E547" t="str">
            <v>ES</v>
          </cell>
          <cell r="F547">
            <v>0.55000000000000016</v>
          </cell>
          <cell r="G547">
            <v>0</v>
          </cell>
          <cell r="H547">
            <v>0.55000000000000016</v>
          </cell>
        </row>
        <row r="548">
          <cell r="A548" t="str">
            <v>1015ES</v>
          </cell>
          <cell r="B548">
            <v>1015</v>
          </cell>
          <cell r="C548" t="str">
            <v>EXPECTUSS XPE INF FR C/100ML</v>
          </cell>
          <cell r="D548" t="str">
            <v>FR X 100 ML</v>
          </cell>
          <cell r="E548" t="str">
            <v>ES</v>
          </cell>
          <cell r="F548">
            <v>0.5099999999999999</v>
          </cell>
          <cell r="G548">
            <v>0</v>
          </cell>
          <cell r="H548">
            <v>0.5099999999999999</v>
          </cell>
        </row>
        <row r="549">
          <cell r="A549" t="str">
            <v>1363ES</v>
          </cell>
          <cell r="B549">
            <v>1363</v>
          </cell>
          <cell r="C549" t="str">
            <v>FLUITEINA 600MG GRAN 16ENV 5G-E</v>
          </cell>
          <cell r="D549" t="str">
            <v>CX. C/16 ENV X 5GR</v>
          </cell>
          <cell r="E549" t="str">
            <v>ES</v>
          </cell>
          <cell r="F549">
            <v>0.42999999999999994</v>
          </cell>
          <cell r="G549">
            <v>0</v>
          </cell>
          <cell r="H549">
            <v>0.42999999999999994</v>
          </cell>
        </row>
        <row r="550">
          <cell r="A550" t="str">
            <v>1364ES</v>
          </cell>
          <cell r="B550">
            <v>1364</v>
          </cell>
          <cell r="C550" t="str">
            <v>FLUITEINA XPE AD 40MG/ML120ML-E</v>
          </cell>
          <cell r="D550" t="str">
            <v>FR X 120 ML</v>
          </cell>
          <cell r="E550" t="str">
            <v>ES</v>
          </cell>
          <cell r="F550">
            <v>0.56999999999999973</v>
          </cell>
          <cell r="G550">
            <v>0</v>
          </cell>
          <cell r="H550">
            <v>0.56999999999999973</v>
          </cell>
        </row>
        <row r="551">
          <cell r="A551" t="str">
            <v>1163ES</v>
          </cell>
          <cell r="B551">
            <v>1163</v>
          </cell>
          <cell r="C551" t="str">
            <v>FLUITEINA XPE INF 20MG/ML 120ML-E</v>
          </cell>
          <cell r="D551" t="str">
            <v>FR X 120 ML</v>
          </cell>
          <cell r="E551" t="str">
            <v>ES</v>
          </cell>
          <cell r="F551">
            <v>0.51900000000000002</v>
          </cell>
          <cell r="G551">
            <v>0</v>
          </cell>
          <cell r="H551">
            <v>0.51900000000000002</v>
          </cell>
        </row>
        <row r="552">
          <cell r="A552" t="str">
            <v>1168ES</v>
          </cell>
          <cell r="B552">
            <v>1168</v>
          </cell>
          <cell r="C552" t="str">
            <v>FOLIFOLIN 5MG 2BLTX15COMP - E</v>
          </cell>
          <cell r="D552" t="str">
            <v>2 BLT X 15 COMP.</v>
          </cell>
          <cell r="E552" t="str">
            <v>ES</v>
          </cell>
          <cell r="F552">
            <v>0.66</v>
          </cell>
          <cell r="G552">
            <v>0</v>
          </cell>
          <cell r="H552">
            <v>0.66</v>
          </cell>
        </row>
        <row r="553">
          <cell r="A553" t="str">
            <v>2318ES</v>
          </cell>
          <cell r="B553">
            <v>2318</v>
          </cell>
          <cell r="C553" t="str">
            <v>GEROVITAL  2BLT15 CAP MOLE-E</v>
          </cell>
          <cell r="D553" t="str">
            <v>3 BL X 10</v>
          </cell>
          <cell r="E553" t="str">
            <v>ES</v>
          </cell>
          <cell r="F553">
            <v>0.57899999999999996</v>
          </cell>
          <cell r="G553">
            <v>0</v>
          </cell>
          <cell r="H553">
            <v>0.57899999999999996</v>
          </cell>
        </row>
        <row r="554">
          <cell r="A554" t="str">
            <v>2062ES</v>
          </cell>
          <cell r="B554">
            <v>2062</v>
          </cell>
          <cell r="C554" t="str">
            <v>GEROVITAL 3BLT C/20 CAP</v>
          </cell>
          <cell r="D554" t="str">
            <v>6 BL X 10</v>
          </cell>
          <cell r="E554" t="str">
            <v>ES</v>
          </cell>
          <cell r="F554">
            <v>0.48100000000000004</v>
          </cell>
          <cell r="G554">
            <v>0</v>
          </cell>
          <cell r="H554">
            <v>0.48100000000000004</v>
          </cell>
        </row>
        <row r="555">
          <cell r="A555" t="str">
            <v>1230ES</v>
          </cell>
          <cell r="B555">
            <v>1230</v>
          </cell>
          <cell r="C555" t="str">
            <v>IBULIV 100MG/ML SUP ORAL C/ 20 ML-E</v>
          </cell>
          <cell r="D555" t="str">
            <v>FR X 20 ML</v>
          </cell>
          <cell r="E555" t="str">
            <v>ES</v>
          </cell>
          <cell r="F555">
            <v>0.68000000000000016</v>
          </cell>
          <cell r="G555">
            <v>0</v>
          </cell>
          <cell r="H555">
            <v>0.68000000000000016</v>
          </cell>
        </row>
        <row r="556">
          <cell r="A556" t="str">
            <v>1472ES</v>
          </cell>
          <cell r="B556">
            <v>1472</v>
          </cell>
          <cell r="C556" t="str">
            <v>IBULIV 400MG 10 BLT C/ 4CAPS GEL.MOLES-E</v>
          </cell>
          <cell r="D556" t="str">
            <v>10 BLT X 4 CÁPS</v>
          </cell>
          <cell r="E556" t="str">
            <v>ES</v>
          </cell>
          <cell r="F556">
            <v>0.71000000000000019</v>
          </cell>
          <cell r="G556">
            <v>0</v>
          </cell>
          <cell r="H556">
            <v>0.71000000000000019</v>
          </cell>
        </row>
        <row r="557">
          <cell r="A557" t="str">
            <v>2469ES</v>
          </cell>
          <cell r="B557">
            <v>2469</v>
          </cell>
          <cell r="C557" t="str">
            <v>IBULIV 400MG 2 BLT C/ 10CAPS GEL.MOLES-E</v>
          </cell>
          <cell r="D557" t="str">
            <v>20 CÁPS.</v>
          </cell>
          <cell r="E557" t="str">
            <v>ES</v>
          </cell>
          <cell r="F557">
            <v>0.71</v>
          </cell>
          <cell r="G557">
            <v>0</v>
          </cell>
          <cell r="H557">
            <v>0.71</v>
          </cell>
        </row>
        <row r="558">
          <cell r="A558" t="str">
            <v>1471ES</v>
          </cell>
          <cell r="B558">
            <v>1471</v>
          </cell>
          <cell r="C558" t="str">
            <v>IBULIV 400MG 2 BLT C/ 4CAPS GEL.MOLES-E</v>
          </cell>
          <cell r="D558" t="str">
            <v>2 BLT X 4 CÁPS.</v>
          </cell>
          <cell r="E558" t="str">
            <v>ES</v>
          </cell>
          <cell r="F558">
            <v>0.71</v>
          </cell>
          <cell r="G558">
            <v>0</v>
          </cell>
          <cell r="H558">
            <v>0.71</v>
          </cell>
        </row>
        <row r="559">
          <cell r="A559" t="str">
            <v>1175ES</v>
          </cell>
          <cell r="B559">
            <v>1175</v>
          </cell>
          <cell r="C559" t="str">
            <v>INFRALAX 1BLT C/15COMP - EMS</v>
          </cell>
          <cell r="D559" t="str">
            <v>1 BLT C/ 15</v>
          </cell>
          <cell r="E559" t="str">
            <v>ES</v>
          </cell>
          <cell r="F559">
            <v>0.74280000000000002</v>
          </cell>
          <cell r="G559">
            <v>0</v>
          </cell>
          <cell r="H559">
            <v>0.74280000000000002</v>
          </cell>
        </row>
        <row r="560">
          <cell r="A560" t="str">
            <v>1821ES</v>
          </cell>
          <cell r="B560">
            <v>1821</v>
          </cell>
          <cell r="C560" t="str">
            <v>INFRALAX 20BLTX10COMP - E</v>
          </cell>
          <cell r="D560" t="str">
            <v>20 BLT X 10</v>
          </cell>
          <cell r="E560" t="str">
            <v>ES</v>
          </cell>
          <cell r="F560">
            <v>0.81</v>
          </cell>
          <cell r="G560">
            <v>0</v>
          </cell>
          <cell r="H560">
            <v>0.81</v>
          </cell>
        </row>
        <row r="561">
          <cell r="A561" t="str">
            <v>2138ES</v>
          </cell>
          <cell r="B561">
            <v>2138</v>
          </cell>
          <cell r="C561" t="str">
            <v>INFRALAX 2BLT C/15COMP - EMS</v>
          </cell>
          <cell r="D561" t="str">
            <v>2 BL X 15</v>
          </cell>
          <cell r="E561" t="str">
            <v>ES</v>
          </cell>
          <cell r="F561">
            <v>0.74650000000000005</v>
          </cell>
          <cell r="G561">
            <v>0</v>
          </cell>
          <cell r="H561">
            <v>0.74650000000000005</v>
          </cell>
        </row>
        <row r="562">
          <cell r="A562" t="str">
            <v>6011ES</v>
          </cell>
          <cell r="B562">
            <v>6011</v>
          </cell>
          <cell r="C562" t="str">
            <v>NARIDRIN 12HS GOTAS FR C/30ML</v>
          </cell>
          <cell r="D562" t="str">
            <v>FR X 30 ML</v>
          </cell>
          <cell r="E562" t="str">
            <v>ES</v>
          </cell>
          <cell r="F562">
            <v>0.74</v>
          </cell>
          <cell r="G562">
            <v>0</v>
          </cell>
          <cell r="H562">
            <v>0.74</v>
          </cell>
        </row>
        <row r="563">
          <cell r="A563" t="str">
            <v>2604ES</v>
          </cell>
          <cell r="B563">
            <v>2604</v>
          </cell>
          <cell r="C563" t="str">
            <v>NARIDRIN ALTO VOL 30ENVX2,16G+FR240ML</v>
          </cell>
          <cell r="D563" t="str">
            <v>30ENVX2,16G+FR240ML</v>
          </cell>
          <cell r="E563" t="str">
            <v>ES</v>
          </cell>
          <cell r="F563">
            <v>0.64</v>
          </cell>
          <cell r="G563">
            <v>0</v>
          </cell>
          <cell r="H563">
            <v>0.64</v>
          </cell>
        </row>
        <row r="564">
          <cell r="A564" t="str">
            <v>2605ES</v>
          </cell>
          <cell r="B564">
            <v>2605</v>
          </cell>
          <cell r="C564" t="str">
            <v>NARIDRIN ALTO VOL REFIL</v>
          </cell>
          <cell r="D564" t="str">
            <v>30 ENV X 2,16G</v>
          </cell>
          <cell r="E564" t="str">
            <v>ES</v>
          </cell>
          <cell r="F564">
            <v>0.59999999999999987</v>
          </cell>
          <cell r="G564">
            <v>0</v>
          </cell>
          <cell r="H564">
            <v>0.59999999999999987</v>
          </cell>
        </row>
        <row r="565">
          <cell r="A565" t="str">
            <v>1433ES</v>
          </cell>
          <cell r="B565">
            <v>1433</v>
          </cell>
          <cell r="C565" t="str">
            <v>NARIDRIN AQUA 9MG/ML FRASCO C/50ML-E</v>
          </cell>
          <cell r="D565" t="str">
            <v>FR X 50 ML SPRAY</v>
          </cell>
          <cell r="E565" t="str">
            <v>ES</v>
          </cell>
          <cell r="F565">
            <v>0.71</v>
          </cell>
          <cell r="G565">
            <v>0</v>
          </cell>
          <cell r="H565">
            <v>0.71</v>
          </cell>
        </row>
        <row r="566">
          <cell r="A566" t="str">
            <v>6005ES</v>
          </cell>
          <cell r="B566">
            <v>6005</v>
          </cell>
          <cell r="C566" t="str">
            <v>NARIDRIN GOTAS AD FR C/15ML</v>
          </cell>
          <cell r="D566" t="str">
            <v>FR X 15 ML</v>
          </cell>
          <cell r="E566" t="str">
            <v>ES</v>
          </cell>
          <cell r="F566">
            <v>0.74</v>
          </cell>
          <cell r="G566">
            <v>0</v>
          </cell>
          <cell r="H566">
            <v>0.74</v>
          </cell>
        </row>
        <row r="567">
          <cell r="A567" t="str">
            <v>6006ES</v>
          </cell>
          <cell r="B567">
            <v>6006</v>
          </cell>
          <cell r="C567" t="str">
            <v>NARIDRIN GOTAS INF FR C/15ML</v>
          </cell>
          <cell r="D567" t="str">
            <v>FR X 15 ML</v>
          </cell>
          <cell r="E567" t="str">
            <v>ES</v>
          </cell>
          <cell r="F567">
            <v>0.72999999999999987</v>
          </cell>
          <cell r="G567">
            <v>0</v>
          </cell>
          <cell r="H567">
            <v>0.72999999999999987</v>
          </cell>
        </row>
        <row r="568">
          <cell r="A568" t="str">
            <v>1079ES</v>
          </cell>
          <cell r="B568">
            <v>1079</v>
          </cell>
          <cell r="C568" t="str">
            <v>NARIDRIN H 30MG/ML SOL.NAS SPRAY 60ML-E</v>
          </cell>
          <cell r="D568" t="str">
            <v>FRASCO X 60ML</v>
          </cell>
          <cell r="E568" t="str">
            <v>ES</v>
          </cell>
          <cell r="F568">
            <v>0.7</v>
          </cell>
          <cell r="G568">
            <v>0</v>
          </cell>
          <cell r="H568">
            <v>0.7</v>
          </cell>
        </row>
        <row r="569">
          <cell r="A569" t="str">
            <v>1368ES</v>
          </cell>
          <cell r="B569">
            <v>1368</v>
          </cell>
          <cell r="C569" t="str">
            <v>NIMESILAM BLT 1X12= 12 COM - E</v>
          </cell>
          <cell r="D569" t="str">
            <v>1 BLT X 12</v>
          </cell>
          <cell r="E569" t="str">
            <v>ES</v>
          </cell>
          <cell r="F569">
            <v>0.89999999999999991</v>
          </cell>
          <cell r="G569">
            <v>0</v>
          </cell>
          <cell r="H569">
            <v>0.89999999999999991</v>
          </cell>
        </row>
        <row r="570">
          <cell r="A570" t="str">
            <v>1367ES</v>
          </cell>
          <cell r="B570">
            <v>1367</v>
          </cell>
          <cell r="C570" t="str">
            <v>NIMESILAM GOTAS FRC/15ML  - E</v>
          </cell>
          <cell r="D570" t="str">
            <v>FR 15 ML</v>
          </cell>
          <cell r="E570" t="str">
            <v>ES</v>
          </cell>
          <cell r="F570">
            <v>0.73</v>
          </cell>
          <cell r="G570">
            <v>0</v>
          </cell>
          <cell r="H570">
            <v>0.73</v>
          </cell>
        </row>
        <row r="571">
          <cell r="A571" t="str">
            <v>2058ES</v>
          </cell>
          <cell r="B571">
            <v>2058</v>
          </cell>
          <cell r="C571" t="str">
            <v>NOCICLIN 1BLT C/21COM-EMS</v>
          </cell>
          <cell r="D571" t="str">
            <v>1 BL X 21</v>
          </cell>
          <cell r="E571" t="str">
            <v>ES</v>
          </cell>
          <cell r="F571">
            <v>0.68</v>
          </cell>
          <cell r="G571">
            <v>0</v>
          </cell>
          <cell r="H571">
            <v>0.68</v>
          </cell>
        </row>
        <row r="572">
          <cell r="A572" t="str">
            <v>2391ES</v>
          </cell>
          <cell r="B572">
            <v>2391</v>
          </cell>
          <cell r="C572" t="str">
            <v>RUDITE 20MG/ML PO SUS 100ML-E</v>
          </cell>
          <cell r="D572" t="str">
            <v>FR X 100 ML</v>
          </cell>
          <cell r="E572" t="str">
            <v>ES</v>
          </cell>
          <cell r="F572">
            <v>0.59899999999999998</v>
          </cell>
          <cell r="G572">
            <v>0</v>
          </cell>
          <cell r="H572">
            <v>0.59899999999999998</v>
          </cell>
        </row>
        <row r="573">
          <cell r="A573" t="str">
            <v>2392ES</v>
          </cell>
          <cell r="B573">
            <v>2392</v>
          </cell>
          <cell r="C573" t="str">
            <v>RUDITE 20MG/ML PO SUS 45ML-E</v>
          </cell>
          <cell r="D573" t="str">
            <v>FR X 45 ML</v>
          </cell>
          <cell r="E573" t="str">
            <v>ES</v>
          </cell>
          <cell r="F573">
            <v>0.58999999999999986</v>
          </cell>
          <cell r="G573">
            <v>0</v>
          </cell>
          <cell r="H573">
            <v>0.58999999999999986</v>
          </cell>
        </row>
        <row r="574">
          <cell r="A574" t="str">
            <v>2390ES</v>
          </cell>
          <cell r="B574">
            <v>2390</v>
          </cell>
          <cell r="C574" t="str">
            <v>RUDITE(C1)500MG C/6 COM REV-E</v>
          </cell>
          <cell r="D574" t="str">
            <v>1 BLT X 6</v>
          </cell>
          <cell r="E574" t="str">
            <v>ES</v>
          </cell>
          <cell r="F574">
            <v>0.7</v>
          </cell>
          <cell r="G574">
            <v>0</v>
          </cell>
          <cell r="H574">
            <v>0.7</v>
          </cell>
        </row>
        <row r="575">
          <cell r="A575" t="str">
            <v>2398ES</v>
          </cell>
          <cell r="B575">
            <v>2398</v>
          </cell>
          <cell r="C575" t="str">
            <v>SOMINEX COMPOS OTC CPR REVEST x 20</v>
          </cell>
          <cell r="D575" t="str">
            <v>2 BL X 10</v>
          </cell>
          <cell r="E575" t="str">
            <v>ES</v>
          </cell>
          <cell r="F575">
            <v>0.68899999999999995</v>
          </cell>
          <cell r="G575">
            <v>0</v>
          </cell>
          <cell r="H575">
            <v>0.68899999999999995</v>
          </cell>
        </row>
        <row r="576">
          <cell r="A576" t="str">
            <v>1818ES</v>
          </cell>
          <cell r="B576">
            <v>1818</v>
          </cell>
          <cell r="C576" t="str">
            <v>SUPLEVIT MULHER VIT. 2BLT C/15 CAP.GEL-E</v>
          </cell>
          <cell r="D576" t="str">
            <v>2 BLT C/15</v>
          </cell>
          <cell r="E576" t="str">
            <v>ES</v>
          </cell>
          <cell r="F576">
            <v>0.82</v>
          </cell>
          <cell r="G576">
            <v>0</v>
          </cell>
          <cell r="H576">
            <v>0.82</v>
          </cell>
        </row>
        <row r="577">
          <cell r="A577" t="str">
            <v>1819ES</v>
          </cell>
          <cell r="B577">
            <v>1819</v>
          </cell>
          <cell r="C577" t="str">
            <v>SUPLEVIT MULHER VIT. 4BLT C/15 CAP.GEL-E</v>
          </cell>
          <cell r="D577" t="str">
            <v>4 BLT C/15</v>
          </cell>
          <cell r="E577" t="str">
            <v>ES</v>
          </cell>
          <cell r="F577">
            <v>0.81999999999999984</v>
          </cell>
          <cell r="G577">
            <v>0</v>
          </cell>
          <cell r="H577">
            <v>0.81999999999999984</v>
          </cell>
        </row>
        <row r="578">
          <cell r="A578" t="str">
            <v>2036ES</v>
          </cell>
          <cell r="B578">
            <v>2036</v>
          </cell>
          <cell r="C578" t="str">
            <v>VITAFER FR C/50 COMP-E</v>
          </cell>
          <cell r="D578" t="str">
            <v>FR X 50</v>
          </cell>
          <cell r="E578" t="str">
            <v>ES</v>
          </cell>
          <cell r="F578">
            <v>0.52999999999999992</v>
          </cell>
          <cell r="G578">
            <v>0</v>
          </cell>
          <cell r="H578">
            <v>0.52999999999999992</v>
          </cell>
        </row>
        <row r="579">
          <cell r="A579" t="str">
            <v>60000GO</v>
          </cell>
          <cell r="B579">
            <v>60000</v>
          </cell>
          <cell r="C579" t="str">
            <v>A SAUDE DA MULHER 150ML SOLUCAO</v>
          </cell>
          <cell r="D579" t="str">
            <v>FR X 150 ML</v>
          </cell>
          <cell r="E579" t="str">
            <v>GO</v>
          </cell>
          <cell r="F579">
            <v>0.26999999999999996</v>
          </cell>
          <cell r="G579">
            <v>0</v>
          </cell>
          <cell r="H579">
            <v>0.26999999999999996</v>
          </cell>
        </row>
        <row r="580">
          <cell r="A580" t="str">
            <v>2256GO</v>
          </cell>
          <cell r="B580">
            <v>2256</v>
          </cell>
          <cell r="C580" t="str">
            <v>ALLEXOFEDRIN 120MG 1BLTC/10 COM REV-E</v>
          </cell>
          <cell r="D580" t="str">
            <v>1 BL X 10 COMP REVEST</v>
          </cell>
          <cell r="E580" t="str">
            <v>GO</v>
          </cell>
          <cell r="F580">
            <v>0.75</v>
          </cell>
          <cell r="G580">
            <v>0</v>
          </cell>
          <cell r="H580">
            <v>0.75</v>
          </cell>
        </row>
        <row r="581">
          <cell r="A581" t="str">
            <v>2255GO</v>
          </cell>
          <cell r="B581">
            <v>2255</v>
          </cell>
          <cell r="C581" t="str">
            <v>ALLEXOFEDRIN 180MG 1BLTC/10 COM REV-E</v>
          </cell>
          <cell r="D581" t="str">
            <v>1 BL X 10 COMP REVEST</v>
          </cell>
          <cell r="E581" t="str">
            <v>GO</v>
          </cell>
          <cell r="F581">
            <v>0.74999999999999989</v>
          </cell>
          <cell r="G581">
            <v>0</v>
          </cell>
          <cell r="H581">
            <v>0.74999999999999989</v>
          </cell>
        </row>
        <row r="582">
          <cell r="A582" t="str">
            <v>2133GO</v>
          </cell>
          <cell r="B582">
            <v>2133</v>
          </cell>
          <cell r="C582" t="str">
            <v>ALLEXOFEDRIN D 60+120MG 1BLT C/10C.REV</v>
          </cell>
          <cell r="D582" t="str">
            <v>1 BL X 10 COMP REVEST</v>
          </cell>
          <cell r="E582" t="str">
            <v>GO</v>
          </cell>
          <cell r="F582">
            <v>0.26</v>
          </cell>
          <cell r="G582">
            <v>0</v>
          </cell>
          <cell r="H582">
            <v>0.26</v>
          </cell>
        </row>
        <row r="583">
          <cell r="A583" t="str">
            <v>2346PI</v>
          </cell>
          <cell r="B583">
            <v>2346</v>
          </cell>
          <cell r="C583" t="str">
            <v>ALLEXOFEDRIN PEDIATRICO6MG/MLSUS 60ML-E</v>
          </cell>
          <cell r="D583" t="str">
            <v>6MG/MLSUS 60ML-E</v>
          </cell>
          <cell r="E583" t="str">
            <v>PI</v>
          </cell>
          <cell r="F583">
            <v>0.5514</v>
          </cell>
          <cell r="G583">
            <v>0</v>
          </cell>
          <cell r="H583">
            <v>0.5514</v>
          </cell>
        </row>
        <row r="584">
          <cell r="A584" t="str">
            <v>2347GO</v>
          </cell>
          <cell r="B584">
            <v>2347</v>
          </cell>
          <cell r="C584" t="str">
            <v>ALLEXOFEDRIN PEDIATRICO6MG/MLSUS150 ML-E</v>
          </cell>
          <cell r="D584" t="str">
            <v>6MG/MLSUS150 ML-E</v>
          </cell>
          <cell r="E584" t="str">
            <v>GO</v>
          </cell>
          <cell r="F584">
            <v>0.60909999999999997</v>
          </cell>
          <cell r="G584">
            <v>0</v>
          </cell>
          <cell r="H584">
            <v>0.60909999999999997</v>
          </cell>
        </row>
        <row r="585">
          <cell r="A585" t="str">
            <v>2190GO</v>
          </cell>
          <cell r="B585">
            <v>2190</v>
          </cell>
          <cell r="C585" t="str">
            <v>ANTIVIRAX 400MG 2BLTX15 COM - E</v>
          </cell>
          <cell r="D585" t="str">
            <v>2 BL X 15</v>
          </cell>
          <cell r="E585" t="str">
            <v>GO</v>
          </cell>
          <cell r="F585">
            <v>0.68</v>
          </cell>
          <cell r="G585">
            <v>0</v>
          </cell>
          <cell r="H585">
            <v>0.68</v>
          </cell>
        </row>
        <row r="586">
          <cell r="A586" t="str">
            <v>3009GO</v>
          </cell>
          <cell r="B586">
            <v>3009</v>
          </cell>
          <cell r="C586" t="str">
            <v>ANTIVIRAX CR BG C/10 G</v>
          </cell>
          <cell r="D586" t="str">
            <v>BISN X 10 G</v>
          </cell>
          <cell r="E586" t="str">
            <v>GO</v>
          </cell>
          <cell r="F586">
            <v>0.74999999999999989</v>
          </cell>
          <cell r="G586">
            <v>0</v>
          </cell>
          <cell r="H586">
            <v>0.74999999999999989</v>
          </cell>
        </row>
        <row r="587">
          <cell r="A587" t="str">
            <v>1001GO</v>
          </cell>
          <cell r="B587">
            <v>1001</v>
          </cell>
          <cell r="C587" t="str">
            <v>APEVITIN BC XPE FRC/240ML</v>
          </cell>
          <cell r="D587" t="str">
            <v>FR X 240 ML</v>
          </cell>
          <cell r="E587" t="str">
            <v>GO</v>
          </cell>
          <cell r="F587">
            <v>0.78909999999999991</v>
          </cell>
          <cell r="G587">
            <v>0</v>
          </cell>
          <cell r="H587">
            <v>0.78909999999999991</v>
          </cell>
        </row>
        <row r="588">
          <cell r="A588" t="str">
            <v>1226GO</v>
          </cell>
          <cell r="B588">
            <v>1226</v>
          </cell>
          <cell r="C588" t="str">
            <v>BENZIFLEX 10MG 1BLX15COMP.REV-E</v>
          </cell>
          <cell r="D588" t="str">
            <v>1 BL X 15 COMP.</v>
          </cell>
          <cell r="E588" t="str">
            <v>GO</v>
          </cell>
          <cell r="F588">
            <v>0.71</v>
          </cell>
          <cell r="G588">
            <v>0</v>
          </cell>
          <cell r="H588">
            <v>0.71</v>
          </cell>
        </row>
        <row r="589">
          <cell r="A589" t="str">
            <v>1227GO</v>
          </cell>
          <cell r="B589">
            <v>1227</v>
          </cell>
          <cell r="C589" t="str">
            <v>BENZIFLEX 10MG 2BLX15COMP.REV-E</v>
          </cell>
          <cell r="D589" t="str">
            <v>2 BL X 15 COMP.</v>
          </cell>
          <cell r="E589" t="str">
            <v>GO</v>
          </cell>
          <cell r="F589">
            <v>0.71</v>
          </cell>
          <cell r="G589">
            <v>0</v>
          </cell>
          <cell r="H589">
            <v>0.71</v>
          </cell>
        </row>
        <row r="590">
          <cell r="A590" t="str">
            <v>1233GO</v>
          </cell>
          <cell r="B590">
            <v>1233</v>
          </cell>
          <cell r="C590" t="str">
            <v>BENZIFLEX 5MG 2BLX15COMP.REV-E</v>
          </cell>
          <cell r="D590" t="str">
            <v>2 BL X 15 COMP.</v>
          </cell>
          <cell r="E590" t="str">
            <v>GO</v>
          </cell>
          <cell r="F590">
            <v>0.71</v>
          </cell>
          <cell r="G590">
            <v>0</v>
          </cell>
          <cell r="H590">
            <v>0.71</v>
          </cell>
        </row>
        <row r="591">
          <cell r="A591" t="str">
            <v>1574GO</v>
          </cell>
          <cell r="B591">
            <v>1574</v>
          </cell>
          <cell r="C591" t="str">
            <v>BENZIFLEX LIS 125MG+5MG 15COM.REV.-E</v>
          </cell>
          <cell r="D591" t="str">
            <v>1 BL X 15 COMP.</v>
          </cell>
          <cell r="E591" t="str">
            <v>GO</v>
          </cell>
          <cell r="F591">
            <v>0.5</v>
          </cell>
          <cell r="G591">
            <v>0</v>
          </cell>
          <cell r="H591">
            <v>0.5</v>
          </cell>
        </row>
        <row r="592">
          <cell r="A592" t="str">
            <v>2292GO</v>
          </cell>
          <cell r="B592">
            <v>2292</v>
          </cell>
          <cell r="C592" t="str">
            <v>BENZIFLEX LIS 125MG+5MG 2BL15 COM.REV.-E</v>
          </cell>
          <cell r="D592" t="str">
            <v>2 BL X 15 COMP.</v>
          </cell>
          <cell r="E592" t="str">
            <v>GO</v>
          </cell>
          <cell r="F592">
            <v>0.53</v>
          </cell>
          <cell r="G592">
            <v>0</v>
          </cell>
          <cell r="H592">
            <v>0.53</v>
          </cell>
        </row>
        <row r="593">
          <cell r="A593" t="str">
            <v>1155GO</v>
          </cell>
          <cell r="B593">
            <v>1155</v>
          </cell>
          <cell r="C593" t="str">
            <v>BIOFLADEX AEROSSOL 60G- E</v>
          </cell>
          <cell r="D593" t="str">
            <v>FRASCO 60 G</v>
          </cell>
          <cell r="E593" t="str">
            <v>GO</v>
          </cell>
          <cell r="F593">
            <v>0.66</v>
          </cell>
          <cell r="G593">
            <v>0</v>
          </cell>
          <cell r="H593">
            <v>0.66</v>
          </cell>
        </row>
        <row r="594">
          <cell r="A594" t="str">
            <v>1072GO</v>
          </cell>
          <cell r="B594">
            <v>1072</v>
          </cell>
          <cell r="C594" t="str">
            <v>BISURAN 4MG/5ML XPE INF 120ML-E</v>
          </cell>
          <cell r="D594" t="str">
            <v>FR X 120 ML</v>
          </cell>
          <cell r="E594" t="str">
            <v>GO</v>
          </cell>
          <cell r="F594">
            <v>0.53</v>
          </cell>
          <cell r="G594">
            <v>0</v>
          </cell>
          <cell r="H594">
            <v>0.53</v>
          </cell>
        </row>
        <row r="595">
          <cell r="A595" t="str">
            <v>1318GO</v>
          </cell>
          <cell r="B595">
            <v>1318</v>
          </cell>
          <cell r="C595" t="str">
            <v>BISURAN 8MG/5ML XPE AD. 120ML-E</v>
          </cell>
          <cell r="D595" t="str">
            <v>FR X 120 ML</v>
          </cell>
          <cell r="E595" t="str">
            <v>GO</v>
          </cell>
          <cell r="F595">
            <v>0.61999999999999988</v>
          </cell>
          <cell r="G595">
            <v>0</v>
          </cell>
          <cell r="H595">
            <v>0.61999999999999988</v>
          </cell>
        </row>
        <row r="596">
          <cell r="A596" t="str">
            <v>2141GO</v>
          </cell>
          <cell r="B596">
            <v>2141</v>
          </cell>
          <cell r="C596" t="str">
            <v>CELERGIN 20 COMP-E</v>
          </cell>
          <cell r="D596" t="str">
            <v>CX. C/20 COMP.</v>
          </cell>
          <cell r="E596" t="str">
            <v>GO</v>
          </cell>
          <cell r="F596">
            <v>0.65649999999999986</v>
          </cell>
          <cell r="G596">
            <v>0</v>
          </cell>
          <cell r="H596">
            <v>0.65649999999999986</v>
          </cell>
        </row>
        <row r="597">
          <cell r="A597" t="str">
            <v>2346PR</v>
          </cell>
          <cell r="B597">
            <v>2346</v>
          </cell>
          <cell r="C597" t="str">
            <v>ALLEXOFEDRIN PEDIATRICO6MG/MLSUS 60ML-E</v>
          </cell>
          <cell r="D597" t="str">
            <v>6MG/MLSUS 60ML-E</v>
          </cell>
          <cell r="E597" t="str">
            <v>PR</v>
          </cell>
          <cell r="F597">
            <v>0.5514</v>
          </cell>
          <cell r="G597">
            <v>0</v>
          </cell>
          <cell r="H597">
            <v>0.5514</v>
          </cell>
        </row>
        <row r="598">
          <cell r="A598" t="str">
            <v>2322GO</v>
          </cell>
          <cell r="B598">
            <v>2322</v>
          </cell>
          <cell r="C598" t="str">
            <v>CLOPE 3,54MG/ML XPE 120ML FR PLAS-E</v>
          </cell>
          <cell r="D598" t="str">
            <v>FR X 120 ML</v>
          </cell>
          <cell r="E598" t="str">
            <v>GO</v>
          </cell>
          <cell r="F598">
            <v>0.53</v>
          </cell>
          <cell r="G598">
            <v>0</v>
          </cell>
          <cell r="H598">
            <v>0.53</v>
          </cell>
        </row>
        <row r="599">
          <cell r="A599" t="str">
            <v>2383GO</v>
          </cell>
          <cell r="B599">
            <v>2383</v>
          </cell>
          <cell r="C599" t="str">
            <v>COMPLEXO B 12 XPE FR C/120ML E</v>
          </cell>
          <cell r="D599" t="str">
            <v>FR X 120 ML</v>
          </cell>
          <cell r="E599" t="str">
            <v>GO</v>
          </cell>
          <cell r="F599">
            <v>0.67000000000000015</v>
          </cell>
          <cell r="G599">
            <v>0</v>
          </cell>
          <cell r="H599">
            <v>0.67000000000000015</v>
          </cell>
        </row>
        <row r="600">
          <cell r="A600" t="str">
            <v>2384GO</v>
          </cell>
          <cell r="B600">
            <v>2384</v>
          </cell>
          <cell r="C600" t="str">
            <v>COMPLEXO B CPR REVEST x 20</v>
          </cell>
          <cell r="D600" t="str">
            <v xml:space="preserve">FR X 20 </v>
          </cell>
          <cell r="E600" t="str">
            <v>GO</v>
          </cell>
          <cell r="F600">
            <v>0.66000000000000014</v>
          </cell>
          <cell r="G600">
            <v>0</v>
          </cell>
          <cell r="H600">
            <v>0.66000000000000014</v>
          </cell>
        </row>
        <row r="601">
          <cell r="A601" t="str">
            <v>2382GO</v>
          </cell>
          <cell r="B601">
            <v>2382</v>
          </cell>
          <cell r="C601" t="str">
            <v>COMPLEXO B FR C/100 COM REV  E</v>
          </cell>
          <cell r="D601" t="str">
            <v>FR X 100</v>
          </cell>
          <cell r="E601" t="str">
            <v>GO</v>
          </cell>
          <cell r="F601">
            <v>0.64000000000000012</v>
          </cell>
          <cell r="G601">
            <v>0</v>
          </cell>
          <cell r="H601">
            <v>0.64000000000000012</v>
          </cell>
        </row>
        <row r="602">
          <cell r="A602" t="str">
            <v>2011GO</v>
          </cell>
          <cell r="B602">
            <v>2011</v>
          </cell>
          <cell r="C602" t="str">
            <v>CYSTEX FR C/24 DRG</v>
          </cell>
          <cell r="D602" t="str">
            <v xml:space="preserve">FR X 24 </v>
          </cell>
          <cell r="E602" t="str">
            <v>GO</v>
          </cell>
          <cell r="F602">
            <v>0.36070000000000002</v>
          </cell>
          <cell r="G602">
            <v>0</v>
          </cell>
          <cell r="H602">
            <v>0.36070000000000002</v>
          </cell>
        </row>
        <row r="603">
          <cell r="A603" t="str">
            <v>1837GO</v>
          </cell>
          <cell r="B603">
            <v>1837</v>
          </cell>
          <cell r="C603" t="str">
            <v>DIOVASES 450+50MG C/30 COM.REV. - E</v>
          </cell>
          <cell r="D603" t="str">
            <v>2 BL X 15 COMP.</v>
          </cell>
          <cell r="E603" t="str">
            <v>GO</v>
          </cell>
          <cell r="F603">
            <v>0.68</v>
          </cell>
          <cell r="G603">
            <v>0</v>
          </cell>
          <cell r="H603">
            <v>0.68</v>
          </cell>
        </row>
        <row r="604">
          <cell r="A604" t="str">
            <v>1838GO</v>
          </cell>
          <cell r="B604">
            <v>1838</v>
          </cell>
          <cell r="C604" t="str">
            <v>DIOVASES 450+50MG C/60 COM.REV. - E</v>
          </cell>
          <cell r="D604" t="str">
            <v>4 BL X 15 COMP.</v>
          </cell>
          <cell r="E604" t="str">
            <v>GO</v>
          </cell>
          <cell r="F604">
            <v>0.72</v>
          </cell>
          <cell r="G604">
            <v>0</v>
          </cell>
          <cell r="H604">
            <v>0.72</v>
          </cell>
        </row>
        <row r="605">
          <cell r="A605" t="str">
            <v>2261GO</v>
          </cell>
          <cell r="B605">
            <v>2261</v>
          </cell>
          <cell r="C605" t="str">
            <v>DORICIN CPR x 24</v>
          </cell>
          <cell r="D605" t="str">
            <v>2BL C/12 COMPRIMIDOS -E</v>
          </cell>
          <cell r="E605" t="str">
            <v>GO</v>
          </cell>
          <cell r="F605">
            <v>0.74099999999999999</v>
          </cell>
          <cell r="G605">
            <v>0</v>
          </cell>
          <cell r="H605">
            <v>0.74099999999999999</v>
          </cell>
        </row>
        <row r="606">
          <cell r="A606" t="str">
            <v>2264GO</v>
          </cell>
          <cell r="B606">
            <v>2264</v>
          </cell>
          <cell r="C606" t="str">
            <v>DORICIN CPR x 300</v>
          </cell>
          <cell r="D606" t="str">
            <v>30BL C/10 COMPRIMIDOS -E</v>
          </cell>
          <cell r="E606" t="str">
            <v>GO</v>
          </cell>
          <cell r="F606">
            <v>0.74099999999999999</v>
          </cell>
          <cell r="G606">
            <v>0</v>
          </cell>
          <cell r="H606">
            <v>0.74099999999999999</v>
          </cell>
        </row>
        <row r="607">
          <cell r="A607" t="str">
            <v>2262GO</v>
          </cell>
          <cell r="B607">
            <v>2262</v>
          </cell>
          <cell r="C607" t="str">
            <v>DORICIN CPR X 36</v>
          </cell>
          <cell r="D607" t="str">
            <v>3BL C/12 COMPRIMIDOS -E</v>
          </cell>
          <cell r="E607" t="str">
            <v>GO</v>
          </cell>
          <cell r="F607">
            <v>0.75139999999999996</v>
          </cell>
          <cell r="G607">
            <v>0</v>
          </cell>
          <cell r="H607">
            <v>0.75139999999999996</v>
          </cell>
        </row>
        <row r="608">
          <cell r="A608" t="str">
            <v>2263GO</v>
          </cell>
          <cell r="B608">
            <v>2263</v>
          </cell>
          <cell r="C608" t="str">
            <v>DORICIN CPR X 50</v>
          </cell>
          <cell r="D608" t="str">
            <v>5BL C/10 COMPRIMIDOS - E</v>
          </cell>
          <cell r="E608" t="str">
            <v>GO</v>
          </cell>
          <cell r="F608">
            <v>0.66100000000000003</v>
          </cell>
          <cell r="G608">
            <v>0</v>
          </cell>
          <cell r="H608">
            <v>0.66100000000000003</v>
          </cell>
        </row>
        <row r="609">
          <cell r="A609" t="str">
            <v>1173GO</v>
          </cell>
          <cell r="B609">
            <v>1173</v>
          </cell>
          <cell r="C609" t="str">
            <v>DORICIN GOTAS 20ML x 1</v>
          </cell>
          <cell r="D609" t="str">
            <v>FR X 20 ML</v>
          </cell>
          <cell r="E609" t="str">
            <v>GO</v>
          </cell>
          <cell r="F609">
            <v>0.65</v>
          </cell>
          <cell r="G609">
            <v>0</v>
          </cell>
          <cell r="H609">
            <v>0.65</v>
          </cell>
        </row>
        <row r="610">
          <cell r="A610" t="str">
            <v>2018GO</v>
          </cell>
          <cell r="B610">
            <v>2018</v>
          </cell>
          <cell r="C610" t="str">
            <v>EMISTIN BLT 1X20=20COMP</v>
          </cell>
          <cell r="D610" t="str">
            <v>1 BL X 20</v>
          </cell>
          <cell r="E610" t="str">
            <v>GO</v>
          </cell>
          <cell r="F610">
            <v>0.67</v>
          </cell>
          <cell r="G610">
            <v>0</v>
          </cell>
          <cell r="H610">
            <v>0.67</v>
          </cell>
        </row>
        <row r="611">
          <cell r="A611" t="str">
            <v>3008GO</v>
          </cell>
          <cell r="B611">
            <v>3008</v>
          </cell>
          <cell r="C611" t="str">
            <v>EMISTIN CR BG C/20G</v>
          </cell>
          <cell r="D611" t="str">
            <v>BISN X 20 G</v>
          </cell>
          <cell r="E611" t="str">
            <v>GO</v>
          </cell>
          <cell r="F611">
            <v>0.77</v>
          </cell>
          <cell r="G611">
            <v>0</v>
          </cell>
          <cell r="H611">
            <v>0.77</v>
          </cell>
        </row>
        <row r="612">
          <cell r="A612" t="str">
            <v>3020GO</v>
          </cell>
          <cell r="B612">
            <v>3020</v>
          </cell>
          <cell r="C612" t="str">
            <v>EMSCORT CR BG C/30G</v>
          </cell>
          <cell r="D612" t="str">
            <v>BISN X 30 G</v>
          </cell>
          <cell r="E612" t="str">
            <v>GO</v>
          </cell>
          <cell r="F612">
            <v>0.77000000000000013</v>
          </cell>
          <cell r="G612">
            <v>0</v>
          </cell>
          <cell r="H612">
            <v>0.77000000000000013</v>
          </cell>
        </row>
        <row r="613">
          <cell r="A613" t="str">
            <v>6023GO</v>
          </cell>
          <cell r="B613">
            <v>6023</v>
          </cell>
          <cell r="C613" t="str">
            <v>EMSCORT POM BISN 30G-E</v>
          </cell>
          <cell r="D613" t="str">
            <v>BISN X 30 G</v>
          </cell>
          <cell r="E613" t="str">
            <v>GO</v>
          </cell>
          <cell r="F613">
            <v>0.7639999999999999</v>
          </cell>
          <cell r="G613">
            <v>0</v>
          </cell>
          <cell r="H613">
            <v>0.7639999999999999</v>
          </cell>
        </row>
        <row r="614">
          <cell r="A614" t="str">
            <v>1190GO</v>
          </cell>
          <cell r="B614">
            <v>1190</v>
          </cell>
          <cell r="C614" t="str">
            <v>EMSEXPECTOR XAROPE FR C/120ML - E</v>
          </cell>
          <cell r="D614" t="str">
            <v>FR X 120 ML</v>
          </cell>
          <cell r="E614" t="str">
            <v>GO</v>
          </cell>
          <cell r="F614">
            <v>0.48</v>
          </cell>
          <cell r="G614">
            <v>0</v>
          </cell>
          <cell r="H614">
            <v>0.48</v>
          </cell>
        </row>
        <row r="615">
          <cell r="A615" t="str">
            <v>2111GO</v>
          </cell>
          <cell r="B615">
            <v>2111</v>
          </cell>
          <cell r="C615" t="str">
            <v>ENDCOFF PAST MEL ELIMAO C/12UN</v>
          </cell>
          <cell r="D615" t="str">
            <v>3 STP X 4</v>
          </cell>
          <cell r="E615" t="str">
            <v>GO</v>
          </cell>
          <cell r="F615">
            <v>0.48</v>
          </cell>
          <cell r="G615">
            <v>0</v>
          </cell>
          <cell r="H615">
            <v>0.48</v>
          </cell>
        </row>
        <row r="616">
          <cell r="A616" t="str">
            <v>2092GO</v>
          </cell>
          <cell r="B616">
            <v>2092</v>
          </cell>
          <cell r="C616" t="str">
            <v>ENDCOFF PAST STP MENTA C/12 UN</v>
          </cell>
          <cell r="D616" t="str">
            <v>3 STP X 4</v>
          </cell>
          <cell r="E616" t="str">
            <v>GO</v>
          </cell>
          <cell r="F616">
            <v>0.48</v>
          </cell>
          <cell r="G616">
            <v>0</v>
          </cell>
          <cell r="H616">
            <v>0.48</v>
          </cell>
        </row>
        <row r="617">
          <cell r="A617" t="str">
            <v>1905GO</v>
          </cell>
          <cell r="B617">
            <v>1905</v>
          </cell>
          <cell r="C617" t="str">
            <v>ESMOG 20MG 4BLTC/7 COM REV LIB RETARD- E</v>
          </cell>
          <cell r="D617" t="str">
            <v>4 BLT C/7</v>
          </cell>
          <cell r="E617" t="str">
            <v>GO</v>
          </cell>
          <cell r="F617">
            <v>0.77800000000000002</v>
          </cell>
          <cell r="G617">
            <v>0</v>
          </cell>
          <cell r="H617">
            <v>0.77800000000000002</v>
          </cell>
        </row>
        <row r="618">
          <cell r="A618" t="str">
            <v>1906GO</v>
          </cell>
          <cell r="B618">
            <v>1906</v>
          </cell>
          <cell r="C618" t="str">
            <v>ESMOG 40MG 4BLTC/7 COM REV LIB RETARD- E</v>
          </cell>
          <cell r="D618" t="str">
            <v>4 BLT C/7</v>
          </cell>
          <cell r="E618" t="str">
            <v>GO</v>
          </cell>
          <cell r="F618">
            <v>0.8</v>
          </cell>
          <cell r="G618">
            <v>0</v>
          </cell>
          <cell r="H618">
            <v>0.8</v>
          </cell>
        </row>
        <row r="619">
          <cell r="A619" t="str">
            <v>1016GO</v>
          </cell>
          <cell r="B619">
            <v>1016</v>
          </cell>
          <cell r="C619" t="str">
            <v>EXPECTUSS XPE ADULTO FR C/100ML</v>
          </cell>
          <cell r="D619" t="str">
            <v>FR X 100 ML</v>
          </cell>
          <cell r="E619" t="str">
            <v>GO</v>
          </cell>
          <cell r="F619">
            <v>0.55000000000000016</v>
          </cell>
          <cell r="G619">
            <v>0</v>
          </cell>
          <cell r="H619">
            <v>0.55000000000000016</v>
          </cell>
        </row>
        <row r="620">
          <cell r="A620" t="str">
            <v>1015GO</v>
          </cell>
          <cell r="B620">
            <v>1015</v>
          </cell>
          <cell r="C620" t="str">
            <v>EXPECTUSS XPE INF FR C/100ML</v>
          </cell>
          <cell r="D620" t="str">
            <v>FR X 100 ML</v>
          </cell>
          <cell r="E620" t="str">
            <v>GO</v>
          </cell>
          <cell r="F620">
            <v>0.5099999999999999</v>
          </cell>
          <cell r="G620">
            <v>0</v>
          </cell>
          <cell r="H620">
            <v>0.5099999999999999</v>
          </cell>
        </row>
        <row r="621">
          <cell r="A621" t="str">
            <v>1363GO</v>
          </cell>
          <cell r="B621">
            <v>1363</v>
          </cell>
          <cell r="C621" t="str">
            <v>FLUITEINA 600MG GRAN 16ENV 5G-E</v>
          </cell>
          <cell r="D621" t="str">
            <v>CX. C/16 ENV X 5GR</v>
          </cell>
          <cell r="E621" t="str">
            <v>GO</v>
          </cell>
          <cell r="F621">
            <v>0.42999999999999994</v>
          </cell>
          <cell r="G621">
            <v>0</v>
          </cell>
          <cell r="H621">
            <v>0.42999999999999994</v>
          </cell>
        </row>
        <row r="622">
          <cell r="A622" t="str">
            <v>1364GO</v>
          </cell>
          <cell r="B622">
            <v>1364</v>
          </cell>
          <cell r="C622" t="str">
            <v>FLUITEINA XPE AD 40MG/ML120ML-E</v>
          </cell>
          <cell r="D622" t="str">
            <v>FR X 120 ML</v>
          </cell>
          <cell r="E622" t="str">
            <v>GO</v>
          </cell>
          <cell r="F622">
            <v>0.56999999999999973</v>
          </cell>
          <cell r="G622">
            <v>0</v>
          </cell>
          <cell r="H622">
            <v>0.56999999999999973</v>
          </cell>
        </row>
        <row r="623">
          <cell r="A623" t="str">
            <v>1163GO</v>
          </cell>
          <cell r="B623">
            <v>1163</v>
          </cell>
          <cell r="C623" t="str">
            <v>FLUITEINA XPE INF 20MG/ML 120ML-E</v>
          </cell>
          <cell r="D623" t="str">
            <v>FR X 120 ML</v>
          </cell>
          <cell r="E623" t="str">
            <v>GO</v>
          </cell>
          <cell r="F623">
            <v>0.51900000000000002</v>
          </cell>
          <cell r="G623">
            <v>0</v>
          </cell>
          <cell r="H623">
            <v>0.51900000000000002</v>
          </cell>
        </row>
        <row r="624">
          <cell r="A624" t="str">
            <v>1168GO</v>
          </cell>
          <cell r="B624">
            <v>1168</v>
          </cell>
          <cell r="C624" t="str">
            <v>FOLIFOLIN 5MG 2BLTX15COMP - E</v>
          </cell>
          <cell r="D624" t="str">
            <v>2 BLT X 15 COMP.</v>
          </cell>
          <cell r="E624" t="str">
            <v>GO</v>
          </cell>
          <cell r="F624">
            <v>0.66</v>
          </cell>
          <cell r="G624">
            <v>0</v>
          </cell>
          <cell r="H624">
            <v>0.66</v>
          </cell>
        </row>
        <row r="625">
          <cell r="A625" t="str">
            <v>2318GO</v>
          </cell>
          <cell r="B625">
            <v>2318</v>
          </cell>
          <cell r="C625" t="str">
            <v>GEROVITAL  2BLT15 CAP MOLE-E</v>
          </cell>
          <cell r="D625" t="str">
            <v>3 BL X 10</v>
          </cell>
          <cell r="E625" t="str">
            <v>GO</v>
          </cell>
          <cell r="F625">
            <v>0.57899999999999996</v>
          </cell>
          <cell r="G625">
            <v>0</v>
          </cell>
          <cell r="H625">
            <v>0.57899999999999996</v>
          </cell>
        </row>
        <row r="626">
          <cell r="A626" t="str">
            <v>2062GO</v>
          </cell>
          <cell r="B626">
            <v>2062</v>
          </cell>
          <cell r="C626" t="str">
            <v>GEROVITAL 3BLT C/20 CAP</v>
          </cell>
          <cell r="D626" t="str">
            <v>6 BL X 10</v>
          </cell>
          <cell r="E626" t="str">
            <v>GO</v>
          </cell>
          <cell r="F626">
            <v>0.48100000000000004</v>
          </cell>
          <cell r="G626">
            <v>0</v>
          </cell>
          <cell r="H626">
            <v>0.48100000000000004</v>
          </cell>
        </row>
        <row r="627">
          <cell r="A627" t="str">
            <v>1230GO</v>
          </cell>
          <cell r="B627">
            <v>1230</v>
          </cell>
          <cell r="C627" t="str">
            <v>IBULIV 100MG/ML SUP ORAL C/ 20 ML-E</v>
          </cell>
          <cell r="D627" t="str">
            <v>FR X 20 ML</v>
          </cell>
          <cell r="E627" t="str">
            <v>GO</v>
          </cell>
          <cell r="F627">
            <v>0.68000000000000016</v>
          </cell>
          <cell r="G627">
            <v>0</v>
          </cell>
          <cell r="H627">
            <v>0.68000000000000016</v>
          </cell>
        </row>
        <row r="628">
          <cell r="A628" t="str">
            <v>1472GO</v>
          </cell>
          <cell r="B628">
            <v>1472</v>
          </cell>
          <cell r="C628" t="str">
            <v>IBULIV 400MG 10 BLT C/ 4CAPS GEL.MOLES-E</v>
          </cell>
          <cell r="D628" t="str">
            <v>10 BLT X 4 CÁPS</v>
          </cell>
          <cell r="E628" t="str">
            <v>GO</v>
          </cell>
          <cell r="F628">
            <v>0.71000000000000019</v>
          </cell>
          <cell r="G628">
            <v>0</v>
          </cell>
          <cell r="H628">
            <v>0.71000000000000019</v>
          </cell>
        </row>
        <row r="629">
          <cell r="A629" t="str">
            <v>2469GO</v>
          </cell>
          <cell r="B629">
            <v>2469</v>
          </cell>
          <cell r="C629" t="str">
            <v>IBULIV 400MG 2 BLT C/ 10CAPS GEL.MOLES-E</v>
          </cell>
          <cell r="D629" t="str">
            <v>20 CÁPS.</v>
          </cell>
          <cell r="E629" t="str">
            <v>GO</v>
          </cell>
          <cell r="F629">
            <v>0.71</v>
          </cell>
          <cell r="G629">
            <v>0</v>
          </cell>
          <cell r="H629">
            <v>0.71</v>
          </cell>
        </row>
        <row r="630">
          <cell r="A630" t="str">
            <v>1471GO</v>
          </cell>
          <cell r="B630">
            <v>1471</v>
          </cell>
          <cell r="C630" t="str">
            <v>IBULIV 400MG 2 BLT C/ 4CAPS GEL.MOLES-E</v>
          </cell>
          <cell r="D630" t="str">
            <v>2 BLT X 4 CÁPS.</v>
          </cell>
          <cell r="E630" t="str">
            <v>GO</v>
          </cell>
          <cell r="F630">
            <v>0.71</v>
          </cell>
          <cell r="G630">
            <v>0</v>
          </cell>
          <cell r="H630">
            <v>0.71</v>
          </cell>
        </row>
        <row r="631">
          <cell r="A631" t="str">
            <v>1175GO</v>
          </cell>
          <cell r="B631">
            <v>1175</v>
          </cell>
          <cell r="C631" t="str">
            <v>INFRALAX 1BLT C/15COMP - EMS</v>
          </cell>
          <cell r="D631" t="str">
            <v>1 BLT C/ 15</v>
          </cell>
          <cell r="E631" t="str">
            <v>GO</v>
          </cell>
          <cell r="F631">
            <v>0.74280000000000002</v>
          </cell>
          <cell r="G631">
            <v>0</v>
          </cell>
          <cell r="H631">
            <v>0.74280000000000002</v>
          </cell>
        </row>
        <row r="632">
          <cell r="A632" t="str">
            <v>1821GO</v>
          </cell>
          <cell r="B632">
            <v>1821</v>
          </cell>
          <cell r="C632" t="str">
            <v>INFRALAX 20BLTX10COMP - E</v>
          </cell>
          <cell r="D632" t="str">
            <v>20 BLT X 10</v>
          </cell>
          <cell r="E632" t="str">
            <v>GO</v>
          </cell>
          <cell r="F632">
            <v>0.81</v>
          </cell>
          <cell r="G632">
            <v>0</v>
          </cell>
          <cell r="H632">
            <v>0.81</v>
          </cell>
        </row>
        <row r="633">
          <cell r="A633" t="str">
            <v>2138GO</v>
          </cell>
          <cell r="B633">
            <v>2138</v>
          </cell>
          <cell r="C633" t="str">
            <v>INFRALAX 2BLT C/15COMP - EMS</v>
          </cell>
          <cell r="D633" t="str">
            <v>2 BL X 15</v>
          </cell>
          <cell r="E633" t="str">
            <v>GO</v>
          </cell>
          <cell r="F633">
            <v>0.74650000000000005</v>
          </cell>
          <cell r="G633">
            <v>0</v>
          </cell>
          <cell r="H633">
            <v>0.74650000000000005</v>
          </cell>
        </row>
        <row r="634">
          <cell r="A634" t="str">
            <v>6011GO</v>
          </cell>
          <cell r="B634">
            <v>6011</v>
          </cell>
          <cell r="C634" t="str">
            <v>NARIDRIN 12HS GOTAS FR C/30ML</v>
          </cell>
          <cell r="D634" t="str">
            <v>FR X 30 ML</v>
          </cell>
          <cell r="E634" t="str">
            <v>GO</v>
          </cell>
          <cell r="F634">
            <v>0.74</v>
          </cell>
          <cell r="G634">
            <v>0</v>
          </cell>
          <cell r="H634">
            <v>0.74</v>
          </cell>
        </row>
        <row r="635">
          <cell r="A635" t="str">
            <v>2604GO</v>
          </cell>
          <cell r="B635">
            <v>2604</v>
          </cell>
          <cell r="C635" t="str">
            <v>NARIDRIN ALTO VOL 30ENVX2,16G+FR240ML</v>
          </cell>
          <cell r="D635" t="str">
            <v>30ENVX2,16G+FR240ML</v>
          </cell>
          <cell r="E635" t="str">
            <v>GO</v>
          </cell>
          <cell r="F635">
            <v>0.64</v>
          </cell>
          <cell r="G635">
            <v>0</v>
          </cell>
          <cell r="H635">
            <v>0.64</v>
          </cell>
        </row>
        <row r="636">
          <cell r="A636" t="str">
            <v>2605GO</v>
          </cell>
          <cell r="B636">
            <v>2605</v>
          </cell>
          <cell r="C636" t="str">
            <v>NARIDRIN ALTO VOL REFIL</v>
          </cell>
          <cell r="D636" t="str">
            <v>30 ENV X 2,16G</v>
          </cell>
          <cell r="E636" t="str">
            <v>GO</v>
          </cell>
          <cell r="F636">
            <v>0.59999999999999987</v>
          </cell>
          <cell r="G636">
            <v>0</v>
          </cell>
          <cell r="H636">
            <v>0.59999999999999987</v>
          </cell>
        </row>
        <row r="637">
          <cell r="A637" t="str">
            <v>1433GO</v>
          </cell>
          <cell r="B637">
            <v>1433</v>
          </cell>
          <cell r="C637" t="str">
            <v>NARIDRIN AQUA 9MG/ML FRASCO C/50ML-E</v>
          </cell>
          <cell r="D637" t="str">
            <v>FR X 50 ML SPRAY</v>
          </cell>
          <cell r="E637" t="str">
            <v>GO</v>
          </cell>
          <cell r="F637">
            <v>0.71</v>
          </cell>
          <cell r="G637">
            <v>0</v>
          </cell>
          <cell r="H637">
            <v>0.71</v>
          </cell>
        </row>
        <row r="638">
          <cell r="A638" t="str">
            <v>6005GO</v>
          </cell>
          <cell r="B638">
            <v>6005</v>
          </cell>
          <cell r="C638" t="str">
            <v>NARIDRIN GOTAS AD FR C/15ML</v>
          </cell>
          <cell r="D638" t="str">
            <v>FR X 15 ML</v>
          </cell>
          <cell r="E638" t="str">
            <v>GO</v>
          </cell>
          <cell r="F638">
            <v>0.74</v>
          </cell>
          <cell r="G638">
            <v>0</v>
          </cell>
          <cell r="H638">
            <v>0.74</v>
          </cell>
        </row>
        <row r="639">
          <cell r="A639" t="str">
            <v>6006GO</v>
          </cell>
          <cell r="B639">
            <v>6006</v>
          </cell>
          <cell r="C639" t="str">
            <v>NARIDRIN GOTAS INF FR C/15ML</v>
          </cell>
          <cell r="D639" t="str">
            <v>FR X 15 ML</v>
          </cell>
          <cell r="E639" t="str">
            <v>GO</v>
          </cell>
          <cell r="F639">
            <v>0.72999999999999987</v>
          </cell>
          <cell r="G639">
            <v>0</v>
          </cell>
          <cell r="H639">
            <v>0.72999999999999987</v>
          </cell>
        </row>
        <row r="640">
          <cell r="A640" t="str">
            <v>1079GO</v>
          </cell>
          <cell r="B640">
            <v>1079</v>
          </cell>
          <cell r="C640" t="str">
            <v>NARIDRIN H 30MG/ML SOL.NAS SPRAY 60ML-E</v>
          </cell>
          <cell r="D640" t="str">
            <v>FRASCO X 60ML</v>
          </cell>
          <cell r="E640" t="str">
            <v>GO</v>
          </cell>
          <cell r="F640">
            <v>0.7</v>
          </cell>
          <cell r="G640">
            <v>0</v>
          </cell>
          <cell r="H640">
            <v>0.7</v>
          </cell>
        </row>
        <row r="641">
          <cell r="A641" t="str">
            <v>1368GO</v>
          </cell>
          <cell r="B641">
            <v>1368</v>
          </cell>
          <cell r="C641" t="str">
            <v>NIMESILAM BLT 1X12= 12 COM - E</v>
          </cell>
          <cell r="D641" t="str">
            <v>1 BLT X 12</v>
          </cell>
          <cell r="E641" t="str">
            <v>GO</v>
          </cell>
          <cell r="F641">
            <v>0.89999999999999991</v>
          </cell>
          <cell r="G641">
            <v>0</v>
          </cell>
          <cell r="H641">
            <v>0.89999999999999991</v>
          </cell>
        </row>
        <row r="642">
          <cell r="A642" t="str">
            <v>1367GO</v>
          </cell>
          <cell r="B642">
            <v>1367</v>
          </cell>
          <cell r="C642" t="str">
            <v>NIMESILAM GOTAS FRC/15ML  - E</v>
          </cell>
          <cell r="D642" t="str">
            <v>FR 15 ML</v>
          </cell>
          <cell r="E642" t="str">
            <v>GO</v>
          </cell>
          <cell r="F642">
            <v>0.73</v>
          </cell>
          <cell r="G642">
            <v>0</v>
          </cell>
          <cell r="H642">
            <v>0.73</v>
          </cell>
        </row>
        <row r="643">
          <cell r="A643" t="str">
            <v>2058GO</v>
          </cell>
          <cell r="B643">
            <v>2058</v>
          </cell>
          <cell r="C643" t="str">
            <v>NOCICLIN 1BLT C/21COM-EMS</v>
          </cell>
          <cell r="D643" t="str">
            <v>1 BL X 21</v>
          </cell>
          <cell r="E643" t="str">
            <v>GO</v>
          </cell>
          <cell r="F643">
            <v>0.68</v>
          </cell>
          <cell r="G643">
            <v>0</v>
          </cell>
          <cell r="H643">
            <v>0.68</v>
          </cell>
        </row>
        <row r="644">
          <cell r="A644" t="str">
            <v>2391GO</v>
          </cell>
          <cell r="B644">
            <v>2391</v>
          </cell>
          <cell r="C644" t="str">
            <v>RUDITE 20MG/ML PO SUS 100ML-E</v>
          </cell>
          <cell r="D644" t="str">
            <v>FR X 100 ML</v>
          </cell>
          <cell r="E644" t="str">
            <v>GO</v>
          </cell>
          <cell r="F644">
            <v>0.59899999999999998</v>
          </cell>
          <cell r="G644">
            <v>0</v>
          </cell>
          <cell r="H644">
            <v>0.59899999999999998</v>
          </cell>
        </row>
        <row r="645">
          <cell r="A645" t="str">
            <v>2392GO</v>
          </cell>
          <cell r="B645">
            <v>2392</v>
          </cell>
          <cell r="C645" t="str">
            <v>RUDITE 20MG/ML PO SUS 45ML-E</v>
          </cell>
          <cell r="D645" t="str">
            <v>FR X 45 ML</v>
          </cell>
          <cell r="E645" t="str">
            <v>GO</v>
          </cell>
          <cell r="F645">
            <v>0.58999999999999986</v>
          </cell>
          <cell r="G645">
            <v>0</v>
          </cell>
          <cell r="H645">
            <v>0.58999999999999986</v>
          </cell>
        </row>
        <row r="646">
          <cell r="A646" t="str">
            <v>2390GO</v>
          </cell>
          <cell r="B646">
            <v>2390</v>
          </cell>
          <cell r="C646" t="str">
            <v>RUDITE(C1)500MG C/6 COM REV-E</v>
          </cell>
          <cell r="D646" t="str">
            <v>1 BLT X 6</v>
          </cell>
          <cell r="E646" t="str">
            <v>GO</v>
          </cell>
          <cell r="F646">
            <v>0.7</v>
          </cell>
          <cell r="G646">
            <v>0</v>
          </cell>
          <cell r="H646">
            <v>0.7</v>
          </cell>
        </row>
        <row r="647">
          <cell r="A647" t="str">
            <v>2398GO</v>
          </cell>
          <cell r="B647">
            <v>2398</v>
          </cell>
          <cell r="C647" t="str">
            <v>SOMINEX COMPOS OTC CPR REVEST x 20</v>
          </cell>
          <cell r="D647" t="str">
            <v>2 BL X 10</v>
          </cell>
          <cell r="E647" t="str">
            <v>GO</v>
          </cell>
          <cell r="F647">
            <v>0.68899999999999995</v>
          </cell>
          <cell r="G647">
            <v>0</v>
          </cell>
          <cell r="H647">
            <v>0.68899999999999995</v>
          </cell>
        </row>
        <row r="648">
          <cell r="A648" t="str">
            <v>1818GO</v>
          </cell>
          <cell r="B648">
            <v>1818</v>
          </cell>
          <cell r="C648" t="str">
            <v>SUPLEVIT MULHER VIT. 2BLT C/15 CAP.GEL-E</v>
          </cell>
          <cell r="D648" t="str">
            <v>2 BLT C/15</v>
          </cell>
          <cell r="E648" t="str">
            <v>GO</v>
          </cell>
          <cell r="F648">
            <v>0.82</v>
          </cell>
          <cell r="G648">
            <v>0</v>
          </cell>
          <cell r="H648">
            <v>0.82</v>
          </cell>
        </row>
        <row r="649">
          <cell r="A649" t="str">
            <v>1819GO</v>
          </cell>
          <cell r="B649">
            <v>1819</v>
          </cell>
          <cell r="C649" t="str">
            <v>SUPLEVIT MULHER VIT. 4BLT C/15 CAP.GEL-E</v>
          </cell>
          <cell r="D649" t="str">
            <v>4 BLT C/15</v>
          </cell>
          <cell r="E649" t="str">
            <v>GO</v>
          </cell>
          <cell r="F649">
            <v>0.81999999999999984</v>
          </cell>
          <cell r="G649">
            <v>0</v>
          </cell>
          <cell r="H649">
            <v>0.81999999999999984</v>
          </cell>
        </row>
        <row r="650">
          <cell r="A650" t="str">
            <v>2036GO</v>
          </cell>
          <cell r="B650">
            <v>2036</v>
          </cell>
          <cell r="C650" t="str">
            <v>VITAFER FR C/50 COMP-E</v>
          </cell>
          <cell r="D650" t="str">
            <v>FR X 50</v>
          </cell>
          <cell r="E650" t="str">
            <v>GO</v>
          </cell>
          <cell r="F650">
            <v>0.52999999999999992</v>
          </cell>
          <cell r="G650">
            <v>0</v>
          </cell>
          <cell r="H650">
            <v>0.52999999999999992</v>
          </cell>
        </row>
        <row r="651">
          <cell r="A651" t="str">
            <v>60000MA</v>
          </cell>
          <cell r="B651">
            <v>60000</v>
          </cell>
          <cell r="C651" t="str">
            <v>A SAUDE DA MULHER 150ML SOLUCAO</v>
          </cell>
          <cell r="D651" t="str">
            <v>FR X 150 ML</v>
          </cell>
          <cell r="E651" t="str">
            <v>MA</v>
          </cell>
          <cell r="F651">
            <v>0.26999999999999996</v>
          </cell>
          <cell r="G651">
            <v>0</v>
          </cell>
          <cell r="H651">
            <v>0.26999999999999996</v>
          </cell>
        </row>
        <row r="652">
          <cell r="A652" t="str">
            <v>2256MA</v>
          </cell>
          <cell r="B652">
            <v>2256</v>
          </cell>
          <cell r="C652" t="str">
            <v>ALLEXOFEDRIN 120MG 1BLTC/10 COM REV-E</v>
          </cell>
          <cell r="D652" t="str">
            <v>1 BL X 10 COMP REVEST</v>
          </cell>
          <cell r="E652" t="str">
            <v>MA</v>
          </cell>
          <cell r="F652">
            <v>0.75</v>
          </cell>
          <cell r="G652">
            <v>0</v>
          </cell>
          <cell r="H652">
            <v>0.75</v>
          </cell>
        </row>
        <row r="653">
          <cell r="A653" t="str">
            <v>2255MA</v>
          </cell>
          <cell r="B653">
            <v>2255</v>
          </cell>
          <cell r="C653" t="str">
            <v>ALLEXOFEDRIN 180MG 1BLTC/10 COM REV-E</v>
          </cell>
          <cell r="D653" t="str">
            <v>1 BL X 10 COMP REVEST</v>
          </cell>
          <cell r="E653" t="str">
            <v>MA</v>
          </cell>
          <cell r="F653">
            <v>0.74999999999999989</v>
          </cell>
          <cell r="G653">
            <v>0</v>
          </cell>
          <cell r="H653">
            <v>0.74999999999999989</v>
          </cell>
        </row>
        <row r="654">
          <cell r="A654" t="str">
            <v>2133MA</v>
          </cell>
          <cell r="B654">
            <v>2133</v>
          </cell>
          <cell r="C654" t="str">
            <v>ALLEXOFEDRIN D 60+120MG 1BLT C/10C.REV</v>
          </cell>
          <cell r="D654" t="str">
            <v>1 BL X 10 COMP REVEST</v>
          </cell>
          <cell r="E654" t="str">
            <v>MA</v>
          </cell>
          <cell r="F654">
            <v>0.26</v>
          </cell>
          <cell r="G654">
            <v>0</v>
          </cell>
          <cell r="H654">
            <v>0.26</v>
          </cell>
        </row>
        <row r="655">
          <cell r="A655" t="str">
            <v>2346RJ</v>
          </cell>
          <cell r="B655">
            <v>2346</v>
          </cell>
          <cell r="C655" t="str">
            <v>ALLEXOFEDRIN PEDIATRICO6MG/MLSUS 60ML-E</v>
          </cell>
          <cell r="D655" t="str">
            <v>6MG/MLSUS 60ML-E</v>
          </cell>
          <cell r="E655" t="str">
            <v>RJ</v>
          </cell>
          <cell r="F655">
            <v>0.5514</v>
          </cell>
          <cell r="G655">
            <v>0</v>
          </cell>
          <cell r="H655">
            <v>0.5514</v>
          </cell>
        </row>
        <row r="656">
          <cell r="A656" t="str">
            <v>2347MA</v>
          </cell>
          <cell r="B656">
            <v>2347</v>
          </cell>
          <cell r="C656" t="str">
            <v>ALLEXOFEDRIN PEDIATRICO6MG/MLSUS150 ML-E</v>
          </cell>
          <cell r="D656" t="str">
            <v>6MG/MLSUS150 ML-E</v>
          </cell>
          <cell r="E656" t="str">
            <v>MA</v>
          </cell>
          <cell r="F656">
            <v>0.60909999999999997</v>
          </cell>
          <cell r="G656">
            <v>0</v>
          </cell>
          <cell r="H656">
            <v>0.60909999999999997</v>
          </cell>
        </row>
        <row r="657">
          <cell r="A657" t="str">
            <v>2190MA</v>
          </cell>
          <cell r="B657">
            <v>2190</v>
          </cell>
          <cell r="C657" t="str">
            <v>ANTIVIRAX 400MG 2BLTX15 COM - E</v>
          </cell>
          <cell r="D657" t="str">
            <v>2 BL X 15</v>
          </cell>
          <cell r="E657" t="str">
            <v>MA</v>
          </cell>
          <cell r="F657">
            <v>0.68</v>
          </cell>
          <cell r="G657">
            <v>0</v>
          </cell>
          <cell r="H657">
            <v>0.68</v>
          </cell>
        </row>
        <row r="658">
          <cell r="A658" t="str">
            <v>3009MA</v>
          </cell>
          <cell r="B658">
            <v>3009</v>
          </cell>
          <cell r="C658" t="str">
            <v>ANTIVIRAX CR BG C/10 G</v>
          </cell>
          <cell r="D658" t="str">
            <v>BISN X 10 G</v>
          </cell>
          <cell r="E658" t="str">
            <v>MA</v>
          </cell>
          <cell r="F658">
            <v>0.74999999999999989</v>
          </cell>
          <cell r="G658">
            <v>0</v>
          </cell>
          <cell r="H658">
            <v>0.74999999999999989</v>
          </cell>
        </row>
        <row r="659">
          <cell r="A659" t="str">
            <v>1001MA</v>
          </cell>
          <cell r="B659">
            <v>1001</v>
          </cell>
          <cell r="C659" t="str">
            <v>APEVITIN BC XPE FRC/240ML</v>
          </cell>
          <cell r="D659" t="str">
            <v>FR X 240 ML</v>
          </cell>
          <cell r="E659" t="str">
            <v>MA</v>
          </cell>
          <cell r="F659">
            <v>0.80710000000000004</v>
          </cell>
          <cell r="G659">
            <v>0</v>
          </cell>
          <cell r="H659">
            <v>0.80710000000000004</v>
          </cell>
        </row>
        <row r="660">
          <cell r="A660" t="str">
            <v>1226MA</v>
          </cell>
          <cell r="B660">
            <v>1226</v>
          </cell>
          <cell r="C660" t="str">
            <v>BENZIFLEX 10MG 1BLX15COMP.REV-E</v>
          </cell>
          <cell r="D660" t="str">
            <v>1 BL X 15 COMP.</v>
          </cell>
          <cell r="E660" t="str">
            <v>MA</v>
          </cell>
          <cell r="F660">
            <v>0.71</v>
          </cell>
          <cell r="G660">
            <v>0</v>
          </cell>
          <cell r="H660">
            <v>0.71</v>
          </cell>
        </row>
        <row r="661">
          <cell r="A661" t="str">
            <v>1227MA</v>
          </cell>
          <cell r="B661">
            <v>1227</v>
          </cell>
          <cell r="C661" t="str">
            <v>BENZIFLEX 10MG 2BLX15COMP.REV-E</v>
          </cell>
          <cell r="D661" t="str">
            <v>2 BL X 15 COMP.</v>
          </cell>
          <cell r="E661" t="str">
            <v>MA</v>
          </cell>
          <cell r="F661">
            <v>0.71</v>
          </cell>
          <cell r="G661">
            <v>0</v>
          </cell>
          <cell r="H661">
            <v>0.71</v>
          </cell>
        </row>
        <row r="662">
          <cell r="A662" t="str">
            <v>1233MA</v>
          </cell>
          <cell r="B662">
            <v>1233</v>
          </cell>
          <cell r="C662" t="str">
            <v>BENZIFLEX 5MG 2BLX15COMP.REV-E</v>
          </cell>
          <cell r="D662" t="str">
            <v>2 BL X 15 COMP.</v>
          </cell>
          <cell r="E662" t="str">
            <v>MA</v>
          </cell>
          <cell r="F662">
            <v>0.71</v>
          </cell>
          <cell r="G662">
            <v>0</v>
          </cell>
          <cell r="H662">
            <v>0.71</v>
          </cell>
        </row>
        <row r="663">
          <cell r="A663" t="str">
            <v>1574MA</v>
          </cell>
          <cell r="B663">
            <v>1574</v>
          </cell>
          <cell r="C663" t="str">
            <v>BENZIFLEX LIS 125MG+5MG 15COM.REV.-E</v>
          </cell>
          <cell r="D663" t="str">
            <v>1 BL X 15 COMP.</v>
          </cell>
          <cell r="E663" t="str">
            <v>MA</v>
          </cell>
          <cell r="F663">
            <v>0.5</v>
          </cell>
          <cell r="G663">
            <v>0</v>
          </cell>
          <cell r="H663">
            <v>0.5</v>
          </cell>
        </row>
        <row r="664">
          <cell r="A664" t="str">
            <v>2292MA</v>
          </cell>
          <cell r="B664">
            <v>2292</v>
          </cell>
          <cell r="C664" t="str">
            <v>BENZIFLEX LIS 125MG+5MG 2BL15 COM.REV.-E</v>
          </cell>
          <cell r="D664" t="str">
            <v>2 BL X 15 COMP.</v>
          </cell>
          <cell r="E664" t="str">
            <v>MA</v>
          </cell>
          <cell r="F664">
            <v>0.53</v>
          </cell>
          <cell r="G664">
            <v>0</v>
          </cell>
          <cell r="H664">
            <v>0.53</v>
          </cell>
        </row>
        <row r="665">
          <cell r="A665" t="str">
            <v>1155MA</v>
          </cell>
          <cell r="B665">
            <v>1155</v>
          </cell>
          <cell r="C665" t="str">
            <v>BIOFLADEX AEROSSOL 60G- E</v>
          </cell>
          <cell r="D665" t="str">
            <v>FRASCO 60 G</v>
          </cell>
          <cell r="E665" t="str">
            <v>MA</v>
          </cell>
          <cell r="F665">
            <v>0.66</v>
          </cell>
          <cell r="G665">
            <v>0</v>
          </cell>
          <cell r="H665">
            <v>0.66</v>
          </cell>
        </row>
        <row r="666">
          <cell r="A666" t="str">
            <v>1072MA</v>
          </cell>
          <cell r="B666">
            <v>1072</v>
          </cell>
          <cell r="C666" t="str">
            <v>BISURAN 4MG/5ML XPE INF 120ML-E</v>
          </cell>
          <cell r="D666" t="str">
            <v>FR X 120 ML</v>
          </cell>
          <cell r="E666" t="str">
            <v>MA</v>
          </cell>
          <cell r="F666">
            <v>0.53</v>
          </cell>
          <cell r="G666">
            <v>0</v>
          </cell>
          <cell r="H666">
            <v>0.53</v>
          </cell>
        </row>
        <row r="667">
          <cell r="A667" t="str">
            <v>1318MA</v>
          </cell>
          <cell r="B667">
            <v>1318</v>
          </cell>
          <cell r="C667" t="str">
            <v>BISURAN 8MG/5ML XPE AD. 120ML-E</v>
          </cell>
          <cell r="D667" t="str">
            <v>FR X 120 ML</v>
          </cell>
          <cell r="E667" t="str">
            <v>MA</v>
          </cell>
          <cell r="F667">
            <v>0.61999999999999988</v>
          </cell>
          <cell r="G667">
            <v>0</v>
          </cell>
          <cell r="H667">
            <v>0.61999999999999988</v>
          </cell>
        </row>
        <row r="668">
          <cell r="A668" t="str">
            <v>2141MA</v>
          </cell>
          <cell r="B668">
            <v>2141</v>
          </cell>
          <cell r="C668" t="str">
            <v>CELERGIN 20 COMP-E</v>
          </cell>
          <cell r="D668" t="str">
            <v>CX. C/20 COMP.</v>
          </cell>
          <cell r="E668" t="str">
            <v>MA</v>
          </cell>
          <cell r="F668">
            <v>0.65649999999999986</v>
          </cell>
          <cell r="G668">
            <v>0</v>
          </cell>
          <cell r="H668">
            <v>0.65649999999999986</v>
          </cell>
        </row>
        <row r="669">
          <cell r="A669" t="str">
            <v>2346RN</v>
          </cell>
          <cell r="B669">
            <v>2346</v>
          </cell>
          <cell r="C669" t="str">
            <v>ALLEXOFEDRIN PEDIATRICO6MG/MLSUS 60ML-E</v>
          </cell>
          <cell r="D669" t="str">
            <v>6MG/MLSUS 60ML-E</v>
          </cell>
          <cell r="E669" t="str">
            <v>RN</v>
          </cell>
          <cell r="F669">
            <v>0.5514</v>
          </cell>
          <cell r="G669">
            <v>0</v>
          </cell>
          <cell r="H669">
            <v>0.5514</v>
          </cell>
        </row>
        <row r="670">
          <cell r="A670" t="str">
            <v>2322MA</v>
          </cell>
          <cell r="B670">
            <v>2322</v>
          </cell>
          <cell r="C670" t="str">
            <v>CLOPE 3,54MG/ML XPE 120ML FR PLAS-E</v>
          </cell>
          <cell r="D670" t="str">
            <v>FR X 120 ML</v>
          </cell>
          <cell r="E670" t="str">
            <v>MA</v>
          </cell>
          <cell r="F670">
            <v>0.53</v>
          </cell>
          <cell r="G670">
            <v>0</v>
          </cell>
          <cell r="H670">
            <v>0.53</v>
          </cell>
        </row>
        <row r="671">
          <cell r="A671" t="str">
            <v>2383MA</v>
          </cell>
          <cell r="B671">
            <v>2383</v>
          </cell>
          <cell r="C671" t="str">
            <v>COMPLEXO B 12 XPE FR C/120ML E</v>
          </cell>
          <cell r="D671" t="str">
            <v>FR X 120 ML</v>
          </cell>
          <cell r="E671" t="str">
            <v>MA</v>
          </cell>
          <cell r="F671">
            <v>0.67000000000000015</v>
          </cell>
          <cell r="G671">
            <v>0</v>
          </cell>
          <cell r="H671">
            <v>0.67000000000000015</v>
          </cell>
        </row>
        <row r="672">
          <cell r="A672" t="str">
            <v>2384MA</v>
          </cell>
          <cell r="B672">
            <v>2384</v>
          </cell>
          <cell r="C672" t="str">
            <v>COMPLEXO B CPR REVEST x 20</v>
          </cell>
          <cell r="D672" t="str">
            <v xml:space="preserve">FR X 20 </v>
          </cell>
          <cell r="E672" t="str">
            <v>MA</v>
          </cell>
          <cell r="F672">
            <v>0.66000000000000014</v>
          </cell>
          <cell r="G672">
            <v>0</v>
          </cell>
          <cell r="H672">
            <v>0.66000000000000014</v>
          </cell>
        </row>
        <row r="673">
          <cell r="A673" t="str">
            <v>2382MA</v>
          </cell>
          <cell r="B673">
            <v>2382</v>
          </cell>
          <cell r="C673" t="str">
            <v>COMPLEXO B FR C/100 COM REV  E</v>
          </cell>
          <cell r="D673" t="str">
            <v>FR X 100</v>
          </cell>
          <cell r="E673" t="str">
            <v>MA</v>
          </cell>
          <cell r="F673">
            <v>0.64000000000000012</v>
          </cell>
          <cell r="G673">
            <v>0</v>
          </cell>
          <cell r="H673">
            <v>0.64000000000000012</v>
          </cell>
        </row>
        <row r="674">
          <cell r="A674" t="str">
            <v>2011MA</v>
          </cell>
          <cell r="B674">
            <v>2011</v>
          </cell>
          <cell r="C674" t="str">
            <v>CYSTEX FR C/24 DRG</v>
          </cell>
          <cell r="D674" t="str">
            <v xml:space="preserve">FR X 24 </v>
          </cell>
          <cell r="E674" t="str">
            <v>MA</v>
          </cell>
          <cell r="F674">
            <v>0.36070000000000002</v>
          </cell>
          <cell r="G674">
            <v>0</v>
          </cell>
          <cell r="H674">
            <v>0.36070000000000002</v>
          </cell>
        </row>
        <row r="675">
          <cell r="A675" t="str">
            <v>1837MA</v>
          </cell>
          <cell r="B675">
            <v>1837</v>
          </cell>
          <cell r="C675" t="str">
            <v>DIOVASES 450+50MG C/30 COM.REV. - E</v>
          </cell>
          <cell r="D675" t="str">
            <v>2 BL X 15 COMP.</v>
          </cell>
          <cell r="E675" t="str">
            <v>MA</v>
          </cell>
          <cell r="F675">
            <v>0.68</v>
          </cell>
          <cell r="G675">
            <v>0</v>
          </cell>
          <cell r="H675">
            <v>0.68</v>
          </cell>
        </row>
        <row r="676">
          <cell r="A676" t="str">
            <v>1838MA</v>
          </cell>
          <cell r="B676">
            <v>1838</v>
          </cell>
          <cell r="C676" t="str">
            <v>DIOVASES 450+50MG C/60 COM.REV. - E</v>
          </cell>
          <cell r="D676" t="str">
            <v>4 BL X 15 COMP.</v>
          </cell>
          <cell r="E676" t="str">
            <v>MA</v>
          </cell>
          <cell r="F676">
            <v>0.72</v>
          </cell>
          <cell r="G676">
            <v>0</v>
          </cell>
          <cell r="H676">
            <v>0.72</v>
          </cell>
        </row>
        <row r="677">
          <cell r="A677" t="str">
            <v>2261MA</v>
          </cell>
          <cell r="B677">
            <v>2261</v>
          </cell>
          <cell r="C677" t="str">
            <v>DORICIN CPR x 24</v>
          </cell>
          <cell r="D677" t="str">
            <v>2BL C/12 COMPRIMIDOS -E</v>
          </cell>
          <cell r="E677" t="str">
            <v>MA</v>
          </cell>
          <cell r="F677">
            <v>0.74099999999999999</v>
          </cell>
          <cell r="G677">
            <v>0</v>
          </cell>
          <cell r="H677">
            <v>0.74099999999999999</v>
          </cell>
        </row>
        <row r="678">
          <cell r="A678" t="str">
            <v>2264MA</v>
          </cell>
          <cell r="B678">
            <v>2264</v>
          </cell>
          <cell r="C678" t="str">
            <v>DORICIN CPR x 300</v>
          </cell>
          <cell r="D678" t="str">
            <v>30BL C/10 COMPRIMIDOS -E</v>
          </cell>
          <cell r="E678" t="str">
            <v>MA</v>
          </cell>
          <cell r="F678">
            <v>0.74099999999999999</v>
          </cell>
          <cell r="G678">
            <v>0</v>
          </cell>
          <cell r="H678">
            <v>0.74099999999999999</v>
          </cell>
        </row>
        <row r="679">
          <cell r="A679" t="str">
            <v>2262MA</v>
          </cell>
          <cell r="B679">
            <v>2262</v>
          </cell>
          <cell r="C679" t="str">
            <v>DORICIN CPR X 36</v>
          </cell>
          <cell r="D679" t="str">
            <v>3BL C/12 COMPRIMIDOS -E</v>
          </cell>
          <cell r="E679" t="str">
            <v>MA</v>
          </cell>
          <cell r="F679">
            <v>0.75139999999999996</v>
          </cell>
          <cell r="G679">
            <v>0</v>
          </cell>
          <cell r="H679">
            <v>0.75139999999999996</v>
          </cell>
        </row>
        <row r="680">
          <cell r="A680" t="str">
            <v>2263MA</v>
          </cell>
          <cell r="B680">
            <v>2263</v>
          </cell>
          <cell r="C680" t="str">
            <v>DORICIN CPR X 50</v>
          </cell>
          <cell r="D680" t="str">
            <v>5BL C/10 COMPRIMIDOS - E</v>
          </cell>
          <cell r="E680" t="str">
            <v>MA</v>
          </cell>
          <cell r="F680">
            <v>0.66100000000000003</v>
          </cell>
          <cell r="G680">
            <v>0</v>
          </cell>
          <cell r="H680">
            <v>0.66100000000000003</v>
          </cell>
        </row>
        <row r="681">
          <cell r="A681" t="str">
            <v>1173MA</v>
          </cell>
          <cell r="B681">
            <v>1173</v>
          </cell>
          <cell r="C681" t="str">
            <v>DORICIN GOTAS 20ML x 1</v>
          </cell>
          <cell r="D681" t="str">
            <v>FR X 20 ML</v>
          </cell>
          <cell r="E681" t="str">
            <v>MA</v>
          </cell>
          <cell r="F681">
            <v>0.65</v>
          </cell>
          <cell r="G681">
            <v>0</v>
          </cell>
          <cell r="H681">
            <v>0.65</v>
          </cell>
        </row>
        <row r="682">
          <cell r="A682" t="str">
            <v>2018MA</v>
          </cell>
          <cell r="B682">
            <v>2018</v>
          </cell>
          <cell r="C682" t="str">
            <v>EMISTIN BLT 1X20=20COMP</v>
          </cell>
          <cell r="D682" t="str">
            <v>1 BL X 20</v>
          </cell>
          <cell r="E682" t="str">
            <v>MA</v>
          </cell>
          <cell r="F682">
            <v>0.67</v>
          </cell>
          <cell r="G682">
            <v>0</v>
          </cell>
          <cell r="H682">
            <v>0.67</v>
          </cell>
        </row>
        <row r="683">
          <cell r="A683" t="str">
            <v>3008MA</v>
          </cell>
          <cell r="B683">
            <v>3008</v>
          </cell>
          <cell r="C683" t="str">
            <v>EMISTIN CR BG C/20G</v>
          </cell>
          <cell r="D683" t="str">
            <v>BISN X 20 G</v>
          </cell>
          <cell r="E683" t="str">
            <v>MA</v>
          </cell>
          <cell r="F683">
            <v>0.77</v>
          </cell>
          <cell r="G683">
            <v>0</v>
          </cell>
          <cell r="H683">
            <v>0.77</v>
          </cell>
        </row>
        <row r="684">
          <cell r="A684" t="str">
            <v>3020MA</v>
          </cell>
          <cell r="B684">
            <v>3020</v>
          </cell>
          <cell r="C684" t="str">
            <v>EMSCORT CR BG C/30G</v>
          </cell>
          <cell r="D684" t="str">
            <v>BISN X 30 G</v>
          </cell>
          <cell r="E684" t="str">
            <v>MA</v>
          </cell>
          <cell r="F684">
            <v>0.77000000000000013</v>
          </cell>
          <cell r="G684">
            <v>0</v>
          </cell>
          <cell r="H684">
            <v>0.77000000000000013</v>
          </cell>
        </row>
        <row r="685">
          <cell r="A685" t="str">
            <v>6023MA</v>
          </cell>
          <cell r="B685">
            <v>6023</v>
          </cell>
          <cell r="C685" t="str">
            <v>EMSCORT POM BISN 30G-E</v>
          </cell>
          <cell r="D685" t="str">
            <v>BISN X 30 G</v>
          </cell>
          <cell r="E685" t="str">
            <v>MA</v>
          </cell>
          <cell r="F685">
            <v>0.7639999999999999</v>
          </cell>
          <cell r="G685">
            <v>0</v>
          </cell>
          <cell r="H685">
            <v>0.7639999999999999</v>
          </cell>
        </row>
        <row r="686">
          <cell r="A686" t="str">
            <v>1190MA</v>
          </cell>
          <cell r="B686">
            <v>1190</v>
          </cell>
          <cell r="C686" t="str">
            <v>EMSEXPECTOR XAROPE FR C/120ML - E</v>
          </cell>
          <cell r="D686" t="str">
            <v>FR X 120 ML</v>
          </cell>
          <cell r="E686" t="str">
            <v>MA</v>
          </cell>
          <cell r="F686">
            <v>0.48</v>
          </cell>
          <cell r="G686">
            <v>0</v>
          </cell>
          <cell r="H686">
            <v>0.48</v>
          </cell>
        </row>
        <row r="687">
          <cell r="A687" t="str">
            <v>2111MA</v>
          </cell>
          <cell r="B687">
            <v>2111</v>
          </cell>
          <cell r="C687" t="str">
            <v>ENDCOFF PAST MEL ELIMAO C/12UN</v>
          </cell>
          <cell r="D687" t="str">
            <v>3 STP X 4</v>
          </cell>
          <cell r="E687" t="str">
            <v>MA</v>
          </cell>
          <cell r="F687">
            <v>0.48</v>
          </cell>
          <cell r="G687">
            <v>0</v>
          </cell>
          <cell r="H687">
            <v>0.48</v>
          </cell>
        </row>
        <row r="688">
          <cell r="A688" t="str">
            <v>2092MA</v>
          </cell>
          <cell r="B688">
            <v>2092</v>
          </cell>
          <cell r="C688" t="str">
            <v>ENDCOFF PAST STP MENTA C/12 UN</v>
          </cell>
          <cell r="D688" t="str">
            <v>3 STP X 4</v>
          </cell>
          <cell r="E688" t="str">
            <v>MA</v>
          </cell>
          <cell r="F688">
            <v>0.48</v>
          </cell>
          <cell r="G688">
            <v>0</v>
          </cell>
          <cell r="H688">
            <v>0.48</v>
          </cell>
        </row>
        <row r="689">
          <cell r="A689" t="str">
            <v>1905MA</v>
          </cell>
          <cell r="B689">
            <v>1905</v>
          </cell>
          <cell r="C689" t="str">
            <v>ESMOG 20MG 4BLTC/7 COM REV LIB RETARD- E</v>
          </cell>
          <cell r="D689" t="str">
            <v>4 BLT C/7</v>
          </cell>
          <cell r="E689" t="str">
            <v>MA</v>
          </cell>
          <cell r="F689">
            <v>0.77800000000000002</v>
          </cell>
          <cell r="G689">
            <v>0</v>
          </cell>
          <cell r="H689">
            <v>0.77800000000000002</v>
          </cell>
        </row>
        <row r="690">
          <cell r="A690" t="str">
            <v>1906MA</v>
          </cell>
          <cell r="B690">
            <v>1906</v>
          </cell>
          <cell r="C690" t="str">
            <v>ESMOG 40MG 4BLTC/7 COM REV LIB RETARD- E</v>
          </cell>
          <cell r="D690" t="str">
            <v>4 BLT C/7</v>
          </cell>
          <cell r="E690" t="str">
            <v>MA</v>
          </cell>
          <cell r="F690">
            <v>0.8</v>
          </cell>
          <cell r="G690">
            <v>0</v>
          </cell>
          <cell r="H690">
            <v>0.8</v>
          </cell>
        </row>
        <row r="691">
          <cell r="A691" t="str">
            <v>1016MA</v>
          </cell>
          <cell r="B691">
            <v>1016</v>
          </cell>
          <cell r="C691" t="str">
            <v>EXPECTUSS XPE ADULTO FR C/100ML</v>
          </cell>
          <cell r="D691" t="str">
            <v>FR X 100 ML</v>
          </cell>
          <cell r="E691" t="str">
            <v>MA</v>
          </cell>
          <cell r="F691">
            <v>0.55000000000000016</v>
          </cell>
          <cell r="G691">
            <v>0</v>
          </cell>
          <cell r="H691">
            <v>0.55000000000000016</v>
          </cell>
        </row>
        <row r="692">
          <cell r="A692" t="str">
            <v>1015MA</v>
          </cell>
          <cell r="B692">
            <v>1015</v>
          </cell>
          <cell r="C692" t="str">
            <v>EXPECTUSS XPE INF FR C/100ML</v>
          </cell>
          <cell r="D692" t="str">
            <v>FR X 100 ML</v>
          </cell>
          <cell r="E692" t="str">
            <v>MA</v>
          </cell>
          <cell r="F692">
            <v>0.5099999999999999</v>
          </cell>
          <cell r="G692">
            <v>0</v>
          </cell>
          <cell r="H692">
            <v>0.5099999999999999</v>
          </cell>
        </row>
        <row r="693">
          <cell r="A693" t="str">
            <v>1363MA</v>
          </cell>
          <cell r="B693">
            <v>1363</v>
          </cell>
          <cell r="C693" t="str">
            <v>FLUITEINA 600MG GRAN 16ENV 5G-E</v>
          </cell>
          <cell r="D693" t="str">
            <v>CX. C/16 ENV X 5GR</v>
          </cell>
          <cell r="E693" t="str">
            <v>MA</v>
          </cell>
          <cell r="F693">
            <v>0.42999999999999994</v>
          </cell>
          <cell r="G693">
            <v>0</v>
          </cell>
          <cell r="H693">
            <v>0.42999999999999994</v>
          </cell>
        </row>
        <row r="694">
          <cell r="A694" t="str">
            <v>1364MA</v>
          </cell>
          <cell r="B694">
            <v>1364</v>
          </cell>
          <cell r="C694" t="str">
            <v>FLUITEINA XPE AD 40MG/ML120ML-E</v>
          </cell>
          <cell r="D694" t="str">
            <v>FR X 120 ML</v>
          </cell>
          <cell r="E694" t="str">
            <v>MA</v>
          </cell>
          <cell r="F694">
            <v>0.56999999999999973</v>
          </cell>
          <cell r="G694">
            <v>0</v>
          </cell>
          <cell r="H694">
            <v>0.56999999999999973</v>
          </cell>
        </row>
        <row r="695">
          <cell r="A695" t="str">
            <v>1163MA</v>
          </cell>
          <cell r="B695">
            <v>1163</v>
          </cell>
          <cell r="C695" t="str">
            <v>FLUITEINA XPE INF 20MG/ML 120ML-E</v>
          </cell>
          <cell r="D695" t="str">
            <v>FR X 120 ML</v>
          </cell>
          <cell r="E695" t="str">
            <v>MA</v>
          </cell>
          <cell r="F695">
            <v>0.51900000000000002</v>
          </cell>
          <cell r="G695">
            <v>0</v>
          </cell>
          <cell r="H695">
            <v>0.51900000000000002</v>
          </cell>
        </row>
        <row r="696">
          <cell r="A696" t="str">
            <v>1168MA</v>
          </cell>
          <cell r="B696">
            <v>1168</v>
          </cell>
          <cell r="C696" t="str">
            <v>FOLIFOLIN 5MG 2BLTX15COMP - E</v>
          </cell>
          <cell r="D696" t="str">
            <v>2 BLT X 15 COMP.</v>
          </cell>
          <cell r="E696" t="str">
            <v>MA</v>
          </cell>
          <cell r="F696">
            <v>0.66</v>
          </cell>
          <cell r="G696">
            <v>0</v>
          </cell>
          <cell r="H696">
            <v>0.66</v>
          </cell>
        </row>
        <row r="697">
          <cell r="A697" t="str">
            <v>2318MA</v>
          </cell>
          <cell r="B697">
            <v>2318</v>
          </cell>
          <cell r="C697" t="str">
            <v>GEROVITAL  2BLT15 CAP MOLE-E</v>
          </cell>
          <cell r="D697" t="str">
            <v>3 BL X 10</v>
          </cell>
          <cell r="E697" t="str">
            <v>MA</v>
          </cell>
          <cell r="F697">
            <v>0.57899999999999996</v>
          </cell>
          <cell r="G697">
            <v>0</v>
          </cell>
          <cell r="H697">
            <v>0.57899999999999996</v>
          </cell>
        </row>
        <row r="698">
          <cell r="A698" t="str">
            <v>2062MA</v>
          </cell>
          <cell r="B698">
            <v>2062</v>
          </cell>
          <cell r="C698" t="str">
            <v>GEROVITAL 3BLT C/20 CAP</v>
          </cell>
          <cell r="D698" t="str">
            <v>6 BL X 10</v>
          </cell>
          <cell r="E698" t="str">
            <v>MA</v>
          </cell>
          <cell r="F698">
            <v>0.48100000000000004</v>
          </cell>
          <cell r="G698">
            <v>0</v>
          </cell>
          <cell r="H698">
            <v>0.48100000000000004</v>
          </cell>
        </row>
        <row r="699">
          <cell r="A699" t="str">
            <v>1230MA</v>
          </cell>
          <cell r="B699">
            <v>1230</v>
          </cell>
          <cell r="C699" t="str">
            <v>IBULIV 100MG/ML SUP ORAL C/ 20 ML-E</v>
          </cell>
          <cell r="D699" t="str">
            <v>FR X 20 ML</v>
          </cell>
          <cell r="E699" t="str">
            <v>MA</v>
          </cell>
          <cell r="F699">
            <v>0.68000000000000016</v>
          </cell>
          <cell r="G699">
            <v>0</v>
          </cell>
          <cell r="H699">
            <v>0.68000000000000016</v>
          </cell>
        </row>
        <row r="700">
          <cell r="A700" t="str">
            <v>1472MA</v>
          </cell>
          <cell r="B700">
            <v>1472</v>
          </cell>
          <cell r="C700" t="str">
            <v>IBULIV 400MG 10 BLT C/ 4CAPS GEL.MOLES-E</v>
          </cell>
          <cell r="D700" t="str">
            <v>10 BLT X 4 CÁPS</v>
          </cell>
          <cell r="E700" t="str">
            <v>MA</v>
          </cell>
          <cell r="F700">
            <v>0.71000000000000019</v>
          </cell>
          <cell r="G700">
            <v>0</v>
          </cell>
          <cell r="H700">
            <v>0.71000000000000019</v>
          </cell>
        </row>
        <row r="701">
          <cell r="A701" t="str">
            <v>2469MA</v>
          </cell>
          <cell r="B701">
            <v>2469</v>
          </cell>
          <cell r="C701" t="str">
            <v>IBULIV 400MG 2 BLT C/ 10CAPS GEL.MOLES-E</v>
          </cell>
          <cell r="D701" t="str">
            <v>20 CÁPS.</v>
          </cell>
          <cell r="E701" t="str">
            <v>MA</v>
          </cell>
          <cell r="F701">
            <v>0.71</v>
          </cell>
          <cell r="G701">
            <v>0</v>
          </cell>
          <cell r="H701">
            <v>0.71</v>
          </cell>
        </row>
        <row r="702">
          <cell r="A702" t="str">
            <v>1471MA</v>
          </cell>
          <cell r="B702">
            <v>1471</v>
          </cell>
          <cell r="C702" t="str">
            <v>IBULIV 400MG 2 BLT C/ 4CAPS GEL.MOLES-E</v>
          </cell>
          <cell r="D702" t="str">
            <v>2 BLT X 4 CÁPS.</v>
          </cell>
          <cell r="E702" t="str">
            <v>MA</v>
          </cell>
          <cell r="F702">
            <v>0.71</v>
          </cell>
          <cell r="G702">
            <v>0</v>
          </cell>
          <cell r="H702">
            <v>0.71</v>
          </cell>
        </row>
        <row r="703">
          <cell r="A703" t="str">
            <v>1175MA</v>
          </cell>
          <cell r="B703">
            <v>1175</v>
          </cell>
          <cell r="C703" t="str">
            <v>INFRALAX 1BLT C/15COMP - EMS</v>
          </cell>
          <cell r="D703" t="str">
            <v>1 BLT C/ 15</v>
          </cell>
          <cell r="E703" t="str">
            <v>MA</v>
          </cell>
          <cell r="F703">
            <v>0.74280000000000002</v>
          </cell>
          <cell r="G703">
            <v>0</v>
          </cell>
          <cell r="H703">
            <v>0.74280000000000002</v>
          </cell>
        </row>
        <row r="704">
          <cell r="A704" t="str">
            <v>1821MA</v>
          </cell>
          <cell r="B704">
            <v>1821</v>
          </cell>
          <cell r="C704" t="str">
            <v>INFRALAX 20BLTX10COMP - E</v>
          </cell>
          <cell r="D704" t="str">
            <v>20 BLT X 10</v>
          </cell>
          <cell r="E704" t="str">
            <v>MA</v>
          </cell>
          <cell r="F704">
            <v>0.81</v>
          </cell>
          <cell r="G704">
            <v>0</v>
          </cell>
          <cell r="H704">
            <v>0.81</v>
          </cell>
        </row>
        <row r="705">
          <cell r="A705" t="str">
            <v>2138MA</v>
          </cell>
          <cell r="B705">
            <v>2138</v>
          </cell>
          <cell r="C705" t="str">
            <v>INFRALAX 2BLT C/15COMP - EMS</v>
          </cell>
          <cell r="D705" t="str">
            <v>2 BL X 15</v>
          </cell>
          <cell r="E705" t="str">
            <v>MA</v>
          </cell>
          <cell r="F705">
            <v>0.74650000000000005</v>
          </cell>
          <cell r="G705">
            <v>0</v>
          </cell>
          <cell r="H705">
            <v>0.74650000000000005</v>
          </cell>
        </row>
        <row r="706">
          <cell r="A706" t="str">
            <v>6011MA</v>
          </cell>
          <cell r="B706">
            <v>6011</v>
          </cell>
          <cell r="C706" t="str">
            <v>NARIDRIN 12HS GOTAS FR C/30ML</v>
          </cell>
          <cell r="D706" t="str">
            <v>FR X 30 ML</v>
          </cell>
          <cell r="E706" t="str">
            <v>MA</v>
          </cell>
          <cell r="F706">
            <v>0.74</v>
          </cell>
          <cell r="G706">
            <v>0</v>
          </cell>
          <cell r="H706">
            <v>0.74</v>
          </cell>
        </row>
        <row r="707">
          <cell r="A707" t="str">
            <v>2604MA</v>
          </cell>
          <cell r="B707">
            <v>2604</v>
          </cell>
          <cell r="C707" t="str">
            <v>NARIDRIN ALTO VOL 30ENVX2,16G+FR240ML</v>
          </cell>
          <cell r="D707" t="str">
            <v>30ENVX2,16G+FR240ML</v>
          </cell>
          <cell r="E707" t="str">
            <v>MA</v>
          </cell>
          <cell r="F707">
            <v>0.64</v>
          </cell>
          <cell r="G707">
            <v>0</v>
          </cell>
          <cell r="H707">
            <v>0.64</v>
          </cell>
        </row>
        <row r="708">
          <cell r="A708" t="str">
            <v>2605MA</v>
          </cell>
          <cell r="B708">
            <v>2605</v>
          </cell>
          <cell r="C708" t="str">
            <v>NARIDRIN ALTO VOL REFIL</v>
          </cell>
          <cell r="D708" t="str">
            <v>30 ENV X 2,16G</v>
          </cell>
          <cell r="E708" t="str">
            <v>MA</v>
          </cell>
          <cell r="F708">
            <v>0.59999999999999987</v>
          </cell>
          <cell r="G708">
            <v>0</v>
          </cell>
          <cell r="H708">
            <v>0.59999999999999987</v>
          </cell>
        </row>
        <row r="709">
          <cell r="A709" t="str">
            <v>1433MA</v>
          </cell>
          <cell r="B709">
            <v>1433</v>
          </cell>
          <cell r="C709" t="str">
            <v>NARIDRIN AQUA 9MG/ML FRASCO C/50ML-E</v>
          </cell>
          <cell r="D709" t="str">
            <v>FR X 50 ML SPRAY</v>
          </cell>
          <cell r="E709" t="str">
            <v>MA</v>
          </cell>
          <cell r="F709">
            <v>0.71</v>
          </cell>
          <cell r="G709">
            <v>0</v>
          </cell>
          <cell r="H709">
            <v>0.71</v>
          </cell>
        </row>
        <row r="710">
          <cell r="A710" t="str">
            <v>6005MA</v>
          </cell>
          <cell r="B710">
            <v>6005</v>
          </cell>
          <cell r="C710" t="str">
            <v>NARIDRIN GOTAS AD FR C/15ML</v>
          </cell>
          <cell r="D710" t="str">
            <v>FR X 15 ML</v>
          </cell>
          <cell r="E710" t="str">
            <v>MA</v>
          </cell>
          <cell r="F710">
            <v>0.74</v>
          </cell>
          <cell r="G710">
            <v>0</v>
          </cell>
          <cell r="H710">
            <v>0.74</v>
          </cell>
        </row>
        <row r="711">
          <cell r="A711" t="str">
            <v>6006MA</v>
          </cell>
          <cell r="B711">
            <v>6006</v>
          </cell>
          <cell r="C711" t="str">
            <v>NARIDRIN GOTAS INF FR C/15ML</v>
          </cell>
          <cell r="D711" t="str">
            <v>FR X 15 ML</v>
          </cell>
          <cell r="E711" t="str">
            <v>MA</v>
          </cell>
          <cell r="F711">
            <v>0.72999999999999987</v>
          </cell>
          <cell r="G711">
            <v>0</v>
          </cell>
          <cell r="H711">
            <v>0.72999999999999987</v>
          </cell>
        </row>
        <row r="712">
          <cell r="A712" t="str">
            <v>1079MA</v>
          </cell>
          <cell r="B712">
            <v>1079</v>
          </cell>
          <cell r="C712" t="str">
            <v>NARIDRIN H 30MG/ML SOL.NAS SPRAY 60ML-E</v>
          </cell>
          <cell r="D712" t="str">
            <v>FRASCO X 60ML</v>
          </cell>
          <cell r="E712" t="str">
            <v>MA</v>
          </cell>
          <cell r="F712">
            <v>0.7</v>
          </cell>
          <cell r="G712">
            <v>0</v>
          </cell>
          <cell r="H712">
            <v>0.7</v>
          </cell>
        </row>
        <row r="713">
          <cell r="A713" t="str">
            <v>1368MA</v>
          </cell>
          <cell r="B713">
            <v>1368</v>
          </cell>
          <cell r="C713" t="str">
            <v>NIMESILAM BLT 1X12= 12 COM - E</v>
          </cell>
          <cell r="D713" t="str">
            <v>1 BLT X 12</v>
          </cell>
          <cell r="E713" t="str">
            <v>MA</v>
          </cell>
          <cell r="F713">
            <v>0.89999999999999991</v>
          </cell>
          <cell r="G713">
            <v>0</v>
          </cell>
          <cell r="H713">
            <v>0.89999999999999991</v>
          </cell>
        </row>
        <row r="714">
          <cell r="A714" t="str">
            <v>1367MA</v>
          </cell>
          <cell r="B714">
            <v>1367</v>
          </cell>
          <cell r="C714" t="str">
            <v>NIMESILAM GOTAS FRC/15ML  - E</v>
          </cell>
          <cell r="D714" t="str">
            <v>FR 15 ML</v>
          </cell>
          <cell r="E714" t="str">
            <v>MA</v>
          </cell>
          <cell r="F714">
            <v>0.73</v>
          </cell>
          <cell r="G714">
            <v>0</v>
          </cell>
          <cell r="H714">
            <v>0.73</v>
          </cell>
        </row>
        <row r="715">
          <cell r="A715" t="str">
            <v>2058MA</v>
          </cell>
          <cell r="B715">
            <v>2058</v>
          </cell>
          <cell r="C715" t="str">
            <v>NOCICLIN 1BLT C/21COM-EMS</v>
          </cell>
          <cell r="D715" t="str">
            <v>1 BL X 21</v>
          </cell>
          <cell r="E715" t="str">
            <v>MA</v>
          </cell>
          <cell r="F715">
            <v>0.68</v>
          </cell>
          <cell r="G715">
            <v>0</v>
          </cell>
          <cell r="H715">
            <v>0.68</v>
          </cell>
        </row>
        <row r="716">
          <cell r="A716" t="str">
            <v>2391MA</v>
          </cell>
          <cell r="B716">
            <v>2391</v>
          </cell>
          <cell r="C716" t="str">
            <v>RUDITE 20MG/ML PO SUS 100ML-E</v>
          </cell>
          <cell r="D716" t="str">
            <v>FR X 100 ML</v>
          </cell>
          <cell r="E716" t="str">
            <v>MA</v>
          </cell>
          <cell r="F716">
            <v>0.59899999999999998</v>
          </cell>
          <cell r="G716">
            <v>0</v>
          </cell>
          <cell r="H716">
            <v>0.59899999999999998</v>
          </cell>
        </row>
        <row r="717">
          <cell r="A717" t="str">
            <v>2392MA</v>
          </cell>
          <cell r="B717">
            <v>2392</v>
          </cell>
          <cell r="C717" t="str">
            <v>RUDITE 20MG/ML PO SUS 45ML-E</v>
          </cell>
          <cell r="D717" t="str">
            <v>FR X 45 ML</v>
          </cell>
          <cell r="E717" t="str">
            <v>MA</v>
          </cell>
          <cell r="F717">
            <v>0.58999999999999986</v>
          </cell>
          <cell r="G717">
            <v>0</v>
          </cell>
          <cell r="H717">
            <v>0.58999999999999986</v>
          </cell>
        </row>
        <row r="718">
          <cell r="A718" t="str">
            <v>2390MA</v>
          </cell>
          <cell r="B718">
            <v>2390</v>
          </cell>
          <cell r="C718" t="str">
            <v>RUDITE(C1)500MG C/6 COM REV-E</v>
          </cell>
          <cell r="D718" t="str">
            <v>1 BLT X 6</v>
          </cell>
          <cell r="E718" t="str">
            <v>MA</v>
          </cell>
          <cell r="F718">
            <v>0.7</v>
          </cell>
          <cell r="G718">
            <v>0</v>
          </cell>
          <cell r="H718">
            <v>0.7</v>
          </cell>
        </row>
        <row r="719">
          <cell r="A719" t="str">
            <v>2398MA</v>
          </cell>
          <cell r="B719">
            <v>2398</v>
          </cell>
          <cell r="C719" t="str">
            <v>SOMINEX COMPOS OTC CPR REVEST x 20</v>
          </cell>
          <cell r="D719" t="str">
            <v>2 BL X 10</v>
          </cell>
          <cell r="E719" t="str">
            <v>MA</v>
          </cell>
          <cell r="F719">
            <v>0.68899999999999995</v>
          </cell>
          <cell r="G719">
            <v>0</v>
          </cell>
          <cell r="H719">
            <v>0.68899999999999995</v>
          </cell>
        </row>
        <row r="720">
          <cell r="A720" t="str">
            <v>1818MA</v>
          </cell>
          <cell r="B720">
            <v>1818</v>
          </cell>
          <cell r="C720" t="str">
            <v>SUPLEVIT MULHER VIT. 2BLT C/15 CAP.GEL-E</v>
          </cell>
          <cell r="D720" t="str">
            <v>2 BLT C/15</v>
          </cell>
          <cell r="E720" t="str">
            <v>MA</v>
          </cell>
          <cell r="F720">
            <v>0.82</v>
          </cell>
          <cell r="G720">
            <v>0</v>
          </cell>
          <cell r="H720">
            <v>0.82</v>
          </cell>
        </row>
        <row r="721">
          <cell r="A721" t="str">
            <v>1819MA</v>
          </cell>
          <cell r="B721">
            <v>1819</v>
          </cell>
          <cell r="C721" t="str">
            <v>SUPLEVIT MULHER VIT. 4BLT C/15 CAP.GEL-E</v>
          </cell>
          <cell r="D721" t="str">
            <v>4 BLT C/15</v>
          </cell>
          <cell r="E721" t="str">
            <v>MA</v>
          </cell>
          <cell r="F721">
            <v>0.81999999999999984</v>
          </cell>
          <cell r="G721">
            <v>0</v>
          </cell>
          <cell r="H721">
            <v>0.81999999999999984</v>
          </cell>
        </row>
        <row r="722">
          <cell r="A722" t="str">
            <v>2036MA</v>
          </cell>
          <cell r="B722">
            <v>2036</v>
          </cell>
          <cell r="C722" t="str">
            <v>VITAFER FR C/50 COMP-E</v>
          </cell>
          <cell r="D722" t="str">
            <v>FR X 50</v>
          </cell>
          <cell r="E722" t="str">
            <v>MA</v>
          </cell>
          <cell r="F722">
            <v>0.52999999999999992</v>
          </cell>
          <cell r="G722">
            <v>0</v>
          </cell>
          <cell r="H722">
            <v>0.52999999999999992</v>
          </cell>
        </row>
        <row r="723">
          <cell r="A723" t="str">
            <v>60000MG</v>
          </cell>
          <cell r="B723">
            <v>60000</v>
          </cell>
          <cell r="C723" t="str">
            <v>A SAUDE DA MULHER 150ML SOLUCAO</v>
          </cell>
          <cell r="D723" t="str">
            <v>FR X 150 ML</v>
          </cell>
          <cell r="E723" t="str">
            <v>MG</v>
          </cell>
          <cell r="F723">
            <v>0.26999999999999996</v>
          </cell>
          <cell r="G723">
            <v>0</v>
          </cell>
          <cell r="H723">
            <v>0.26999999999999996</v>
          </cell>
        </row>
        <row r="724">
          <cell r="A724" t="str">
            <v>2256MG</v>
          </cell>
          <cell r="B724">
            <v>2256</v>
          </cell>
          <cell r="C724" t="str">
            <v>ALLEXOFEDRIN 120MG 1BLTC/10 COM REV-E</v>
          </cell>
          <cell r="D724" t="str">
            <v>1 BL X 10 COMP REVEST</v>
          </cell>
          <cell r="E724" t="str">
            <v>MG</v>
          </cell>
          <cell r="F724">
            <v>0.75</v>
          </cell>
          <cell r="G724">
            <v>0</v>
          </cell>
          <cell r="H724">
            <v>0.75</v>
          </cell>
        </row>
        <row r="725">
          <cell r="A725" t="str">
            <v>2255MG</v>
          </cell>
          <cell r="B725">
            <v>2255</v>
          </cell>
          <cell r="C725" t="str">
            <v>ALLEXOFEDRIN 180MG 1BLTC/10 COM REV-E</v>
          </cell>
          <cell r="D725" t="str">
            <v>1 BL X 10 COMP REVEST</v>
          </cell>
          <cell r="E725" t="str">
            <v>MG</v>
          </cell>
          <cell r="F725">
            <v>0.74999999999999989</v>
          </cell>
          <cell r="G725">
            <v>0</v>
          </cell>
          <cell r="H725">
            <v>0.74999999999999989</v>
          </cell>
        </row>
        <row r="726">
          <cell r="A726" t="str">
            <v>2133MG</v>
          </cell>
          <cell r="B726">
            <v>2133</v>
          </cell>
          <cell r="C726" t="str">
            <v>ALLEXOFEDRIN D 60+120MG 1BLT C/10C.REV</v>
          </cell>
          <cell r="D726" t="str">
            <v>1 BL X 10 COMP REVEST</v>
          </cell>
          <cell r="E726" t="str">
            <v>MG</v>
          </cell>
          <cell r="F726">
            <v>0.26</v>
          </cell>
          <cell r="G726">
            <v>0</v>
          </cell>
          <cell r="H726">
            <v>0.26</v>
          </cell>
        </row>
        <row r="727">
          <cell r="A727" t="str">
            <v>2346RO</v>
          </cell>
          <cell r="B727">
            <v>2346</v>
          </cell>
          <cell r="C727" t="str">
            <v>ALLEXOFEDRIN PEDIATRICO6MG/MLSUS 60ML-E</v>
          </cell>
          <cell r="D727" t="str">
            <v>6MG/MLSUS 60ML-E</v>
          </cell>
          <cell r="E727" t="str">
            <v>RO</v>
          </cell>
          <cell r="F727">
            <v>0.5514</v>
          </cell>
          <cell r="G727">
            <v>0</v>
          </cell>
          <cell r="H727">
            <v>0.5514</v>
          </cell>
        </row>
        <row r="728">
          <cell r="A728" t="str">
            <v>2347MG</v>
          </cell>
          <cell r="B728">
            <v>2347</v>
          </cell>
          <cell r="C728" t="str">
            <v>ALLEXOFEDRIN PEDIATRICO6MG/MLSUS150 ML-E</v>
          </cell>
          <cell r="D728" t="str">
            <v>6MG/MLSUS150 ML-E</v>
          </cell>
          <cell r="E728" t="str">
            <v>MG</v>
          </cell>
          <cell r="F728">
            <v>0.60909999999999997</v>
          </cell>
          <cell r="G728">
            <v>0</v>
          </cell>
          <cell r="H728">
            <v>0.60909999999999997</v>
          </cell>
        </row>
        <row r="729">
          <cell r="A729" t="str">
            <v>2190MG</v>
          </cell>
          <cell r="B729">
            <v>2190</v>
          </cell>
          <cell r="C729" t="str">
            <v>ANTIVIRAX 400MG 2BLTX15 COM - E</v>
          </cell>
          <cell r="D729" t="str">
            <v>2 BL X 15</v>
          </cell>
          <cell r="E729" t="str">
            <v>MG</v>
          </cell>
          <cell r="F729">
            <v>0.68</v>
          </cell>
          <cell r="G729">
            <v>0</v>
          </cell>
          <cell r="H729">
            <v>0.68</v>
          </cell>
        </row>
        <row r="730">
          <cell r="A730" t="str">
            <v>3009MG</v>
          </cell>
          <cell r="B730">
            <v>3009</v>
          </cell>
          <cell r="C730" t="str">
            <v>ANTIVIRAX CR BG C/10 G</v>
          </cell>
          <cell r="D730" t="str">
            <v>BISN X 10 G</v>
          </cell>
          <cell r="E730" t="str">
            <v>MG</v>
          </cell>
          <cell r="F730">
            <v>0.74999999999999989</v>
          </cell>
          <cell r="G730">
            <v>0</v>
          </cell>
          <cell r="H730">
            <v>0.74999999999999989</v>
          </cell>
        </row>
        <row r="731">
          <cell r="A731" t="str">
            <v>1001MG</v>
          </cell>
          <cell r="B731">
            <v>1001</v>
          </cell>
          <cell r="C731" t="str">
            <v>APEVITIN BC XPE FRC/240ML</v>
          </cell>
          <cell r="D731" t="str">
            <v>FR X 240 ML</v>
          </cell>
          <cell r="E731" t="str">
            <v>MG</v>
          </cell>
          <cell r="F731">
            <v>0.80710000000000004</v>
          </cell>
          <cell r="G731">
            <v>0</v>
          </cell>
          <cell r="H731">
            <v>0.80710000000000004</v>
          </cell>
        </row>
        <row r="732">
          <cell r="A732" t="str">
            <v>1226MG</v>
          </cell>
          <cell r="B732">
            <v>1226</v>
          </cell>
          <cell r="C732" t="str">
            <v>BENZIFLEX 10MG 1BLX15COMP.REV-E</v>
          </cell>
          <cell r="D732" t="str">
            <v>1 BL X 15 COMP.</v>
          </cell>
          <cell r="E732" t="str">
            <v>MG</v>
          </cell>
          <cell r="F732">
            <v>0.71</v>
          </cell>
          <cell r="G732">
            <v>0</v>
          </cell>
          <cell r="H732">
            <v>0.71</v>
          </cell>
        </row>
        <row r="733">
          <cell r="A733" t="str">
            <v>1227MG</v>
          </cell>
          <cell r="B733">
            <v>1227</v>
          </cell>
          <cell r="C733" t="str">
            <v>BENZIFLEX 10MG 2BLX15COMP.REV-E</v>
          </cell>
          <cell r="D733" t="str">
            <v>2 BL X 15 COMP.</v>
          </cell>
          <cell r="E733" t="str">
            <v>MG</v>
          </cell>
          <cell r="F733">
            <v>0.71</v>
          </cell>
          <cell r="G733">
            <v>0</v>
          </cell>
          <cell r="H733">
            <v>0.71</v>
          </cell>
        </row>
        <row r="734">
          <cell r="A734" t="str">
            <v>1233MG</v>
          </cell>
          <cell r="B734">
            <v>1233</v>
          </cell>
          <cell r="C734" t="str">
            <v>BENZIFLEX 5MG 2BLX15COMP.REV-E</v>
          </cell>
          <cell r="D734" t="str">
            <v>2 BL X 15 COMP.</v>
          </cell>
          <cell r="E734" t="str">
            <v>MG</v>
          </cell>
          <cell r="F734">
            <v>0.71</v>
          </cell>
          <cell r="G734">
            <v>0</v>
          </cell>
          <cell r="H734">
            <v>0.71</v>
          </cell>
        </row>
        <row r="735">
          <cell r="A735" t="str">
            <v>1574MG</v>
          </cell>
          <cell r="B735">
            <v>1574</v>
          </cell>
          <cell r="C735" t="str">
            <v>BENZIFLEX LIS 125MG+5MG 15COM.REV.-E</v>
          </cell>
          <cell r="D735" t="str">
            <v>1 BL X 15 COMP.</v>
          </cell>
          <cell r="E735" t="str">
            <v>MG</v>
          </cell>
          <cell r="F735">
            <v>0.5</v>
          </cell>
          <cell r="G735">
            <v>0</v>
          </cell>
          <cell r="H735">
            <v>0.5</v>
          </cell>
        </row>
        <row r="736">
          <cell r="A736" t="str">
            <v>2292MG</v>
          </cell>
          <cell r="B736">
            <v>2292</v>
          </cell>
          <cell r="C736" t="str">
            <v>BENZIFLEX LIS 125MG+5MG 2BL15 COM.REV.-E</v>
          </cell>
          <cell r="D736" t="str">
            <v>2 BL X 15 COMP.</v>
          </cell>
          <cell r="E736" t="str">
            <v>MG</v>
          </cell>
          <cell r="F736">
            <v>0.53</v>
          </cell>
          <cell r="G736">
            <v>0</v>
          </cell>
          <cell r="H736">
            <v>0.53</v>
          </cell>
        </row>
        <row r="737">
          <cell r="A737" t="str">
            <v>1155MG</v>
          </cell>
          <cell r="B737">
            <v>1155</v>
          </cell>
          <cell r="C737" t="str">
            <v>BIOFLADEX AEROSSOL 60G- E</v>
          </cell>
          <cell r="D737" t="str">
            <v>FRASCO 60 G</v>
          </cell>
          <cell r="E737" t="str">
            <v>MG</v>
          </cell>
          <cell r="F737">
            <v>0.66</v>
          </cell>
          <cell r="G737">
            <v>0</v>
          </cell>
          <cell r="H737">
            <v>0.66</v>
          </cell>
        </row>
        <row r="738">
          <cell r="A738" t="str">
            <v>1072MG</v>
          </cell>
          <cell r="B738">
            <v>1072</v>
          </cell>
          <cell r="C738" t="str">
            <v>BISURAN 4MG/5ML XPE INF 120ML-E</v>
          </cell>
          <cell r="D738" t="str">
            <v>FR X 120 ML</v>
          </cell>
          <cell r="E738" t="str">
            <v>MG</v>
          </cell>
          <cell r="F738">
            <v>0.53</v>
          </cell>
          <cell r="G738">
            <v>0</v>
          </cell>
          <cell r="H738">
            <v>0.53</v>
          </cell>
        </row>
        <row r="739">
          <cell r="A739" t="str">
            <v>1318MG</v>
          </cell>
          <cell r="B739">
            <v>1318</v>
          </cell>
          <cell r="C739" t="str">
            <v>BISURAN 8MG/5ML XPE AD. 120ML-E</v>
          </cell>
          <cell r="D739" t="str">
            <v>FR X 120 ML</v>
          </cell>
          <cell r="E739" t="str">
            <v>MG</v>
          </cell>
          <cell r="F739">
            <v>0.61999999999999988</v>
          </cell>
          <cell r="G739">
            <v>0</v>
          </cell>
          <cell r="H739">
            <v>0.61999999999999988</v>
          </cell>
        </row>
        <row r="740">
          <cell r="A740" t="str">
            <v>2141MG</v>
          </cell>
          <cell r="B740">
            <v>2141</v>
          </cell>
          <cell r="C740" t="str">
            <v>CELERGIN 20 COMP-E</v>
          </cell>
          <cell r="D740" t="str">
            <v>CX. C/20 COMP.</v>
          </cell>
          <cell r="E740" t="str">
            <v>MG</v>
          </cell>
          <cell r="F740">
            <v>0.65649999999999986</v>
          </cell>
          <cell r="G740">
            <v>0</v>
          </cell>
          <cell r="H740">
            <v>0.65649999999999986</v>
          </cell>
        </row>
        <row r="741">
          <cell r="A741" t="str">
            <v>2346RR</v>
          </cell>
          <cell r="B741">
            <v>2346</v>
          </cell>
          <cell r="C741" t="str">
            <v>ALLEXOFEDRIN PEDIATRICO6MG/MLSUS 60ML-E</v>
          </cell>
          <cell r="D741" t="str">
            <v>6MG/MLSUS 60ML-E</v>
          </cell>
          <cell r="E741" t="str">
            <v>RR</v>
          </cell>
          <cell r="F741">
            <v>0.5514</v>
          </cell>
          <cell r="G741">
            <v>0</v>
          </cell>
          <cell r="H741">
            <v>0.5514</v>
          </cell>
        </row>
        <row r="742">
          <cell r="A742" t="str">
            <v>2322MG</v>
          </cell>
          <cell r="B742">
            <v>2322</v>
          </cell>
          <cell r="C742" t="str">
            <v>CLOPE 3,54MG/ML XPE 120ML FR PLAS-E</v>
          </cell>
          <cell r="D742" t="str">
            <v>FR X 120 ML</v>
          </cell>
          <cell r="E742" t="str">
            <v>MG</v>
          </cell>
          <cell r="F742">
            <v>0.53</v>
          </cell>
          <cell r="G742">
            <v>0</v>
          </cell>
          <cell r="H742">
            <v>0.53</v>
          </cell>
        </row>
        <row r="743">
          <cell r="A743" t="str">
            <v>2383MG</v>
          </cell>
          <cell r="B743">
            <v>2383</v>
          </cell>
          <cell r="C743" t="str">
            <v>COMPLEXO B 12 XPE FR C/120ML E</v>
          </cell>
          <cell r="D743" t="str">
            <v>FR X 120 ML</v>
          </cell>
          <cell r="E743" t="str">
            <v>MG</v>
          </cell>
          <cell r="F743">
            <v>0.67000000000000015</v>
          </cell>
          <cell r="G743">
            <v>0</v>
          </cell>
          <cell r="H743">
            <v>0.67000000000000015</v>
          </cell>
        </row>
        <row r="744">
          <cell r="A744" t="str">
            <v>2384MG</v>
          </cell>
          <cell r="B744">
            <v>2384</v>
          </cell>
          <cell r="C744" t="str">
            <v>COMPLEXO B CPR REVEST x 20</v>
          </cell>
          <cell r="D744" t="str">
            <v xml:space="preserve">FR X 20 </v>
          </cell>
          <cell r="E744" t="str">
            <v>MG</v>
          </cell>
          <cell r="F744">
            <v>0.66000000000000014</v>
          </cell>
          <cell r="G744">
            <v>0</v>
          </cell>
          <cell r="H744">
            <v>0.66000000000000014</v>
          </cell>
        </row>
        <row r="745">
          <cell r="A745" t="str">
            <v>2382MG</v>
          </cell>
          <cell r="B745">
            <v>2382</v>
          </cell>
          <cell r="C745" t="str">
            <v>COMPLEXO B FR C/100 COM REV  E</v>
          </cell>
          <cell r="D745" t="str">
            <v>FR X 100</v>
          </cell>
          <cell r="E745" t="str">
            <v>MG</v>
          </cell>
          <cell r="F745">
            <v>0.64000000000000012</v>
          </cell>
          <cell r="G745">
            <v>0</v>
          </cell>
          <cell r="H745">
            <v>0.64000000000000012</v>
          </cell>
        </row>
        <row r="746">
          <cell r="A746" t="str">
            <v>2011MG</v>
          </cell>
          <cell r="B746">
            <v>2011</v>
          </cell>
          <cell r="C746" t="str">
            <v>CYSTEX FR C/24 DRG</v>
          </cell>
          <cell r="D746" t="str">
            <v xml:space="preserve">FR X 24 </v>
          </cell>
          <cell r="E746" t="str">
            <v>MG</v>
          </cell>
          <cell r="F746">
            <v>0.36070000000000002</v>
          </cell>
          <cell r="G746">
            <v>0</v>
          </cell>
          <cell r="H746">
            <v>0.36070000000000002</v>
          </cell>
        </row>
        <row r="747">
          <cell r="A747" t="str">
            <v>1837MG</v>
          </cell>
          <cell r="B747">
            <v>1837</v>
          </cell>
          <cell r="C747" t="str">
            <v>DIOVASES 450+50MG C/30 COM.REV. - E</v>
          </cell>
          <cell r="D747" t="str">
            <v>2 BL X 15 COMP.</v>
          </cell>
          <cell r="E747" t="str">
            <v>MG</v>
          </cell>
          <cell r="F747">
            <v>0.68</v>
          </cell>
          <cell r="G747">
            <v>0</v>
          </cell>
          <cell r="H747">
            <v>0.68</v>
          </cell>
        </row>
        <row r="748">
          <cell r="A748" t="str">
            <v>1838MG</v>
          </cell>
          <cell r="B748">
            <v>1838</v>
          </cell>
          <cell r="C748" t="str">
            <v>DIOVASES 450+50MG C/60 COM.REV. - E</v>
          </cell>
          <cell r="D748" t="str">
            <v>4 BL X 15 COMP.</v>
          </cell>
          <cell r="E748" t="str">
            <v>MG</v>
          </cell>
          <cell r="F748">
            <v>0.72</v>
          </cell>
          <cell r="G748">
            <v>0</v>
          </cell>
          <cell r="H748">
            <v>0.72</v>
          </cell>
        </row>
        <row r="749">
          <cell r="A749" t="str">
            <v>2261MG</v>
          </cell>
          <cell r="B749">
            <v>2261</v>
          </cell>
          <cell r="C749" t="str">
            <v>DORICIN CPR x 24</v>
          </cell>
          <cell r="D749" t="str">
            <v>2BL C/12 COMPRIMIDOS -E</v>
          </cell>
          <cell r="E749" t="str">
            <v>MG</v>
          </cell>
          <cell r="F749">
            <v>0.74099999999999999</v>
          </cell>
          <cell r="G749">
            <v>0</v>
          </cell>
          <cell r="H749">
            <v>0.74099999999999999</v>
          </cell>
        </row>
        <row r="750">
          <cell r="A750" t="str">
            <v>2264MG</v>
          </cell>
          <cell r="B750">
            <v>2264</v>
          </cell>
          <cell r="C750" t="str">
            <v>DORICIN CPR x 300</v>
          </cell>
          <cell r="D750" t="str">
            <v>30BL C/10 COMPRIMIDOS -E</v>
          </cell>
          <cell r="E750" t="str">
            <v>MG</v>
          </cell>
          <cell r="F750">
            <v>0.74099999999999999</v>
          </cell>
          <cell r="G750">
            <v>0</v>
          </cell>
          <cell r="H750">
            <v>0.74099999999999999</v>
          </cell>
        </row>
        <row r="751">
          <cell r="A751" t="str">
            <v>2262MG</v>
          </cell>
          <cell r="B751">
            <v>2262</v>
          </cell>
          <cell r="C751" t="str">
            <v>DORICIN CPR X 36</v>
          </cell>
          <cell r="D751" t="str">
            <v>3BL C/12 COMPRIMIDOS -E</v>
          </cell>
          <cell r="E751" t="str">
            <v>MG</v>
          </cell>
          <cell r="F751">
            <v>0.75139999999999996</v>
          </cell>
          <cell r="G751">
            <v>0</v>
          </cell>
          <cell r="H751">
            <v>0.75139999999999996</v>
          </cell>
        </row>
        <row r="752">
          <cell r="A752" t="str">
            <v>2263MG</v>
          </cell>
          <cell r="B752">
            <v>2263</v>
          </cell>
          <cell r="C752" t="str">
            <v>DORICIN CPR X 50</v>
          </cell>
          <cell r="D752" t="str">
            <v>5BL C/10 COMPRIMIDOS - E</v>
          </cell>
          <cell r="E752" t="str">
            <v>MG</v>
          </cell>
          <cell r="F752">
            <v>0.66100000000000003</v>
          </cell>
          <cell r="G752">
            <v>0</v>
          </cell>
          <cell r="H752">
            <v>0.66100000000000003</v>
          </cell>
        </row>
        <row r="753">
          <cell r="A753" t="str">
            <v>1173MG</v>
          </cell>
          <cell r="B753">
            <v>1173</v>
          </cell>
          <cell r="C753" t="str">
            <v>DORICIN GOTAS 20ML x 1</v>
          </cell>
          <cell r="D753" t="str">
            <v>FR X 20 ML</v>
          </cell>
          <cell r="E753" t="str">
            <v>MG</v>
          </cell>
          <cell r="F753">
            <v>0.65</v>
          </cell>
          <cell r="G753">
            <v>0</v>
          </cell>
          <cell r="H753">
            <v>0.65</v>
          </cell>
        </row>
        <row r="754">
          <cell r="A754" t="str">
            <v>2018MG</v>
          </cell>
          <cell r="B754">
            <v>2018</v>
          </cell>
          <cell r="C754" t="str">
            <v>EMISTIN BLT 1X20=20COMP</v>
          </cell>
          <cell r="D754" t="str">
            <v>1 BL X 20</v>
          </cell>
          <cell r="E754" t="str">
            <v>MG</v>
          </cell>
          <cell r="F754">
            <v>0.67</v>
          </cell>
          <cell r="G754">
            <v>0</v>
          </cell>
          <cell r="H754">
            <v>0.67</v>
          </cell>
        </row>
        <row r="755">
          <cell r="A755" t="str">
            <v>3008MG</v>
          </cell>
          <cell r="B755">
            <v>3008</v>
          </cell>
          <cell r="C755" t="str">
            <v>EMISTIN CR BG C/20G</v>
          </cell>
          <cell r="D755" t="str">
            <v>BISN X 20 G</v>
          </cell>
          <cell r="E755" t="str">
            <v>MG</v>
          </cell>
          <cell r="F755">
            <v>0.77</v>
          </cell>
          <cell r="G755">
            <v>0</v>
          </cell>
          <cell r="H755">
            <v>0.77</v>
          </cell>
        </row>
        <row r="756">
          <cell r="A756" t="str">
            <v>3020MG</v>
          </cell>
          <cell r="B756">
            <v>3020</v>
          </cell>
          <cell r="C756" t="str">
            <v>EMSCORT CR BG C/30G</v>
          </cell>
          <cell r="D756" t="str">
            <v>BISN X 30 G</v>
          </cell>
          <cell r="E756" t="str">
            <v>MG</v>
          </cell>
          <cell r="F756">
            <v>0.77000000000000013</v>
          </cell>
          <cell r="G756">
            <v>0</v>
          </cell>
          <cell r="H756">
            <v>0.77000000000000013</v>
          </cell>
        </row>
        <row r="757">
          <cell r="A757" t="str">
            <v>6023MG</v>
          </cell>
          <cell r="B757">
            <v>6023</v>
          </cell>
          <cell r="C757" t="str">
            <v>EMSCORT POM BISN 30G-E</v>
          </cell>
          <cell r="D757" t="str">
            <v>BISN X 30 G</v>
          </cell>
          <cell r="E757" t="str">
            <v>MG</v>
          </cell>
          <cell r="F757">
            <v>0.7639999999999999</v>
          </cell>
          <cell r="G757">
            <v>0</v>
          </cell>
          <cell r="H757">
            <v>0.7639999999999999</v>
          </cell>
        </row>
        <row r="758">
          <cell r="A758" t="str">
            <v>1190MG</v>
          </cell>
          <cell r="B758">
            <v>1190</v>
          </cell>
          <cell r="C758" t="str">
            <v>EMSEXPECTOR XAROPE FR C/120ML - E</v>
          </cell>
          <cell r="D758" t="str">
            <v>FR X 120 ML</v>
          </cell>
          <cell r="E758" t="str">
            <v>MG</v>
          </cell>
          <cell r="F758">
            <v>0.48</v>
          </cell>
          <cell r="G758">
            <v>0</v>
          </cell>
          <cell r="H758">
            <v>0.48</v>
          </cell>
        </row>
        <row r="759">
          <cell r="A759" t="str">
            <v>2111MG</v>
          </cell>
          <cell r="B759">
            <v>2111</v>
          </cell>
          <cell r="C759" t="str">
            <v>ENDCOFF PAST MEL ELIMAO C/12UN</v>
          </cell>
          <cell r="D759" t="str">
            <v>3 STP X 4</v>
          </cell>
          <cell r="E759" t="str">
            <v>MG</v>
          </cell>
          <cell r="F759">
            <v>0.48</v>
          </cell>
          <cell r="G759">
            <v>0</v>
          </cell>
          <cell r="H759">
            <v>0.48</v>
          </cell>
        </row>
        <row r="760">
          <cell r="A760" t="str">
            <v>2092MG</v>
          </cell>
          <cell r="B760">
            <v>2092</v>
          </cell>
          <cell r="C760" t="str">
            <v>ENDCOFF PAST STP MENTA C/12 UN</v>
          </cell>
          <cell r="D760" t="str">
            <v>3 STP X 4</v>
          </cell>
          <cell r="E760" t="str">
            <v>MG</v>
          </cell>
          <cell r="F760">
            <v>0.48</v>
          </cell>
          <cell r="G760">
            <v>0</v>
          </cell>
          <cell r="H760">
            <v>0.48</v>
          </cell>
        </row>
        <row r="761">
          <cell r="A761" t="str">
            <v>1905MG</v>
          </cell>
          <cell r="B761">
            <v>1905</v>
          </cell>
          <cell r="C761" t="str">
            <v>ESMOG 20MG 4BLTC/7 COM REV LIB RETARD- E</v>
          </cell>
          <cell r="D761" t="str">
            <v>4 BLT C/7</v>
          </cell>
          <cell r="E761" t="str">
            <v>MG</v>
          </cell>
          <cell r="F761">
            <v>0.77800000000000002</v>
          </cell>
          <cell r="G761">
            <v>0</v>
          </cell>
          <cell r="H761">
            <v>0.77800000000000002</v>
          </cell>
        </row>
        <row r="762">
          <cell r="A762" t="str">
            <v>1906MG</v>
          </cell>
          <cell r="B762">
            <v>1906</v>
          </cell>
          <cell r="C762" t="str">
            <v>ESMOG 40MG 4BLTC/7 COM REV LIB RETARD- E</v>
          </cell>
          <cell r="D762" t="str">
            <v>4 BLT C/7</v>
          </cell>
          <cell r="E762" t="str">
            <v>MG</v>
          </cell>
          <cell r="F762">
            <v>0.8</v>
          </cell>
          <cell r="G762">
            <v>0</v>
          </cell>
          <cell r="H762">
            <v>0.8</v>
          </cell>
        </row>
        <row r="763">
          <cell r="A763" t="str">
            <v>1016MG</v>
          </cell>
          <cell r="B763">
            <v>1016</v>
          </cell>
          <cell r="C763" t="str">
            <v>EXPECTUSS XPE ADULTO FR C/100ML</v>
          </cell>
          <cell r="D763" t="str">
            <v>FR X 100 ML</v>
          </cell>
          <cell r="E763" t="str">
            <v>MG</v>
          </cell>
          <cell r="F763">
            <v>0.55000000000000016</v>
          </cell>
          <cell r="G763">
            <v>0</v>
          </cell>
          <cell r="H763">
            <v>0.55000000000000016</v>
          </cell>
        </row>
        <row r="764">
          <cell r="A764" t="str">
            <v>1015MG</v>
          </cell>
          <cell r="B764">
            <v>1015</v>
          </cell>
          <cell r="C764" t="str">
            <v>EXPECTUSS XPE INF FR C/100ML</v>
          </cell>
          <cell r="D764" t="str">
            <v>FR X 100 ML</v>
          </cell>
          <cell r="E764" t="str">
            <v>MG</v>
          </cell>
          <cell r="F764">
            <v>0.5099999999999999</v>
          </cell>
          <cell r="G764">
            <v>0</v>
          </cell>
          <cell r="H764">
            <v>0.5099999999999999</v>
          </cell>
        </row>
        <row r="765">
          <cell r="A765" t="str">
            <v>1363MG</v>
          </cell>
          <cell r="B765">
            <v>1363</v>
          </cell>
          <cell r="C765" t="str">
            <v>FLUITEINA 600MG GRAN 16ENV 5G-E</v>
          </cell>
          <cell r="D765" t="str">
            <v>CX. C/16 ENV X 5GR</v>
          </cell>
          <cell r="E765" t="str">
            <v>MG</v>
          </cell>
          <cell r="F765">
            <v>0.42999999999999994</v>
          </cell>
          <cell r="G765">
            <v>0</v>
          </cell>
          <cell r="H765">
            <v>0.42999999999999994</v>
          </cell>
        </row>
        <row r="766">
          <cell r="A766" t="str">
            <v>1364MG</v>
          </cell>
          <cell r="B766">
            <v>1364</v>
          </cell>
          <cell r="C766" t="str">
            <v>FLUITEINA XPE AD 40MG/ML120ML-E</v>
          </cell>
          <cell r="D766" t="str">
            <v>FR X 120 ML</v>
          </cell>
          <cell r="E766" t="str">
            <v>MG</v>
          </cell>
          <cell r="F766">
            <v>0.56999999999999973</v>
          </cell>
          <cell r="G766">
            <v>0</v>
          </cell>
          <cell r="H766">
            <v>0.56999999999999973</v>
          </cell>
        </row>
        <row r="767">
          <cell r="A767" t="str">
            <v>1163MG</v>
          </cell>
          <cell r="B767">
            <v>1163</v>
          </cell>
          <cell r="C767" t="str">
            <v>FLUITEINA XPE INF 20MG/ML 120ML-E</v>
          </cell>
          <cell r="D767" t="str">
            <v>FR X 120 ML</v>
          </cell>
          <cell r="E767" t="str">
            <v>MG</v>
          </cell>
          <cell r="F767">
            <v>0.51900000000000002</v>
          </cell>
          <cell r="G767">
            <v>0</v>
          </cell>
          <cell r="H767">
            <v>0.51900000000000002</v>
          </cell>
        </row>
        <row r="768">
          <cell r="A768" t="str">
            <v>1168MG</v>
          </cell>
          <cell r="B768">
            <v>1168</v>
          </cell>
          <cell r="C768" t="str">
            <v>FOLIFOLIN 5MG 2BLTX15COMP - E</v>
          </cell>
          <cell r="D768" t="str">
            <v>2 BLT X 15 COMP.</v>
          </cell>
          <cell r="E768" t="str">
            <v>MG</v>
          </cell>
          <cell r="F768">
            <v>0.66</v>
          </cell>
          <cell r="G768">
            <v>0</v>
          </cell>
          <cell r="H768">
            <v>0.66</v>
          </cell>
        </row>
        <row r="769">
          <cell r="A769" t="str">
            <v>2318MG</v>
          </cell>
          <cell r="B769">
            <v>2318</v>
          </cell>
          <cell r="C769" t="str">
            <v>GEROVITAL  2BLT15 CAP MOLE-E</v>
          </cell>
          <cell r="D769" t="str">
            <v>3 BL X 10</v>
          </cell>
          <cell r="E769" t="str">
            <v>MG</v>
          </cell>
          <cell r="F769">
            <v>0.57899999999999996</v>
          </cell>
          <cell r="G769">
            <v>0</v>
          </cell>
          <cell r="H769">
            <v>0.57899999999999996</v>
          </cell>
        </row>
        <row r="770">
          <cell r="A770" t="str">
            <v>2062MG</v>
          </cell>
          <cell r="B770">
            <v>2062</v>
          </cell>
          <cell r="C770" t="str">
            <v>GEROVITAL 3BLT C/20 CAP</v>
          </cell>
          <cell r="D770" t="str">
            <v>6 BL X 10</v>
          </cell>
          <cell r="E770" t="str">
            <v>MG</v>
          </cell>
          <cell r="F770">
            <v>0.48100000000000004</v>
          </cell>
          <cell r="G770">
            <v>0</v>
          </cell>
          <cell r="H770">
            <v>0.48100000000000004</v>
          </cell>
        </row>
        <row r="771">
          <cell r="A771" t="str">
            <v>1230MG</v>
          </cell>
          <cell r="B771">
            <v>1230</v>
          </cell>
          <cell r="C771" t="str">
            <v>IBULIV 100MG/ML SUP ORAL C/ 20 ML-E</v>
          </cell>
          <cell r="D771" t="str">
            <v>FR X 20 ML</v>
          </cell>
          <cell r="E771" t="str">
            <v>MG</v>
          </cell>
          <cell r="F771">
            <v>0.68000000000000016</v>
          </cell>
          <cell r="G771">
            <v>0</v>
          </cell>
          <cell r="H771">
            <v>0.68000000000000016</v>
          </cell>
        </row>
        <row r="772">
          <cell r="A772" t="str">
            <v>1472MG</v>
          </cell>
          <cell r="B772">
            <v>1472</v>
          </cell>
          <cell r="C772" t="str">
            <v>IBULIV 400MG 10 BLT C/ 4CAPS GEL.MOLES-E</v>
          </cell>
          <cell r="D772" t="str">
            <v>10 BLT X 4 CÁPS</v>
          </cell>
          <cell r="E772" t="str">
            <v>MG</v>
          </cell>
          <cell r="F772">
            <v>0.71000000000000019</v>
          </cell>
          <cell r="G772">
            <v>0</v>
          </cell>
          <cell r="H772">
            <v>0.71000000000000019</v>
          </cell>
        </row>
        <row r="773">
          <cell r="A773" t="str">
            <v>2469MG</v>
          </cell>
          <cell r="B773">
            <v>2469</v>
          </cell>
          <cell r="C773" t="str">
            <v>IBULIV 400MG 2 BLT C/ 10CAPS GEL.MOLES-E</v>
          </cell>
          <cell r="D773" t="str">
            <v>20 CÁPS.</v>
          </cell>
          <cell r="E773" t="str">
            <v>MG</v>
          </cell>
          <cell r="F773">
            <v>0.71</v>
          </cell>
          <cell r="G773">
            <v>0</v>
          </cell>
          <cell r="H773">
            <v>0.71</v>
          </cell>
        </row>
        <row r="774">
          <cell r="A774" t="str">
            <v>1471MG</v>
          </cell>
          <cell r="B774">
            <v>1471</v>
          </cell>
          <cell r="C774" t="str">
            <v>IBULIV 400MG 2 BLT C/ 4CAPS GEL.MOLES-E</v>
          </cell>
          <cell r="D774" t="str">
            <v>2 BLT X 4 CÁPS.</v>
          </cell>
          <cell r="E774" t="str">
            <v>MG</v>
          </cell>
          <cell r="F774">
            <v>0.71</v>
          </cell>
          <cell r="G774">
            <v>0</v>
          </cell>
          <cell r="H774">
            <v>0.71</v>
          </cell>
        </row>
        <row r="775">
          <cell r="A775" t="str">
            <v>1175MG</v>
          </cell>
          <cell r="B775">
            <v>1175</v>
          </cell>
          <cell r="C775" t="str">
            <v>INFRALAX 1BLT C/15COMP - EMS</v>
          </cell>
          <cell r="D775" t="str">
            <v>1 BLT C/ 15</v>
          </cell>
          <cell r="E775" t="str">
            <v>MG</v>
          </cell>
          <cell r="F775">
            <v>0.74280000000000002</v>
          </cell>
          <cell r="G775">
            <v>0</v>
          </cell>
          <cell r="H775">
            <v>0.74280000000000002</v>
          </cell>
        </row>
        <row r="776">
          <cell r="A776" t="str">
            <v>1821MG</v>
          </cell>
          <cell r="B776">
            <v>1821</v>
          </cell>
          <cell r="C776" t="str">
            <v>INFRALAX 20BLTX10COMP - E</v>
          </cell>
          <cell r="D776" t="str">
            <v>20 BLT X 10</v>
          </cell>
          <cell r="E776" t="str">
            <v>MG</v>
          </cell>
          <cell r="F776">
            <v>0.81</v>
          </cell>
          <cell r="G776">
            <v>0</v>
          </cell>
          <cell r="H776">
            <v>0.81</v>
          </cell>
        </row>
        <row r="777">
          <cell r="A777" t="str">
            <v>2138MG</v>
          </cell>
          <cell r="B777">
            <v>2138</v>
          </cell>
          <cell r="C777" t="str">
            <v>INFRALAX 2BLT C/15COMP - EMS</v>
          </cell>
          <cell r="D777" t="str">
            <v>2 BL X 15</v>
          </cell>
          <cell r="E777" t="str">
            <v>MG</v>
          </cell>
          <cell r="F777">
            <v>0.74650000000000005</v>
          </cell>
          <cell r="G777">
            <v>0</v>
          </cell>
          <cell r="H777">
            <v>0.74650000000000005</v>
          </cell>
        </row>
        <row r="778">
          <cell r="A778" t="str">
            <v>6011MG</v>
          </cell>
          <cell r="B778">
            <v>6011</v>
          </cell>
          <cell r="C778" t="str">
            <v>NARIDRIN 12HS GOTAS FR C/30ML</v>
          </cell>
          <cell r="D778" t="str">
            <v>FR X 30 ML</v>
          </cell>
          <cell r="E778" t="str">
            <v>MG</v>
          </cell>
          <cell r="F778">
            <v>0.74</v>
          </cell>
          <cell r="G778">
            <v>0</v>
          </cell>
          <cell r="H778">
            <v>0.74</v>
          </cell>
        </row>
        <row r="779">
          <cell r="A779" t="str">
            <v>2604MG</v>
          </cell>
          <cell r="B779">
            <v>2604</v>
          </cell>
          <cell r="C779" t="str">
            <v>NARIDRIN ALTO VOL 30ENVX2,16G+FR240ML</v>
          </cell>
          <cell r="D779" t="str">
            <v>30ENVX2,16G+FR240ML</v>
          </cell>
          <cell r="E779" t="str">
            <v>MG</v>
          </cell>
          <cell r="F779">
            <v>0.64</v>
          </cell>
          <cell r="G779">
            <v>0</v>
          </cell>
          <cell r="H779">
            <v>0.64</v>
          </cell>
        </row>
        <row r="780">
          <cell r="A780" t="str">
            <v>2605MG</v>
          </cell>
          <cell r="B780">
            <v>2605</v>
          </cell>
          <cell r="C780" t="str">
            <v>NARIDRIN ALTO VOL REFIL</v>
          </cell>
          <cell r="D780" t="str">
            <v>30 ENV X 2,16G</v>
          </cell>
          <cell r="E780" t="str">
            <v>MG</v>
          </cell>
          <cell r="F780">
            <v>0.59999999999999987</v>
          </cell>
          <cell r="G780">
            <v>0</v>
          </cell>
          <cell r="H780">
            <v>0.59999999999999987</v>
          </cell>
        </row>
        <row r="781">
          <cell r="A781" t="str">
            <v>1433MG</v>
          </cell>
          <cell r="B781">
            <v>1433</v>
          </cell>
          <cell r="C781" t="str">
            <v>NARIDRIN AQUA 9MG/ML FRASCO C/50ML-E</v>
          </cell>
          <cell r="D781" t="str">
            <v>FR X 50 ML SPRAY</v>
          </cell>
          <cell r="E781" t="str">
            <v>MG</v>
          </cell>
          <cell r="F781">
            <v>0.71</v>
          </cell>
          <cell r="G781">
            <v>0</v>
          </cell>
          <cell r="H781">
            <v>0.71</v>
          </cell>
        </row>
        <row r="782">
          <cell r="A782" t="str">
            <v>6005MG</v>
          </cell>
          <cell r="B782">
            <v>6005</v>
          </cell>
          <cell r="C782" t="str">
            <v>NARIDRIN GOTAS AD FR C/15ML</v>
          </cell>
          <cell r="D782" t="str">
            <v>FR X 15 ML</v>
          </cell>
          <cell r="E782" t="str">
            <v>MG</v>
          </cell>
          <cell r="F782">
            <v>0.74</v>
          </cell>
          <cell r="G782">
            <v>0</v>
          </cell>
          <cell r="H782">
            <v>0.74</v>
          </cell>
        </row>
        <row r="783">
          <cell r="A783" t="str">
            <v>6006MG</v>
          </cell>
          <cell r="B783">
            <v>6006</v>
          </cell>
          <cell r="C783" t="str">
            <v>NARIDRIN GOTAS INF FR C/15ML</v>
          </cell>
          <cell r="D783" t="str">
            <v>FR X 15 ML</v>
          </cell>
          <cell r="E783" t="str">
            <v>MG</v>
          </cell>
          <cell r="F783">
            <v>0.72999999999999987</v>
          </cell>
          <cell r="G783">
            <v>0</v>
          </cell>
          <cell r="H783">
            <v>0.72999999999999987</v>
          </cell>
        </row>
        <row r="784">
          <cell r="A784" t="str">
            <v>1079MG</v>
          </cell>
          <cell r="B784">
            <v>1079</v>
          </cell>
          <cell r="C784" t="str">
            <v>NARIDRIN H 30MG/ML SOL.NAS SPRAY 60ML-E</v>
          </cell>
          <cell r="D784" t="str">
            <v>FRASCO X 60ML</v>
          </cell>
          <cell r="E784" t="str">
            <v>MG</v>
          </cell>
          <cell r="F784">
            <v>0.7</v>
          </cell>
          <cell r="G784">
            <v>0</v>
          </cell>
          <cell r="H784">
            <v>0.7</v>
          </cell>
        </row>
        <row r="785">
          <cell r="A785" t="str">
            <v>1368MG</v>
          </cell>
          <cell r="B785">
            <v>1368</v>
          </cell>
          <cell r="C785" t="str">
            <v>NIMESILAM BLT 1X12= 12 COM - E</v>
          </cell>
          <cell r="D785" t="str">
            <v>1 BLT X 12</v>
          </cell>
          <cell r="E785" t="str">
            <v>MG</v>
          </cell>
          <cell r="F785">
            <v>0.89999999999999991</v>
          </cell>
          <cell r="G785">
            <v>0</v>
          </cell>
          <cell r="H785">
            <v>0.89999999999999991</v>
          </cell>
        </row>
        <row r="786">
          <cell r="A786" t="str">
            <v>1367MG</v>
          </cell>
          <cell r="B786">
            <v>1367</v>
          </cell>
          <cell r="C786" t="str">
            <v>NIMESILAM GOTAS FRC/15ML  - E</v>
          </cell>
          <cell r="D786" t="str">
            <v>FR 15 ML</v>
          </cell>
          <cell r="E786" t="str">
            <v>MG</v>
          </cell>
          <cell r="F786">
            <v>0.73</v>
          </cell>
          <cell r="G786">
            <v>0</v>
          </cell>
          <cell r="H786">
            <v>0.73</v>
          </cell>
        </row>
        <row r="787">
          <cell r="A787" t="str">
            <v>2058MG</v>
          </cell>
          <cell r="B787">
            <v>2058</v>
          </cell>
          <cell r="C787" t="str">
            <v>NOCICLIN 1BLT C/21COM-EMS</v>
          </cell>
          <cell r="D787" t="str">
            <v>1 BL X 21</v>
          </cell>
          <cell r="E787" t="str">
            <v>MG</v>
          </cell>
          <cell r="F787">
            <v>0.68</v>
          </cell>
          <cell r="G787">
            <v>0</v>
          </cell>
          <cell r="H787">
            <v>0.68</v>
          </cell>
        </row>
        <row r="788">
          <cell r="A788" t="str">
            <v>2391MG</v>
          </cell>
          <cell r="B788">
            <v>2391</v>
          </cell>
          <cell r="C788" t="str">
            <v>RUDITE 20MG/ML PO SUS 100ML-E</v>
          </cell>
          <cell r="D788" t="str">
            <v>FR X 100 ML</v>
          </cell>
          <cell r="E788" t="str">
            <v>MG</v>
          </cell>
          <cell r="F788">
            <v>0.59899999999999998</v>
          </cell>
          <cell r="G788">
            <v>0</v>
          </cell>
          <cell r="H788">
            <v>0.59899999999999998</v>
          </cell>
        </row>
        <row r="789">
          <cell r="A789" t="str">
            <v>2392MG</v>
          </cell>
          <cell r="B789">
            <v>2392</v>
          </cell>
          <cell r="C789" t="str">
            <v>RUDITE 20MG/ML PO SUS 45ML-E</v>
          </cell>
          <cell r="D789" t="str">
            <v>FR X 45 ML</v>
          </cell>
          <cell r="E789" t="str">
            <v>MG</v>
          </cell>
          <cell r="F789">
            <v>0.58999999999999986</v>
          </cell>
          <cell r="G789">
            <v>0</v>
          </cell>
          <cell r="H789">
            <v>0.58999999999999986</v>
          </cell>
        </row>
        <row r="790">
          <cell r="A790" t="str">
            <v>2390MG</v>
          </cell>
          <cell r="B790">
            <v>2390</v>
          </cell>
          <cell r="C790" t="str">
            <v>RUDITE(C1)500MG C/6 COM REV-E</v>
          </cell>
          <cell r="D790" t="str">
            <v>1 BLT X 6</v>
          </cell>
          <cell r="E790" t="str">
            <v>MG</v>
          </cell>
          <cell r="F790">
            <v>0.7</v>
          </cell>
          <cell r="G790">
            <v>0</v>
          </cell>
          <cell r="H790">
            <v>0.7</v>
          </cell>
        </row>
        <row r="791">
          <cell r="A791" t="str">
            <v>2398MG</v>
          </cell>
          <cell r="B791">
            <v>2398</v>
          </cell>
          <cell r="C791" t="str">
            <v>SOMINEX COMPOS OTC CPR REVEST x 20</v>
          </cell>
          <cell r="D791" t="str">
            <v>2 BL X 10</v>
          </cell>
          <cell r="E791" t="str">
            <v>MG</v>
          </cell>
          <cell r="F791">
            <v>0.68899999999999995</v>
          </cell>
          <cell r="G791">
            <v>0</v>
          </cell>
          <cell r="H791">
            <v>0.68899999999999995</v>
          </cell>
        </row>
        <row r="792">
          <cell r="A792" t="str">
            <v>1818MG</v>
          </cell>
          <cell r="B792">
            <v>1818</v>
          </cell>
          <cell r="C792" t="str">
            <v>SUPLEVIT MULHER VIT. 2BLT C/15 CAP.GEL-E</v>
          </cell>
          <cell r="D792" t="str">
            <v>2 BLT C/15</v>
          </cell>
          <cell r="E792" t="str">
            <v>MG</v>
          </cell>
          <cell r="F792">
            <v>0.82</v>
          </cell>
          <cell r="G792">
            <v>0</v>
          </cell>
          <cell r="H792">
            <v>0.82</v>
          </cell>
        </row>
        <row r="793">
          <cell r="A793" t="str">
            <v>1819MG</v>
          </cell>
          <cell r="B793">
            <v>1819</v>
          </cell>
          <cell r="C793" t="str">
            <v>SUPLEVIT MULHER VIT. 4BLT C/15 CAP.GEL-E</v>
          </cell>
          <cell r="D793" t="str">
            <v>4 BLT C/15</v>
          </cell>
          <cell r="E793" t="str">
            <v>MG</v>
          </cell>
          <cell r="F793">
            <v>0.81999999999999984</v>
          </cell>
          <cell r="G793">
            <v>0</v>
          </cell>
          <cell r="H793">
            <v>0.81999999999999984</v>
          </cell>
        </row>
        <row r="794">
          <cell r="A794" t="str">
            <v>2036MG</v>
          </cell>
          <cell r="B794">
            <v>2036</v>
          </cell>
          <cell r="C794" t="str">
            <v>VITAFER FR C/50 COMP-E</v>
          </cell>
          <cell r="D794" t="str">
            <v>FR X 50</v>
          </cell>
          <cell r="E794" t="str">
            <v>MG</v>
          </cell>
          <cell r="F794">
            <v>0.52999999999999992</v>
          </cell>
          <cell r="G794">
            <v>0</v>
          </cell>
          <cell r="H794">
            <v>0.52999999999999992</v>
          </cell>
        </row>
        <row r="795">
          <cell r="A795" t="str">
            <v>60000MS</v>
          </cell>
          <cell r="B795">
            <v>60000</v>
          </cell>
          <cell r="C795" t="str">
            <v>A SAUDE DA MULHER 150ML SOLUCAO</v>
          </cell>
          <cell r="D795" t="str">
            <v>FR X 150 ML</v>
          </cell>
          <cell r="E795" t="str">
            <v>MS</v>
          </cell>
          <cell r="F795">
            <v>0.26999999999999996</v>
          </cell>
          <cell r="G795">
            <v>0</v>
          </cell>
          <cell r="H795">
            <v>0.26999999999999996</v>
          </cell>
        </row>
        <row r="796">
          <cell r="A796" t="str">
            <v>2256MS</v>
          </cell>
          <cell r="B796">
            <v>2256</v>
          </cell>
          <cell r="C796" t="str">
            <v>ALLEXOFEDRIN 120MG 1BLTC/10 COM REV-E</v>
          </cell>
          <cell r="D796" t="str">
            <v>1 BL X 10 COMP REVEST</v>
          </cell>
          <cell r="E796" t="str">
            <v>MS</v>
          </cell>
          <cell r="F796">
            <v>0.75</v>
          </cell>
          <cell r="G796">
            <v>0</v>
          </cell>
          <cell r="H796">
            <v>0.75</v>
          </cell>
        </row>
        <row r="797">
          <cell r="A797" t="str">
            <v>2255MS</v>
          </cell>
          <cell r="B797">
            <v>2255</v>
          </cell>
          <cell r="C797" t="str">
            <v>ALLEXOFEDRIN 180MG 1BLTC/10 COM REV-E</v>
          </cell>
          <cell r="D797" t="str">
            <v>1 BL X 10 COMP REVEST</v>
          </cell>
          <cell r="E797" t="str">
            <v>MS</v>
          </cell>
          <cell r="F797">
            <v>0.74999999999999989</v>
          </cell>
          <cell r="G797">
            <v>0</v>
          </cell>
          <cell r="H797">
            <v>0.74999999999999989</v>
          </cell>
        </row>
        <row r="798">
          <cell r="A798" t="str">
            <v>2133MS</v>
          </cell>
          <cell r="B798">
            <v>2133</v>
          </cell>
          <cell r="C798" t="str">
            <v>ALLEXOFEDRIN D 60+120MG 1BLT C/10C.REV</v>
          </cell>
          <cell r="D798" t="str">
            <v>1 BL X 10 COMP REVEST</v>
          </cell>
          <cell r="E798" t="str">
            <v>MS</v>
          </cell>
          <cell r="F798">
            <v>0.26</v>
          </cell>
          <cell r="G798">
            <v>0</v>
          </cell>
          <cell r="H798">
            <v>0.26</v>
          </cell>
        </row>
        <row r="799">
          <cell r="A799" t="str">
            <v>2346RS</v>
          </cell>
          <cell r="B799">
            <v>2346</v>
          </cell>
          <cell r="C799" t="str">
            <v>ALLEXOFEDRIN PEDIATRICO6MG/MLSUS 60ML-E</v>
          </cell>
          <cell r="D799" t="str">
            <v>6MG/MLSUS 60ML-E</v>
          </cell>
          <cell r="E799" t="str">
            <v>RS</v>
          </cell>
          <cell r="F799">
            <v>0.5514</v>
          </cell>
          <cell r="G799">
            <v>0</v>
          </cell>
          <cell r="H799">
            <v>0.5514</v>
          </cell>
        </row>
        <row r="800">
          <cell r="A800" t="str">
            <v>2347MS</v>
          </cell>
          <cell r="B800">
            <v>2347</v>
          </cell>
          <cell r="C800" t="str">
            <v>ALLEXOFEDRIN PEDIATRICO6MG/MLSUS150 ML-E</v>
          </cell>
          <cell r="D800" t="str">
            <v>6MG/MLSUS150 ML-E</v>
          </cell>
          <cell r="E800" t="str">
            <v>MS</v>
          </cell>
          <cell r="F800">
            <v>0.60909999999999997</v>
          </cell>
          <cell r="G800">
            <v>0</v>
          </cell>
          <cell r="H800">
            <v>0.60909999999999997</v>
          </cell>
        </row>
        <row r="801">
          <cell r="A801" t="str">
            <v>2190MS</v>
          </cell>
          <cell r="B801">
            <v>2190</v>
          </cell>
          <cell r="C801" t="str">
            <v>ANTIVIRAX 400MG 2BLTX15 COM - E</v>
          </cell>
          <cell r="D801" t="str">
            <v>2 BL X 15</v>
          </cell>
          <cell r="E801" t="str">
            <v>MS</v>
          </cell>
          <cell r="F801">
            <v>0.68</v>
          </cell>
          <cell r="G801">
            <v>0</v>
          </cell>
          <cell r="H801">
            <v>0.68</v>
          </cell>
        </row>
        <row r="802">
          <cell r="A802" t="str">
            <v>3009MS</v>
          </cell>
          <cell r="B802">
            <v>3009</v>
          </cell>
          <cell r="C802" t="str">
            <v>ANTIVIRAX CR BG C/10 G</v>
          </cell>
          <cell r="D802" t="str">
            <v>BISN X 10 G</v>
          </cell>
          <cell r="E802" t="str">
            <v>MS</v>
          </cell>
          <cell r="F802">
            <v>0.74999999999999989</v>
          </cell>
          <cell r="G802">
            <v>0</v>
          </cell>
          <cell r="H802">
            <v>0.74999999999999989</v>
          </cell>
        </row>
        <row r="803">
          <cell r="A803" t="str">
            <v>1001MS</v>
          </cell>
          <cell r="B803">
            <v>1001</v>
          </cell>
          <cell r="C803" t="str">
            <v>APEVITIN BC XPE FRC/240ML</v>
          </cell>
          <cell r="D803" t="str">
            <v>FR X 240 ML</v>
          </cell>
          <cell r="E803" t="str">
            <v>MS</v>
          </cell>
          <cell r="F803">
            <v>0.78909999999999991</v>
          </cell>
          <cell r="G803">
            <v>0</v>
          </cell>
          <cell r="H803">
            <v>0.78909999999999991</v>
          </cell>
        </row>
        <row r="804">
          <cell r="A804" t="str">
            <v>1226MS</v>
          </cell>
          <cell r="B804">
            <v>1226</v>
          </cell>
          <cell r="C804" t="str">
            <v>BENZIFLEX 10MG 1BLX15COMP.REV-E</v>
          </cell>
          <cell r="D804" t="str">
            <v>1 BL X 15 COMP.</v>
          </cell>
          <cell r="E804" t="str">
            <v>MS</v>
          </cell>
          <cell r="F804">
            <v>0.71</v>
          </cell>
          <cell r="G804">
            <v>0</v>
          </cell>
          <cell r="H804">
            <v>0.71</v>
          </cell>
        </row>
        <row r="805">
          <cell r="A805" t="str">
            <v>1227MS</v>
          </cell>
          <cell r="B805">
            <v>1227</v>
          </cell>
          <cell r="C805" t="str">
            <v>BENZIFLEX 10MG 2BLX15COMP.REV-E</v>
          </cell>
          <cell r="D805" t="str">
            <v>2 BL X 15 COMP.</v>
          </cell>
          <cell r="E805" t="str">
            <v>MS</v>
          </cell>
          <cell r="F805">
            <v>0.71</v>
          </cell>
          <cell r="G805">
            <v>0</v>
          </cell>
          <cell r="H805">
            <v>0.71</v>
          </cell>
        </row>
        <row r="806">
          <cell r="A806" t="str">
            <v>1233MS</v>
          </cell>
          <cell r="B806">
            <v>1233</v>
          </cell>
          <cell r="C806" t="str">
            <v>BENZIFLEX 5MG 2BLX15COMP.REV-E</v>
          </cell>
          <cell r="D806" t="str">
            <v>2 BL X 15 COMP.</v>
          </cell>
          <cell r="E806" t="str">
            <v>MS</v>
          </cell>
          <cell r="F806">
            <v>0.71</v>
          </cell>
          <cell r="G806">
            <v>0</v>
          </cell>
          <cell r="H806">
            <v>0.71</v>
          </cell>
        </row>
        <row r="807">
          <cell r="A807" t="str">
            <v>1574MS</v>
          </cell>
          <cell r="B807">
            <v>1574</v>
          </cell>
          <cell r="C807" t="str">
            <v>BENZIFLEX LIS 125MG+5MG 15COM.REV.-E</v>
          </cell>
          <cell r="D807" t="str">
            <v>1 BL X 15 COMP.</v>
          </cell>
          <cell r="E807" t="str">
            <v>MS</v>
          </cell>
          <cell r="F807">
            <v>0.5</v>
          </cell>
          <cell r="G807">
            <v>0</v>
          </cell>
          <cell r="H807">
            <v>0.5</v>
          </cell>
        </row>
        <row r="808">
          <cell r="A808" t="str">
            <v>2292MS</v>
          </cell>
          <cell r="B808">
            <v>2292</v>
          </cell>
          <cell r="C808" t="str">
            <v>BENZIFLEX LIS 125MG+5MG 2BL15 COM.REV.-E</v>
          </cell>
          <cell r="D808" t="str">
            <v>2 BL X 15 COMP.</v>
          </cell>
          <cell r="E808" t="str">
            <v>MS</v>
          </cell>
          <cell r="F808">
            <v>0.53</v>
          </cell>
          <cell r="G808">
            <v>0</v>
          </cell>
          <cell r="H808">
            <v>0.53</v>
          </cell>
        </row>
        <row r="809">
          <cell r="A809" t="str">
            <v>1155MS</v>
          </cell>
          <cell r="B809">
            <v>1155</v>
          </cell>
          <cell r="C809" t="str">
            <v>BIOFLADEX AEROSSOL 60G- E</v>
          </cell>
          <cell r="D809" t="str">
            <v>FRASCO 60 G</v>
          </cell>
          <cell r="E809" t="str">
            <v>MS</v>
          </cell>
          <cell r="F809">
            <v>0.66</v>
          </cell>
          <cell r="G809">
            <v>0</v>
          </cell>
          <cell r="H809">
            <v>0.66</v>
          </cell>
        </row>
        <row r="810">
          <cell r="A810" t="str">
            <v>1072MS</v>
          </cell>
          <cell r="B810">
            <v>1072</v>
          </cell>
          <cell r="C810" t="str">
            <v>BISURAN 4MG/5ML XPE INF 120ML-E</v>
          </cell>
          <cell r="D810" t="str">
            <v>FR X 120 ML</v>
          </cell>
          <cell r="E810" t="str">
            <v>MS</v>
          </cell>
          <cell r="F810">
            <v>0.53</v>
          </cell>
          <cell r="G810">
            <v>0</v>
          </cell>
          <cell r="H810">
            <v>0.53</v>
          </cell>
        </row>
        <row r="811">
          <cell r="A811" t="str">
            <v>1318MS</v>
          </cell>
          <cell r="B811">
            <v>1318</v>
          </cell>
          <cell r="C811" t="str">
            <v>BISURAN 8MG/5ML XPE AD. 120ML-E</v>
          </cell>
          <cell r="D811" t="str">
            <v>FR X 120 ML</v>
          </cell>
          <cell r="E811" t="str">
            <v>MS</v>
          </cell>
          <cell r="F811">
            <v>0.61999999999999988</v>
          </cell>
          <cell r="G811">
            <v>0</v>
          </cell>
          <cell r="H811">
            <v>0.61999999999999988</v>
          </cell>
        </row>
        <row r="812">
          <cell r="A812" t="str">
            <v>2141MS</v>
          </cell>
          <cell r="B812">
            <v>2141</v>
          </cell>
          <cell r="C812" t="str">
            <v>CELERGIN 20 COMP-E</v>
          </cell>
          <cell r="D812" t="str">
            <v>CX. C/20 COMP.</v>
          </cell>
          <cell r="E812" t="str">
            <v>MS</v>
          </cell>
          <cell r="F812">
            <v>0.65649999999999986</v>
          </cell>
          <cell r="G812">
            <v>0</v>
          </cell>
          <cell r="H812">
            <v>0.65649999999999986</v>
          </cell>
        </row>
        <row r="813">
          <cell r="A813" t="str">
            <v>2346SC</v>
          </cell>
          <cell r="B813">
            <v>2346</v>
          </cell>
          <cell r="C813" t="str">
            <v>ALLEXOFEDRIN PEDIATRICO6MG/MLSUS 60ML-E</v>
          </cell>
          <cell r="D813" t="str">
            <v>6MG/MLSUS 60ML-E</v>
          </cell>
          <cell r="E813" t="str">
            <v>SC</v>
          </cell>
          <cell r="F813">
            <v>0.5514</v>
          </cell>
          <cell r="G813">
            <v>0</v>
          </cell>
          <cell r="H813">
            <v>0.5514</v>
          </cell>
        </row>
        <row r="814">
          <cell r="A814" t="str">
            <v>2322MS</v>
          </cell>
          <cell r="B814">
            <v>2322</v>
          </cell>
          <cell r="C814" t="str">
            <v>CLOPE 3,54MG/ML XPE 120ML FR PLAS-E</v>
          </cell>
          <cell r="D814" t="str">
            <v>FR X 120 ML</v>
          </cell>
          <cell r="E814" t="str">
            <v>MS</v>
          </cell>
          <cell r="F814">
            <v>0.53</v>
          </cell>
          <cell r="G814">
            <v>0</v>
          </cell>
          <cell r="H814">
            <v>0.53</v>
          </cell>
        </row>
        <row r="815">
          <cell r="A815" t="str">
            <v>2383MS</v>
          </cell>
          <cell r="B815">
            <v>2383</v>
          </cell>
          <cell r="C815" t="str">
            <v>COMPLEXO B 12 XPE FR C/120ML E</v>
          </cell>
          <cell r="D815" t="str">
            <v>FR X 120 ML</v>
          </cell>
          <cell r="E815" t="str">
            <v>MS</v>
          </cell>
          <cell r="F815">
            <v>0.67000000000000015</v>
          </cell>
          <cell r="G815">
            <v>0</v>
          </cell>
          <cell r="H815">
            <v>0.67000000000000015</v>
          </cell>
        </row>
        <row r="816">
          <cell r="A816" t="str">
            <v>2384MS</v>
          </cell>
          <cell r="B816">
            <v>2384</v>
          </cell>
          <cell r="C816" t="str">
            <v>COMPLEXO B CPR REVEST x 20</v>
          </cell>
          <cell r="D816" t="str">
            <v xml:space="preserve">FR X 20 </v>
          </cell>
          <cell r="E816" t="str">
            <v>MS</v>
          </cell>
          <cell r="F816">
            <v>0.66000000000000014</v>
          </cell>
          <cell r="G816">
            <v>0</v>
          </cell>
          <cell r="H816">
            <v>0.66000000000000014</v>
          </cell>
        </row>
        <row r="817">
          <cell r="A817" t="str">
            <v>2382MS</v>
          </cell>
          <cell r="B817">
            <v>2382</v>
          </cell>
          <cell r="C817" t="str">
            <v>COMPLEXO B FR C/100 COM REV  E</v>
          </cell>
          <cell r="D817" t="str">
            <v>FR X 100</v>
          </cell>
          <cell r="E817" t="str">
            <v>MS</v>
          </cell>
          <cell r="F817">
            <v>0.64000000000000012</v>
          </cell>
          <cell r="G817">
            <v>0</v>
          </cell>
          <cell r="H817">
            <v>0.64000000000000012</v>
          </cell>
        </row>
        <row r="818">
          <cell r="A818" t="str">
            <v>2011MS</v>
          </cell>
          <cell r="B818">
            <v>2011</v>
          </cell>
          <cell r="C818" t="str">
            <v>CYSTEX FR C/24 DRG</v>
          </cell>
          <cell r="D818" t="str">
            <v xml:space="preserve">FR X 24 </v>
          </cell>
          <cell r="E818" t="str">
            <v>MS</v>
          </cell>
          <cell r="F818">
            <v>0.36070000000000002</v>
          </cell>
          <cell r="G818">
            <v>0</v>
          </cell>
          <cell r="H818">
            <v>0.36070000000000002</v>
          </cell>
        </row>
        <row r="819">
          <cell r="A819" t="str">
            <v>1837MS</v>
          </cell>
          <cell r="B819">
            <v>1837</v>
          </cell>
          <cell r="C819" t="str">
            <v>DIOVASES 450+50MG C/30 COM.REV. - E</v>
          </cell>
          <cell r="D819" t="str">
            <v>2 BL X 15 COMP.</v>
          </cell>
          <cell r="E819" t="str">
            <v>MS</v>
          </cell>
          <cell r="F819">
            <v>0.68</v>
          </cell>
          <cell r="G819">
            <v>0</v>
          </cell>
          <cell r="H819">
            <v>0.68</v>
          </cell>
        </row>
        <row r="820">
          <cell r="A820" t="str">
            <v>1838MS</v>
          </cell>
          <cell r="B820">
            <v>1838</v>
          </cell>
          <cell r="C820" t="str">
            <v>DIOVASES 450+50MG C/60 COM.REV. - E</v>
          </cell>
          <cell r="D820" t="str">
            <v>4 BL X 15 COMP.</v>
          </cell>
          <cell r="E820" t="str">
            <v>MS</v>
          </cell>
          <cell r="F820">
            <v>0.72</v>
          </cell>
          <cell r="G820">
            <v>0</v>
          </cell>
          <cell r="H820">
            <v>0.72</v>
          </cell>
        </row>
        <row r="821">
          <cell r="A821" t="str">
            <v>2261MS</v>
          </cell>
          <cell r="B821">
            <v>2261</v>
          </cell>
          <cell r="C821" t="str">
            <v>DORICIN CPR x 24</v>
          </cell>
          <cell r="D821" t="str">
            <v>2BL C/12 COMPRIMIDOS -E</v>
          </cell>
          <cell r="E821" t="str">
            <v>MS</v>
          </cell>
          <cell r="F821">
            <v>0.74099999999999999</v>
          </cell>
          <cell r="G821">
            <v>0</v>
          </cell>
          <cell r="H821">
            <v>0.74099999999999999</v>
          </cell>
        </row>
        <row r="822">
          <cell r="A822" t="str">
            <v>2264MS</v>
          </cell>
          <cell r="B822">
            <v>2264</v>
          </cell>
          <cell r="C822" t="str">
            <v>DORICIN CPR x 300</v>
          </cell>
          <cell r="D822" t="str">
            <v>30BL C/10 COMPRIMIDOS -E</v>
          </cell>
          <cell r="E822" t="str">
            <v>MS</v>
          </cell>
          <cell r="F822">
            <v>0.74099999999999999</v>
          </cell>
          <cell r="G822">
            <v>0</v>
          </cell>
          <cell r="H822">
            <v>0.74099999999999999</v>
          </cell>
        </row>
        <row r="823">
          <cell r="A823" t="str">
            <v>2262MS</v>
          </cell>
          <cell r="B823">
            <v>2262</v>
          </cell>
          <cell r="C823" t="str">
            <v>DORICIN CPR X 36</v>
          </cell>
          <cell r="D823" t="str">
            <v>3BL C/12 COMPRIMIDOS -E</v>
          </cell>
          <cell r="E823" t="str">
            <v>MS</v>
          </cell>
          <cell r="F823">
            <v>0.75139999999999996</v>
          </cell>
          <cell r="G823">
            <v>0</v>
          </cell>
          <cell r="H823">
            <v>0.75139999999999996</v>
          </cell>
        </row>
        <row r="824">
          <cell r="A824" t="str">
            <v>2263MS</v>
          </cell>
          <cell r="B824">
            <v>2263</v>
          </cell>
          <cell r="C824" t="str">
            <v>DORICIN CPR X 50</v>
          </cell>
          <cell r="D824" t="str">
            <v>5BL C/10 COMPRIMIDOS - E</v>
          </cell>
          <cell r="E824" t="str">
            <v>MS</v>
          </cell>
          <cell r="F824">
            <v>0.66100000000000003</v>
          </cell>
          <cell r="G824">
            <v>0</v>
          </cell>
          <cell r="H824">
            <v>0.66100000000000003</v>
          </cell>
        </row>
        <row r="825">
          <cell r="A825" t="str">
            <v>1173MS</v>
          </cell>
          <cell r="B825">
            <v>1173</v>
          </cell>
          <cell r="C825" t="str">
            <v>DORICIN GOTAS 20ML x 1</v>
          </cell>
          <cell r="D825" t="str">
            <v>FR X 20 ML</v>
          </cell>
          <cell r="E825" t="str">
            <v>MS</v>
          </cell>
          <cell r="F825">
            <v>0.65</v>
          </cell>
          <cell r="G825">
            <v>0</v>
          </cell>
          <cell r="H825">
            <v>0.65</v>
          </cell>
        </row>
        <row r="826">
          <cell r="A826" t="str">
            <v>2018MS</v>
          </cell>
          <cell r="B826">
            <v>2018</v>
          </cell>
          <cell r="C826" t="str">
            <v>EMISTIN BLT 1X20=20COMP</v>
          </cell>
          <cell r="D826" t="str">
            <v>1 BL X 20</v>
          </cell>
          <cell r="E826" t="str">
            <v>MS</v>
          </cell>
          <cell r="F826">
            <v>0.67</v>
          </cell>
          <cell r="G826">
            <v>0</v>
          </cell>
          <cell r="H826">
            <v>0.67</v>
          </cell>
        </row>
        <row r="827">
          <cell r="A827" t="str">
            <v>3008MS</v>
          </cell>
          <cell r="B827">
            <v>3008</v>
          </cell>
          <cell r="C827" t="str">
            <v>EMISTIN CR BG C/20G</v>
          </cell>
          <cell r="D827" t="str">
            <v>BISN X 20 G</v>
          </cell>
          <cell r="E827" t="str">
            <v>MS</v>
          </cell>
          <cell r="F827">
            <v>0.77</v>
          </cell>
          <cell r="G827">
            <v>0</v>
          </cell>
          <cell r="H827">
            <v>0.77</v>
          </cell>
        </row>
        <row r="828">
          <cell r="A828" t="str">
            <v>3020MS</v>
          </cell>
          <cell r="B828">
            <v>3020</v>
          </cell>
          <cell r="C828" t="str">
            <v>EMSCORT CR BG C/30G</v>
          </cell>
          <cell r="D828" t="str">
            <v>BISN X 30 G</v>
          </cell>
          <cell r="E828" t="str">
            <v>MS</v>
          </cell>
          <cell r="F828">
            <v>0.77000000000000013</v>
          </cell>
          <cell r="G828">
            <v>0</v>
          </cell>
          <cell r="H828">
            <v>0.77000000000000013</v>
          </cell>
        </row>
        <row r="829">
          <cell r="A829" t="str">
            <v>6023MS</v>
          </cell>
          <cell r="B829">
            <v>6023</v>
          </cell>
          <cell r="C829" t="str">
            <v>EMSCORT POM BISN 30G-E</v>
          </cell>
          <cell r="D829" t="str">
            <v>BISN X 30 G</v>
          </cell>
          <cell r="E829" t="str">
            <v>MS</v>
          </cell>
          <cell r="F829">
            <v>0.7639999999999999</v>
          </cell>
          <cell r="G829">
            <v>0</v>
          </cell>
          <cell r="H829">
            <v>0.7639999999999999</v>
          </cell>
        </row>
        <row r="830">
          <cell r="A830" t="str">
            <v>1190MS</v>
          </cell>
          <cell r="B830">
            <v>1190</v>
          </cell>
          <cell r="C830" t="str">
            <v>EMSEXPECTOR XAROPE FR C/120ML - E</v>
          </cell>
          <cell r="D830" t="str">
            <v>FR X 120 ML</v>
          </cell>
          <cell r="E830" t="str">
            <v>MS</v>
          </cell>
          <cell r="F830">
            <v>0.48</v>
          </cell>
          <cell r="G830">
            <v>0</v>
          </cell>
          <cell r="H830">
            <v>0.48</v>
          </cell>
        </row>
        <row r="831">
          <cell r="A831" t="str">
            <v>2111MS</v>
          </cell>
          <cell r="B831">
            <v>2111</v>
          </cell>
          <cell r="C831" t="str">
            <v>ENDCOFF PAST MEL ELIMAO C/12UN</v>
          </cell>
          <cell r="D831" t="str">
            <v>3 STP X 4</v>
          </cell>
          <cell r="E831" t="str">
            <v>MS</v>
          </cell>
          <cell r="F831">
            <v>0.48</v>
          </cell>
          <cell r="G831">
            <v>0</v>
          </cell>
          <cell r="H831">
            <v>0.48</v>
          </cell>
        </row>
        <row r="832">
          <cell r="A832" t="str">
            <v>2092MS</v>
          </cell>
          <cell r="B832">
            <v>2092</v>
          </cell>
          <cell r="C832" t="str">
            <v>ENDCOFF PAST STP MENTA C/12 UN</v>
          </cell>
          <cell r="D832" t="str">
            <v>3 STP X 4</v>
          </cell>
          <cell r="E832" t="str">
            <v>MS</v>
          </cell>
          <cell r="F832">
            <v>0.48</v>
          </cell>
          <cell r="G832">
            <v>0</v>
          </cell>
          <cell r="H832">
            <v>0.48</v>
          </cell>
        </row>
        <row r="833">
          <cell r="A833" t="str">
            <v>1905MS</v>
          </cell>
          <cell r="B833">
            <v>1905</v>
          </cell>
          <cell r="C833" t="str">
            <v>ESMOG 20MG 4BLTC/7 COM REV LIB RETARD- E</v>
          </cell>
          <cell r="D833" t="str">
            <v>4 BLT C/7</v>
          </cell>
          <cell r="E833" t="str">
            <v>MS</v>
          </cell>
          <cell r="F833">
            <v>0.77800000000000002</v>
          </cell>
          <cell r="G833">
            <v>0</v>
          </cell>
          <cell r="H833">
            <v>0.77800000000000002</v>
          </cell>
        </row>
        <row r="834">
          <cell r="A834" t="str">
            <v>1906MS</v>
          </cell>
          <cell r="B834">
            <v>1906</v>
          </cell>
          <cell r="C834" t="str">
            <v>ESMOG 40MG 4BLTC/7 COM REV LIB RETARD- E</v>
          </cell>
          <cell r="D834" t="str">
            <v>4 BLT C/7</v>
          </cell>
          <cell r="E834" t="str">
            <v>MS</v>
          </cell>
          <cell r="F834">
            <v>0.8</v>
          </cell>
          <cell r="G834">
            <v>0</v>
          </cell>
          <cell r="H834">
            <v>0.8</v>
          </cell>
        </row>
        <row r="835">
          <cell r="A835" t="str">
            <v>1016MS</v>
          </cell>
          <cell r="B835">
            <v>1016</v>
          </cell>
          <cell r="C835" t="str">
            <v>EXPECTUSS XPE ADULTO FR C/100ML</v>
          </cell>
          <cell r="D835" t="str">
            <v>FR X 100 ML</v>
          </cell>
          <cell r="E835" t="str">
            <v>MS</v>
          </cell>
          <cell r="F835">
            <v>0.55000000000000016</v>
          </cell>
          <cell r="G835">
            <v>0</v>
          </cell>
          <cell r="H835">
            <v>0.55000000000000016</v>
          </cell>
        </row>
        <row r="836">
          <cell r="A836" t="str">
            <v>1015MS</v>
          </cell>
          <cell r="B836">
            <v>1015</v>
          </cell>
          <cell r="C836" t="str">
            <v>EXPECTUSS XPE INF FR C/100ML</v>
          </cell>
          <cell r="D836" t="str">
            <v>FR X 100 ML</v>
          </cell>
          <cell r="E836" t="str">
            <v>MS</v>
          </cell>
          <cell r="F836">
            <v>0.5099999999999999</v>
          </cell>
          <cell r="G836">
            <v>0</v>
          </cell>
          <cell r="H836">
            <v>0.5099999999999999</v>
          </cell>
        </row>
        <row r="837">
          <cell r="A837" t="str">
            <v>1363MS</v>
          </cell>
          <cell r="B837">
            <v>1363</v>
          </cell>
          <cell r="C837" t="str">
            <v>FLUITEINA 600MG GRAN 16ENV 5G-E</v>
          </cell>
          <cell r="D837" t="str">
            <v>CX. C/16 ENV X 5GR</v>
          </cell>
          <cell r="E837" t="str">
            <v>MS</v>
          </cell>
          <cell r="F837">
            <v>0.42999999999999994</v>
          </cell>
          <cell r="G837">
            <v>0</v>
          </cell>
          <cell r="H837">
            <v>0.42999999999999994</v>
          </cell>
        </row>
        <row r="838">
          <cell r="A838" t="str">
            <v>1364MS</v>
          </cell>
          <cell r="B838">
            <v>1364</v>
          </cell>
          <cell r="C838" t="str">
            <v>FLUITEINA XPE AD 40MG/ML120ML-E</v>
          </cell>
          <cell r="D838" t="str">
            <v>FR X 120 ML</v>
          </cell>
          <cell r="E838" t="str">
            <v>MS</v>
          </cell>
          <cell r="F838">
            <v>0.56999999999999973</v>
          </cell>
          <cell r="G838">
            <v>0</v>
          </cell>
          <cell r="H838">
            <v>0.56999999999999973</v>
          </cell>
        </row>
        <row r="839">
          <cell r="A839" t="str">
            <v>1163MS</v>
          </cell>
          <cell r="B839">
            <v>1163</v>
          </cell>
          <cell r="C839" t="str">
            <v>FLUITEINA XPE INF 20MG/ML 120ML-E</v>
          </cell>
          <cell r="D839" t="str">
            <v>FR X 120 ML</v>
          </cell>
          <cell r="E839" t="str">
            <v>MS</v>
          </cell>
          <cell r="F839">
            <v>0.51900000000000002</v>
          </cell>
          <cell r="G839">
            <v>0</v>
          </cell>
          <cell r="H839">
            <v>0.51900000000000002</v>
          </cell>
        </row>
        <row r="840">
          <cell r="A840" t="str">
            <v>1168MS</v>
          </cell>
          <cell r="B840">
            <v>1168</v>
          </cell>
          <cell r="C840" t="str">
            <v>FOLIFOLIN 5MG 2BLTX15COMP - E</v>
          </cell>
          <cell r="D840" t="str">
            <v>2 BLT X 15 COMP.</v>
          </cell>
          <cell r="E840" t="str">
            <v>MS</v>
          </cell>
          <cell r="F840">
            <v>0.66</v>
          </cell>
          <cell r="G840">
            <v>0</v>
          </cell>
          <cell r="H840">
            <v>0.66</v>
          </cell>
        </row>
        <row r="841">
          <cell r="A841" t="str">
            <v>2318MS</v>
          </cell>
          <cell r="B841">
            <v>2318</v>
          </cell>
          <cell r="C841" t="str">
            <v>GEROVITAL  2BLT15 CAP MOLE-E</v>
          </cell>
          <cell r="D841" t="str">
            <v>3 BL X 10</v>
          </cell>
          <cell r="E841" t="str">
            <v>MS</v>
          </cell>
          <cell r="F841">
            <v>0.57899999999999996</v>
          </cell>
          <cell r="G841">
            <v>0</v>
          </cell>
          <cell r="H841">
            <v>0.57899999999999996</v>
          </cell>
        </row>
        <row r="842">
          <cell r="A842" t="str">
            <v>2062MS</v>
          </cell>
          <cell r="B842">
            <v>2062</v>
          </cell>
          <cell r="C842" t="str">
            <v>GEROVITAL 3BLT C/20 CAP</v>
          </cell>
          <cell r="D842" t="str">
            <v>6 BL X 10</v>
          </cell>
          <cell r="E842" t="str">
            <v>MS</v>
          </cell>
          <cell r="F842">
            <v>0.48100000000000004</v>
          </cell>
          <cell r="G842">
            <v>0</v>
          </cell>
          <cell r="H842">
            <v>0.48100000000000004</v>
          </cell>
        </row>
        <row r="843">
          <cell r="A843" t="str">
            <v>1230MS</v>
          </cell>
          <cell r="B843">
            <v>1230</v>
          </cell>
          <cell r="C843" t="str">
            <v>IBULIV 100MG/ML SUP ORAL C/ 20 ML-E</v>
          </cell>
          <cell r="D843" t="str">
            <v>FR X 20 ML</v>
          </cell>
          <cell r="E843" t="str">
            <v>MS</v>
          </cell>
          <cell r="F843">
            <v>0.68000000000000016</v>
          </cell>
          <cell r="G843">
            <v>0</v>
          </cell>
          <cell r="H843">
            <v>0.68000000000000016</v>
          </cell>
        </row>
        <row r="844">
          <cell r="A844" t="str">
            <v>1472MS</v>
          </cell>
          <cell r="B844">
            <v>1472</v>
          </cell>
          <cell r="C844" t="str">
            <v>IBULIV 400MG 10 BLT C/ 4CAPS GEL.MOLES-E</v>
          </cell>
          <cell r="D844" t="str">
            <v>10 BLT X 4 CÁPS</v>
          </cell>
          <cell r="E844" t="str">
            <v>MS</v>
          </cell>
          <cell r="F844">
            <v>0.71000000000000019</v>
          </cell>
          <cell r="G844">
            <v>0</v>
          </cell>
          <cell r="H844">
            <v>0.71000000000000019</v>
          </cell>
        </row>
        <row r="845">
          <cell r="A845" t="str">
            <v>2469MS</v>
          </cell>
          <cell r="B845">
            <v>2469</v>
          </cell>
          <cell r="C845" t="str">
            <v>IBULIV 400MG 2 BLT C/ 10CAPS GEL.MOLES-E</v>
          </cell>
          <cell r="D845" t="str">
            <v>20 CÁPS.</v>
          </cell>
          <cell r="E845" t="str">
            <v>MS</v>
          </cell>
          <cell r="F845">
            <v>0.71</v>
          </cell>
          <cell r="G845">
            <v>0</v>
          </cell>
          <cell r="H845">
            <v>0.71</v>
          </cell>
        </row>
        <row r="846">
          <cell r="A846" t="str">
            <v>1471MS</v>
          </cell>
          <cell r="B846">
            <v>1471</v>
          </cell>
          <cell r="C846" t="str">
            <v>IBULIV 400MG 2 BLT C/ 4CAPS GEL.MOLES-E</v>
          </cell>
          <cell r="D846" t="str">
            <v>2 BLT X 4 CÁPS.</v>
          </cell>
          <cell r="E846" t="str">
            <v>MS</v>
          </cell>
          <cell r="F846">
            <v>0.71</v>
          </cell>
          <cell r="G846">
            <v>0</v>
          </cell>
          <cell r="H846">
            <v>0.71</v>
          </cell>
        </row>
        <row r="847">
          <cell r="A847" t="str">
            <v>1175MS</v>
          </cell>
          <cell r="B847">
            <v>1175</v>
          </cell>
          <cell r="C847" t="str">
            <v>INFRALAX 1BLT C/15COMP - EMS</v>
          </cell>
          <cell r="D847" t="str">
            <v>1 BLT C/ 15</v>
          </cell>
          <cell r="E847" t="str">
            <v>MS</v>
          </cell>
          <cell r="F847">
            <v>0.74280000000000002</v>
          </cell>
          <cell r="G847">
            <v>0</v>
          </cell>
          <cell r="H847">
            <v>0.74280000000000002</v>
          </cell>
        </row>
        <row r="848">
          <cell r="A848" t="str">
            <v>1821MS</v>
          </cell>
          <cell r="B848">
            <v>1821</v>
          </cell>
          <cell r="C848" t="str">
            <v>INFRALAX 20BLTX10COMP - E</v>
          </cell>
          <cell r="D848" t="str">
            <v>20 BLT X 10</v>
          </cell>
          <cell r="E848" t="str">
            <v>MS</v>
          </cell>
          <cell r="F848">
            <v>0.81</v>
          </cell>
          <cell r="G848">
            <v>0</v>
          </cell>
          <cell r="H848">
            <v>0.81</v>
          </cell>
        </row>
        <row r="849">
          <cell r="A849" t="str">
            <v>2138MS</v>
          </cell>
          <cell r="B849">
            <v>2138</v>
          </cell>
          <cell r="C849" t="str">
            <v>INFRALAX 2BLT C/15COMP - EMS</v>
          </cell>
          <cell r="D849" t="str">
            <v>2 BL X 15</v>
          </cell>
          <cell r="E849" t="str">
            <v>MS</v>
          </cell>
          <cell r="F849">
            <v>0.74650000000000005</v>
          </cell>
          <cell r="G849">
            <v>0</v>
          </cell>
          <cell r="H849">
            <v>0.74650000000000005</v>
          </cell>
        </row>
        <row r="850">
          <cell r="A850" t="str">
            <v>6011MS</v>
          </cell>
          <cell r="B850">
            <v>6011</v>
          </cell>
          <cell r="C850" t="str">
            <v>NARIDRIN 12HS GOTAS FR C/30ML</v>
          </cell>
          <cell r="D850" t="str">
            <v>FR X 30 ML</v>
          </cell>
          <cell r="E850" t="str">
            <v>MS</v>
          </cell>
          <cell r="F850">
            <v>0.74</v>
          </cell>
          <cell r="G850">
            <v>0</v>
          </cell>
          <cell r="H850">
            <v>0.74</v>
          </cell>
        </row>
        <row r="851">
          <cell r="A851" t="str">
            <v>2604MS</v>
          </cell>
          <cell r="B851">
            <v>2604</v>
          </cell>
          <cell r="C851" t="str">
            <v>NARIDRIN ALTO VOL 30ENVX2,16G+FR240ML</v>
          </cell>
          <cell r="D851" t="str">
            <v>30ENVX2,16G+FR240ML</v>
          </cell>
          <cell r="E851" t="str">
            <v>MS</v>
          </cell>
          <cell r="F851">
            <v>0.64</v>
          </cell>
          <cell r="G851">
            <v>0</v>
          </cell>
          <cell r="H851">
            <v>0.64</v>
          </cell>
        </row>
        <row r="852">
          <cell r="A852" t="str">
            <v>2605MS</v>
          </cell>
          <cell r="B852">
            <v>2605</v>
          </cell>
          <cell r="C852" t="str">
            <v>NARIDRIN ALTO VOL REFIL</v>
          </cell>
          <cell r="D852" t="str">
            <v>30 ENV X 2,16G</v>
          </cell>
          <cell r="E852" t="str">
            <v>MS</v>
          </cell>
          <cell r="F852">
            <v>0.59999999999999987</v>
          </cell>
          <cell r="G852">
            <v>0</v>
          </cell>
          <cell r="H852">
            <v>0.59999999999999987</v>
          </cell>
        </row>
        <row r="853">
          <cell r="A853" t="str">
            <v>1433MS</v>
          </cell>
          <cell r="B853">
            <v>1433</v>
          </cell>
          <cell r="C853" t="str">
            <v>NARIDRIN AQUA 9MG/ML FRASCO C/50ML-E</v>
          </cell>
          <cell r="D853" t="str">
            <v>FR X 50 ML SPRAY</v>
          </cell>
          <cell r="E853" t="str">
            <v>MS</v>
          </cell>
          <cell r="F853">
            <v>0.71</v>
          </cell>
          <cell r="G853">
            <v>0</v>
          </cell>
          <cell r="H853">
            <v>0.71</v>
          </cell>
        </row>
        <row r="854">
          <cell r="A854" t="str">
            <v>6005MS</v>
          </cell>
          <cell r="B854">
            <v>6005</v>
          </cell>
          <cell r="C854" t="str">
            <v>NARIDRIN GOTAS AD FR C/15ML</v>
          </cell>
          <cell r="D854" t="str">
            <v>FR X 15 ML</v>
          </cell>
          <cell r="E854" t="str">
            <v>MS</v>
          </cell>
          <cell r="F854">
            <v>0.74</v>
          </cell>
          <cell r="G854">
            <v>0</v>
          </cell>
          <cell r="H854">
            <v>0.74</v>
          </cell>
        </row>
        <row r="855">
          <cell r="A855" t="str">
            <v>6006MS</v>
          </cell>
          <cell r="B855">
            <v>6006</v>
          </cell>
          <cell r="C855" t="str">
            <v>NARIDRIN GOTAS INF FR C/15ML</v>
          </cell>
          <cell r="D855" t="str">
            <v>FR X 15 ML</v>
          </cell>
          <cell r="E855" t="str">
            <v>MS</v>
          </cell>
          <cell r="F855">
            <v>0.72999999999999987</v>
          </cell>
          <cell r="G855">
            <v>0</v>
          </cell>
          <cell r="H855">
            <v>0.72999999999999987</v>
          </cell>
        </row>
        <row r="856">
          <cell r="A856" t="str">
            <v>1079MS</v>
          </cell>
          <cell r="B856">
            <v>1079</v>
          </cell>
          <cell r="C856" t="str">
            <v>NARIDRIN H 30MG/ML SOL.NAS SPRAY 60ML-E</v>
          </cell>
          <cell r="D856" t="str">
            <v>FRASCO X 60ML</v>
          </cell>
          <cell r="E856" t="str">
            <v>MS</v>
          </cell>
          <cell r="F856">
            <v>0.7</v>
          </cell>
          <cell r="G856">
            <v>0</v>
          </cell>
          <cell r="H856">
            <v>0.7</v>
          </cell>
        </row>
        <row r="857">
          <cell r="A857" t="str">
            <v>1368MS</v>
          </cell>
          <cell r="B857">
            <v>1368</v>
          </cell>
          <cell r="C857" t="str">
            <v>NIMESILAM BLT 1X12= 12 COM - E</v>
          </cell>
          <cell r="D857" t="str">
            <v>1 BLT X 12</v>
          </cell>
          <cell r="E857" t="str">
            <v>MS</v>
          </cell>
          <cell r="F857">
            <v>0.89999999999999991</v>
          </cell>
          <cell r="G857">
            <v>0</v>
          </cell>
          <cell r="H857">
            <v>0.89999999999999991</v>
          </cell>
        </row>
        <row r="858">
          <cell r="A858" t="str">
            <v>1367MS</v>
          </cell>
          <cell r="B858">
            <v>1367</v>
          </cell>
          <cell r="C858" t="str">
            <v>NIMESILAM GOTAS FRC/15ML  - E</v>
          </cell>
          <cell r="D858" t="str">
            <v>FR 15 ML</v>
          </cell>
          <cell r="E858" t="str">
            <v>MS</v>
          </cell>
          <cell r="F858">
            <v>0.73</v>
          </cell>
          <cell r="G858">
            <v>0</v>
          </cell>
          <cell r="H858">
            <v>0.73</v>
          </cell>
        </row>
        <row r="859">
          <cell r="A859" t="str">
            <v>2058MS</v>
          </cell>
          <cell r="B859">
            <v>2058</v>
          </cell>
          <cell r="C859" t="str">
            <v>NOCICLIN 1BLT C/21COM-EMS</v>
          </cell>
          <cell r="D859" t="str">
            <v>1 BL X 21</v>
          </cell>
          <cell r="E859" t="str">
            <v>MS</v>
          </cell>
          <cell r="F859">
            <v>0.68</v>
          </cell>
          <cell r="G859">
            <v>0</v>
          </cell>
          <cell r="H859">
            <v>0.68</v>
          </cell>
        </row>
        <row r="860">
          <cell r="A860" t="str">
            <v>2391MS</v>
          </cell>
          <cell r="B860">
            <v>2391</v>
          </cell>
          <cell r="C860" t="str">
            <v>RUDITE 20MG/ML PO SUS 100ML-E</v>
          </cell>
          <cell r="D860" t="str">
            <v>FR X 100 ML</v>
          </cell>
          <cell r="E860" t="str">
            <v>MS</v>
          </cell>
          <cell r="F860">
            <v>0.59899999999999998</v>
          </cell>
          <cell r="G860">
            <v>0</v>
          </cell>
          <cell r="H860">
            <v>0.59899999999999998</v>
          </cell>
        </row>
        <row r="861">
          <cell r="A861" t="str">
            <v>2392MS</v>
          </cell>
          <cell r="B861">
            <v>2392</v>
          </cell>
          <cell r="C861" t="str">
            <v>RUDITE 20MG/ML PO SUS 45ML-E</v>
          </cell>
          <cell r="D861" t="str">
            <v>FR X 45 ML</v>
          </cell>
          <cell r="E861" t="str">
            <v>MS</v>
          </cell>
          <cell r="F861">
            <v>0.58999999999999986</v>
          </cell>
          <cell r="G861">
            <v>0</v>
          </cell>
          <cell r="H861">
            <v>0.58999999999999986</v>
          </cell>
        </row>
        <row r="862">
          <cell r="A862" t="str">
            <v>2390MS</v>
          </cell>
          <cell r="B862">
            <v>2390</v>
          </cell>
          <cell r="C862" t="str">
            <v>RUDITE(C1)500MG C/6 COM REV-E</v>
          </cell>
          <cell r="D862" t="str">
            <v>1 BLT X 6</v>
          </cell>
          <cell r="E862" t="str">
            <v>MS</v>
          </cell>
          <cell r="F862">
            <v>0.7</v>
          </cell>
          <cell r="G862">
            <v>0</v>
          </cell>
          <cell r="H862">
            <v>0.7</v>
          </cell>
        </row>
        <row r="863">
          <cell r="A863" t="str">
            <v>2398MS</v>
          </cell>
          <cell r="B863">
            <v>2398</v>
          </cell>
          <cell r="C863" t="str">
            <v>SOMINEX COMPOS OTC CPR REVEST x 20</v>
          </cell>
          <cell r="D863" t="str">
            <v>2 BL X 10</v>
          </cell>
          <cell r="E863" t="str">
            <v>MS</v>
          </cell>
          <cell r="F863">
            <v>0.68899999999999995</v>
          </cell>
          <cell r="G863">
            <v>0</v>
          </cell>
          <cell r="H863">
            <v>0.68899999999999995</v>
          </cell>
        </row>
        <row r="864">
          <cell r="A864" t="str">
            <v>1818MS</v>
          </cell>
          <cell r="B864">
            <v>1818</v>
          </cell>
          <cell r="C864" t="str">
            <v>SUPLEVIT MULHER VIT. 2BLT C/15 CAP.GEL-E</v>
          </cell>
          <cell r="D864" t="str">
            <v>2 BLT C/15</v>
          </cell>
          <cell r="E864" t="str">
            <v>MS</v>
          </cell>
          <cell r="F864">
            <v>0.82</v>
          </cell>
          <cell r="G864">
            <v>0</v>
          </cell>
          <cell r="H864">
            <v>0.82</v>
          </cell>
        </row>
        <row r="865">
          <cell r="A865" t="str">
            <v>1819MS</v>
          </cell>
          <cell r="B865">
            <v>1819</v>
          </cell>
          <cell r="C865" t="str">
            <v>SUPLEVIT MULHER VIT. 4BLT C/15 CAP.GEL-E</v>
          </cell>
          <cell r="D865" t="str">
            <v>4 BLT C/15</v>
          </cell>
          <cell r="E865" t="str">
            <v>MS</v>
          </cell>
          <cell r="F865">
            <v>0.81999999999999984</v>
          </cell>
          <cell r="G865">
            <v>0</v>
          </cell>
          <cell r="H865">
            <v>0.81999999999999984</v>
          </cell>
        </row>
        <row r="866">
          <cell r="A866" t="str">
            <v>2036MS</v>
          </cell>
          <cell r="B866">
            <v>2036</v>
          </cell>
          <cell r="C866" t="str">
            <v>VITAFER FR C/50 COMP-E</v>
          </cell>
          <cell r="D866" t="str">
            <v>FR X 50</v>
          </cell>
          <cell r="E866" t="str">
            <v>MS</v>
          </cell>
          <cell r="F866">
            <v>0.52999999999999992</v>
          </cell>
          <cell r="G866">
            <v>0</v>
          </cell>
          <cell r="H866">
            <v>0.52999999999999992</v>
          </cell>
        </row>
        <row r="867">
          <cell r="A867" t="str">
            <v>60000MT</v>
          </cell>
          <cell r="B867">
            <v>60000</v>
          </cell>
          <cell r="C867" t="str">
            <v>A SAUDE DA MULHER 150ML SOLUCAO</v>
          </cell>
          <cell r="D867" t="str">
            <v>FR X 150 ML</v>
          </cell>
          <cell r="E867" t="str">
            <v>MT</v>
          </cell>
          <cell r="F867">
            <v>0.26999999999999996</v>
          </cell>
          <cell r="G867">
            <v>0</v>
          </cell>
          <cell r="H867">
            <v>0.26999999999999996</v>
          </cell>
        </row>
        <row r="868">
          <cell r="A868" t="str">
            <v>2256MT</v>
          </cell>
          <cell r="B868">
            <v>2256</v>
          </cell>
          <cell r="C868" t="str">
            <v>ALLEXOFEDRIN 120MG 1BLTC/10 COM REV-E</v>
          </cell>
          <cell r="D868" t="str">
            <v>1 BL X 10 COMP REVEST</v>
          </cell>
          <cell r="E868" t="str">
            <v>MT</v>
          </cell>
          <cell r="F868">
            <v>0.75</v>
          </cell>
          <cell r="G868">
            <v>0</v>
          </cell>
          <cell r="H868">
            <v>0.75</v>
          </cell>
        </row>
        <row r="869">
          <cell r="A869" t="str">
            <v>2255MT</v>
          </cell>
          <cell r="B869">
            <v>2255</v>
          </cell>
          <cell r="C869" t="str">
            <v>ALLEXOFEDRIN 180MG 1BLTC/10 COM REV-E</v>
          </cell>
          <cell r="D869" t="str">
            <v>1 BL X 10 COMP REVEST</v>
          </cell>
          <cell r="E869" t="str">
            <v>MT</v>
          </cell>
          <cell r="F869">
            <v>0.74999999999999989</v>
          </cell>
          <cell r="G869">
            <v>0</v>
          </cell>
          <cell r="H869">
            <v>0.74999999999999989</v>
          </cell>
        </row>
        <row r="870">
          <cell r="A870" t="str">
            <v>2133MT</v>
          </cell>
          <cell r="B870">
            <v>2133</v>
          </cell>
          <cell r="C870" t="str">
            <v>ALLEXOFEDRIN D 60+120MG 1BLT C/10C.REV</v>
          </cell>
          <cell r="D870" t="str">
            <v>1 BL X 10 COMP REVEST</v>
          </cell>
          <cell r="E870" t="str">
            <v>MT</v>
          </cell>
          <cell r="F870">
            <v>0.26</v>
          </cell>
          <cell r="G870">
            <v>0</v>
          </cell>
          <cell r="H870">
            <v>0.26</v>
          </cell>
        </row>
        <row r="871">
          <cell r="A871" t="str">
            <v>2346SE</v>
          </cell>
          <cell r="B871">
            <v>2346</v>
          </cell>
          <cell r="C871" t="str">
            <v>ALLEXOFEDRIN PEDIATRICO6MG/MLSUS 60ML-E</v>
          </cell>
          <cell r="D871" t="str">
            <v>6MG/MLSUS 60ML-E</v>
          </cell>
          <cell r="E871" t="str">
            <v>SE</v>
          </cell>
          <cell r="F871">
            <v>0.5514</v>
          </cell>
          <cell r="G871">
            <v>0</v>
          </cell>
          <cell r="H871">
            <v>0.5514</v>
          </cell>
        </row>
        <row r="872">
          <cell r="A872" t="str">
            <v>2347MT</v>
          </cell>
          <cell r="B872">
            <v>2347</v>
          </cell>
          <cell r="C872" t="str">
            <v>ALLEXOFEDRIN PEDIATRICO6MG/MLSUS150 ML-E</v>
          </cell>
          <cell r="D872" t="str">
            <v>6MG/MLSUS150 ML-E</v>
          </cell>
          <cell r="E872" t="str">
            <v>MT</v>
          </cell>
          <cell r="F872">
            <v>0.60909999999999997</v>
          </cell>
          <cell r="G872">
            <v>0</v>
          </cell>
          <cell r="H872">
            <v>0.60909999999999997</v>
          </cell>
        </row>
        <row r="873">
          <cell r="A873" t="str">
            <v>2190MT</v>
          </cell>
          <cell r="B873">
            <v>2190</v>
          </cell>
          <cell r="C873" t="str">
            <v>ANTIVIRAX 400MG 2BLTX15 COM - E</v>
          </cell>
          <cell r="D873" t="str">
            <v>2 BL X 15</v>
          </cell>
          <cell r="E873" t="str">
            <v>MT</v>
          </cell>
          <cell r="F873">
            <v>0.68</v>
          </cell>
          <cell r="G873">
            <v>0</v>
          </cell>
          <cell r="H873">
            <v>0.68</v>
          </cell>
        </row>
        <row r="874">
          <cell r="A874" t="str">
            <v>3009MT</v>
          </cell>
          <cell r="B874">
            <v>3009</v>
          </cell>
          <cell r="C874" t="str">
            <v>ANTIVIRAX CR BG C/10 G</v>
          </cell>
          <cell r="D874" t="str">
            <v>BISN X 10 G</v>
          </cell>
          <cell r="E874" t="str">
            <v>MT</v>
          </cell>
          <cell r="F874">
            <v>0.74999999999999989</v>
          </cell>
          <cell r="G874">
            <v>0</v>
          </cell>
          <cell r="H874">
            <v>0.74999999999999989</v>
          </cell>
        </row>
        <row r="875">
          <cell r="A875" t="str">
            <v>1001MT</v>
          </cell>
          <cell r="B875">
            <v>1001</v>
          </cell>
          <cell r="C875" t="str">
            <v>APEVITIN BC XPE FRC/240ML</v>
          </cell>
          <cell r="D875" t="str">
            <v>FR X 240 ML</v>
          </cell>
          <cell r="E875" t="str">
            <v>MT</v>
          </cell>
          <cell r="F875">
            <v>0.78909999999999991</v>
          </cell>
          <cell r="G875">
            <v>0</v>
          </cell>
          <cell r="H875">
            <v>0.78909999999999991</v>
          </cell>
        </row>
        <row r="876">
          <cell r="A876" t="str">
            <v>1226MT</v>
          </cell>
          <cell r="B876">
            <v>1226</v>
          </cell>
          <cell r="C876" t="str">
            <v>BENZIFLEX 10MG 1BLX15COMP.REV-E</v>
          </cell>
          <cell r="D876" t="str">
            <v>1 BL X 15 COMP.</v>
          </cell>
          <cell r="E876" t="str">
            <v>MT</v>
          </cell>
          <cell r="F876">
            <v>0.71</v>
          </cell>
          <cell r="G876">
            <v>0</v>
          </cell>
          <cell r="H876">
            <v>0.71</v>
          </cell>
        </row>
        <row r="877">
          <cell r="A877" t="str">
            <v>1227MT</v>
          </cell>
          <cell r="B877">
            <v>1227</v>
          </cell>
          <cell r="C877" t="str">
            <v>BENZIFLEX 10MG 2BLX15COMP.REV-E</v>
          </cell>
          <cell r="D877" t="str">
            <v>2 BL X 15 COMP.</v>
          </cell>
          <cell r="E877" t="str">
            <v>MT</v>
          </cell>
          <cell r="F877">
            <v>0.71</v>
          </cell>
          <cell r="G877">
            <v>0</v>
          </cell>
          <cell r="H877">
            <v>0.71</v>
          </cell>
        </row>
        <row r="878">
          <cell r="A878" t="str">
            <v>1233MT</v>
          </cell>
          <cell r="B878">
            <v>1233</v>
          </cell>
          <cell r="C878" t="str">
            <v>BENZIFLEX 5MG 2BLX15COMP.REV-E</v>
          </cell>
          <cell r="D878" t="str">
            <v>2 BL X 15 COMP.</v>
          </cell>
          <cell r="E878" t="str">
            <v>MT</v>
          </cell>
          <cell r="F878">
            <v>0.71</v>
          </cell>
          <cell r="G878">
            <v>0</v>
          </cell>
          <cell r="H878">
            <v>0.71</v>
          </cell>
        </row>
        <row r="879">
          <cell r="A879" t="str">
            <v>1574MT</v>
          </cell>
          <cell r="B879">
            <v>1574</v>
          </cell>
          <cell r="C879" t="str">
            <v>BENZIFLEX LIS 125MG+5MG 15COM.REV.-E</v>
          </cell>
          <cell r="D879" t="str">
            <v>1 BL X 15 COMP.</v>
          </cell>
          <cell r="E879" t="str">
            <v>MT</v>
          </cell>
          <cell r="F879">
            <v>0.5</v>
          </cell>
          <cell r="G879">
            <v>0</v>
          </cell>
          <cell r="H879">
            <v>0.5</v>
          </cell>
        </row>
        <row r="880">
          <cell r="A880" t="str">
            <v>2292MT</v>
          </cell>
          <cell r="B880">
            <v>2292</v>
          </cell>
          <cell r="C880" t="str">
            <v>BENZIFLEX LIS 125MG+5MG 2BL15 COM.REV.-E</v>
          </cell>
          <cell r="D880" t="str">
            <v>2 BL X 15 COMP.</v>
          </cell>
          <cell r="E880" t="str">
            <v>MT</v>
          </cell>
          <cell r="F880">
            <v>0.53</v>
          </cell>
          <cell r="G880">
            <v>0</v>
          </cell>
          <cell r="H880">
            <v>0.53</v>
          </cell>
        </row>
        <row r="881">
          <cell r="A881" t="str">
            <v>1155MT</v>
          </cell>
          <cell r="B881">
            <v>1155</v>
          </cell>
          <cell r="C881" t="str">
            <v>BIOFLADEX AEROSSOL 60G- E</v>
          </cell>
          <cell r="D881" t="str">
            <v>FRASCO 60 G</v>
          </cell>
          <cell r="E881" t="str">
            <v>MT</v>
          </cell>
          <cell r="F881">
            <v>0.66</v>
          </cell>
          <cell r="G881">
            <v>0</v>
          </cell>
          <cell r="H881">
            <v>0.66</v>
          </cell>
        </row>
        <row r="882">
          <cell r="A882" t="str">
            <v>1072MT</v>
          </cell>
          <cell r="B882">
            <v>1072</v>
          </cell>
          <cell r="C882" t="str">
            <v>BISURAN 4MG/5ML XPE INF 120ML-E</v>
          </cell>
          <cell r="D882" t="str">
            <v>FR X 120 ML</v>
          </cell>
          <cell r="E882" t="str">
            <v>MT</v>
          </cell>
          <cell r="F882">
            <v>0.53</v>
          </cell>
          <cell r="G882">
            <v>0</v>
          </cell>
          <cell r="H882">
            <v>0.53</v>
          </cell>
        </row>
        <row r="883">
          <cell r="A883" t="str">
            <v>1318MT</v>
          </cell>
          <cell r="B883">
            <v>1318</v>
          </cell>
          <cell r="C883" t="str">
            <v>BISURAN 8MG/5ML XPE AD. 120ML-E</v>
          </cell>
          <cell r="D883" t="str">
            <v>FR X 120 ML</v>
          </cell>
          <cell r="E883" t="str">
            <v>MT</v>
          </cell>
          <cell r="F883">
            <v>0.61999999999999988</v>
          </cell>
          <cell r="G883">
            <v>0</v>
          </cell>
          <cell r="H883">
            <v>0.61999999999999988</v>
          </cell>
        </row>
        <row r="884">
          <cell r="A884" t="str">
            <v>2141MT</v>
          </cell>
          <cell r="B884">
            <v>2141</v>
          </cell>
          <cell r="C884" t="str">
            <v>CELERGIN 20 COMP-E</v>
          </cell>
          <cell r="D884" t="str">
            <v>CX. C/20 COMP.</v>
          </cell>
          <cell r="E884" t="str">
            <v>MT</v>
          </cell>
          <cell r="F884">
            <v>0.65649999999999986</v>
          </cell>
          <cell r="G884">
            <v>0</v>
          </cell>
          <cell r="H884">
            <v>0.65649999999999986</v>
          </cell>
        </row>
        <row r="885">
          <cell r="A885" t="str">
            <v>60000SP</v>
          </cell>
          <cell r="B885">
            <v>60000</v>
          </cell>
          <cell r="C885" t="str">
            <v>A SAUDE DA MULHER 150ML SOLUCAO</v>
          </cell>
          <cell r="D885" t="str">
            <v>FR X 150 ML</v>
          </cell>
          <cell r="E885" t="str">
            <v>SP</v>
          </cell>
          <cell r="F885">
            <v>0.26999999999999996</v>
          </cell>
          <cell r="G885">
            <v>0</v>
          </cell>
          <cell r="H885">
            <v>0.26999999999999996</v>
          </cell>
        </row>
        <row r="886">
          <cell r="A886" t="str">
            <v>2322MT</v>
          </cell>
          <cell r="B886">
            <v>2322</v>
          </cell>
          <cell r="C886" t="str">
            <v>CLOPE 3,54MG/ML XPE 120ML FR PLAS-E</v>
          </cell>
          <cell r="D886" t="str">
            <v>FR X 120 ML</v>
          </cell>
          <cell r="E886" t="str">
            <v>MT</v>
          </cell>
          <cell r="F886">
            <v>0.53</v>
          </cell>
          <cell r="G886">
            <v>0</v>
          </cell>
          <cell r="H886">
            <v>0.53</v>
          </cell>
        </row>
        <row r="887">
          <cell r="A887" t="str">
            <v>2383MT</v>
          </cell>
          <cell r="B887">
            <v>2383</v>
          </cell>
          <cell r="C887" t="str">
            <v>COMPLEXO B 12 XPE FR C/120ML E</v>
          </cell>
          <cell r="D887" t="str">
            <v>FR X 120 ML</v>
          </cell>
          <cell r="E887" t="str">
            <v>MT</v>
          </cell>
          <cell r="F887">
            <v>0.67000000000000015</v>
          </cell>
          <cell r="G887">
            <v>0</v>
          </cell>
          <cell r="H887">
            <v>0.67000000000000015</v>
          </cell>
        </row>
        <row r="888">
          <cell r="A888" t="str">
            <v>2384MT</v>
          </cell>
          <cell r="B888">
            <v>2384</v>
          </cell>
          <cell r="C888" t="str">
            <v>COMPLEXO B CPR REVEST x 20</v>
          </cell>
          <cell r="D888" t="str">
            <v xml:space="preserve">FR X 20 </v>
          </cell>
          <cell r="E888" t="str">
            <v>MT</v>
          </cell>
          <cell r="F888">
            <v>0.66000000000000014</v>
          </cell>
          <cell r="G888">
            <v>0</v>
          </cell>
          <cell r="H888">
            <v>0.66000000000000014</v>
          </cell>
        </row>
        <row r="889">
          <cell r="A889" t="str">
            <v>2382MT</v>
          </cell>
          <cell r="B889">
            <v>2382</v>
          </cell>
          <cell r="C889" t="str">
            <v>COMPLEXO B FR C/100 COM REV  E</v>
          </cell>
          <cell r="D889" t="str">
            <v>FR X 100</v>
          </cell>
          <cell r="E889" t="str">
            <v>MT</v>
          </cell>
          <cell r="F889">
            <v>0.64000000000000012</v>
          </cell>
          <cell r="G889">
            <v>0</v>
          </cell>
          <cell r="H889">
            <v>0.64000000000000012</v>
          </cell>
        </row>
        <row r="890">
          <cell r="A890" t="str">
            <v>2011MT</v>
          </cell>
          <cell r="B890">
            <v>2011</v>
          </cell>
          <cell r="C890" t="str">
            <v>CYSTEX FR C/24 DRG</v>
          </cell>
          <cell r="D890" t="str">
            <v xml:space="preserve">FR X 24 </v>
          </cell>
          <cell r="E890" t="str">
            <v>MT</v>
          </cell>
          <cell r="F890">
            <v>0.36070000000000002</v>
          </cell>
          <cell r="G890">
            <v>0</v>
          </cell>
          <cell r="H890">
            <v>0.36070000000000002</v>
          </cell>
        </row>
        <row r="891">
          <cell r="A891" t="str">
            <v>1837MT</v>
          </cell>
          <cell r="B891">
            <v>1837</v>
          </cell>
          <cell r="C891" t="str">
            <v>DIOVASES 450+50MG C/30 COM.REV. - E</v>
          </cell>
          <cell r="D891" t="str">
            <v>2 BL X 15 COMP.</v>
          </cell>
          <cell r="E891" t="str">
            <v>MT</v>
          </cell>
          <cell r="F891">
            <v>0.68</v>
          </cell>
          <cell r="G891">
            <v>0</v>
          </cell>
          <cell r="H891">
            <v>0.68</v>
          </cell>
        </row>
        <row r="892">
          <cell r="A892" t="str">
            <v>1838MT</v>
          </cell>
          <cell r="B892">
            <v>1838</v>
          </cell>
          <cell r="C892" t="str">
            <v>DIOVASES 450+50MG C/60 COM.REV. - E</v>
          </cell>
          <cell r="D892" t="str">
            <v>4 BL X 15 COMP.</v>
          </cell>
          <cell r="E892" t="str">
            <v>MT</v>
          </cell>
          <cell r="F892">
            <v>0.72</v>
          </cell>
          <cell r="G892">
            <v>0</v>
          </cell>
          <cell r="H892">
            <v>0.72</v>
          </cell>
        </row>
        <row r="893">
          <cell r="A893" t="str">
            <v>2261MT</v>
          </cell>
          <cell r="B893">
            <v>2261</v>
          </cell>
          <cell r="C893" t="str">
            <v>DORICIN CPR x 24</v>
          </cell>
          <cell r="D893" t="str">
            <v>2BL C/12 COMPRIMIDOS -E</v>
          </cell>
          <cell r="E893" t="str">
            <v>MT</v>
          </cell>
          <cell r="F893">
            <v>0.74099999999999999</v>
          </cell>
          <cell r="G893">
            <v>0</v>
          </cell>
          <cell r="H893">
            <v>0.74099999999999999</v>
          </cell>
        </row>
        <row r="894">
          <cell r="A894" t="str">
            <v>2264MT</v>
          </cell>
          <cell r="B894">
            <v>2264</v>
          </cell>
          <cell r="C894" t="str">
            <v>DORICIN CPR x 300</v>
          </cell>
          <cell r="D894" t="str">
            <v>30BL C/10 COMPRIMIDOS -E</v>
          </cell>
          <cell r="E894" t="str">
            <v>MT</v>
          </cell>
          <cell r="F894">
            <v>0.74099999999999999</v>
          </cell>
          <cell r="G894">
            <v>0</v>
          </cell>
          <cell r="H894">
            <v>0.74099999999999999</v>
          </cell>
        </row>
        <row r="895">
          <cell r="A895" t="str">
            <v>2262MT</v>
          </cell>
          <cell r="B895">
            <v>2262</v>
          </cell>
          <cell r="C895" t="str">
            <v>DORICIN CPR X 36</v>
          </cell>
          <cell r="D895" t="str">
            <v>3BL C/12 COMPRIMIDOS -E</v>
          </cell>
          <cell r="E895" t="str">
            <v>MT</v>
          </cell>
          <cell r="F895">
            <v>0.75139999999999996</v>
          </cell>
          <cell r="G895">
            <v>0</v>
          </cell>
          <cell r="H895">
            <v>0.75139999999999996</v>
          </cell>
        </row>
        <row r="896">
          <cell r="A896" t="str">
            <v>2263MT</v>
          </cell>
          <cell r="B896">
            <v>2263</v>
          </cell>
          <cell r="C896" t="str">
            <v>DORICIN CPR X 50</v>
          </cell>
          <cell r="D896" t="str">
            <v>5BL C/10 COMPRIMIDOS - E</v>
          </cell>
          <cell r="E896" t="str">
            <v>MT</v>
          </cell>
          <cell r="F896">
            <v>0.66100000000000003</v>
          </cell>
          <cell r="G896">
            <v>0</v>
          </cell>
          <cell r="H896">
            <v>0.66100000000000003</v>
          </cell>
        </row>
        <row r="897">
          <cell r="A897" t="str">
            <v>1173MT</v>
          </cell>
          <cell r="B897">
            <v>1173</v>
          </cell>
          <cell r="C897" t="str">
            <v>DORICIN GOTAS 20ML x 1</v>
          </cell>
          <cell r="D897" t="str">
            <v>FR X 20 ML</v>
          </cell>
          <cell r="E897" t="str">
            <v>MT</v>
          </cell>
          <cell r="F897">
            <v>0.65</v>
          </cell>
          <cell r="G897">
            <v>0</v>
          </cell>
          <cell r="H897">
            <v>0.65</v>
          </cell>
        </row>
        <row r="898">
          <cell r="A898" t="str">
            <v>2018MT</v>
          </cell>
          <cell r="B898">
            <v>2018</v>
          </cell>
          <cell r="C898" t="str">
            <v>EMISTIN BLT 1X20=20COMP</v>
          </cell>
          <cell r="D898" t="str">
            <v>1 BL X 20</v>
          </cell>
          <cell r="E898" t="str">
            <v>MT</v>
          </cell>
          <cell r="F898">
            <v>0.67</v>
          </cell>
          <cell r="G898">
            <v>0</v>
          </cell>
          <cell r="H898">
            <v>0.67</v>
          </cell>
        </row>
        <row r="899">
          <cell r="A899" t="str">
            <v>3008MT</v>
          </cell>
          <cell r="B899">
            <v>3008</v>
          </cell>
          <cell r="C899" t="str">
            <v>EMISTIN CR BG C/20G</v>
          </cell>
          <cell r="D899" t="str">
            <v>BISN X 20 G</v>
          </cell>
          <cell r="E899" t="str">
            <v>MT</v>
          </cell>
          <cell r="F899">
            <v>0.77</v>
          </cell>
          <cell r="G899">
            <v>0</v>
          </cell>
          <cell r="H899">
            <v>0.77</v>
          </cell>
        </row>
        <row r="900">
          <cell r="A900" t="str">
            <v>3020MT</v>
          </cell>
          <cell r="B900">
            <v>3020</v>
          </cell>
          <cell r="C900" t="str">
            <v>EMSCORT CR BG C/30G</v>
          </cell>
          <cell r="D900" t="str">
            <v>BISN X 30 G</v>
          </cell>
          <cell r="E900" t="str">
            <v>MT</v>
          </cell>
          <cell r="F900">
            <v>0.77000000000000013</v>
          </cell>
          <cell r="G900">
            <v>0</v>
          </cell>
          <cell r="H900">
            <v>0.77000000000000013</v>
          </cell>
        </row>
        <row r="901">
          <cell r="A901" t="str">
            <v>6023MT</v>
          </cell>
          <cell r="B901">
            <v>6023</v>
          </cell>
          <cell r="C901" t="str">
            <v>EMSCORT POM BISN 30G-E</v>
          </cell>
          <cell r="D901" t="str">
            <v>BISN X 30 G</v>
          </cell>
          <cell r="E901" t="str">
            <v>MT</v>
          </cell>
          <cell r="F901">
            <v>0.7639999999999999</v>
          </cell>
          <cell r="G901">
            <v>0</v>
          </cell>
          <cell r="H901">
            <v>0.7639999999999999</v>
          </cell>
        </row>
        <row r="902">
          <cell r="A902" t="str">
            <v>1190MT</v>
          </cell>
          <cell r="B902">
            <v>1190</v>
          </cell>
          <cell r="C902" t="str">
            <v>EMSEXPECTOR XAROPE FR C/120ML - E</v>
          </cell>
          <cell r="D902" t="str">
            <v>FR X 120 ML</v>
          </cell>
          <cell r="E902" t="str">
            <v>MT</v>
          </cell>
          <cell r="F902">
            <v>0.48</v>
          </cell>
          <cell r="G902">
            <v>0</v>
          </cell>
          <cell r="H902">
            <v>0.48</v>
          </cell>
        </row>
        <row r="903">
          <cell r="A903" t="str">
            <v>2111MT</v>
          </cell>
          <cell r="B903">
            <v>2111</v>
          </cell>
          <cell r="C903" t="str">
            <v>ENDCOFF PAST MEL ELIMAO C/12UN</v>
          </cell>
          <cell r="D903" t="str">
            <v>3 STP X 4</v>
          </cell>
          <cell r="E903" t="str">
            <v>MT</v>
          </cell>
          <cell r="F903">
            <v>0.48</v>
          </cell>
          <cell r="G903">
            <v>0</v>
          </cell>
          <cell r="H903">
            <v>0.48</v>
          </cell>
        </row>
        <row r="904">
          <cell r="A904" t="str">
            <v>2092MT</v>
          </cell>
          <cell r="B904">
            <v>2092</v>
          </cell>
          <cell r="C904" t="str">
            <v>ENDCOFF PAST STP MENTA C/12 UN</v>
          </cell>
          <cell r="D904" t="str">
            <v>3 STP X 4</v>
          </cell>
          <cell r="E904" t="str">
            <v>MT</v>
          </cell>
          <cell r="F904">
            <v>0.48</v>
          </cell>
          <cell r="G904">
            <v>0</v>
          </cell>
          <cell r="H904">
            <v>0.48</v>
          </cell>
        </row>
        <row r="905">
          <cell r="A905" t="str">
            <v>1905MT</v>
          </cell>
          <cell r="B905">
            <v>1905</v>
          </cell>
          <cell r="C905" t="str">
            <v>ESMOG 20MG 4BLTC/7 COM REV LIB RETARD- E</v>
          </cell>
          <cell r="D905" t="str">
            <v>4 BLT C/7</v>
          </cell>
          <cell r="E905" t="str">
            <v>MT</v>
          </cell>
          <cell r="F905">
            <v>0.77800000000000002</v>
          </cell>
          <cell r="G905">
            <v>0</v>
          </cell>
          <cell r="H905">
            <v>0.77800000000000002</v>
          </cell>
        </row>
        <row r="906">
          <cell r="A906" t="str">
            <v>1906MT</v>
          </cell>
          <cell r="B906">
            <v>1906</v>
          </cell>
          <cell r="C906" t="str">
            <v>ESMOG 40MG 4BLTC/7 COM REV LIB RETARD- E</v>
          </cell>
          <cell r="D906" t="str">
            <v>4 BLT C/7</v>
          </cell>
          <cell r="E906" t="str">
            <v>MT</v>
          </cell>
          <cell r="F906">
            <v>0.8</v>
          </cell>
          <cell r="G906">
            <v>0</v>
          </cell>
          <cell r="H906">
            <v>0.8</v>
          </cell>
        </row>
        <row r="907">
          <cell r="A907" t="str">
            <v>1016MT</v>
          </cell>
          <cell r="B907">
            <v>1016</v>
          </cell>
          <cell r="C907" t="str">
            <v>EXPECTUSS XPE ADULTO FR C/100ML</v>
          </cell>
          <cell r="D907" t="str">
            <v>FR X 100 ML</v>
          </cell>
          <cell r="E907" t="str">
            <v>MT</v>
          </cell>
          <cell r="F907">
            <v>0.55000000000000016</v>
          </cell>
          <cell r="G907">
            <v>0</v>
          </cell>
          <cell r="H907">
            <v>0.55000000000000016</v>
          </cell>
        </row>
        <row r="908">
          <cell r="A908" t="str">
            <v>1015MT</v>
          </cell>
          <cell r="B908">
            <v>1015</v>
          </cell>
          <cell r="C908" t="str">
            <v>EXPECTUSS XPE INF FR C/100ML</v>
          </cell>
          <cell r="D908" t="str">
            <v>FR X 100 ML</v>
          </cell>
          <cell r="E908" t="str">
            <v>MT</v>
          </cell>
          <cell r="F908">
            <v>0.5099999999999999</v>
          </cell>
          <cell r="G908">
            <v>0</v>
          </cell>
          <cell r="H908">
            <v>0.5099999999999999</v>
          </cell>
        </row>
        <row r="909">
          <cell r="A909" t="str">
            <v>1363MT</v>
          </cell>
          <cell r="B909">
            <v>1363</v>
          </cell>
          <cell r="C909" t="str">
            <v>FLUITEINA 600MG GRAN 16ENV 5G-E</v>
          </cell>
          <cell r="D909" t="str">
            <v>CX. C/16 ENV X 5GR</v>
          </cell>
          <cell r="E909" t="str">
            <v>MT</v>
          </cell>
          <cell r="F909">
            <v>0.42999999999999994</v>
          </cell>
          <cell r="G909">
            <v>0</v>
          </cell>
          <cell r="H909">
            <v>0.42999999999999994</v>
          </cell>
        </row>
        <row r="910">
          <cell r="A910" t="str">
            <v>1364MT</v>
          </cell>
          <cell r="B910">
            <v>1364</v>
          </cell>
          <cell r="C910" t="str">
            <v>FLUITEINA XPE AD 40MG/ML120ML-E</v>
          </cell>
          <cell r="D910" t="str">
            <v>FR X 120 ML</v>
          </cell>
          <cell r="E910" t="str">
            <v>MT</v>
          </cell>
          <cell r="F910">
            <v>0.56999999999999973</v>
          </cell>
          <cell r="G910">
            <v>0</v>
          </cell>
          <cell r="H910">
            <v>0.56999999999999973</v>
          </cell>
        </row>
        <row r="911">
          <cell r="A911" t="str">
            <v>1163MT</v>
          </cell>
          <cell r="B911">
            <v>1163</v>
          </cell>
          <cell r="C911" t="str">
            <v>FLUITEINA XPE INF 20MG/ML 120ML-E</v>
          </cell>
          <cell r="D911" t="str">
            <v>FR X 120 ML</v>
          </cell>
          <cell r="E911" t="str">
            <v>MT</v>
          </cell>
          <cell r="F911">
            <v>0.51900000000000002</v>
          </cell>
          <cell r="G911">
            <v>0</v>
          </cell>
          <cell r="H911">
            <v>0.51900000000000002</v>
          </cell>
        </row>
        <row r="912">
          <cell r="A912" t="str">
            <v>1168MT</v>
          </cell>
          <cell r="B912">
            <v>1168</v>
          </cell>
          <cell r="C912" t="str">
            <v>FOLIFOLIN 5MG 2BLTX15COMP - E</v>
          </cell>
          <cell r="D912" t="str">
            <v>2 BLT X 15 COMP.</v>
          </cell>
          <cell r="E912" t="str">
            <v>MT</v>
          </cell>
          <cell r="F912">
            <v>0.66</v>
          </cell>
          <cell r="G912">
            <v>0</v>
          </cell>
          <cell r="H912">
            <v>0.66</v>
          </cell>
        </row>
        <row r="913">
          <cell r="A913" t="str">
            <v>2318MT</v>
          </cell>
          <cell r="B913">
            <v>2318</v>
          </cell>
          <cell r="C913" t="str">
            <v>GEROVITAL  2BLT15 CAP MOLE-E</v>
          </cell>
          <cell r="D913" t="str">
            <v>3 BL X 10</v>
          </cell>
          <cell r="E913" t="str">
            <v>MT</v>
          </cell>
          <cell r="F913">
            <v>0.57899999999999996</v>
          </cell>
          <cell r="G913">
            <v>0</v>
          </cell>
          <cell r="H913">
            <v>0.57899999999999996</v>
          </cell>
        </row>
        <row r="914">
          <cell r="A914" t="str">
            <v>2062MT</v>
          </cell>
          <cell r="B914">
            <v>2062</v>
          </cell>
          <cell r="C914" t="str">
            <v>GEROVITAL 3BLT C/20 CAP</v>
          </cell>
          <cell r="D914" t="str">
            <v>6 BL X 10</v>
          </cell>
          <cell r="E914" t="str">
            <v>MT</v>
          </cell>
          <cell r="F914">
            <v>0.48100000000000004</v>
          </cell>
          <cell r="G914">
            <v>0</v>
          </cell>
          <cell r="H914">
            <v>0.48100000000000004</v>
          </cell>
        </row>
        <row r="915">
          <cell r="A915" t="str">
            <v>1230MT</v>
          </cell>
          <cell r="B915">
            <v>1230</v>
          </cell>
          <cell r="C915" t="str">
            <v>IBULIV 100MG/ML SUP ORAL C/ 20 ML-E</v>
          </cell>
          <cell r="D915" t="str">
            <v>FR X 20 ML</v>
          </cell>
          <cell r="E915" t="str">
            <v>MT</v>
          </cell>
          <cell r="F915">
            <v>0.68000000000000016</v>
          </cell>
          <cell r="G915">
            <v>0</v>
          </cell>
          <cell r="H915">
            <v>0.68000000000000016</v>
          </cell>
        </row>
        <row r="916">
          <cell r="A916" t="str">
            <v>1472MT</v>
          </cell>
          <cell r="B916">
            <v>1472</v>
          </cell>
          <cell r="C916" t="str">
            <v>IBULIV 400MG 10 BLT C/ 4CAPS GEL.MOLES-E</v>
          </cell>
          <cell r="D916" t="str">
            <v>10 BLT X 4 CÁPS</v>
          </cell>
          <cell r="E916" t="str">
            <v>MT</v>
          </cell>
          <cell r="F916">
            <v>0.71000000000000019</v>
          </cell>
          <cell r="G916">
            <v>0</v>
          </cell>
          <cell r="H916">
            <v>0.71000000000000019</v>
          </cell>
        </row>
        <row r="917">
          <cell r="A917" t="str">
            <v>2469MT</v>
          </cell>
          <cell r="B917">
            <v>2469</v>
          </cell>
          <cell r="C917" t="str">
            <v>IBULIV 400MG 2 BLT C/ 10CAPS GEL.MOLES-E</v>
          </cell>
          <cell r="D917" t="str">
            <v>20 CÁPS.</v>
          </cell>
          <cell r="E917" t="str">
            <v>MT</v>
          </cell>
          <cell r="F917">
            <v>0.71</v>
          </cell>
          <cell r="G917">
            <v>0</v>
          </cell>
          <cell r="H917">
            <v>0.71</v>
          </cell>
        </row>
        <row r="918">
          <cell r="A918" t="str">
            <v>1471MT</v>
          </cell>
          <cell r="B918">
            <v>1471</v>
          </cell>
          <cell r="C918" t="str">
            <v>IBULIV 400MG 2 BLT C/ 4CAPS GEL.MOLES-E</v>
          </cell>
          <cell r="D918" t="str">
            <v>2 BLT X 4 CÁPS.</v>
          </cell>
          <cell r="E918" t="str">
            <v>MT</v>
          </cell>
          <cell r="F918">
            <v>0.71</v>
          </cell>
          <cell r="G918">
            <v>0</v>
          </cell>
          <cell r="H918">
            <v>0.71</v>
          </cell>
        </row>
        <row r="919">
          <cell r="A919" t="str">
            <v>1175MT</v>
          </cell>
          <cell r="B919">
            <v>1175</v>
          </cell>
          <cell r="C919" t="str">
            <v>INFRALAX 1BLT C/15COMP - EMS</v>
          </cell>
          <cell r="D919" t="str">
            <v>1 BLT C/ 15</v>
          </cell>
          <cell r="E919" t="str">
            <v>MT</v>
          </cell>
          <cell r="F919">
            <v>0.74280000000000002</v>
          </cell>
          <cell r="G919">
            <v>0</v>
          </cell>
          <cell r="H919">
            <v>0.74280000000000002</v>
          </cell>
        </row>
        <row r="920">
          <cell r="A920" t="str">
            <v>1821MT</v>
          </cell>
          <cell r="B920">
            <v>1821</v>
          </cell>
          <cell r="C920" t="str">
            <v>INFRALAX 20BLTX10COMP - E</v>
          </cell>
          <cell r="D920" t="str">
            <v>20 BLT X 10</v>
          </cell>
          <cell r="E920" t="str">
            <v>MT</v>
          </cell>
          <cell r="F920">
            <v>0.81</v>
          </cell>
          <cell r="G920">
            <v>0</v>
          </cell>
          <cell r="H920">
            <v>0.81</v>
          </cell>
        </row>
        <row r="921">
          <cell r="A921" t="str">
            <v>2138MT</v>
          </cell>
          <cell r="B921">
            <v>2138</v>
          </cell>
          <cell r="C921" t="str">
            <v>INFRALAX 2BLT C/15COMP - EMS</v>
          </cell>
          <cell r="D921" t="str">
            <v>2 BL X 15</v>
          </cell>
          <cell r="E921" t="str">
            <v>MT</v>
          </cell>
          <cell r="F921">
            <v>0.74650000000000005</v>
          </cell>
          <cell r="G921">
            <v>0</v>
          </cell>
          <cell r="H921">
            <v>0.74650000000000005</v>
          </cell>
        </row>
        <row r="922">
          <cell r="A922" t="str">
            <v>6011MT</v>
          </cell>
          <cell r="B922">
            <v>6011</v>
          </cell>
          <cell r="C922" t="str">
            <v>NARIDRIN 12HS GOTAS FR C/30ML</v>
          </cell>
          <cell r="D922" t="str">
            <v>FR X 30 ML</v>
          </cell>
          <cell r="E922" t="str">
            <v>MT</v>
          </cell>
          <cell r="F922">
            <v>0.74</v>
          </cell>
          <cell r="G922">
            <v>0</v>
          </cell>
          <cell r="H922">
            <v>0.74</v>
          </cell>
        </row>
        <row r="923">
          <cell r="A923" t="str">
            <v>2604MT</v>
          </cell>
          <cell r="B923">
            <v>2604</v>
          </cell>
          <cell r="C923" t="str">
            <v>NARIDRIN ALTO VOL 30ENVX2,16G+FR240ML</v>
          </cell>
          <cell r="D923" t="str">
            <v>30ENVX2,16G+FR240ML</v>
          </cell>
          <cell r="E923" t="str">
            <v>MT</v>
          </cell>
          <cell r="F923">
            <v>0.64</v>
          </cell>
          <cell r="G923">
            <v>0</v>
          </cell>
          <cell r="H923">
            <v>0.64</v>
          </cell>
        </row>
        <row r="924">
          <cell r="A924" t="str">
            <v>2605MT</v>
          </cell>
          <cell r="B924">
            <v>2605</v>
          </cell>
          <cell r="C924" t="str">
            <v>NARIDRIN ALTO VOL REFIL</v>
          </cell>
          <cell r="D924" t="str">
            <v>30 ENV X 2,16G</v>
          </cell>
          <cell r="E924" t="str">
            <v>MT</v>
          </cell>
          <cell r="F924">
            <v>0.59999999999999987</v>
          </cell>
          <cell r="G924">
            <v>0</v>
          </cell>
          <cell r="H924">
            <v>0.59999999999999987</v>
          </cell>
        </row>
        <row r="925">
          <cell r="A925" t="str">
            <v>1433MT</v>
          </cell>
          <cell r="B925">
            <v>1433</v>
          </cell>
          <cell r="C925" t="str">
            <v>NARIDRIN AQUA 9MG/ML FRASCO C/50ML-E</v>
          </cell>
          <cell r="D925" t="str">
            <v>FR X 50 ML SPRAY</v>
          </cell>
          <cell r="E925" t="str">
            <v>MT</v>
          </cell>
          <cell r="F925">
            <v>0.71</v>
          </cell>
          <cell r="G925">
            <v>0</v>
          </cell>
          <cell r="H925">
            <v>0.71</v>
          </cell>
        </row>
        <row r="926">
          <cell r="A926" t="str">
            <v>6005MT</v>
          </cell>
          <cell r="B926">
            <v>6005</v>
          </cell>
          <cell r="C926" t="str">
            <v>NARIDRIN GOTAS AD FR C/15ML</v>
          </cell>
          <cell r="D926" t="str">
            <v>FR X 15 ML</v>
          </cell>
          <cell r="E926" t="str">
            <v>MT</v>
          </cell>
          <cell r="F926">
            <v>0.74</v>
          </cell>
          <cell r="G926">
            <v>0</v>
          </cell>
          <cell r="H926">
            <v>0.74</v>
          </cell>
        </row>
        <row r="927">
          <cell r="A927" t="str">
            <v>6006MT</v>
          </cell>
          <cell r="B927">
            <v>6006</v>
          </cell>
          <cell r="C927" t="str">
            <v>NARIDRIN GOTAS INF FR C/15ML</v>
          </cell>
          <cell r="D927" t="str">
            <v>FR X 15 ML</v>
          </cell>
          <cell r="E927" t="str">
            <v>MT</v>
          </cell>
          <cell r="F927">
            <v>0.72999999999999987</v>
          </cell>
          <cell r="G927">
            <v>0</v>
          </cell>
          <cell r="H927">
            <v>0.72999999999999987</v>
          </cell>
        </row>
        <row r="928">
          <cell r="A928" t="str">
            <v>1079MT</v>
          </cell>
          <cell r="B928">
            <v>1079</v>
          </cell>
          <cell r="C928" t="str">
            <v>NARIDRIN H 30MG/ML SOL.NAS SPRAY 60ML-E</v>
          </cell>
          <cell r="D928" t="str">
            <v>FRASCO X 60ML</v>
          </cell>
          <cell r="E928" t="str">
            <v>MT</v>
          </cell>
          <cell r="F928">
            <v>0.7</v>
          </cell>
          <cell r="G928">
            <v>0</v>
          </cell>
          <cell r="H928">
            <v>0.7</v>
          </cell>
        </row>
        <row r="929">
          <cell r="A929" t="str">
            <v>1368MT</v>
          </cell>
          <cell r="B929">
            <v>1368</v>
          </cell>
          <cell r="C929" t="str">
            <v>NIMESILAM BLT 1X12= 12 COM - E</v>
          </cell>
          <cell r="D929" t="str">
            <v>1 BLT X 12</v>
          </cell>
          <cell r="E929" t="str">
            <v>MT</v>
          </cell>
          <cell r="F929">
            <v>0.89999999999999991</v>
          </cell>
          <cell r="G929">
            <v>0</v>
          </cell>
          <cell r="H929">
            <v>0.89999999999999991</v>
          </cell>
        </row>
        <row r="930">
          <cell r="A930" t="str">
            <v>1367MT</v>
          </cell>
          <cell r="B930">
            <v>1367</v>
          </cell>
          <cell r="C930" t="str">
            <v>NIMESILAM GOTAS FRC/15ML  - E</v>
          </cell>
          <cell r="D930" t="str">
            <v>FR 15 ML</v>
          </cell>
          <cell r="E930" t="str">
            <v>MT</v>
          </cell>
          <cell r="F930">
            <v>0.73</v>
          </cell>
          <cell r="G930">
            <v>0</v>
          </cell>
          <cell r="H930">
            <v>0.73</v>
          </cell>
        </row>
        <row r="931">
          <cell r="A931" t="str">
            <v>2058MT</v>
          </cell>
          <cell r="B931">
            <v>2058</v>
          </cell>
          <cell r="C931" t="str">
            <v>NOCICLIN 1BLT C/21COM-EMS</v>
          </cell>
          <cell r="D931" t="str">
            <v>1 BL X 21</v>
          </cell>
          <cell r="E931" t="str">
            <v>MT</v>
          </cell>
          <cell r="F931">
            <v>0.68</v>
          </cell>
          <cell r="G931">
            <v>0</v>
          </cell>
          <cell r="H931">
            <v>0.68</v>
          </cell>
        </row>
        <row r="932">
          <cell r="A932" t="str">
            <v>2391MT</v>
          </cell>
          <cell r="B932">
            <v>2391</v>
          </cell>
          <cell r="C932" t="str">
            <v>RUDITE 20MG/ML PO SUS 100ML-E</v>
          </cell>
          <cell r="D932" t="str">
            <v>FR X 100 ML</v>
          </cell>
          <cell r="E932" t="str">
            <v>MT</v>
          </cell>
          <cell r="F932">
            <v>0.59899999999999998</v>
          </cell>
          <cell r="G932">
            <v>0</v>
          </cell>
          <cell r="H932">
            <v>0.59899999999999998</v>
          </cell>
        </row>
        <row r="933">
          <cell r="A933" t="str">
            <v>2392MT</v>
          </cell>
          <cell r="B933">
            <v>2392</v>
          </cell>
          <cell r="C933" t="str">
            <v>RUDITE 20MG/ML PO SUS 45ML-E</v>
          </cell>
          <cell r="D933" t="str">
            <v>FR X 45 ML</v>
          </cell>
          <cell r="E933" t="str">
            <v>MT</v>
          </cell>
          <cell r="F933">
            <v>0.58999999999999986</v>
          </cell>
          <cell r="G933">
            <v>0</v>
          </cell>
          <cell r="H933">
            <v>0.58999999999999986</v>
          </cell>
        </row>
        <row r="934">
          <cell r="A934" t="str">
            <v>2390MT</v>
          </cell>
          <cell r="B934">
            <v>2390</v>
          </cell>
          <cell r="C934" t="str">
            <v>RUDITE(C1)500MG C/6 COM REV-E</v>
          </cell>
          <cell r="D934" t="str">
            <v>1 BLT X 6</v>
          </cell>
          <cell r="E934" t="str">
            <v>MT</v>
          </cell>
          <cell r="F934">
            <v>0.7</v>
          </cell>
          <cell r="G934">
            <v>0</v>
          </cell>
          <cell r="H934">
            <v>0.7</v>
          </cell>
        </row>
        <row r="935">
          <cell r="A935" t="str">
            <v>2398MT</v>
          </cell>
          <cell r="B935">
            <v>2398</v>
          </cell>
          <cell r="C935" t="str">
            <v>SOMINEX COMPOS OTC CPR REVEST x 20</v>
          </cell>
          <cell r="D935" t="str">
            <v>2 BL X 10</v>
          </cell>
          <cell r="E935" t="str">
            <v>MT</v>
          </cell>
          <cell r="F935">
            <v>0.68899999999999995</v>
          </cell>
          <cell r="G935">
            <v>0</v>
          </cell>
          <cell r="H935">
            <v>0.68899999999999995</v>
          </cell>
        </row>
        <row r="936">
          <cell r="A936" t="str">
            <v>1818MT</v>
          </cell>
          <cell r="B936">
            <v>1818</v>
          </cell>
          <cell r="C936" t="str">
            <v>SUPLEVIT MULHER VIT. 2BLT C/15 CAP.GEL-E</v>
          </cell>
          <cell r="D936" t="str">
            <v>2 BLT C/15</v>
          </cell>
          <cell r="E936" t="str">
            <v>MT</v>
          </cell>
          <cell r="F936">
            <v>0.82</v>
          </cell>
          <cell r="G936">
            <v>0</v>
          </cell>
          <cell r="H936">
            <v>0.82</v>
          </cell>
        </row>
        <row r="937">
          <cell r="A937" t="str">
            <v>1819MT</v>
          </cell>
          <cell r="B937">
            <v>1819</v>
          </cell>
          <cell r="C937" t="str">
            <v>SUPLEVIT MULHER VIT. 4BLT C/15 CAP.GEL-E</v>
          </cell>
          <cell r="D937" t="str">
            <v>4 BLT C/15</v>
          </cell>
          <cell r="E937" t="str">
            <v>MT</v>
          </cell>
          <cell r="F937">
            <v>0.81999999999999984</v>
          </cell>
          <cell r="G937">
            <v>0</v>
          </cell>
          <cell r="H937">
            <v>0.81999999999999984</v>
          </cell>
        </row>
        <row r="938">
          <cell r="A938" t="str">
            <v>2036MT</v>
          </cell>
          <cell r="B938">
            <v>2036</v>
          </cell>
          <cell r="C938" t="str">
            <v>VITAFER FR C/50 COMP-E</v>
          </cell>
          <cell r="D938" t="str">
            <v>FR X 50</v>
          </cell>
          <cell r="E938" t="str">
            <v>MT</v>
          </cell>
          <cell r="F938">
            <v>0.52999999999999992</v>
          </cell>
          <cell r="G938">
            <v>0</v>
          </cell>
          <cell r="H938">
            <v>0.52999999999999992</v>
          </cell>
        </row>
        <row r="939">
          <cell r="A939" t="str">
            <v>60000PA</v>
          </cell>
          <cell r="B939">
            <v>60000</v>
          </cell>
          <cell r="C939" t="str">
            <v>A SAUDE DA MULHER 150ML SOLUCAO</v>
          </cell>
          <cell r="D939" t="str">
            <v>FR X 150 ML</v>
          </cell>
          <cell r="E939" t="str">
            <v>PA</v>
          </cell>
          <cell r="F939">
            <v>0.26999999999999996</v>
          </cell>
          <cell r="G939">
            <v>0</v>
          </cell>
          <cell r="H939">
            <v>0.26999999999999996</v>
          </cell>
        </row>
        <row r="940">
          <cell r="A940" t="str">
            <v>2256PA</v>
          </cell>
          <cell r="B940">
            <v>2256</v>
          </cell>
          <cell r="C940" t="str">
            <v>ALLEXOFEDRIN 120MG 1BLTC/10 COM REV-E</v>
          </cell>
          <cell r="D940" t="str">
            <v>1 BL X 10 COMP REVEST</v>
          </cell>
          <cell r="E940" t="str">
            <v>PA</v>
          </cell>
          <cell r="F940">
            <v>0.75</v>
          </cell>
          <cell r="G940">
            <v>0</v>
          </cell>
          <cell r="H940">
            <v>0.75</v>
          </cell>
        </row>
        <row r="941">
          <cell r="A941" t="str">
            <v>2255PA</v>
          </cell>
          <cell r="B941">
            <v>2255</v>
          </cell>
          <cell r="C941" t="str">
            <v>ALLEXOFEDRIN 180MG 1BLTC/10 COM REV-E</v>
          </cell>
          <cell r="D941" t="str">
            <v>1 BL X 10 COMP REVEST</v>
          </cell>
          <cell r="E941" t="str">
            <v>PA</v>
          </cell>
          <cell r="F941">
            <v>0.74999999999999989</v>
          </cell>
          <cell r="G941">
            <v>0</v>
          </cell>
          <cell r="H941">
            <v>0.74999999999999989</v>
          </cell>
        </row>
        <row r="942">
          <cell r="A942" t="str">
            <v>2133PA</v>
          </cell>
          <cell r="B942">
            <v>2133</v>
          </cell>
          <cell r="C942" t="str">
            <v>ALLEXOFEDRIN D 60+120MG 1BLT C/10C.REV</v>
          </cell>
          <cell r="D942" t="str">
            <v>1 BL X 10 COMP REVEST</v>
          </cell>
          <cell r="E942" t="str">
            <v>PA</v>
          </cell>
          <cell r="F942">
            <v>0.26</v>
          </cell>
          <cell r="G942">
            <v>0</v>
          </cell>
          <cell r="H942">
            <v>0.26</v>
          </cell>
        </row>
        <row r="943">
          <cell r="A943" t="str">
            <v>2346TO</v>
          </cell>
          <cell r="B943">
            <v>2346</v>
          </cell>
          <cell r="C943" t="str">
            <v>ALLEXOFEDRIN PEDIATRICO6MG/MLSUS 60ML-E</v>
          </cell>
          <cell r="D943" t="str">
            <v>6MG/MLSUS 60ML-E</v>
          </cell>
          <cell r="E943" t="str">
            <v>TO</v>
          </cell>
          <cell r="F943">
            <v>0.5514</v>
          </cell>
          <cell r="G943">
            <v>0</v>
          </cell>
          <cell r="H943">
            <v>0.5514</v>
          </cell>
        </row>
        <row r="944">
          <cell r="A944" t="str">
            <v>2347PA</v>
          </cell>
          <cell r="B944">
            <v>2347</v>
          </cell>
          <cell r="C944" t="str">
            <v>ALLEXOFEDRIN PEDIATRICO6MG/MLSUS150 ML-E</v>
          </cell>
          <cell r="D944" t="str">
            <v>6MG/MLSUS150 ML-E</v>
          </cell>
          <cell r="E944" t="str">
            <v>PA</v>
          </cell>
          <cell r="F944">
            <v>0.60909999999999997</v>
          </cell>
          <cell r="G944">
            <v>0</v>
          </cell>
          <cell r="H944">
            <v>0.60909999999999997</v>
          </cell>
        </row>
        <row r="945">
          <cell r="A945" t="str">
            <v>2190PA</v>
          </cell>
          <cell r="B945">
            <v>2190</v>
          </cell>
          <cell r="C945" t="str">
            <v>ANTIVIRAX 400MG 2BLTX15 COM - E</v>
          </cell>
          <cell r="D945" t="str">
            <v>2 BL X 15</v>
          </cell>
          <cell r="E945" t="str">
            <v>PA</v>
          </cell>
          <cell r="F945">
            <v>0.68</v>
          </cell>
          <cell r="G945">
            <v>0</v>
          </cell>
          <cell r="H945">
            <v>0.68</v>
          </cell>
        </row>
        <row r="946">
          <cell r="A946" t="str">
            <v>3009PA</v>
          </cell>
          <cell r="B946">
            <v>3009</v>
          </cell>
          <cell r="C946" t="str">
            <v>ANTIVIRAX CR BG C/10 G</v>
          </cell>
          <cell r="D946" t="str">
            <v>BISN X 10 G</v>
          </cell>
          <cell r="E946" t="str">
            <v>PA</v>
          </cell>
          <cell r="F946">
            <v>0.74999999999999989</v>
          </cell>
          <cell r="G946">
            <v>0</v>
          </cell>
          <cell r="H946">
            <v>0.74999999999999989</v>
          </cell>
        </row>
        <row r="947">
          <cell r="A947" t="str">
            <v>1001PA</v>
          </cell>
          <cell r="B947">
            <v>1001</v>
          </cell>
          <cell r="C947" t="str">
            <v>APEVITIN BC XPE FRC/240ML</v>
          </cell>
          <cell r="D947" t="str">
            <v>FR X 240 ML</v>
          </cell>
          <cell r="E947" t="str">
            <v>PA</v>
          </cell>
          <cell r="F947">
            <v>0.80710000000000004</v>
          </cell>
          <cell r="G947">
            <v>0</v>
          </cell>
          <cell r="H947">
            <v>0.80710000000000004</v>
          </cell>
        </row>
        <row r="948">
          <cell r="A948" t="str">
            <v>1226PA</v>
          </cell>
          <cell r="B948">
            <v>1226</v>
          </cell>
          <cell r="C948" t="str">
            <v>BENZIFLEX 10MG 1BLX15COMP.REV-E</v>
          </cell>
          <cell r="D948" t="str">
            <v>1 BL X 15 COMP.</v>
          </cell>
          <cell r="E948" t="str">
            <v>PA</v>
          </cell>
          <cell r="F948">
            <v>0.71</v>
          </cell>
          <cell r="G948">
            <v>0</v>
          </cell>
          <cell r="H948">
            <v>0.71</v>
          </cell>
        </row>
        <row r="949">
          <cell r="A949" t="str">
            <v>1227PA</v>
          </cell>
          <cell r="B949">
            <v>1227</v>
          </cell>
          <cell r="C949" t="str">
            <v>BENZIFLEX 10MG 2BLX15COMP.REV-E</v>
          </cell>
          <cell r="D949" t="str">
            <v>2 BL X 15 COMP.</v>
          </cell>
          <cell r="E949" t="str">
            <v>PA</v>
          </cell>
          <cell r="F949">
            <v>0.71</v>
          </cell>
          <cell r="G949">
            <v>0</v>
          </cell>
          <cell r="H949">
            <v>0.71</v>
          </cell>
        </row>
        <row r="950">
          <cell r="A950" t="str">
            <v>1233PA</v>
          </cell>
          <cell r="B950">
            <v>1233</v>
          </cell>
          <cell r="C950" t="str">
            <v>BENZIFLEX 5MG 2BLX15COMP.REV-E</v>
          </cell>
          <cell r="D950" t="str">
            <v>2 BL X 15 COMP.</v>
          </cell>
          <cell r="E950" t="str">
            <v>PA</v>
          </cell>
          <cell r="F950">
            <v>0.71</v>
          </cell>
          <cell r="G950">
            <v>0</v>
          </cell>
          <cell r="H950">
            <v>0.71</v>
          </cell>
        </row>
        <row r="951">
          <cell r="A951" t="str">
            <v>1574PA</v>
          </cell>
          <cell r="B951">
            <v>1574</v>
          </cell>
          <cell r="C951" t="str">
            <v>BENZIFLEX LIS 125MG+5MG 15COM.REV.-E</v>
          </cell>
          <cell r="D951" t="str">
            <v>1 BL X 15 COMP.</v>
          </cell>
          <cell r="E951" t="str">
            <v>PA</v>
          </cell>
          <cell r="F951">
            <v>0.5</v>
          </cell>
          <cell r="G951">
            <v>0</v>
          </cell>
          <cell r="H951">
            <v>0.5</v>
          </cell>
        </row>
        <row r="952">
          <cell r="A952" t="str">
            <v>2292PA</v>
          </cell>
          <cell r="B952">
            <v>2292</v>
          </cell>
          <cell r="C952" t="str">
            <v>BENZIFLEX LIS 125MG+5MG 2BL15 COM.REV.-E</v>
          </cell>
          <cell r="D952" t="str">
            <v>2 BL X 15 COMP.</v>
          </cell>
          <cell r="E952" t="str">
            <v>PA</v>
          </cell>
          <cell r="F952">
            <v>0.53</v>
          </cell>
          <cell r="G952">
            <v>0</v>
          </cell>
          <cell r="H952">
            <v>0.53</v>
          </cell>
        </row>
        <row r="953">
          <cell r="A953" t="str">
            <v>1155PA</v>
          </cell>
          <cell r="B953">
            <v>1155</v>
          </cell>
          <cell r="C953" t="str">
            <v>BIOFLADEX AEROSSOL 60G- E</v>
          </cell>
          <cell r="D953" t="str">
            <v>FRASCO 60 G</v>
          </cell>
          <cell r="E953" t="str">
            <v>PA</v>
          </cell>
          <cell r="F953">
            <v>0.66</v>
          </cell>
          <cell r="G953">
            <v>0</v>
          </cell>
          <cell r="H953">
            <v>0.66</v>
          </cell>
        </row>
        <row r="954">
          <cell r="A954" t="str">
            <v>1072PA</v>
          </cell>
          <cell r="B954">
            <v>1072</v>
          </cell>
          <cell r="C954" t="str">
            <v>BISURAN 4MG/5ML XPE INF 120ML-E</v>
          </cell>
          <cell r="D954" t="str">
            <v>FR X 120 ML</v>
          </cell>
          <cell r="E954" t="str">
            <v>PA</v>
          </cell>
          <cell r="F954">
            <v>0.53</v>
          </cell>
          <cell r="G954">
            <v>0</v>
          </cell>
          <cell r="H954">
            <v>0.53</v>
          </cell>
        </row>
        <row r="955">
          <cell r="A955" t="str">
            <v>1318PA</v>
          </cell>
          <cell r="B955">
            <v>1318</v>
          </cell>
          <cell r="C955" t="str">
            <v>BISURAN 8MG/5ML XPE AD. 120ML-E</v>
          </cell>
          <cell r="D955" t="str">
            <v>FR X 120 ML</v>
          </cell>
          <cell r="E955" t="str">
            <v>PA</v>
          </cell>
          <cell r="F955">
            <v>0.61999999999999988</v>
          </cell>
          <cell r="G955">
            <v>0</v>
          </cell>
          <cell r="H955">
            <v>0.61999999999999988</v>
          </cell>
        </row>
        <row r="956">
          <cell r="A956" t="str">
            <v>2141PA</v>
          </cell>
          <cell r="B956">
            <v>2141</v>
          </cell>
          <cell r="C956" t="str">
            <v>CELERGIN 20 COMP-E</v>
          </cell>
          <cell r="D956" t="str">
            <v>CX. C/20 COMP.</v>
          </cell>
          <cell r="E956" t="str">
            <v>PA</v>
          </cell>
          <cell r="F956">
            <v>0.65649999999999986</v>
          </cell>
          <cell r="G956">
            <v>0</v>
          </cell>
          <cell r="H956">
            <v>0.65649999999999986</v>
          </cell>
        </row>
        <row r="957">
          <cell r="A957" t="str">
            <v>1066AC</v>
          </cell>
          <cell r="B957">
            <v>1066</v>
          </cell>
          <cell r="C957" t="str">
            <v>CELERGIN XPE 120ML-E</v>
          </cell>
          <cell r="D957" t="str">
            <v>FR X 120 ML</v>
          </cell>
          <cell r="E957" t="str">
            <v>AC</v>
          </cell>
          <cell r="F957">
            <v>0.7319</v>
          </cell>
          <cell r="G957">
            <v>0</v>
          </cell>
          <cell r="H957">
            <v>0.7319</v>
          </cell>
        </row>
        <row r="958">
          <cell r="A958" t="str">
            <v>2322PA</v>
          </cell>
          <cell r="B958">
            <v>2322</v>
          </cell>
          <cell r="C958" t="str">
            <v>CLOPE 3,54MG/ML XPE 120ML FR PLAS-E</v>
          </cell>
          <cell r="D958" t="str">
            <v>FR X 120 ML</v>
          </cell>
          <cell r="E958" t="str">
            <v>PA</v>
          </cell>
          <cell r="F958">
            <v>0.53</v>
          </cell>
          <cell r="G958">
            <v>0</v>
          </cell>
          <cell r="H958">
            <v>0.53</v>
          </cell>
        </row>
        <row r="959">
          <cell r="A959" t="str">
            <v>2383PA</v>
          </cell>
          <cell r="B959">
            <v>2383</v>
          </cell>
          <cell r="C959" t="str">
            <v>COMPLEXO B 12 XPE FR C/120ML E</v>
          </cell>
          <cell r="D959" t="str">
            <v>FR X 120 ML</v>
          </cell>
          <cell r="E959" t="str">
            <v>PA</v>
          </cell>
          <cell r="F959">
            <v>0.67000000000000015</v>
          </cell>
          <cell r="G959">
            <v>0</v>
          </cell>
          <cell r="H959">
            <v>0.67000000000000015</v>
          </cell>
        </row>
        <row r="960">
          <cell r="A960" t="str">
            <v>2384PA</v>
          </cell>
          <cell r="B960">
            <v>2384</v>
          </cell>
          <cell r="C960" t="str">
            <v>COMPLEXO B CPR REVEST x 20</v>
          </cell>
          <cell r="D960" t="str">
            <v xml:space="preserve">FR X 20 </v>
          </cell>
          <cell r="E960" t="str">
            <v>PA</v>
          </cell>
          <cell r="F960">
            <v>0.66000000000000014</v>
          </cell>
          <cell r="G960">
            <v>0</v>
          </cell>
          <cell r="H960">
            <v>0.66000000000000014</v>
          </cell>
        </row>
        <row r="961">
          <cell r="A961" t="str">
            <v>2382PA</v>
          </cell>
          <cell r="B961">
            <v>2382</v>
          </cell>
          <cell r="C961" t="str">
            <v>COMPLEXO B FR C/100 COM REV  E</v>
          </cell>
          <cell r="D961" t="str">
            <v>FR X 100</v>
          </cell>
          <cell r="E961" t="str">
            <v>PA</v>
          </cell>
          <cell r="F961">
            <v>0.64000000000000012</v>
          </cell>
          <cell r="G961">
            <v>0</v>
          </cell>
          <cell r="H961">
            <v>0.64000000000000012</v>
          </cell>
        </row>
        <row r="962">
          <cell r="A962" t="str">
            <v>2011PA</v>
          </cell>
          <cell r="B962">
            <v>2011</v>
          </cell>
          <cell r="C962" t="str">
            <v>CYSTEX FR C/24 DRG</v>
          </cell>
          <cell r="D962" t="str">
            <v xml:space="preserve">FR X 24 </v>
          </cell>
          <cell r="E962" t="str">
            <v>PA</v>
          </cell>
          <cell r="F962">
            <v>0.36070000000000002</v>
          </cell>
          <cell r="G962">
            <v>0</v>
          </cell>
          <cell r="H962">
            <v>0.36070000000000002</v>
          </cell>
        </row>
        <row r="963">
          <cell r="A963" t="str">
            <v>1837PA</v>
          </cell>
          <cell r="B963">
            <v>1837</v>
          </cell>
          <cell r="C963" t="str">
            <v>DIOVASES 450+50MG C/30 COM.REV. - E</v>
          </cell>
          <cell r="D963" t="str">
            <v>2 BL X 15 COMP.</v>
          </cell>
          <cell r="E963" t="str">
            <v>PA</v>
          </cell>
          <cell r="F963">
            <v>0.68</v>
          </cell>
          <cell r="G963">
            <v>0</v>
          </cell>
          <cell r="H963">
            <v>0.68</v>
          </cell>
        </row>
        <row r="964">
          <cell r="A964" t="str">
            <v>1838PA</v>
          </cell>
          <cell r="B964">
            <v>1838</v>
          </cell>
          <cell r="C964" t="str">
            <v>DIOVASES 450+50MG C/60 COM.REV. - E</v>
          </cell>
          <cell r="D964" t="str">
            <v>4 BL X 15 COMP.</v>
          </cell>
          <cell r="E964" t="str">
            <v>PA</v>
          </cell>
          <cell r="F964">
            <v>0.72</v>
          </cell>
          <cell r="G964">
            <v>0</v>
          </cell>
          <cell r="H964">
            <v>0.72</v>
          </cell>
        </row>
        <row r="965">
          <cell r="A965" t="str">
            <v>2261PA</v>
          </cell>
          <cell r="B965">
            <v>2261</v>
          </cell>
          <cell r="C965" t="str">
            <v>DORICIN CPR x 24</v>
          </cell>
          <cell r="D965" t="str">
            <v>2BL C/12 COMPRIMIDOS -E</v>
          </cell>
          <cell r="E965" t="str">
            <v>PA</v>
          </cell>
          <cell r="F965">
            <v>0.74099999999999999</v>
          </cell>
          <cell r="G965">
            <v>0</v>
          </cell>
          <cell r="H965">
            <v>0.74099999999999999</v>
          </cell>
        </row>
        <row r="966">
          <cell r="A966" t="str">
            <v>2264PA</v>
          </cell>
          <cell r="B966">
            <v>2264</v>
          </cell>
          <cell r="C966" t="str">
            <v>DORICIN CPR x 300</v>
          </cell>
          <cell r="D966" t="str">
            <v>30BL C/10 COMPRIMIDOS -E</v>
          </cell>
          <cell r="E966" t="str">
            <v>PA</v>
          </cell>
          <cell r="F966">
            <v>0.74099999999999999</v>
          </cell>
          <cell r="G966">
            <v>0</v>
          </cell>
          <cell r="H966">
            <v>0.74099999999999999</v>
          </cell>
        </row>
        <row r="967">
          <cell r="A967" t="str">
            <v>2262PA</v>
          </cell>
          <cell r="B967">
            <v>2262</v>
          </cell>
          <cell r="C967" t="str">
            <v>DORICIN CPR X 36</v>
          </cell>
          <cell r="D967" t="str">
            <v>3BL C/12 COMPRIMIDOS -E</v>
          </cell>
          <cell r="E967" t="str">
            <v>PA</v>
          </cell>
          <cell r="F967">
            <v>0.75139999999999996</v>
          </cell>
          <cell r="G967">
            <v>0</v>
          </cell>
          <cell r="H967">
            <v>0.75139999999999996</v>
          </cell>
        </row>
        <row r="968">
          <cell r="A968" t="str">
            <v>2263PA</v>
          </cell>
          <cell r="B968">
            <v>2263</v>
          </cell>
          <cell r="C968" t="str">
            <v>DORICIN CPR X 50</v>
          </cell>
          <cell r="D968" t="str">
            <v>5BL C/10 COMPRIMIDOS - E</v>
          </cell>
          <cell r="E968" t="str">
            <v>PA</v>
          </cell>
          <cell r="F968">
            <v>0.66100000000000003</v>
          </cell>
          <cell r="G968">
            <v>0</v>
          </cell>
          <cell r="H968">
            <v>0.66100000000000003</v>
          </cell>
        </row>
        <row r="969">
          <cell r="A969" t="str">
            <v>1173PA</v>
          </cell>
          <cell r="B969">
            <v>1173</v>
          </cell>
          <cell r="C969" t="str">
            <v>DORICIN GOTAS 20ML x 1</v>
          </cell>
          <cell r="D969" t="str">
            <v>FR X 20 ML</v>
          </cell>
          <cell r="E969" t="str">
            <v>PA</v>
          </cell>
          <cell r="F969">
            <v>0.65</v>
          </cell>
          <cell r="G969">
            <v>0</v>
          </cell>
          <cell r="H969">
            <v>0.65</v>
          </cell>
        </row>
        <row r="970">
          <cell r="A970" t="str">
            <v>2018PA</v>
          </cell>
          <cell r="B970">
            <v>2018</v>
          </cell>
          <cell r="C970" t="str">
            <v>EMISTIN BLT 1X20=20COMP</v>
          </cell>
          <cell r="D970" t="str">
            <v>1 BL X 20</v>
          </cell>
          <cell r="E970" t="str">
            <v>PA</v>
          </cell>
          <cell r="F970">
            <v>0.67</v>
          </cell>
          <cell r="G970">
            <v>0</v>
          </cell>
          <cell r="H970">
            <v>0.67</v>
          </cell>
        </row>
        <row r="971">
          <cell r="A971" t="str">
            <v>3008PA</v>
          </cell>
          <cell r="B971">
            <v>3008</v>
          </cell>
          <cell r="C971" t="str">
            <v>EMISTIN CR BG C/20G</v>
          </cell>
          <cell r="D971" t="str">
            <v>BISN X 20 G</v>
          </cell>
          <cell r="E971" t="str">
            <v>PA</v>
          </cell>
          <cell r="F971">
            <v>0.77</v>
          </cell>
          <cell r="G971">
            <v>0</v>
          </cell>
          <cell r="H971">
            <v>0.77</v>
          </cell>
        </row>
        <row r="972">
          <cell r="A972" t="str">
            <v>3020PA</v>
          </cell>
          <cell r="B972">
            <v>3020</v>
          </cell>
          <cell r="C972" t="str">
            <v>EMSCORT CR BG C/30G</v>
          </cell>
          <cell r="D972" t="str">
            <v>BISN X 30 G</v>
          </cell>
          <cell r="E972" t="str">
            <v>PA</v>
          </cell>
          <cell r="F972">
            <v>0.77000000000000013</v>
          </cell>
          <cell r="G972">
            <v>0</v>
          </cell>
          <cell r="H972">
            <v>0.77000000000000013</v>
          </cell>
        </row>
        <row r="973">
          <cell r="A973" t="str">
            <v>6023PA</v>
          </cell>
          <cell r="B973">
            <v>6023</v>
          </cell>
          <cell r="C973" t="str">
            <v>EMSCORT POM BISN 30G-E</v>
          </cell>
          <cell r="D973" t="str">
            <v>BISN X 30 G</v>
          </cell>
          <cell r="E973" t="str">
            <v>PA</v>
          </cell>
          <cell r="F973">
            <v>0.7639999999999999</v>
          </cell>
          <cell r="G973">
            <v>0</v>
          </cell>
          <cell r="H973">
            <v>0.7639999999999999</v>
          </cell>
        </row>
        <row r="974">
          <cell r="A974" t="str">
            <v>1190PA</v>
          </cell>
          <cell r="B974">
            <v>1190</v>
          </cell>
          <cell r="C974" t="str">
            <v>EMSEXPECTOR XAROPE FR C/120ML - E</v>
          </cell>
          <cell r="D974" t="str">
            <v>FR X 120 ML</v>
          </cell>
          <cell r="E974" t="str">
            <v>PA</v>
          </cell>
          <cell r="F974">
            <v>0.48</v>
          </cell>
          <cell r="G974">
            <v>0</v>
          </cell>
          <cell r="H974">
            <v>0.48</v>
          </cell>
        </row>
        <row r="975">
          <cell r="A975" t="str">
            <v>2111PA</v>
          </cell>
          <cell r="B975">
            <v>2111</v>
          </cell>
          <cell r="C975" t="str">
            <v>ENDCOFF PAST MEL ELIMAO C/12UN</v>
          </cell>
          <cell r="D975" t="str">
            <v>3 STP X 4</v>
          </cell>
          <cell r="E975" t="str">
            <v>PA</v>
          </cell>
          <cell r="F975">
            <v>0.48</v>
          </cell>
          <cell r="G975">
            <v>0</v>
          </cell>
          <cell r="H975">
            <v>0.48</v>
          </cell>
        </row>
        <row r="976">
          <cell r="A976" t="str">
            <v>2092PA</v>
          </cell>
          <cell r="B976">
            <v>2092</v>
          </cell>
          <cell r="C976" t="str">
            <v>ENDCOFF PAST STP MENTA C/12 UN</v>
          </cell>
          <cell r="D976" t="str">
            <v>3 STP X 4</v>
          </cell>
          <cell r="E976" t="str">
            <v>PA</v>
          </cell>
          <cell r="F976">
            <v>0.48</v>
          </cell>
          <cell r="G976">
            <v>0</v>
          </cell>
          <cell r="H976">
            <v>0.48</v>
          </cell>
        </row>
        <row r="977">
          <cell r="A977" t="str">
            <v>1905PA</v>
          </cell>
          <cell r="B977">
            <v>1905</v>
          </cell>
          <cell r="C977" t="str">
            <v>ESMOG 20MG 4BLTC/7 COM REV LIB RETARD- E</v>
          </cell>
          <cell r="D977" t="str">
            <v>4 BLT C/7</v>
          </cell>
          <cell r="E977" t="str">
            <v>PA</v>
          </cell>
          <cell r="F977">
            <v>0.77800000000000002</v>
          </cell>
          <cell r="G977">
            <v>0</v>
          </cell>
          <cell r="H977">
            <v>0.77800000000000002</v>
          </cell>
        </row>
        <row r="978">
          <cell r="A978" t="str">
            <v>1906PA</v>
          </cell>
          <cell r="B978">
            <v>1906</v>
          </cell>
          <cell r="C978" t="str">
            <v>ESMOG 40MG 4BLTC/7 COM REV LIB RETARD- E</v>
          </cell>
          <cell r="D978" t="str">
            <v>4 BLT C/7</v>
          </cell>
          <cell r="E978" t="str">
            <v>PA</v>
          </cell>
          <cell r="F978">
            <v>0.8</v>
          </cell>
          <cell r="G978">
            <v>0</v>
          </cell>
          <cell r="H978">
            <v>0.8</v>
          </cell>
        </row>
        <row r="979">
          <cell r="A979" t="str">
            <v>1016PA</v>
          </cell>
          <cell r="B979">
            <v>1016</v>
          </cell>
          <cell r="C979" t="str">
            <v>EXPECTUSS XPE ADULTO FR C/100ML</v>
          </cell>
          <cell r="D979" t="str">
            <v>FR X 100 ML</v>
          </cell>
          <cell r="E979" t="str">
            <v>PA</v>
          </cell>
          <cell r="F979">
            <v>0.55000000000000016</v>
          </cell>
          <cell r="G979">
            <v>0</v>
          </cell>
          <cell r="H979">
            <v>0.55000000000000016</v>
          </cell>
        </row>
        <row r="980">
          <cell r="A980" t="str">
            <v>1015PA</v>
          </cell>
          <cell r="B980">
            <v>1015</v>
          </cell>
          <cell r="C980" t="str">
            <v>EXPECTUSS XPE INF FR C/100ML</v>
          </cell>
          <cell r="D980" t="str">
            <v>FR X 100 ML</v>
          </cell>
          <cell r="E980" t="str">
            <v>PA</v>
          </cell>
          <cell r="F980">
            <v>0.5099999999999999</v>
          </cell>
          <cell r="G980">
            <v>0</v>
          </cell>
          <cell r="H980">
            <v>0.5099999999999999</v>
          </cell>
        </row>
        <row r="981">
          <cell r="A981" t="str">
            <v>1363PA</v>
          </cell>
          <cell r="B981">
            <v>1363</v>
          </cell>
          <cell r="C981" t="str">
            <v>FLUITEINA 600MG GRAN 16ENV 5G-E</v>
          </cell>
          <cell r="D981" t="str">
            <v>CX. C/16 ENV X 5GR</v>
          </cell>
          <cell r="E981" t="str">
            <v>PA</v>
          </cell>
          <cell r="F981">
            <v>0.42999999999999994</v>
          </cell>
          <cell r="G981">
            <v>0</v>
          </cell>
          <cell r="H981">
            <v>0.42999999999999994</v>
          </cell>
        </row>
        <row r="982">
          <cell r="A982" t="str">
            <v>1364PA</v>
          </cell>
          <cell r="B982">
            <v>1364</v>
          </cell>
          <cell r="C982" t="str">
            <v>FLUITEINA XPE AD 40MG/ML120ML-E</v>
          </cell>
          <cell r="D982" t="str">
            <v>FR X 120 ML</v>
          </cell>
          <cell r="E982" t="str">
            <v>PA</v>
          </cell>
          <cell r="F982">
            <v>0.56999999999999973</v>
          </cell>
          <cell r="G982">
            <v>0</v>
          </cell>
          <cell r="H982">
            <v>0.56999999999999973</v>
          </cell>
        </row>
        <row r="983">
          <cell r="A983" t="str">
            <v>1163PA</v>
          </cell>
          <cell r="B983">
            <v>1163</v>
          </cell>
          <cell r="C983" t="str">
            <v>FLUITEINA XPE INF 20MG/ML 120ML-E</v>
          </cell>
          <cell r="D983" t="str">
            <v>FR X 120 ML</v>
          </cell>
          <cell r="E983" t="str">
            <v>PA</v>
          </cell>
          <cell r="F983">
            <v>0.51900000000000002</v>
          </cell>
          <cell r="G983">
            <v>0</v>
          </cell>
          <cell r="H983">
            <v>0.51900000000000002</v>
          </cell>
        </row>
        <row r="984">
          <cell r="A984" t="str">
            <v>1168PA</v>
          </cell>
          <cell r="B984">
            <v>1168</v>
          </cell>
          <cell r="C984" t="str">
            <v>FOLIFOLIN 5MG 2BLTX15COMP - E</v>
          </cell>
          <cell r="D984" t="str">
            <v>2 BLT X 15 COMP.</v>
          </cell>
          <cell r="E984" t="str">
            <v>PA</v>
          </cell>
          <cell r="F984">
            <v>0.66</v>
          </cell>
          <cell r="G984">
            <v>0</v>
          </cell>
          <cell r="H984">
            <v>0.66</v>
          </cell>
        </row>
        <row r="985">
          <cell r="A985" t="str">
            <v>2318PA</v>
          </cell>
          <cell r="B985">
            <v>2318</v>
          </cell>
          <cell r="C985" t="str">
            <v>GEROVITAL  2BLT15 CAP MOLE-E</v>
          </cell>
          <cell r="D985" t="str">
            <v>3 BL X 10</v>
          </cell>
          <cell r="E985" t="str">
            <v>PA</v>
          </cell>
          <cell r="F985">
            <v>0.57899999999999996</v>
          </cell>
          <cell r="G985">
            <v>0</v>
          </cell>
          <cell r="H985">
            <v>0.57899999999999996</v>
          </cell>
        </row>
        <row r="986">
          <cell r="A986" t="str">
            <v>2062PA</v>
          </cell>
          <cell r="B986">
            <v>2062</v>
          </cell>
          <cell r="C986" t="str">
            <v>GEROVITAL 3BLT C/20 CAP</v>
          </cell>
          <cell r="D986" t="str">
            <v>6 BL X 10</v>
          </cell>
          <cell r="E986" t="str">
            <v>PA</v>
          </cell>
          <cell r="F986">
            <v>0.48100000000000004</v>
          </cell>
          <cell r="G986">
            <v>0</v>
          </cell>
          <cell r="H986">
            <v>0.48100000000000004</v>
          </cell>
        </row>
        <row r="987">
          <cell r="A987" t="str">
            <v>1230PA</v>
          </cell>
          <cell r="B987">
            <v>1230</v>
          </cell>
          <cell r="C987" t="str">
            <v>IBULIV 100MG/ML SUP ORAL C/ 20 ML-E</v>
          </cell>
          <cell r="D987" t="str">
            <v>FR X 20 ML</v>
          </cell>
          <cell r="E987" t="str">
            <v>PA</v>
          </cell>
          <cell r="F987">
            <v>0.68000000000000016</v>
          </cell>
          <cell r="G987">
            <v>0</v>
          </cell>
          <cell r="H987">
            <v>0.68000000000000016</v>
          </cell>
        </row>
        <row r="988">
          <cell r="A988" t="str">
            <v>1472PA</v>
          </cell>
          <cell r="B988">
            <v>1472</v>
          </cell>
          <cell r="C988" t="str">
            <v>IBULIV 400MG 10 BLT C/ 4CAPS GEL.MOLES-E</v>
          </cell>
          <cell r="D988" t="str">
            <v>10 BLT X 4 CÁPS</v>
          </cell>
          <cell r="E988" t="str">
            <v>PA</v>
          </cell>
          <cell r="F988">
            <v>0.71000000000000019</v>
          </cell>
          <cell r="G988">
            <v>0</v>
          </cell>
          <cell r="H988">
            <v>0.71000000000000019</v>
          </cell>
        </row>
        <row r="989">
          <cell r="A989" t="str">
            <v>2469PA</v>
          </cell>
          <cell r="B989">
            <v>2469</v>
          </cell>
          <cell r="C989" t="str">
            <v>IBULIV 400MG 2 BLT C/ 10CAPS GEL.MOLES-E</v>
          </cell>
          <cell r="D989" t="str">
            <v>20 CÁPS.</v>
          </cell>
          <cell r="E989" t="str">
            <v>PA</v>
          </cell>
          <cell r="F989">
            <v>0.71</v>
          </cell>
          <cell r="G989">
            <v>0</v>
          </cell>
          <cell r="H989">
            <v>0.71</v>
          </cell>
        </row>
        <row r="990">
          <cell r="A990" t="str">
            <v>1471PA</v>
          </cell>
          <cell r="B990">
            <v>1471</v>
          </cell>
          <cell r="C990" t="str">
            <v>IBULIV 400MG 2 BLT C/ 4CAPS GEL.MOLES-E</v>
          </cell>
          <cell r="D990" t="str">
            <v>2 BLT X 4 CÁPS.</v>
          </cell>
          <cell r="E990" t="str">
            <v>PA</v>
          </cell>
          <cell r="F990">
            <v>0.71</v>
          </cell>
          <cell r="G990">
            <v>0</v>
          </cell>
          <cell r="H990">
            <v>0.71</v>
          </cell>
        </row>
        <row r="991">
          <cell r="A991" t="str">
            <v>1175PA</v>
          </cell>
          <cell r="B991">
            <v>1175</v>
          </cell>
          <cell r="C991" t="str">
            <v>INFRALAX 1BLT C/15COMP - EMS</v>
          </cell>
          <cell r="D991" t="str">
            <v>1 BLT C/ 15</v>
          </cell>
          <cell r="E991" t="str">
            <v>PA</v>
          </cell>
          <cell r="F991">
            <v>0.74280000000000002</v>
          </cell>
          <cell r="G991">
            <v>0</v>
          </cell>
          <cell r="H991">
            <v>0.74280000000000002</v>
          </cell>
        </row>
        <row r="992">
          <cell r="A992" t="str">
            <v>1821PA</v>
          </cell>
          <cell r="B992">
            <v>1821</v>
          </cell>
          <cell r="C992" t="str">
            <v>INFRALAX 20BLTX10COMP - E</v>
          </cell>
          <cell r="D992" t="str">
            <v>20 BLT X 10</v>
          </cell>
          <cell r="E992" t="str">
            <v>PA</v>
          </cell>
          <cell r="F992">
            <v>0.81</v>
          </cell>
          <cell r="G992">
            <v>0</v>
          </cell>
          <cell r="H992">
            <v>0.81</v>
          </cell>
        </row>
        <row r="993">
          <cell r="A993" t="str">
            <v>2138PA</v>
          </cell>
          <cell r="B993">
            <v>2138</v>
          </cell>
          <cell r="C993" t="str">
            <v>INFRALAX 2BLT C/15COMP - EMS</v>
          </cell>
          <cell r="D993" t="str">
            <v>2 BL X 15</v>
          </cell>
          <cell r="E993" t="str">
            <v>PA</v>
          </cell>
          <cell r="F993">
            <v>0.74650000000000005</v>
          </cell>
          <cell r="G993">
            <v>0</v>
          </cell>
          <cell r="H993">
            <v>0.74650000000000005</v>
          </cell>
        </row>
        <row r="994">
          <cell r="A994" t="str">
            <v>6011PA</v>
          </cell>
          <cell r="B994">
            <v>6011</v>
          </cell>
          <cell r="C994" t="str">
            <v>NARIDRIN 12HS GOTAS FR C/30ML</v>
          </cell>
          <cell r="D994" t="str">
            <v>FR X 30 ML</v>
          </cell>
          <cell r="E994" t="str">
            <v>PA</v>
          </cell>
          <cell r="F994">
            <v>0.74</v>
          </cell>
          <cell r="G994">
            <v>0</v>
          </cell>
          <cell r="H994">
            <v>0.74</v>
          </cell>
        </row>
        <row r="995">
          <cell r="A995" t="str">
            <v>2604PA</v>
          </cell>
          <cell r="B995">
            <v>2604</v>
          </cell>
          <cell r="C995" t="str">
            <v>NARIDRIN ALTO VOL 30ENVX2,16G+FR240ML</v>
          </cell>
          <cell r="D995" t="str">
            <v>30ENVX2,16G+FR240ML</v>
          </cell>
          <cell r="E995" t="str">
            <v>PA</v>
          </cell>
          <cell r="F995">
            <v>0.64</v>
          </cell>
          <cell r="G995">
            <v>0</v>
          </cell>
          <cell r="H995">
            <v>0.64</v>
          </cell>
        </row>
        <row r="996">
          <cell r="A996" t="str">
            <v>2605PA</v>
          </cell>
          <cell r="B996">
            <v>2605</v>
          </cell>
          <cell r="C996" t="str">
            <v>NARIDRIN ALTO VOL REFIL</v>
          </cell>
          <cell r="D996" t="str">
            <v>30 ENV X 2,16G</v>
          </cell>
          <cell r="E996" t="str">
            <v>PA</v>
          </cell>
          <cell r="F996">
            <v>0.59999999999999987</v>
          </cell>
          <cell r="G996">
            <v>0</v>
          </cell>
          <cell r="H996">
            <v>0.59999999999999987</v>
          </cell>
        </row>
        <row r="997">
          <cell r="A997" t="str">
            <v>1433PA</v>
          </cell>
          <cell r="B997">
            <v>1433</v>
          </cell>
          <cell r="C997" t="str">
            <v>NARIDRIN AQUA 9MG/ML FRASCO C/50ML-E</v>
          </cell>
          <cell r="D997" t="str">
            <v>FR X 50 ML SPRAY</v>
          </cell>
          <cell r="E997" t="str">
            <v>PA</v>
          </cell>
          <cell r="F997">
            <v>0.71</v>
          </cell>
          <cell r="G997">
            <v>0</v>
          </cell>
          <cell r="H997">
            <v>0.71</v>
          </cell>
        </row>
        <row r="998">
          <cell r="A998" t="str">
            <v>6005PA</v>
          </cell>
          <cell r="B998">
            <v>6005</v>
          </cell>
          <cell r="C998" t="str">
            <v>NARIDRIN GOTAS AD FR C/15ML</v>
          </cell>
          <cell r="D998" t="str">
            <v>FR X 15 ML</v>
          </cell>
          <cell r="E998" t="str">
            <v>PA</v>
          </cell>
          <cell r="F998">
            <v>0.74</v>
          </cell>
          <cell r="G998">
            <v>0</v>
          </cell>
          <cell r="H998">
            <v>0.74</v>
          </cell>
        </row>
        <row r="999">
          <cell r="A999" t="str">
            <v>6006PA</v>
          </cell>
          <cell r="B999">
            <v>6006</v>
          </cell>
          <cell r="C999" t="str">
            <v>NARIDRIN GOTAS INF FR C/15ML</v>
          </cell>
          <cell r="D999" t="str">
            <v>FR X 15 ML</v>
          </cell>
          <cell r="E999" t="str">
            <v>PA</v>
          </cell>
          <cell r="F999">
            <v>0.72999999999999987</v>
          </cell>
          <cell r="G999">
            <v>0</v>
          </cell>
          <cell r="H999">
            <v>0.72999999999999987</v>
          </cell>
        </row>
        <row r="1000">
          <cell r="A1000" t="str">
            <v>1079PA</v>
          </cell>
          <cell r="B1000">
            <v>1079</v>
          </cell>
          <cell r="C1000" t="str">
            <v>NARIDRIN H 30MG/ML SOL.NAS SPRAY 60ML-E</v>
          </cell>
          <cell r="D1000" t="str">
            <v>FRASCO X 60ML</v>
          </cell>
          <cell r="E1000" t="str">
            <v>PA</v>
          </cell>
          <cell r="F1000">
            <v>0.7</v>
          </cell>
          <cell r="G1000">
            <v>0</v>
          </cell>
          <cell r="H1000">
            <v>0.7</v>
          </cell>
        </row>
        <row r="1001">
          <cell r="A1001" t="str">
            <v>1368PA</v>
          </cell>
          <cell r="B1001">
            <v>1368</v>
          </cell>
          <cell r="C1001" t="str">
            <v>NIMESILAM BLT 1X12= 12 COM - E</v>
          </cell>
          <cell r="D1001" t="str">
            <v>1 BLT X 12</v>
          </cell>
          <cell r="E1001" t="str">
            <v>PA</v>
          </cell>
          <cell r="F1001">
            <v>0.89999999999999991</v>
          </cell>
          <cell r="G1001">
            <v>0</v>
          </cell>
          <cell r="H1001">
            <v>0.89999999999999991</v>
          </cell>
        </row>
        <row r="1002">
          <cell r="A1002" t="str">
            <v>1367PA</v>
          </cell>
          <cell r="B1002">
            <v>1367</v>
          </cell>
          <cell r="C1002" t="str">
            <v>NIMESILAM GOTAS FRC/15ML  - E</v>
          </cell>
          <cell r="D1002" t="str">
            <v>FR 15 ML</v>
          </cell>
          <cell r="E1002" t="str">
            <v>PA</v>
          </cell>
          <cell r="F1002">
            <v>0.73</v>
          </cell>
          <cell r="G1002">
            <v>0</v>
          </cell>
          <cell r="H1002">
            <v>0.73</v>
          </cell>
        </row>
        <row r="1003">
          <cell r="A1003" t="str">
            <v>2058PA</v>
          </cell>
          <cell r="B1003">
            <v>2058</v>
          </cell>
          <cell r="C1003" t="str">
            <v>NOCICLIN 1BLT C/21COM-EMS</v>
          </cell>
          <cell r="D1003" t="str">
            <v>1 BL X 21</v>
          </cell>
          <cell r="E1003" t="str">
            <v>PA</v>
          </cell>
          <cell r="F1003">
            <v>0.68</v>
          </cell>
          <cell r="G1003">
            <v>0</v>
          </cell>
          <cell r="H1003">
            <v>0.68</v>
          </cell>
        </row>
        <row r="1004">
          <cell r="A1004" t="str">
            <v>2391PA</v>
          </cell>
          <cell r="B1004">
            <v>2391</v>
          </cell>
          <cell r="C1004" t="str">
            <v>RUDITE 20MG/ML PO SUS 100ML-E</v>
          </cell>
          <cell r="D1004" t="str">
            <v>FR X 100 ML</v>
          </cell>
          <cell r="E1004" t="str">
            <v>PA</v>
          </cell>
          <cell r="F1004">
            <v>0.59899999999999998</v>
          </cell>
          <cell r="G1004">
            <v>0</v>
          </cell>
          <cell r="H1004">
            <v>0.59899999999999998</v>
          </cell>
        </row>
        <row r="1005">
          <cell r="A1005" t="str">
            <v>2392PA</v>
          </cell>
          <cell r="B1005">
            <v>2392</v>
          </cell>
          <cell r="C1005" t="str">
            <v>RUDITE 20MG/ML PO SUS 45ML-E</v>
          </cell>
          <cell r="D1005" t="str">
            <v>FR X 45 ML</v>
          </cell>
          <cell r="E1005" t="str">
            <v>PA</v>
          </cell>
          <cell r="F1005">
            <v>0.58999999999999986</v>
          </cell>
          <cell r="G1005">
            <v>0</v>
          </cell>
          <cell r="H1005">
            <v>0.58999999999999986</v>
          </cell>
        </row>
        <row r="1006">
          <cell r="A1006" t="str">
            <v>2390PA</v>
          </cell>
          <cell r="B1006">
            <v>2390</v>
          </cell>
          <cell r="C1006" t="str">
            <v>RUDITE(C1)500MG C/6 COM REV-E</v>
          </cell>
          <cell r="D1006" t="str">
            <v>1 BLT X 6</v>
          </cell>
          <cell r="E1006" t="str">
            <v>PA</v>
          </cell>
          <cell r="F1006">
            <v>0.7</v>
          </cell>
          <cell r="G1006">
            <v>0</v>
          </cell>
          <cell r="H1006">
            <v>0.7</v>
          </cell>
        </row>
        <row r="1007">
          <cell r="A1007" t="str">
            <v>2398PA</v>
          </cell>
          <cell r="B1007">
            <v>2398</v>
          </cell>
          <cell r="C1007" t="str">
            <v>SOMINEX COMPOS OTC CPR REVEST x 20</v>
          </cell>
          <cell r="D1007" t="str">
            <v>2 BL X 10</v>
          </cell>
          <cell r="E1007" t="str">
            <v>PA</v>
          </cell>
          <cell r="F1007">
            <v>0.68899999999999995</v>
          </cell>
          <cell r="G1007">
            <v>0</v>
          </cell>
          <cell r="H1007">
            <v>0.68899999999999995</v>
          </cell>
        </row>
        <row r="1008">
          <cell r="A1008" t="str">
            <v>1818PA</v>
          </cell>
          <cell r="B1008">
            <v>1818</v>
          </cell>
          <cell r="C1008" t="str">
            <v>SUPLEVIT MULHER VIT. 2BLT C/15 CAP.GEL-E</v>
          </cell>
          <cell r="D1008" t="str">
            <v>2 BLT C/15</v>
          </cell>
          <cell r="E1008" t="str">
            <v>PA</v>
          </cell>
          <cell r="F1008">
            <v>0.82</v>
          </cell>
          <cell r="G1008">
            <v>0</v>
          </cell>
          <cell r="H1008">
            <v>0.82</v>
          </cell>
        </row>
        <row r="1009">
          <cell r="A1009" t="str">
            <v>1819PA</v>
          </cell>
          <cell r="B1009">
            <v>1819</v>
          </cell>
          <cell r="C1009" t="str">
            <v>SUPLEVIT MULHER VIT. 4BLT C/15 CAP.GEL-E</v>
          </cell>
          <cell r="D1009" t="str">
            <v>4 BLT C/15</v>
          </cell>
          <cell r="E1009" t="str">
            <v>PA</v>
          </cell>
          <cell r="F1009">
            <v>0.81999999999999984</v>
          </cell>
          <cell r="G1009">
            <v>0</v>
          </cell>
          <cell r="H1009">
            <v>0.81999999999999984</v>
          </cell>
        </row>
        <row r="1010">
          <cell r="A1010" t="str">
            <v>2036PA</v>
          </cell>
          <cell r="B1010">
            <v>2036</v>
          </cell>
          <cell r="C1010" t="str">
            <v>VITAFER FR C/50 COMP-E</v>
          </cell>
          <cell r="D1010" t="str">
            <v>FR X 50</v>
          </cell>
          <cell r="E1010" t="str">
            <v>PA</v>
          </cell>
          <cell r="F1010">
            <v>0.52999999999999992</v>
          </cell>
          <cell r="G1010">
            <v>0</v>
          </cell>
          <cell r="H1010">
            <v>0.52999999999999992</v>
          </cell>
        </row>
        <row r="1011">
          <cell r="A1011" t="str">
            <v>60000PB</v>
          </cell>
          <cell r="B1011">
            <v>60000</v>
          </cell>
          <cell r="C1011" t="str">
            <v>A SAUDE DA MULHER 150ML SOLUCAO</v>
          </cell>
          <cell r="D1011" t="str">
            <v>FR X 150 ML</v>
          </cell>
          <cell r="E1011" t="str">
            <v>PB</v>
          </cell>
          <cell r="F1011">
            <v>0.26999999999999996</v>
          </cell>
          <cell r="G1011">
            <v>0</v>
          </cell>
          <cell r="H1011">
            <v>0.26999999999999996</v>
          </cell>
        </row>
        <row r="1012">
          <cell r="A1012" t="str">
            <v>2256PB</v>
          </cell>
          <cell r="B1012">
            <v>2256</v>
          </cell>
          <cell r="C1012" t="str">
            <v>ALLEXOFEDRIN 120MG 1BLTC/10 COM REV-E</v>
          </cell>
          <cell r="D1012" t="str">
            <v>1 BL X 10 COMP REVEST</v>
          </cell>
          <cell r="E1012" t="str">
            <v>PB</v>
          </cell>
          <cell r="F1012">
            <v>0.75</v>
          </cell>
          <cell r="G1012">
            <v>0</v>
          </cell>
          <cell r="H1012">
            <v>0.75</v>
          </cell>
        </row>
        <row r="1013">
          <cell r="A1013" t="str">
            <v>2255PB</v>
          </cell>
          <cell r="B1013">
            <v>2255</v>
          </cell>
          <cell r="C1013" t="str">
            <v>ALLEXOFEDRIN 180MG 1BLTC/10 COM REV-E</v>
          </cell>
          <cell r="D1013" t="str">
            <v>1 BL X 10 COMP REVEST</v>
          </cell>
          <cell r="E1013" t="str">
            <v>PB</v>
          </cell>
          <cell r="F1013">
            <v>0.74999999999999989</v>
          </cell>
          <cell r="G1013">
            <v>0</v>
          </cell>
          <cell r="H1013">
            <v>0.74999999999999989</v>
          </cell>
        </row>
        <row r="1014">
          <cell r="A1014" t="str">
            <v>2133PB</v>
          </cell>
          <cell r="B1014">
            <v>2133</v>
          </cell>
          <cell r="C1014" t="str">
            <v>ALLEXOFEDRIN D 60+120MG 1BLT C/10C.REV</v>
          </cell>
          <cell r="D1014" t="str">
            <v>1 BL X 10 COMP REVEST</v>
          </cell>
          <cell r="E1014" t="str">
            <v>PB</v>
          </cell>
          <cell r="F1014">
            <v>0.26</v>
          </cell>
          <cell r="G1014">
            <v>0</v>
          </cell>
          <cell r="H1014">
            <v>0.26</v>
          </cell>
        </row>
        <row r="1015">
          <cell r="A1015" t="str">
            <v>1066AL</v>
          </cell>
          <cell r="B1015">
            <v>1066</v>
          </cell>
          <cell r="C1015" t="str">
            <v>CELERGIN XPE 120ML-E</v>
          </cell>
          <cell r="D1015" t="str">
            <v>FR X 120 ML</v>
          </cell>
          <cell r="E1015" t="str">
            <v>AL</v>
          </cell>
          <cell r="F1015">
            <v>0.71730000000000005</v>
          </cell>
          <cell r="G1015">
            <v>0</v>
          </cell>
          <cell r="H1015">
            <v>0.71730000000000005</v>
          </cell>
        </row>
        <row r="1016">
          <cell r="A1016" t="str">
            <v>2347PB</v>
          </cell>
          <cell r="B1016">
            <v>2347</v>
          </cell>
          <cell r="C1016" t="str">
            <v>ALLEXOFEDRIN PEDIATRICO6MG/MLSUS150 ML-E</v>
          </cell>
          <cell r="D1016" t="str">
            <v>6MG/MLSUS150 ML-E</v>
          </cell>
          <cell r="E1016" t="str">
            <v>PB</v>
          </cell>
          <cell r="F1016">
            <v>0.60909999999999997</v>
          </cell>
          <cell r="G1016">
            <v>0</v>
          </cell>
          <cell r="H1016">
            <v>0.60909999999999997</v>
          </cell>
        </row>
        <row r="1017">
          <cell r="A1017" t="str">
            <v>2190PB</v>
          </cell>
          <cell r="B1017">
            <v>2190</v>
          </cell>
          <cell r="C1017" t="str">
            <v>ANTIVIRAX 400MG 2BLTX15 COM - E</v>
          </cell>
          <cell r="D1017" t="str">
            <v>2 BL X 15</v>
          </cell>
          <cell r="E1017" t="str">
            <v>PB</v>
          </cell>
          <cell r="F1017">
            <v>0.68</v>
          </cell>
          <cell r="G1017">
            <v>0</v>
          </cell>
          <cell r="H1017">
            <v>0.68</v>
          </cell>
        </row>
        <row r="1018">
          <cell r="A1018" t="str">
            <v>3009PB</v>
          </cell>
          <cell r="B1018">
            <v>3009</v>
          </cell>
          <cell r="C1018" t="str">
            <v>ANTIVIRAX CR BG C/10 G</v>
          </cell>
          <cell r="D1018" t="str">
            <v>BISN X 10 G</v>
          </cell>
          <cell r="E1018" t="str">
            <v>PB</v>
          </cell>
          <cell r="F1018">
            <v>0.74999999999999989</v>
          </cell>
          <cell r="G1018">
            <v>0</v>
          </cell>
          <cell r="H1018">
            <v>0.74999999999999989</v>
          </cell>
        </row>
        <row r="1019">
          <cell r="A1019" t="str">
            <v>1001PB</v>
          </cell>
          <cell r="B1019">
            <v>1001</v>
          </cell>
          <cell r="C1019" t="str">
            <v>APEVITIN BC XPE FRC/240ML</v>
          </cell>
          <cell r="D1019" t="str">
            <v>FR X 240 ML</v>
          </cell>
          <cell r="E1019" t="str">
            <v>PB</v>
          </cell>
          <cell r="F1019">
            <v>0.80710000000000004</v>
          </cell>
          <cell r="G1019">
            <v>0</v>
          </cell>
          <cell r="H1019">
            <v>0.80710000000000004</v>
          </cell>
        </row>
        <row r="1020">
          <cell r="A1020" t="str">
            <v>1226PB</v>
          </cell>
          <cell r="B1020">
            <v>1226</v>
          </cell>
          <cell r="C1020" t="str">
            <v>BENZIFLEX 10MG 1BLX15COMP.REV-E</v>
          </cell>
          <cell r="D1020" t="str">
            <v>1 BL X 15 COMP.</v>
          </cell>
          <cell r="E1020" t="str">
            <v>PB</v>
          </cell>
          <cell r="F1020">
            <v>0.71</v>
          </cell>
          <cell r="G1020">
            <v>0</v>
          </cell>
          <cell r="H1020">
            <v>0.71</v>
          </cell>
        </row>
        <row r="1021">
          <cell r="A1021" t="str">
            <v>1227PB</v>
          </cell>
          <cell r="B1021">
            <v>1227</v>
          </cell>
          <cell r="C1021" t="str">
            <v>BENZIFLEX 10MG 2BLX15COMP.REV-E</v>
          </cell>
          <cell r="D1021" t="str">
            <v>2 BL X 15 COMP.</v>
          </cell>
          <cell r="E1021" t="str">
            <v>PB</v>
          </cell>
          <cell r="F1021">
            <v>0.71</v>
          </cell>
          <cell r="G1021">
            <v>0</v>
          </cell>
          <cell r="H1021">
            <v>0.71</v>
          </cell>
        </row>
        <row r="1022">
          <cell r="A1022" t="str">
            <v>1233PB</v>
          </cell>
          <cell r="B1022">
            <v>1233</v>
          </cell>
          <cell r="C1022" t="str">
            <v>BENZIFLEX 5MG 2BLX15COMP.REV-E</v>
          </cell>
          <cell r="D1022" t="str">
            <v>2 BL X 15 COMP.</v>
          </cell>
          <cell r="E1022" t="str">
            <v>PB</v>
          </cell>
          <cell r="F1022">
            <v>0.71</v>
          </cell>
          <cell r="G1022">
            <v>0</v>
          </cell>
          <cell r="H1022">
            <v>0.71</v>
          </cell>
        </row>
        <row r="1023">
          <cell r="A1023" t="str">
            <v>1574PB</v>
          </cell>
          <cell r="B1023">
            <v>1574</v>
          </cell>
          <cell r="C1023" t="str">
            <v>BENZIFLEX LIS 125MG+5MG 15COM.REV.-E</v>
          </cell>
          <cell r="D1023" t="str">
            <v>1 BL X 15 COMP.</v>
          </cell>
          <cell r="E1023" t="str">
            <v>PB</v>
          </cell>
          <cell r="F1023">
            <v>0.5</v>
          </cell>
          <cell r="G1023">
            <v>0</v>
          </cell>
          <cell r="H1023">
            <v>0.5</v>
          </cell>
        </row>
        <row r="1024">
          <cell r="A1024" t="str">
            <v>2292PB</v>
          </cell>
          <cell r="B1024">
            <v>2292</v>
          </cell>
          <cell r="C1024" t="str">
            <v>BENZIFLEX LIS 125MG+5MG 2BL15 COM.REV.-E</v>
          </cell>
          <cell r="D1024" t="str">
            <v>2 BL X 15 COMP.</v>
          </cell>
          <cell r="E1024" t="str">
            <v>PB</v>
          </cell>
          <cell r="F1024">
            <v>0.53</v>
          </cell>
          <cell r="G1024">
            <v>0</v>
          </cell>
          <cell r="H1024">
            <v>0.53</v>
          </cell>
        </row>
        <row r="1025">
          <cell r="A1025" t="str">
            <v>1155PB</v>
          </cell>
          <cell r="B1025">
            <v>1155</v>
          </cell>
          <cell r="C1025" t="str">
            <v>BIOFLADEX AEROSSOL 60G- E</v>
          </cell>
          <cell r="D1025" t="str">
            <v>FRASCO 60 G</v>
          </cell>
          <cell r="E1025" t="str">
            <v>PB</v>
          </cell>
          <cell r="F1025">
            <v>0.66</v>
          </cell>
          <cell r="G1025">
            <v>0</v>
          </cell>
          <cell r="H1025">
            <v>0.66</v>
          </cell>
        </row>
        <row r="1026">
          <cell r="A1026" t="str">
            <v>1072PB</v>
          </cell>
          <cell r="B1026">
            <v>1072</v>
          </cell>
          <cell r="C1026" t="str">
            <v>BISURAN 4MG/5ML XPE INF 120ML-E</v>
          </cell>
          <cell r="D1026" t="str">
            <v>FR X 120 ML</v>
          </cell>
          <cell r="E1026" t="str">
            <v>PB</v>
          </cell>
          <cell r="F1026">
            <v>0.53</v>
          </cell>
          <cell r="G1026">
            <v>0</v>
          </cell>
          <cell r="H1026">
            <v>0.53</v>
          </cell>
        </row>
        <row r="1027">
          <cell r="A1027" t="str">
            <v>1318PB</v>
          </cell>
          <cell r="B1027">
            <v>1318</v>
          </cell>
          <cell r="C1027" t="str">
            <v>BISURAN 8MG/5ML XPE AD. 120ML-E</v>
          </cell>
          <cell r="D1027" t="str">
            <v>FR X 120 ML</v>
          </cell>
          <cell r="E1027" t="str">
            <v>PB</v>
          </cell>
          <cell r="F1027">
            <v>0.61999999999999988</v>
          </cell>
          <cell r="G1027">
            <v>0</v>
          </cell>
          <cell r="H1027">
            <v>0.61999999999999988</v>
          </cell>
        </row>
        <row r="1028">
          <cell r="A1028" t="str">
            <v>2141PB</v>
          </cell>
          <cell r="B1028">
            <v>2141</v>
          </cell>
          <cell r="C1028" t="str">
            <v>CELERGIN 20 COMP-E</v>
          </cell>
          <cell r="D1028" t="str">
            <v>CX. C/20 COMP.</v>
          </cell>
          <cell r="E1028" t="str">
            <v>PB</v>
          </cell>
          <cell r="F1028">
            <v>0.65649999999999986</v>
          </cell>
          <cell r="G1028">
            <v>0</v>
          </cell>
          <cell r="H1028">
            <v>0.65649999999999986</v>
          </cell>
        </row>
        <row r="1029">
          <cell r="A1029" t="str">
            <v>1066AM</v>
          </cell>
          <cell r="B1029">
            <v>1066</v>
          </cell>
          <cell r="C1029" t="str">
            <v>CELERGIN XPE 120ML-E</v>
          </cell>
          <cell r="D1029" t="str">
            <v>FR X 120 ML</v>
          </cell>
          <cell r="E1029" t="str">
            <v>AM</v>
          </cell>
          <cell r="F1029">
            <v>0.66479999999999995</v>
          </cell>
          <cell r="G1029">
            <v>0</v>
          </cell>
          <cell r="H1029">
            <v>0.66479999999999995</v>
          </cell>
        </row>
        <row r="1030">
          <cell r="A1030" t="str">
            <v>2322PB</v>
          </cell>
          <cell r="B1030">
            <v>2322</v>
          </cell>
          <cell r="C1030" t="str">
            <v>CLOPE 3,54MG/ML XPE 120ML FR PLAS-E</v>
          </cell>
          <cell r="D1030" t="str">
            <v>FR X 120 ML</v>
          </cell>
          <cell r="E1030" t="str">
            <v>PB</v>
          </cell>
          <cell r="F1030">
            <v>0.53</v>
          </cell>
          <cell r="G1030">
            <v>0</v>
          </cell>
          <cell r="H1030">
            <v>0.53</v>
          </cell>
        </row>
        <row r="1031">
          <cell r="A1031" t="str">
            <v>2383PB</v>
          </cell>
          <cell r="B1031">
            <v>2383</v>
          </cell>
          <cell r="C1031" t="str">
            <v>COMPLEXO B 12 XPE FR C/120ML E</v>
          </cell>
          <cell r="D1031" t="str">
            <v>FR X 120 ML</v>
          </cell>
          <cell r="E1031" t="str">
            <v>PB</v>
          </cell>
          <cell r="F1031">
            <v>0.67000000000000015</v>
          </cell>
          <cell r="G1031">
            <v>0</v>
          </cell>
          <cell r="H1031">
            <v>0.67000000000000015</v>
          </cell>
        </row>
        <row r="1032">
          <cell r="A1032" t="str">
            <v>2384PB</v>
          </cell>
          <cell r="B1032">
            <v>2384</v>
          </cell>
          <cell r="C1032" t="str">
            <v>COMPLEXO B CPR REVEST x 20</v>
          </cell>
          <cell r="D1032" t="str">
            <v xml:space="preserve">FR X 20 </v>
          </cell>
          <cell r="E1032" t="str">
            <v>PB</v>
          </cell>
          <cell r="F1032">
            <v>0.66000000000000014</v>
          </cell>
          <cell r="G1032">
            <v>0</v>
          </cell>
          <cell r="H1032">
            <v>0.66000000000000014</v>
          </cell>
        </row>
        <row r="1033">
          <cell r="A1033" t="str">
            <v>2382PB</v>
          </cell>
          <cell r="B1033">
            <v>2382</v>
          </cell>
          <cell r="C1033" t="str">
            <v>COMPLEXO B FR C/100 COM REV  E</v>
          </cell>
          <cell r="D1033" t="str">
            <v>FR X 100</v>
          </cell>
          <cell r="E1033" t="str">
            <v>PB</v>
          </cell>
          <cell r="F1033">
            <v>0.64000000000000012</v>
          </cell>
          <cell r="G1033">
            <v>0</v>
          </cell>
          <cell r="H1033">
            <v>0.64000000000000012</v>
          </cell>
        </row>
        <row r="1034">
          <cell r="A1034" t="str">
            <v>2011PB</v>
          </cell>
          <cell r="B1034">
            <v>2011</v>
          </cell>
          <cell r="C1034" t="str">
            <v>CYSTEX FR C/24 DRG</v>
          </cell>
          <cell r="D1034" t="str">
            <v xml:space="preserve">FR X 24 </v>
          </cell>
          <cell r="E1034" t="str">
            <v>PB</v>
          </cell>
          <cell r="F1034">
            <v>0.36070000000000002</v>
          </cell>
          <cell r="G1034">
            <v>0</v>
          </cell>
          <cell r="H1034">
            <v>0.36070000000000002</v>
          </cell>
        </row>
        <row r="1035">
          <cell r="A1035" t="str">
            <v>1837PB</v>
          </cell>
          <cell r="B1035">
            <v>1837</v>
          </cell>
          <cell r="C1035" t="str">
            <v>DIOVASES 450+50MG C/30 COM.REV. - E</v>
          </cell>
          <cell r="D1035" t="str">
            <v>2 BL X 15 COMP.</v>
          </cell>
          <cell r="E1035" t="str">
            <v>PB</v>
          </cell>
          <cell r="F1035">
            <v>0.68</v>
          </cell>
          <cell r="G1035">
            <v>0</v>
          </cell>
          <cell r="H1035">
            <v>0.68</v>
          </cell>
        </row>
        <row r="1036">
          <cell r="A1036" t="str">
            <v>1838PB</v>
          </cell>
          <cell r="B1036">
            <v>1838</v>
          </cell>
          <cell r="C1036" t="str">
            <v>DIOVASES 450+50MG C/60 COM.REV. - E</v>
          </cell>
          <cell r="D1036" t="str">
            <v>4 BL X 15 COMP.</v>
          </cell>
          <cell r="E1036" t="str">
            <v>PB</v>
          </cell>
          <cell r="F1036">
            <v>0.72</v>
          </cell>
          <cell r="G1036">
            <v>0</v>
          </cell>
          <cell r="H1036">
            <v>0.72</v>
          </cell>
        </row>
        <row r="1037">
          <cell r="A1037" t="str">
            <v>2261PB</v>
          </cell>
          <cell r="B1037">
            <v>2261</v>
          </cell>
          <cell r="C1037" t="str">
            <v>DORICIN CPR x 24</v>
          </cell>
          <cell r="D1037" t="str">
            <v>2BL C/12 COMPRIMIDOS -E</v>
          </cell>
          <cell r="E1037" t="str">
            <v>PB</v>
          </cell>
          <cell r="F1037">
            <v>0.74099999999999999</v>
          </cell>
          <cell r="G1037">
            <v>0</v>
          </cell>
          <cell r="H1037">
            <v>0.74099999999999999</v>
          </cell>
        </row>
        <row r="1038">
          <cell r="A1038" t="str">
            <v>2264PB</v>
          </cell>
          <cell r="B1038">
            <v>2264</v>
          </cell>
          <cell r="C1038" t="str">
            <v>DORICIN CPR x 300</v>
          </cell>
          <cell r="D1038" t="str">
            <v>30BL C/10 COMPRIMIDOS -E</v>
          </cell>
          <cell r="E1038" t="str">
            <v>PB</v>
          </cell>
          <cell r="F1038">
            <v>0.74099999999999999</v>
          </cell>
          <cell r="G1038">
            <v>0</v>
          </cell>
          <cell r="H1038">
            <v>0.74099999999999999</v>
          </cell>
        </row>
        <row r="1039">
          <cell r="A1039" t="str">
            <v>2262PB</v>
          </cell>
          <cell r="B1039">
            <v>2262</v>
          </cell>
          <cell r="C1039" t="str">
            <v>DORICIN CPR X 36</v>
          </cell>
          <cell r="D1039" t="str">
            <v>3BL C/12 COMPRIMIDOS -E</v>
          </cell>
          <cell r="E1039" t="str">
            <v>PB</v>
          </cell>
          <cell r="F1039">
            <v>0.75139999999999996</v>
          </cell>
          <cell r="G1039">
            <v>0</v>
          </cell>
          <cell r="H1039">
            <v>0.75139999999999996</v>
          </cell>
        </row>
        <row r="1040">
          <cell r="A1040" t="str">
            <v>2263PB</v>
          </cell>
          <cell r="B1040">
            <v>2263</v>
          </cell>
          <cell r="C1040" t="str">
            <v>DORICIN CPR X 50</v>
          </cell>
          <cell r="D1040" t="str">
            <v>5BL C/10 COMPRIMIDOS - E</v>
          </cell>
          <cell r="E1040" t="str">
            <v>PB</v>
          </cell>
          <cell r="F1040">
            <v>0.66100000000000003</v>
          </cell>
          <cell r="G1040">
            <v>0</v>
          </cell>
          <cell r="H1040">
            <v>0.66100000000000003</v>
          </cell>
        </row>
        <row r="1041">
          <cell r="A1041" t="str">
            <v>1173PB</v>
          </cell>
          <cell r="B1041">
            <v>1173</v>
          </cell>
          <cell r="C1041" t="str">
            <v>DORICIN GOTAS 20ML x 1</v>
          </cell>
          <cell r="D1041" t="str">
            <v>FR X 20 ML</v>
          </cell>
          <cell r="E1041" t="str">
            <v>PB</v>
          </cell>
          <cell r="F1041">
            <v>0.65</v>
          </cell>
          <cell r="G1041">
            <v>0</v>
          </cell>
          <cell r="H1041">
            <v>0.65</v>
          </cell>
        </row>
        <row r="1042">
          <cell r="A1042" t="str">
            <v>2018PB</v>
          </cell>
          <cell r="B1042">
            <v>2018</v>
          </cell>
          <cell r="C1042" t="str">
            <v>EMISTIN BLT 1X20=20COMP</v>
          </cell>
          <cell r="D1042" t="str">
            <v>1 BL X 20</v>
          </cell>
          <cell r="E1042" t="str">
            <v>PB</v>
          </cell>
          <cell r="F1042">
            <v>0.67</v>
          </cell>
          <cell r="G1042">
            <v>0</v>
          </cell>
          <cell r="H1042">
            <v>0.67</v>
          </cell>
        </row>
        <row r="1043">
          <cell r="A1043" t="str">
            <v>3008PB</v>
          </cell>
          <cell r="B1043">
            <v>3008</v>
          </cell>
          <cell r="C1043" t="str">
            <v>EMISTIN CR BG C/20G</v>
          </cell>
          <cell r="D1043" t="str">
            <v>BISN X 20 G</v>
          </cell>
          <cell r="E1043" t="str">
            <v>PB</v>
          </cell>
          <cell r="F1043">
            <v>0.77</v>
          </cell>
          <cell r="G1043">
            <v>0</v>
          </cell>
          <cell r="H1043">
            <v>0.77</v>
          </cell>
        </row>
        <row r="1044">
          <cell r="A1044" t="str">
            <v>3020PB</v>
          </cell>
          <cell r="B1044">
            <v>3020</v>
          </cell>
          <cell r="C1044" t="str">
            <v>EMSCORT CR BG C/30G</v>
          </cell>
          <cell r="D1044" t="str">
            <v>BISN X 30 G</v>
          </cell>
          <cell r="E1044" t="str">
            <v>PB</v>
          </cell>
          <cell r="F1044">
            <v>0.77000000000000013</v>
          </cell>
          <cell r="G1044">
            <v>0</v>
          </cell>
          <cell r="H1044">
            <v>0.77000000000000013</v>
          </cell>
        </row>
        <row r="1045">
          <cell r="A1045" t="str">
            <v>6023PB</v>
          </cell>
          <cell r="B1045">
            <v>6023</v>
          </cell>
          <cell r="C1045" t="str">
            <v>EMSCORT POM BISN 30G-E</v>
          </cell>
          <cell r="D1045" t="str">
            <v>BISN X 30 G</v>
          </cell>
          <cell r="E1045" t="str">
            <v>PB</v>
          </cell>
          <cell r="F1045">
            <v>0.7639999999999999</v>
          </cell>
          <cell r="G1045">
            <v>0</v>
          </cell>
          <cell r="H1045">
            <v>0.7639999999999999</v>
          </cell>
        </row>
        <row r="1046">
          <cell r="A1046" t="str">
            <v>1190PB</v>
          </cell>
          <cell r="B1046">
            <v>1190</v>
          </cell>
          <cell r="C1046" t="str">
            <v>EMSEXPECTOR XAROPE FR C/120ML - E</v>
          </cell>
          <cell r="D1046" t="str">
            <v>FR X 120 ML</v>
          </cell>
          <cell r="E1046" t="str">
            <v>PB</v>
          </cell>
          <cell r="F1046">
            <v>0.48</v>
          </cell>
          <cell r="G1046">
            <v>0</v>
          </cell>
          <cell r="H1046">
            <v>0.48</v>
          </cell>
        </row>
        <row r="1047">
          <cell r="A1047" t="str">
            <v>2111PB</v>
          </cell>
          <cell r="B1047">
            <v>2111</v>
          </cell>
          <cell r="C1047" t="str">
            <v>ENDCOFF PAST MEL ELIMAO C/12UN</v>
          </cell>
          <cell r="D1047" t="str">
            <v>3 STP X 4</v>
          </cell>
          <cell r="E1047" t="str">
            <v>PB</v>
          </cell>
          <cell r="F1047">
            <v>0.48</v>
          </cell>
          <cell r="G1047">
            <v>0</v>
          </cell>
          <cell r="H1047">
            <v>0.48</v>
          </cell>
        </row>
        <row r="1048">
          <cell r="A1048" t="str">
            <v>2092PB</v>
          </cell>
          <cell r="B1048">
            <v>2092</v>
          </cell>
          <cell r="C1048" t="str">
            <v>ENDCOFF PAST STP MENTA C/12 UN</v>
          </cell>
          <cell r="D1048" t="str">
            <v>3 STP X 4</v>
          </cell>
          <cell r="E1048" t="str">
            <v>PB</v>
          </cell>
          <cell r="F1048">
            <v>0.48</v>
          </cell>
          <cell r="G1048">
            <v>0</v>
          </cell>
          <cell r="H1048">
            <v>0.48</v>
          </cell>
        </row>
        <row r="1049">
          <cell r="A1049" t="str">
            <v>1905PB</v>
          </cell>
          <cell r="B1049">
            <v>1905</v>
          </cell>
          <cell r="C1049" t="str">
            <v>ESMOG 20MG 4BLTC/7 COM REV LIB RETARD- E</v>
          </cell>
          <cell r="D1049" t="str">
            <v>4 BLT C/7</v>
          </cell>
          <cell r="E1049" t="str">
            <v>PB</v>
          </cell>
          <cell r="F1049">
            <v>0.77800000000000002</v>
          </cell>
          <cell r="G1049">
            <v>0</v>
          </cell>
          <cell r="H1049">
            <v>0.77800000000000002</v>
          </cell>
        </row>
        <row r="1050">
          <cell r="A1050" t="str">
            <v>1906PB</v>
          </cell>
          <cell r="B1050">
            <v>1906</v>
          </cell>
          <cell r="C1050" t="str">
            <v>ESMOG 40MG 4BLTC/7 COM REV LIB RETARD- E</v>
          </cell>
          <cell r="D1050" t="str">
            <v>4 BLT C/7</v>
          </cell>
          <cell r="E1050" t="str">
            <v>PB</v>
          </cell>
          <cell r="F1050">
            <v>0.8</v>
          </cell>
          <cell r="G1050">
            <v>0</v>
          </cell>
          <cell r="H1050">
            <v>0.8</v>
          </cell>
        </row>
        <row r="1051">
          <cell r="A1051" t="str">
            <v>1016PB</v>
          </cell>
          <cell r="B1051">
            <v>1016</v>
          </cell>
          <cell r="C1051" t="str">
            <v>EXPECTUSS XPE ADULTO FR C/100ML</v>
          </cell>
          <cell r="D1051" t="str">
            <v>FR X 100 ML</v>
          </cell>
          <cell r="E1051" t="str">
            <v>PB</v>
          </cell>
          <cell r="F1051">
            <v>0.55000000000000016</v>
          </cell>
          <cell r="G1051">
            <v>0</v>
          </cell>
          <cell r="H1051">
            <v>0.55000000000000016</v>
          </cell>
        </row>
        <row r="1052">
          <cell r="A1052" t="str">
            <v>1015PB</v>
          </cell>
          <cell r="B1052">
            <v>1015</v>
          </cell>
          <cell r="C1052" t="str">
            <v>EXPECTUSS XPE INF FR C/100ML</v>
          </cell>
          <cell r="D1052" t="str">
            <v>FR X 100 ML</v>
          </cell>
          <cell r="E1052" t="str">
            <v>PB</v>
          </cell>
          <cell r="F1052">
            <v>0.5099999999999999</v>
          </cell>
          <cell r="G1052">
            <v>0</v>
          </cell>
          <cell r="H1052">
            <v>0.5099999999999999</v>
          </cell>
        </row>
        <row r="1053">
          <cell r="A1053" t="str">
            <v>1363PB</v>
          </cell>
          <cell r="B1053">
            <v>1363</v>
          </cell>
          <cell r="C1053" t="str">
            <v>FLUITEINA 600MG GRAN 16ENV 5G-E</v>
          </cell>
          <cell r="D1053" t="str">
            <v>CX. C/16 ENV X 5GR</v>
          </cell>
          <cell r="E1053" t="str">
            <v>PB</v>
          </cell>
          <cell r="F1053">
            <v>0.42999999999999994</v>
          </cell>
          <cell r="G1053">
            <v>0</v>
          </cell>
          <cell r="H1053">
            <v>0.42999999999999994</v>
          </cell>
        </row>
        <row r="1054">
          <cell r="A1054" t="str">
            <v>1364PB</v>
          </cell>
          <cell r="B1054">
            <v>1364</v>
          </cell>
          <cell r="C1054" t="str">
            <v>FLUITEINA XPE AD 40MG/ML120ML-E</v>
          </cell>
          <cell r="D1054" t="str">
            <v>FR X 120 ML</v>
          </cell>
          <cell r="E1054" t="str">
            <v>PB</v>
          </cell>
          <cell r="F1054">
            <v>0.56999999999999973</v>
          </cell>
          <cell r="G1054">
            <v>0</v>
          </cell>
          <cell r="H1054">
            <v>0.56999999999999973</v>
          </cell>
        </row>
        <row r="1055">
          <cell r="A1055" t="str">
            <v>1163PB</v>
          </cell>
          <cell r="B1055">
            <v>1163</v>
          </cell>
          <cell r="C1055" t="str">
            <v>FLUITEINA XPE INF 20MG/ML 120ML-E</v>
          </cell>
          <cell r="D1055" t="str">
            <v>FR X 120 ML</v>
          </cell>
          <cell r="E1055" t="str">
            <v>PB</v>
          </cell>
          <cell r="F1055">
            <v>0.51900000000000002</v>
          </cell>
          <cell r="G1055">
            <v>0</v>
          </cell>
          <cell r="H1055">
            <v>0.51900000000000002</v>
          </cell>
        </row>
        <row r="1056">
          <cell r="A1056" t="str">
            <v>1168PB</v>
          </cell>
          <cell r="B1056">
            <v>1168</v>
          </cell>
          <cell r="C1056" t="str">
            <v>FOLIFOLIN 5MG 2BLTX15COMP - E</v>
          </cell>
          <cell r="D1056" t="str">
            <v>2 BLT X 15 COMP.</v>
          </cell>
          <cell r="E1056" t="str">
            <v>PB</v>
          </cell>
          <cell r="F1056">
            <v>0.66</v>
          </cell>
          <cell r="G1056">
            <v>0</v>
          </cell>
          <cell r="H1056">
            <v>0.66</v>
          </cell>
        </row>
        <row r="1057">
          <cell r="A1057" t="str">
            <v>2318PB</v>
          </cell>
          <cell r="B1057">
            <v>2318</v>
          </cell>
          <cell r="C1057" t="str">
            <v>GEROVITAL  2BLT15 CAP MOLE-E</v>
          </cell>
          <cell r="D1057" t="str">
            <v>3 BL X 10</v>
          </cell>
          <cell r="E1057" t="str">
            <v>PB</v>
          </cell>
          <cell r="F1057">
            <v>0.57899999999999996</v>
          </cell>
          <cell r="G1057">
            <v>0</v>
          </cell>
          <cell r="H1057">
            <v>0.57899999999999996</v>
          </cell>
        </row>
        <row r="1058">
          <cell r="A1058" t="str">
            <v>2062PB</v>
          </cell>
          <cell r="B1058">
            <v>2062</v>
          </cell>
          <cell r="C1058" t="str">
            <v>GEROVITAL 3BLT C/20 CAP</v>
          </cell>
          <cell r="D1058" t="str">
            <v>6 BL X 10</v>
          </cell>
          <cell r="E1058" t="str">
            <v>PB</v>
          </cell>
          <cell r="F1058">
            <v>0.48100000000000004</v>
          </cell>
          <cell r="G1058">
            <v>0</v>
          </cell>
          <cell r="H1058">
            <v>0.48100000000000004</v>
          </cell>
        </row>
        <row r="1059">
          <cell r="A1059" t="str">
            <v>1230PB</v>
          </cell>
          <cell r="B1059">
            <v>1230</v>
          </cell>
          <cell r="C1059" t="str">
            <v>IBULIV 100MG/ML SUP ORAL C/ 20 ML-E</v>
          </cell>
          <cell r="D1059" t="str">
            <v>FR X 20 ML</v>
          </cell>
          <cell r="E1059" t="str">
            <v>PB</v>
          </cell>
          <cell r="F1059">
            <v>0.68000000000000016</v>
          </cell>
          <cell r="G1059">
            <v>0</v>
          </cell>
          <cell r="H1059">
            <v>0.68000000000000016</v>
          </cell>
        </row>
        <row r="1060">
          <cell r="A1060" t="str">
            <v>1472PB</v>
          </cell>
          <cell r="B1060">
            <v>1472</v>
          </cell>
          <cell r="C1060" t="str">
            <v>IBULIV 400MG 10 BLT C/ 4CAPS GEL.MOLES-E</v>
          </cell>
          <cell r="D1060" t="str">
            <v>10 BLT X 4 CÁPS</v>
          </cell>
          <cell r="E1060" t="str">
            <v>PB</v>
          </cell>
          <cell r="F1060">
            <v>0.71000000000000019</v>
          </cell>
          <cell r="G1060">
            <v>0</v>
          </cell>
          <cell r="H1060">
            <v>0.71000000000000019</v>
          </cell>
        </row>
        <row r="1061">
          <cell r="A1061" t="str">
            <v>2469PB</v>
          </cell>
          <cell r="B1061">
            <v>2469</v>
          </cell>
          <cell r="C1061" t="str">
            <v>IBULIV 400MG 2 BLT C/ 10CAPS GEL.MOLES-E</v>
          </cell>
          <cell r="D1061" t="str">
            <v>20 CÁPS.</v>
          </cell>
          <cell r="E1061" t="str">
            <v>PB</v>
          </cell>
          <cell r="F1061">
            <v>0.71</v>
          </cell>
          <cell r="G1061">
            <v>0</v>
          </cell>
          <cell r="H1061">
            <v>0.71</v>
          </cell>
        </row>
        <row r="1062">
          <cell r="A1062" t="str">
            <v>1471PB</v>
          </cell>
          <cell r="B1062">
            <v>1471</v>
          </cell>
          <cell r="C1062" t="str">
            <v>IBULIV 400MG 2 BLT C/ 4CAPS GEL.MOLES-E</v>
          </cell>
          <cell r="D1062" t="str">
            <v>2 BLT X 4 CÁPS.</v>
          </cell>
          <cell r="E1062" t="str">
            <v>PB</v>
          </cell>
          <cell r="F1062">
            <v>0.71</v>
          </cell>
          <cell r="G1062">
            <v>0</v>
          </cell>
          <cell r="H1062">
            <v>0.71</v>
          </cell>
        </row>
        <row r="1063">
          <cell r="A1063" t="str">
            <v>1175PB</v>
          </cell>
          <cell r="B1063">
            <v>1175</v>
          </cell>
          <cell r="C1063" t="str">
            <v>INFRALAX 1BLT C/15COMP - EMS</v>
          </cell>
          <cell r="D1063" t="str">
            <v>1 BLT C/ 15</v>
          </cell>
          <cell r="E1063" t="str">
            <v>PB</v>
          </cell>
          <cell r="F1063">
            <v>0.74280000000000002</v>
          </cell>
          <cell r="G1063">
            <v>0</v>
          </cell>
          <cell r="H1063">
            <v>0.74280000000000002</v>
          </cell>
        </row>
        <row r="1064">
          <cell r="A1064" t="str">
            <v>1821PB</v>
          </cell>
          <cell r="B1064">
            <v>1821</v>
          </cell>
          <cell r="C1064" t="str">
            <v>INFRALAX 20BLTX10COMP - E</v>
          </cell>
          <cell r="D1064" t="str">
            <v>20 BLT X 10</v>
          </cell>
          <cell r="E1064" t="str">
            <v>PB</v>
          </cell>
          <cell r="F1064">
            <v>0.81</v>
          </cell>
          <cell r="G1064">
            <v>0</v>
          </cell>
          <cell r="H1064">
            <v>0.81</v>
          </cell>
        </row>
        <row r="1065">
          <cell r="A1065" t="str">
            <v>2138PB</v>
          </cell>
          <cell r="B1065">
            <v>2138</v>
          </cell>
          <cell r="C1065" t="str">
            <v>INFRALAX 2BLT C/15COMP - EMS</v>
          </cell>
          <cell r="D1065" t="str">
            <v>2 BL X 15</v>
          </cell>
          <cell r="E1065" t="str">
            <v>PB</v>
          </cell>
          <cell r="F1065">
            <v>0.74650000000000005</v>
          </cell>
          <cell r="G1065">
            <v>0</v>
          </cell>
          <cell r="H1065">
            <v>0.74650000000000005</v>
          </cell>
        </row>
        <row r="1066">
          <cell r="A1066" t="str">
            <v>6011PB</v>
          </cell>
          <cell r="B1066">
            <v>6011</v>
          </cell>
          <cell r="C1066" t="str">
            <v>NARIDRIN 12HS GOTAS FR C/30ML</v>
          </cell>
          <cell r="D1066" t="str">
            <v>FR X 30 ML</v>
          </cell>
          <cell r="E1066" t="str">
            <v>PB</v>
          </cell>
          <cell r="F1066">
            <v>0.74</v>
          </cell>
          <cell r="G1066">
            <v>0</v>
          </cell>
          <cell r="H1066">
            <v>0.74</v>
          </cell>
        </row>
        <row r="1067">
          <cell r="A1067" t="str">
            <v>2604PB</v>
          </cell>
          <cell r="B1067">
            <v>2604</v>
          </cell>
          <cell r="C1067" t="str">
            <v>NARIDRIN ALTO VOL 30ENVX2,16G+FR240ML</v>
          </cell>
          <cell r="D1067" t="str">
            <v>30ENVX2,16G+FR240ML</v>
          </cell>
          <cell r="E1067" t="str">
            <v>PB</v>
          </cell>
          <cell r="F1067">
            <v>0.64</v>
          </cell>
          <cell r="G1067">
            <v>0</v>
          </cell>
          <cell r="H1067">
            <v>0.64</v>
          </cell>
        </row>
        <row r="1068">
          <cell r="A1068" t="str">
            <v>2605PB</v>
          </cell>
          <cell r="B1068">
            <v>2605</v>
          </cell>
          <cell r="C1068" t="str">
            <v>NARIDRIN ALTO VOL REFIL</v>
          </cell>
          <cell r="D1068" t="str">
            <v>30 ENV X 2,16G</v>
          </cell>
          <cell r="E1068" t="str">
            <v>PB</v>
          </cell>
          <cell r="F1068">
            <v>0.59999999999999987</v>
          </cell>
          <cell r="G1068">
            <v>0</v>
          </cell>
          <cell r="H1068">
            <v>0.59999999999999987</v>
          </cell>
        </row>
        <row r="1069">
          <cell r="A1069" t="str">
            <v>1433PB</v>
          </cell>
          <cell r="B1069">
            <v>1433</v>
          </cell>
          <cell r="C1069" t="str">
            <v>NARIDRIN AQUA 9MG/ML FRASCO C/50ML-E</v>
          </cell>
          <cell r="D1069" t="str">
            <v>FR X 50 ML SPRAY</v>
          </cell>
          <cell r="E1069" t="str">
            <v>PB</v>
          </cell>
          <cell r="F1069">
            <v>0.71</v>
          </cell>
          <cell r="G1069">
            <v>0</v>
          </cell>
          <cell r="H1069">
            <v>0.71</v>
          </cell>
        </row>
        <row r="1070">
          <cell r="A1070" t="str">
            <v>6005PB</v>
          </cell>
          <cell r="B1070">
            <v>6005</v>
          </cell>
          <cell r="C1070" t="str">
            <v>NARIDRIN GOTAS AD FR C/15ML</v>
          </cell>
          <cell r="D1070" t="str">
            <v>FR X 15 ML</v>
          </cell>
          <cell r="E1070" t="str">
            <v>PB</v>
          </cell>
          <cell r="F1070">
            <v>0.74</v>
          </cell>
          <cell r="G1070">
            <v>0</v>
          </cell>
          <cell r="H1070">
            <v>0.74</v>
          </cell>
        </row>
        <row r="1071">
          <cell r="A1071" t="str">
            <v>6006PB</v>
          </cell>
          <cell r="B1071">
            <v>6006</v>
          </cell>
          <cell r="C1071" t="str">
            <v>NARIDRIN GOTAS INF FR C/15ML</v>
          </cell>
          <cell r="D1071" t="str">
            <v>FR X 15 ML</v>
          </cell>
          <cell r="E1071" t="str">
            <v>PB</v>
          </cell>
          <cell r="F1071">
            <v>0.72999999999999987</v>
          </cell>
          <cell r="G1071">
            <v>0</v>
          </cell>
          <cell r="H1071">
            <v>0.72999999999999987</v>
          </cell>
        </row>
        <row r="1072">
          <cell r="A1072" t="str">
            <v>1079PB</v>
          </cell>
          <cell r="B1072">
            <v>1079</v>
          </cell>
          <cell r="C1072" t="str">
            <v>NARIDRIN H 30MG/ML SOL.NAS SPRAY 60ML-E</v>
          </cell>
          <cell r="D1072" t="str">
            <v>FRASCO X 60ML</v>
          </cell>
          <cell r="E1072" t="str">
            <v>PB</v>
          </cell>
          <cell r="F1072">
            <v>0.7</v>
          </cell>
          <cell r="G1072">
            <v>0</v>
          </cell>
          <cell r="H1072">
            <v>0.7</v>
          </cell>
        </row>
        <row r="1073">
          <cell r="A1073" t="str">
            <v>1368PB</v>
          </cell>
          <cell r="B1073">
            <v>1368</v>
          </cell>
          <cell r="C1073" t="str">
            <v>NIMESILAM BLT 1X12= 12 COM - E</v>
          </cell>
          <cell r="D1073" t="str">
            <v>1 BLT X 12</v>
          </cell>
          <cell r="E1073" t="str">
            <v>PB</v>
          </cell>
          <cell r="F1073">
            <v>0.89999999999999991</v>
          </cell>
          <cell r="G1073">
            <v>0</v>
          </cell>
          <cell r="H1073">
            <v>0.89999999999999991</v>
          </cell>
        </row>
        <row r="1074">
          <cell r="A1074" t="str">
            <v>1367PB</v>
          </cell>
          <cell r="B1074">
            <v>1367</v>
          </cell>
          <cell r="C1074" t="str">
            <v>NIMESILAM GOTAS FRC/15ML  - E</v>
          </cell>
          <cell r="D1074" t="str">
            <v>FR 15 ML</v>
          </cell>
          <cell r="E1074" t="str">
            <v>PB</v>
          </cell>
          <cell r="F1074">
            <v>0.73</v>
          </cell>
          <cell r="G1074">
            <v>0</v>
          </cell>
          <cell r="H1074">
            <v>0.73</v>
          </cell>
        </row>
        <row r="1075">
          <cell r="A1075" t="str">
            <v>2058PB</v>
          </cell>
          <cell r="B1075">
            <v>2058</v>
          </cell>
          <cell r="C1075" t="str">
            <v>NOCICLIN 1BLT C/21COM-EMS</v>
          </cell>
          <cell r="D1075" t="str">
            <v>1 BL X 21</v>
          </cell>
          <cell r="E1075" t="str">
            <v>PB</v>
          </cell>
          <cell r="F1075">
            <v>0.68</v>
          </cell>
          <cell r="G1075">
            <v>0</v>
          </cell>
          <cell r="H1075">
            <v>0.68</v>
          </cell>
        </row>
        <row r="1076">
          <cell r="A1076" t="str">
            <v>2391PB</v>
          </cell>
          <cell r="B1076">
            <v>2391</v>
          </cell>
          <cell r="C1076" t="str">
            <v>RUDITE 20MG/ML PO SUS 100ML-E</v>
          </cell>
          <cell r="D1076" t="str">
            <v>FR X 100 ML</v>
          </cell>
          <cell r="E1076" t="str">
            <v>PB</v>
          </cell>
          <cell r="F1076">
            <v>0.59899999999999998</v>
          </cell>
          <cell r="G1076">
            <v>0</v>
          </cell>
          <cell r="H1076">
            <v>0.59899999999999998</v>
          </cell>
        </row>
        <row r="1077">
          <cell r="A1077" t="str">
            <v>2392PB</v>
          </cell>
          <cell r="B1077">
            <v>2392</v>
          </cell>
          <cell r="C1077" t="str">
            <v>RUDITE 20MG/ML PO SUS 45ML-E</v>
          </cell>
          <cell r="D1077" t="str">
            <v>FR X 45 ML</v>
          </cell>
          <cell r="E1077" t="str">
            <v>PB</v>
          </cell>
          <cell r="F1077">
            <v>0.58999999999999986</v>
          </cell>
          <cell r="G1077">
            <v>0</v>
          </cell>
          <cell r="H1077">
            <v>0.58999999999999986</v>
          </cell>
        </row>
        <row r="1078">
          <cell r="A1078" t="str">
            <v>2390PB</v>
          </cell>
          <cell r="B1078">
            <v>2390</v>
          </cell>
          <cell r="C1078" t="str">
            <v>RUDITE(C1)500MG C/6 COM REV-E</v>
          </cell>
          <cell r="D1078" t="str">
            <v>1 BLT X 6</v>
          </cell>
          <cell r="E1078" t="str">
            <v>PB</v>
          </cell>
          <cell r="F1078">
            <v>0.7</v>
          </cell>
          <cell r="G1078">
            <v>0</v>
          </cell>
          <cell r="H1078">
            <v>0.7</v>
          </cell>
        </row>
        <row r="1079">
          <cell r="A1079" t="str">
            <v>2398PB</v>
          </cell>
          <cell r="B1079">
            <v>2398</v>
          </cell>
          <cell r="C1079" t="str">
            <v>SOMINEX COMPOS OTC CPR REVEST x 20</v>
          </cell>
          <cell r="D1079" t="str">
            <v>2 BL X 10</v>
          </cell>
          <cell r="E1079" t="str">
            <v>PB</v>
          </cell>
          <cell r="F1079">
            <v>0.68899999999999995</v>
          </cell>
          <cell r="G1079">
            <v>0</v>
          </cell>
          <cell r="H1079">
            <v>0.68899999999999995</v>
          </cell>
        </row>
        <row r="1080">
          <cell r="A1080" t="str">
            <v>1818PB</v>
          </cell>
          <cell r="B1080">
            <v>1818</v>
          </cell>
          <cell r="C1080" t="str">
            <v>SUPLEVIT MULHER VIT. 2BLT C/15 CAP.GEL-E</v>
          </cell>
          <cell r="D1080" t="str">
            <v>2 BLT C/15</v>
          </cell>
          <cell r="E1080" t="str">
            <v>PB</v>
          </cell>
          <cell r="F1080">
            <v>0.82</v>
          </cell>
          <cell r="G1080">
            <v>0</v>
          </cell>
          <cell r="H1080">
            <v>0.82</v>
          </cell>
        </row>
        <row r="1081">
          <cell r="A1081" t="str">
            <v>1819PB</v>
          </cell>
          <cell r="B1081">
            <v>1819</v>
          </cell>
          <cell r="C1081" t="str">
            <v>SUPLEVIT MULHER VIT. 4BLT C/15 CAP.GEL-E</v>
          </cell>
          <cell r="D1081" t="str">
            <v>4 BLT C/15</v>
          </cell>
          <cell r="E1081" t="str">
            <v>PB</v>
          </cell>
          <cell r="F1081">
            <v>0.81999999999999984</v>
          </cell>
          <cell r="G1081">
            <v>0</v>
          </cell>
          <cell r="H1081">
            <v>0.81999999999999984</v>
          </cell>
        </row>
        <row r="1082">
          <cell r="A1082" t="str">
            <v>2036PB</v>
          </cell>
          <cell r="B1082">
            <v>2036</v>
          </cell>
          <cell r="C1082" t="str">
            <v>VITAFER FR C/50 COMP-E</v>
          </cell>
          <cell r="D1082" t="str">
            <v>FR X 50</v>
          </cell>
          <cell r="E1082" t="str">
            <v>PB</v>
          </cell>
          <cell r="F1082">
            <v>0.52999999999999992</v>
          </cell>
          <cell r="G1082">
            <v>0</v>
          </cell>
          <cell r="H1082">
            <v>0.52999999999999992</v>
          </cell>
        </row>
        <row r="1083">
          <cell r="A1083" t="str">
            <v>60000PE</v>
          </cell>
          <cell r="B1083">
            <v>60000</v>
          </cell>
          <cell r="C1083" t="str">
            <v>A SAUDE DA MULHER 150ML SOLUCAO</v>
          </cell>
          <cell r="D1083" t="str">
            <v>FR X 150 ML</v>
          </cell>
          <cell r="E1083" t="str">
            <v>PE</v>
          </cell>
          <cell r="F1083">
            <v>0.26999999999999996</v>
          </cell>
          <cell r="G1083">
            <v>0</v>
          </cell>
          <cell r="H1083">
            <v>0.26999999999999996</v>
          </cell>
        </row>
        <row r="1084">
          <cell r="A1084" t="str">
            <v>2256PE</v>
          </cell>
          <cell r="B1084">
            <v>2256</v>
          </cell>
          <cell r="C1084" t="str">
            <v>ALLEXOFEDRIN 120MG 1BLTC/10 COM REV-E</v>
          </cell>
          <cell r="D1084" t="str">
            <v>1 BL X 10 COMP REVEST</v>
          </cell>
          <cell r="E1084" t="str">
            <v>PE</v>
          </cell>
          <cell r="F1084">
            <v>0.75</v>
          </cell>
          <cell r="G1084">
            <v>0</v>
          </cell>
          <cell r="H1084">
            <v>0.75</v>
          </cell>
        </row>
        <row r="1085">
          <cell r="A1085" t="str">
            <v>2255PE</v>
          </cell>
          <cell r="B1085">
            <v>2255</v>
          </cell>
          <cell r="C1085" t="str">
            <v>ALLEXOFEDRIN 180MG 1BLTC/10 COM REV-E</v>
          </cell>
          <cell r="D1085" t="str">
            <v>1 BL X 10 COMP REVEST</v>
          </cell>
          <cell r="E1085" t="str">
            <v>PE</v>
          </cell>
          <cell r="F1085">
            <v>0.74999999999999989</v>
          </cell>
          <cell r="G1085">
            <v>0</v>
          </cell>
          <cell r="H1085">
            <v>0.74999999999999989</v>
          </cell>
        </row>
        <row r="1086">
          <cell r="A1086" t="str">
            <v>2133PE</v>
          </cell>
          <cell r="B1086">
            <v>2133</v>
          </cell>
          <cell r="C1086" t="str">
            <v>ALLEXOFEDRIN D 60+120MG 1BLT C/10C.REV</v>
          </cell>
          <cell r="D1086" t="str">
            <v>1 BL X 10 COMP REVEST</v>
          </cell>
          <cell r="E1086" t="str">
            <v>PE</v>
          </cell>
          <cell r="F1086">
            <v>0.26</v>
          </cell>
          <cell r="G1086">
            <v>0</v>
          </cell>
          <cell r="H1086">
            <v>0.26</v>
          </cell>
        </row>
        <row r="1087">
          <cell r="A1087" t="str">
            <v>1066AP</v>
          </cell>
          <cell r="B1087">
            <v>1066</v>
          </cell>
          <cell r="C1087" t="str">
            <v>CELERGIN XPE 120ML-E</v>
          </cell>
          <cell r="D1087" t="str">
            <v>FR X 120 ML</v>
          </cell>
          <cell r="E1087" t="str">
            <v>AP</v>
          </cell>
          <cell r="F1087">
            <v>0.73419999999999996</v>
          </cell>
          <cell r="G1087">
            <v>0</v>
          </cell>
          <cell r="H1087">
            <v>0.73419999999999996</v>
          </cell>
        </row>
        <row r="1088">
          <cell r="A1088" t="str">
            <v>2347PE</v>
          </cell>
          <cell r="B1088">
            <v>2347</v>
          </cell>
          <cell r="C1088" t="str">
            <v>ALLEXOFEDRIN PEDIATRICO6MG/MLSUS150 ML-E</v>
          </cell>
          <cell r="D1088" t="str">
            <v>6MG/MLSUS150 ML-E</v>
          </cell>
          <cell r="E1088" t="str">
            <v>PE</v>
          </cell>
          <cell r="F1088">
            <v>0.60909999999999997</v>
          </cell>
          <cell r="G1088">
            <v>0</v>
          </cell>
          <cell r="H1088">
            <v>0.60909999999999997</v>
          </cell>
        </row>
        <row r="1089">
          <cell r="A1089" t="str">
            <v>2190PE</v>
          </cell>
          <cell r="B1089">
            <v>2190</v>
          </cell>
          <cell r="C1089" t="str">
            <v>ANTIVIRAX 400MG 2BLTX15 COM - E</v>
          </cell>
          <cell r="D1089" t="str">
            <v>2 BL X 15</v>
          </cell>
          <cell r="E1089" t="str">
            <v>PE</v>
          </cell>
          <cell r="F1089">
            <v>0.68</v>
          </cell>
          <cell r="G1089">
            <v>0</v>
          </cell>
          <cell r="H1089">
            <v>0.68</v>
          </cell>
        </row>
        <row r="1090">
          <cell r="A1090" t="str">
            <v>3009PE</v>
          </cell>
          <cell r="B1090">
            <v>3009</v>
          </cell>
          <cell r="C1090" t="str">
            <v>ANTIVIRAX CR BG C/10 G</v>
          </cell>
          <cell r="D1090" t="str">
            <v>BISN X 10 G</v>
          </cell>
          <cell r="E1090" t="str">
            <v>PE</v>
          </cell>
          <cell r="F1090">
            <v>0.74999999999999989</v>
          </cell>
          <cell r="G1090">
            <v>0</v>
          </cell>
          <cell r="H1090">
            <v>0.74999999999999989</v>
          </cell>
        </row>
        <row r="1091">
          <cell r="A1091" t="str">
            <v>1001PE</v>
          </cell>
          <cell r="B1091">
            <v>1001</v>
          </cell>
          <cell r="C1091" t="str">
            <v>APEVITIN BC XPE FRC/240ML</v>
          </cell>
          <cell r="D1091" t="str">
            <v>FR X 240 ML</v>
          </cell>
          <cell r="E1091" t="str">
            <v>PE</v>
          </cell>
          <cell r="F1091">
            <v>0.80710000000000004</v>
          </cell>
          <cell r="G1091">
            <v>0</v>
          </cell>
          <cell r="H1091">
            <v>0.80710000000000004</v>
          </cell>
        </row>
        <row r="1092">
          <cell r="A1092" t="str">
            <v>1226PE</v>
          </cell>
          <cell r="B1092">
            <v>1226</v>
          </cell>
          <cell r="C1092" t="str">
            <v>BENZIFLEX 10MG 1BLX15COMP.REV-E</v>
          </cell>
          <cell r="D1092" t="str">
            <v>1 BL X 15 COMP.</v>
          </cell>
          <cell r="E1092" t="str">
            <v>PE</v>
          </cell>
          <cell r="F1092">
            <v>0.71</v>
          </cell>
          <cell r="G1092">
            <v>0</v>
          </cell>
          <cell r="H1092">
            <v>0.71</v>
          </cell>
        </row>
        <row r="1093">
          <cell r="A1093" t="str">
            <v>1227PE</v>
          </cell>
          <cell r="B1093">
            <v>1227</v>
          </cell>
          <cell r="C1093" t="str">
            <v>BENZIFLEX 10MG 2BLX15COMP.REV-E</v>
          </cell>
          <cell r="D1093" t="str">
            <v>2 BL X 15 COMP.</v>
          </cell>
          <cell r="E1093" t="str">
            <v>PE</v>
          </cell>
          <cell r="F1093">
            <v>0.71</v>
          </cell>
          <cell r="G1093">
            <v>0</v>
          </cell>
          <cell r="H1093">
            <v>0.71</v>
          </cell>
        </row>
        <row r="1094">
          <cell r="A1094" t="str">
            <v>1233PE</v>
          </cell>
          <cell r="B1094">
            <v>1233</v>
          </cell>
          <cell r="C1094" t="str">
            <v>BENZIFLEX 5MG 2BLX15COMP.REV-E</v>
          </cell>
          <cell r="D1094" t="str">
            <v>2 BL X 15 COMP.</v>
          </cell>
          <cell r="E1094" t="str">
            <v>PE</v>
          </cell>
          <cell r="F1094">
            <v>0.71</v>
          </cell>
          <cell r="G1094">
            <v>0</v>
          </cell>
          <cell r="H1094">
            <v>0.71</v>
          </cell>
        </row>
        <row r="1095">
          <cell r="A1095" t="str">
            <v>1574PE</v>
          </cell>
          <cell r="B1095">
            <v>1574</v>
          </cell>
          <cell r="C1095" t="str">
            <v>BENZIFLEX LIS 125MG+5MG 15COM.REV.-E</v>
          </cell>
          <cell r="D1095" t="str">
            <v>1 BL X 15 COMP.</v>
          </cell>
          <cell r="E1095" t="str">
            <v>PE</v>
          </cell>
          <cell r="F1095">
            <v>0.5</v>
          </cell>
          <cell r="G1095">
            <v>0</v>
          </cell>
          <cell r="H1095">
            <v>0.5</v>
          </cell>
        </row>
        <row r="1096">
          <cell r="A1096" t="str">
            <v>2292PE</v>
          </cell>
          <cell r="B1096">
            <v>2292</v>
          </cell>
          <cell r="C1096" t="str">
            <v>BENZIFLEX LIS 125MG+5MG 2BL15 COM.REV.-E</v>
          </cell>
          <cell r="D1096" t="str">
            <v>2 BL X 15 COMP.</v>
          </cell>
          <cell r="E1096" t="str">
            <v>PE</v>
          </cell>
          <cell r="F1096">
            <v>0.53</v>
          </cell>
          <cell r="G1096">
            <v>0</v>
          </cell>
          <cell r="H1096">
            <v>0.53</v>
          </cell>
        </row>
        <row r="1097">
          <cell r="A1097" t="str">
            <v>1155PE</v>
          </cell>
          <cell r="B1097">
            <v>1155</v>
          </cell>
          <cell r="C1097" t="str">
            <v>BIOFLADEX AEROSSOL 60G- E</v>
          </cell>
          <cell r="D1097" t="str">
            <v>FRASCO 60 G</v>
          </cell>
          <cell r="E1097" t="str">
            <v>PE</v>
          </cell>
          <cell r="F1097">
            <v>0.66</v>
          </cell>
          <cell r="G1097">
            <v>0</v>
          </cell>
          <cell r="H1097">
            <v>0.66</v>
          </cell>
        </row>
        <row r="1098">
          <cell r="A1098" t="str">
            <v>1072PE</v>
          </cell>
          <cell r="B1098">
            <v>1072</v>
          </cell>
          <cell r="C1098" t="str">
            <v>BISURAN 4MG/5ML XPE INF 120ML-E</v>
          </cell>
          <cell r="D1098" t="str">
            <v>FR X 120 ML</v>
          </cell>
          <cell r="E1098" t="str">
            <v>PE</v>
          </cell>
          <cell r="F1098">
            <v>0.53</v>
          </cell>
          <cell r="G1098">
            <v>0</v>
          </cell>
          <cell r="H1098">
            <v>0.53</v>
          </cell>
        </row>
        <row r="1099">
          <cell r="A1099" t="str">
            <v>1318PE</v>
          </cell>
          <cell r="B1099">
            <v>1318</v>
          </cell>
          <cell r="C1099" t="str">
            <v>BISURAN 8MG/5ML XPE AD. 120ML-E</v>
          </cell>
          <cell r="D1099" t="str">
            <v>FR X 120 ML</v>
          </cell>
          <cell r="E1099" t="str">
            <v>PE</v>
          </cell>
          <cell r="F1099">
            <v>0.61999999999999988</v>
          </cell>
          <cell r="G1099">
            <v>0</v>
          </cell>
          <cell r="H1099">
            <v>0.61999999999999988</v>
          </cell>
        </row>
        <row r="1100">
          <cell r="A1100" t="str">
            <v>2141PE</v>
          </cell>
          <cell r="B1100">
            <v>2141</v>
          </cell>
          <cell r="C1100" t="str">
            <v>CELERGIN 20 COMP-E</v>
          </cell>
          <cell r="D1100" t="str">
            <v>CX. C/20 COMP.</v>
          </cell>
          <cell r="E1100" t="str">
            <v>PE</v>
          </cell>
          <cell r="F1100">
            <v>0.65649999999999986</v>
          </cell>
          <cell r="G1100">
            <v>0</v>
          </cell>
          <cell r="H1100">
            <v>0.65649999999999986</v>
          </cell>
        </row>
        <row r="1101">
          <cell r="A1101" t="str">
            <v>1066BA</v>
          </cell>
          <cell r="B1101">
            <v>1066</v>
          </cell>
          <cell r="C1101" t="str">
            <v>CELERGIN XPE 120ML-E</v>
          </cell>
          <cell r="D1101" t="str">
            <v>FR X 120 ML</v>
          </cell>
          <cell r="E1101" t="str">
            <v>BA</v>
          </cell>
          <cell r="F1101">
            <v>0.74</v>
          </cell>
          <cell r="G1101">
            <v>0</v>
          </cell>
          <cell r="H1101">
            <v>0.74</v>
          </cell>
        </row>
        <row r="1102">
          <cell r="A1102" t="str">
            <v>2322PE</v>
          </cell>
          <cell r="B1102">
            <v>2322</v>
          </cell>
          <cell r="C1102" t="str">
            <v>CLOPE 3,54MG/ML XPE 120ML FR PLAS-E</v>
          </cell>
          <cell r="D1102" t="str">
            <v>FR X 120 ML</v>
          </cell>
          <cell r="E1102" t="str">
            <v>PE</v>
          </cell>
          <cell r="F1102">
            <v>0.53</v>
          </cell>
          <cell r="G1102">
            <v>0</v>
          </cell>
          <cell r="H1102">
            <v>0.53</v>
          </cell>
        </row>
        <row r="1103">
          <cell r="A1103" t="str">
            <v>2383PE</v>
          </cell>
          <cell r="B1103">
            <v>2383</v>
          </cell>
          <cell r="C1103" t="str">
            <v>COMPLEXO B 12 XPE FR C/120ML E</v>
          </cell>
          <cell r="D1103" t="str">
            <v>FR X 120 ML</v>
          </cell>
          <cell r="E1103" t="str">
            <v>PE</v>
          </cell>
          <cell r="F1103">
            <v>0.67000000000000015</v>
          </cell>
          <cell r="G1103">
            <v>0</v>
          </cell>
          <cell r="H1103">
            <v>0.67000000000000015</v>
          </cell>
        </row>
        <row r="1104">
          <cell r="A1104" t="str">
            <v>2384PE</v>
          </cell>
          <cell r="B1104">
            <v>2384</v>
          </cell>
          <cell r="C1104" t="str">
            <v>COMPLEXO B CPR REVEST x 20</v>
          </cell>
          <cell r="D1104" t="str">
            <v xml:space="preserve">FR X 20 </v>
          </cell>
          <cell r="E1104" t="str">
            <v>PE</v>
          </cell>
          <cell r="F1104">
            <v>0.66000000000000014</v>
          </cell>
          <cell r="G1104">
            <v>0</v>
          </cell>
          <cell r="H1104">
            <v>0.66000000000000014</v>
          </cell>
        </row>
        <row r="1105">
          <cell r="A1105" t="str">
            <v>2382PE</v>
          </cell>
          <cell r="B1105">
            <v>2382</v>
          </cell>
          <cell r="C1105" t="str">
            <v>COMPLEXO B FR C/100 COM REV  E</v>
          </cell>
          <cell r="D1105" t="str">
            <v>FR X 100</v>
          </cell>
          <cell r="E1105" t="str">
            <v>PE</v>
          </cell>
          <cell r="F1105">
            <v>0.64000000000000012</v>
          </cell>
          <cell r="G1105">
            <v>0</v>
          </cell>
          <cell r="H1105">
            <v>0.64000000000000012</v>
          </cell>
        </row>
        <row r="1106">
          <cell r="A1106" t="str">
            <v>2011PE</v>
          </cell>
          <cell r="B1106">
            <v>2011</v>
          </cell>
          <cell r="C1106" t="str">
            <v>CYSTEX FR C/24 DRG</v>
          </cell>
          <cell r="D1106" t="str">
            <v xml:space="preserve">FR X 24 </v>
          </cell>
          <cell r="E1106" t="str">
            <v>PE</v>
          </cell>
          <cell r="F1106">
            <v>0.36070000000000002</v>
          </cell>
          <cell r="G1106">
            <v>0</v>
          </cell>
          <cell r="H1106">
            <v>0.36070000000000002</v>
          </cell>
        </row>
        <row r="1107">
          <cell r="A1107" t="str">
            <v>1837PE</v>
          </cell>
          <cell r="B1107">
            <v>1837</v>
          </cell>
          <cell r="C1107" t="str">
            <v>DIOVASES 450+50MG C/30 COM.REV. - E</v>
          </cell>
          <cell r="D1107" t="str">
            <v>2 BL X 15 COMP.</v>
          </cell>
          <cell r="E1107" t="str">
            <v>PE</v>
          </cell>
          <cell r="F1107">
            <v>0.68</v>
          </cell>
          <cell r="G1107">
            <v>0</v>
          </cell>
          <cell r="H1107">
            <v>0.68</v>
          </cell>
        </row>
        <row r="1108">
          <cell r="A1108" t="str">
            <v>1838PE</v>
          </cell>
          <cell r="B1108">
            <v>1838</v>
          </cell>
          <cell r="C1108" t="str">
            <v>DIOVASES 450+50MG C/60 COM.REV. - E</v>
          </cell>
          <cell r="D1108" t="str">
            <v>4 BL X 15 COMP.</v>
          </cell>
          <cell r="E1108" t="str">
            <v>PE</v>
          </cell>
          <cell r="F1108">
            <v>0.72</v>
          </cell>
          <cell r="G1108">
            <v>0</v>
          </cell>
          <cell r="H1108">
            <v>0.72</v>
          </cell>
        </row>
        <row r="1109">
          <cell r="A1109" t="str">
            <v>2261PE</v>
          </cell>
          <cell r="B1109">
            <v>2261</v>
          </cell>
          <cell r="C1109" t="str">
            <v>DORICIN CPR x 24</v>
          </cell>
          <cell r="D1109" t="str">
            <v>2BL C/12 COMPRIMIDOS -E</v>
          </cell>
          <cell r="E1109" t="str">
            <v>PE</v>
          </cell>
          <cell r="F1109">
            <v>0.74099999999999999</v>
          </cell>
          <cell r="G1109">
            <v>0</v>
          </cell>
          <cell r="H1109">
            <v>0.74099999999999999</v>
          </cell>
        </row>
        <row r="1110">
          <cell r="A1110" t="str">
            <v>2264PE</v>
          </cell>
          <cell r="B1110">
            <v>2264</v>
          </cell>
          <cell r="C1110" t="str">
            <v>DORICIN CPR x 300</v>
          </cell>
          <cell r="D1110" t="str">
            <v>30BL C/10 COMPRIMIDOS -E</v>
          </cell>
          <cell r="E1110" t="str">
            <v>PE</v>
          </cell>
          <cell r="F1110">
            <v>0.74099999999999999</v>
          </cell>
          <cell r="G1110">
            <v>0</v>
          </cell>
          <cell r="H1110">
            <v>0.74099999999999999</v>
          </cell>
        </row>
        <row r="1111">
          <cell r="A1111" t="str">
            <v>2262PE</v>
          </cell>
          <cell r="B1111">
            <v>2262</v>
          </cell>
          <cell r="C1111" t="str">
            <v>DORICIN CPR X 36</v>
          </cell>
          <cell r="D1111" t="str">
            <v>3BL C/12 COMPRIMIDOS -E</v>
          </cell>
          <cell r="E1111" t="str">
            <v>PE</v>
          </cell>
          <cell r="F1111">
            <v>0.75139999999999996</v>
          </cell>
          <cell r="G1111">
            <v>0</v>
          </cell>
          <cell r="H1111">
            <v>0.75139999999999996</v>
          </cell>
        </row>
        <row r="1112">
          <cell r="A1112" t="str">
            <v>2263PE</v>
          </cell>
          <cell r="B1112">
            <v>2263</v>
          </cell>
          <cell r="C1112" t="str">
            <v>DORICIN CPR X 50</v>
          </cell>
          <cell r="D1112" t="str">
            <v>5BL C/10 COMPRIMIDOS - E</v>
          </cell>
          <cell r="E1112" t="str">
            <v>PE</v>
          </cell>
          <cell r="F1112">
            <v>0.66100000000000003</v>
          </cell>
          <cell r="G1112">
            <v>0</v>
          </cell>
          <cell r="H1112">
            <v>0.66100000000000003</v>
          </cell>
        </row>
        <row r="1113">
          <cell r="A1113" t="str">
            <v>1173PE</v>
          </cell>
          <cell r="B1113">
            <v>1173</v>
          </cell>
          <cell r="C1113" t="str">
            <v>DORICIN GOTAS 20ML x 1</v>
          </cell>
          <cell r="D1113" t="str">
            <v>FR X 20 ML</v>
          </cell>
          <cell r="E1113" t="str">
            <v>PE</v>
          </cell>
          <cell r="F1113">
            <v>0.65</v>
          </cell>
          <cell r="G1113">
            <v>0</v>
          </cell>
          <cell r="H1113">
            <v>0.65</v>
          </cell>
        </row>
        <row r="1114">
          <cell r="A1114" t="str">
            <v>2018PE</v>
          </cell>
          <cell r="B1114">
            <v>2018</v>
          </cell>
          <cell r="C1114" t="str">
            <v>EMISTIN BLT 1X20=20COMP</v>
          </cell>
          <cell r="D1114" t="str">
            <v>1 BL X 20</v>
          </cell>
          <cell r="E1114" t="str">
            <v>PE</v>
          </cell>
          <cell r="F1114">
            <v>0.67</v>
          </cell>
          <cell r="G1114">
            <v>0</v>
          </cell>
          <cell r="H1114">
            <v>0.67</v>
          </cell>
        </row>
        <row r="1115">
          <cell r="A1115" t="str">
            <v>3008PE</v>
          </cell>
          <cell r="B1115">
            <v>3008</v>
          </cell>
          <cell r="C1115" t="str">
            <v>EMISTIN CR BG C/20G</v>
          </cell>
          <cell r="D1115" t="str">
            <v>BISN X 20 G</v>
          </cell>
          <cell r="E1115" t="str">
            <v>PE</v>
          </cell>
          <cell r="F1115">
            <v>0.77</v>
          </cell>
          <cell r="G1115">
            <v>0</v>
          </cell>
          <cell r="H1115">
            <v>0.77</v>
          </cell>
        </row>
        <row r="1116">
          <cell r="A1116" t="str">
            <v>3020PE</v>
          </cell>
          <cell r="B1116">
            <v>3020</v>
          </cell>
          <cell r="C1116" t="str">
            <v>EMSCORT CR BG C/30G</v>
          </cell>
          <cell r="D1116" t="str">
            <v>BISN X 30 G</v>
          </cell>
          <cell r="E1116" t="str">
            <v>PE</v>
          </cell>
          <cell r="F1116">
            <v>0.77000000000000013</v>
          </cell>
          <cell r="G1116">
            <v>0</v>
          </cell>
          <cell r="H1116">
            <v>0.77000000000000013</v>
          </cell>
        </row>
        <row r="1117">
          <cell r="A1117" t="str">
            <v>6023PE</v>
          </cell>
          <cell r="B1117">
            <v>6023</v>
          </cell>
          <cell r="C1117" t="str">
            <v>EMSCORT POM BISN 30G-E</v>
          </cell>
          <cell r="D1117" t="str">
            <v>BISN X 30 G</v>
          </cell>
          <cell r="E1117" t="str">
            <v>PE</v>
          </cell>
          <cell r="F1117">
            <v>0.7639999999999999</v>
          </cell>
          <cell r="G1117">
            <v>0</v>
          </cell>
          <cell r="H1117">
            <v>0.7639999999999999</v>
          </cell>
        </row>
        <row r="1118">
          <cell r="A1118" t="str">
            <v>1190PE</v>
          </cell>
          <cell r="B1118">
            <v>1190</v>
          </cell>
          <cell r="C1118" t="str">
            <v>EMSEXPECTOR XAROPE FR C/120ML - E</v>
          </cell>
          <cell r="D1118" t="str">
            <v>FR X 120 ML</v>
          </cell>
          <cell r="E1118" t="str">
            <v>PE</v>
          </cell>
          <cell r="F1118">
            <v>0.48</v>
          </cell>
          <cell r="G1118">
            <v>0</v>
          </cell>
          <cell r="H1118">
            <v>0.48</v>
          </cell>
        </row>
        <row r="1119">
          <cell r="A1119" t="str">
            <v>2111PE</v>
          </cell>
          <cell r="B1119">
            <v>2111</v>
          </cell>
          <cell r="C1119" t="str">
            <v>ENDCOFF PAST MEL ELIMAO C/12UN</v>
          </cell>
          <cell r="D1119" t="str">
            <v>3 STP X 4</v>
          </cell>
          <cell r="E1119" t="str">
            <v>PE</v>
          </cell>
          <cell r="F1119">
            <v>0.48</v>
          </cell>
          <cell r="G1119">
            <v>0</v>
          </cell>
          <cell r="H1119">
            <v>0.48</v>
          </cell>
        </row>
        <row r="1120">
          <cell r="A1120" t="str">
            <v>2092PE</v>
          </cell>
          <cell r="B1120">
            <v>2092</v>
          </cell>
          <cell r="C1120" t="str">
            <v>ENDCOFF PAST STP MENTA C/12 UN</v>
          </cell>
          <cell r="D1120" t="str">
            <v>3 STP X 4</v>
          </cell>
          <cell r="E1120" t="str">
            <v>PE</v>
          </cell>
          <cell r="F1120">
            <v>0.48</v>
          </cell>
          <cell r="G1120">
            <v>0</v>
          </cell>
          <cell r="H1120">
            <v>0.48</v>
          </cell>
        </row>
        <row r="1121">
          <cell r="A1121" t="str">
            <v>1905PE</v>
          </cell>
          <cell r="B1121">
            <v>1905</v>
          </cell>
          <cell r="C1121" t="str">
            <v>ESMOG 20MG 4BLTC/7 COM REV LIB RETARD- E</v>
          </cell>
          <cell r="D1121" t="str">
            <v>4 BLT C/7</v>
          </cell>
          <cell r="E1121" t="str">
            <v>PE</v>
          </cell>
          <cell r="F1121">
            <v>0.77800000000000002</v>
          </cell>
          <cell r="G1121">
            <v>0</v>
          </cell>
          <cell r="H1121">
            <v>0.77800000000000002</v>
          </cell>
        </row>
        <row r="1122">
          <cell r="A1122" t="str">
            <v>1906PE</v>
          </cell>
          <cell r="B1122">
            <v>1906</v>
          </cell>
          <cell r="C1122" t="str">
            <v>ESMOG 40MG 4BLTC/7 COM REV LIB RETARD- E</v>
          </cell>
          <cell r="D1122" t="str">
            <v>4 BLT C/7</v>
          </cell>
          <cell r="E1122" t="str">
            <v>PE</v>
          </cell>
          <cell r="F1122">
            <v>0.8</v>
          </cell>
          <cell r="G1122">
            <v>0</v>
          </cell>
          <cell r="H1122">
            <v>0.8</v>
          </cell>
        </row>
        <row r="1123">
          <cell r="A1123" t="str">
            <v>1016PE</v>
          </cell>
          <cell r="B1123">
            <v>1016</v>
          </cell>
          <cell r="C1123" t="str">
            <v>EXPECTUSS XPE ADULTO FR C/100ML</v>
          </cell>
          <cell r="D1123" t="str">
            <v>FR X 100 ML</v>
          </cell>
          <cell r="E1123" t="str">
            <v>PE</v>
          </cell>
          <cell r="F1123">
            <v>0.55000000000000016</v>
          </cell>
          <cell r="G1123">
            <v>0</v>
          </cell>
          <cell r="H1123">
            <v>0.55000000000000016</v>
          </cell>
        </row>
        <row r="1124">
          <cell r="A1124" t="str">
            <v>1015PE</v>
          </cell>
          <cell r="B1124">
            <v>1015</v>
          </cell>
          <cell r="C1124" t="str">
            <v>EXPECTUSS XPE INF FR C/100ML</v>
          </cell>
          <cell r="D1124" t="str">
            <v>FR X 100 ML</v>
          </cell>
          <cell r="E1124" t="str">
            <v>PE</v>
          </cell>
          <cell r="F1124">
            <v>0.5099999999999999</v>
          </cell>
          <cell r="G1124">
            <v>0</v>
          </cell>
          <cell r="H1124">
            <v>0.5099999999999999</v>
          </cell>
        </row>
        <row r="1125">
          <cell r="A1125" t="str">
            <v>1363PE</v>
          </cell>
          <cell r="B1125">
            <v>1363</v>
          </cell>
          <cell r="C1125" t="str">
            <v>FLUITEINA 600MG GRAN 16ENV 5G-E</v>
          </cell>
          <cell r="D1125" t="str">
            <v>CX. C/16 ENV X 5GR</v>
          </cell>
          <cell r="E1125" t="str">
            <v>PE</v>
          </cell>
          <cell r="F1125">
            <v>0.42999999999999994</v>
          </cell>
          <cell r="G1125">
            <v>0</v>
          </cell>
          <cell r="H1125">
            <v>0.42999999999999994</v>
          </cell>
        </row>
        <row r="1126">
          <cell r="A1126" t="str">
            <v>1364PE</v>
          </cell>
          <cell r="B1126">
            <v>1364</v>
          </cell>
          <cell r="C1126" t="str">
            <v>FLUITEINA XPE AD 40MG/ML120ML-E</v>
          </cell>
          <cell r="D1126" t="str">
            <v>FR X 120 ML</v>
          </cell>
          <cell r="E1126" t="str">
            <v>PE</v>
          </cell>
          <cell r="F1126">
            <v>0.56999999999999973</v>
          </cell>
          <cell r="G1126">
            <v>0</v>
          </cell>
          <cell r="H1126">
            <v>0.56999999999999973</v>
          </cell>
        </row>
        <row r="1127">
          <cell r="A1127" t="str">
            <v>1163PE</v>
          </cell>
          <cell r="B1127">
            <v>1163</v>
          </cell>
          <cell r="C1127" t="str">
            <v>FLUITEINA XPE INF 20MG/ML 120ML-E</v>
          </cell>
          <cell r="D1127" t="str">
            <v>FR X 120 ML</v>
          </cell>
          <cell r="E1127" t="str">
            <v>PE</v>
          </cell>
          <cell r="F1127">
            <v>0.51900000000000002</v>
          </cell>
          <cell r="G1127">
            <v>0</v>
          </cell>
          <cell r="H1127">
            <v>0.51900000000000002</v>
          </cell>
        </row>
        <row r="1128">
          <cell r="A1128" t="str">
            <v>1168PE</v>
          </cell>
          <cell r="B1128">
            <v>1168</v>
          </cell>
          <cell r="C1128" t="str">
            <v>FOLIFOLIN 5MG 2BLTX15COMP - E</v>
          </cell>
          <cell r="D1128" t="str">
            <v>2 BLT X 15 COMP.</v>
          </cell>
          <cell r="E1128" t="str">
            <v>PE</v>
          </cell>
          <cell r="F1128">
            <v>0.66</v>
          </cell>
          <cell r="G1128">
            <v>0</v>
          </cell>
          <cell r="H1128">
            <v>0.66</v>
          </cell>
        </row>
        <row r="1129">
          <cell r="A1129" t="str">
            <v>2318PE</v>
          </cell>
          <cell r="B1129">
            <v>2318</v>
          </cell>
          <cell r="C1129" t="str">
            <v>GEROVITAL  2BLT15 CAP MOLE-E</v>
          </cell>
          <cell r="D1129" t="str">
            <v>3 BL X 10</v>
          </cell>
          <cell r="E1129" t="str">
            <v>PE</v>
          </cell>
          <cell r="F1129">
            <v>0.57899999999999996</v>
          </cell>
          <cell r="G1129">
            <v>0</v>
          </cell>
          <cell r="H1129">
            <v>0.57899999999999996</v>
          </cell>
        </row>
        <row r="1130">
          <cell r="A1130" t="str">
            <v>2062PE</v>
          </cell>
          <cell r="B1130">
            <v>2062</v>
          </cell>
          <cell r="C1130" t="str">
            <v>GEROVITAL 3BLT C/20 CAP</v>
          </cell>
          <cell r="D1130" t="str">
            <v>6 BL X 10</v>
          </cell>
          <cell r="E1130" t="str">
            <v>PE</v>
          </cell>
          <cell r="F1130">
            <v>0.48100000000000004</v>
          </cell>
          <cell r="G1130">
            <v>0</v>
          </cell>
          <cell r="H1130">
            <v>0.48100000000000004</v>
          </cell>
        </row>
        <row r="1131">
          <cell r="A1131" t="str">
            <v>1230PE</v>
          </cell>
          <cell r="B1131">
            <v>1230</v>
          </cell>
          <cell r="C1131" t="str">
            <v>IBULIV 100MG/ML SUP ORAL C/ 20 ML-E</v>
          </cell>
          <cell r="D1131" t="str">
            <v>FR X 20 ML</v>
          </cell>
          <cell r="E1131" t="str">
            <v>PE</v>
          </cell>
          <cell r="F1131">
            <v>0.68000000000000016</v>
          </cell>
          <cell r="G1131">
            <v>0</v>
          </cell>
          <cell r="H1131">
            <v>0.68000000000000016</v>
          </cell>
        </row>
        <row r="1132">
          <cell r="A1132" t="str">
            <v>1472PE</v>
          </cell>
          <cell r="B1132">
            <v>1472</v>
          </cell>
          <cell r="C1132" t="str">
            <v>IBULIV 400MG 10 BLT C/ 4CAPS GEL.MOLES-E</v>
          </cell>
          <cell r="D1132" t="str">
            <v>10 BLT X 4 CÁPS</v>
          </cell>
          <cell r="E1132" t="str">
            <v>PE</v>
          </cell>
          <cell r="F1132">
            <v>0.71000000000000019</v>
          </cell>
          <cell r="G1132">
            <v>0</v>
          </cell>
          <cell r="H1132">
            <v>0.71000000000000019</v>
          </cell>
        </row>
        <row r="1133">
          <cell r="A1133" t="str">
            <v>2469PE</v>
          </cell>
          <cell r="B1133">
            <v>2469</v>
          </cell>
          <cell r="C1133" t="str">
            <v>IBULIV 400MG 2 BLT C/ 10CAPS GEL.MOLES-E</v>
          </cell>
          <cell r="D1133" t="str">
            <v>20 CÁPS.</v>
          </cell>
          <cell r="E1133" t="str">
            <v>PE</v>
          </cell>
          <cell r="F1133">
            <v>0.71</v>
          </cell>
          <cell r="G1133">
            <v>0</v>
          </cell>
          <cell r="H1133">
            <v>0.71</v>
          </cell>
        </row>
        <row r="1134">
          <cell r="A1134" t="str">
            <v>1471PE</v>
          </cell>
          <cell r="B1134">
            <v>1471</v>
          </cell>
          <cell r="C1134" t="str">
            <v>IBULIV 400MG 2 BLT C/ 4CAPS GEL.MOLES-E</v>
          </cell>
          <cell r="D1134" t="str">
            <v>2 BLT X 4 CÁPS.</v>
          </cell>
          <cell r="E1134" t="str">
            <v>PE</v>
          </cell>
          <cell r="F1134">
            <v>0.71</v>
          </cell>
          <cell r="G1134">
            <v>0</v>
          </cell>
          <cell r="H1134">
            <v>0.71</v>
          </cell>
        </row>
        <row r="1135">
          <cell r="A1135" t="str">
            <v>1175PE</v>
          </cell>
          <cell r="B1135">
            <v>1175</v>
          </cell>
          <cell r="C1135" t="str">
            <v>INFRALAX 1BLT C/15COMP - EMS</v>
          </cell>
          <cell r="D1135" t="str">
            <v>1 BLT C/ 15</v>
          </cell>
          <cell r="E1135" t="str">
            <v>PE</v>
          </cell>
          <cell r="F1135">
            <v>0.74280000000000002</v>
          </cell>
          <cell r="G1135">
            <v>0</v>
          </cell>
          <cell r="H1135">
            <v>0.74280000000000002</v>
          </cell>
        </row>
        <row r="1136">
          <cell r="A1136" t="str">
            <v>1821PE</v>
          </cell>
          <cell r="B1136">
            <v>1821</v>
          </cell>
          <cell r="C1136" t="str">
            <v>INFRALAX 20BLTX10COMP - E</v>
          </cell>
          <cell r="D1136" t="str">
            <v>20 BLT X 10</v>
          </cell>
          <cell r="E1136" t="str">
            <v>PE</v>
          </cell>
          <cell r="F1136">
            <v>0.81</v>
          </cell>
          <cell r="G1136">
            <v>0</v>
          </cell>
          <cell r="H1136">
            <v>0.81</v>
          </cell>
        </row>
        <row r="1137">
          <cell r="A1137" t="str">
            <v>2138PE</v>
          </cell>
          <cell r="B1137">
            <v>2138</v>
          </cell>
          <cell r="C1137" t="str">
            <v>INFRALAX 2BLT C/15COMP - EMS</v>
          </cell>
          <cell r="D1137" t="str">
            <v>2 BL X 15</v>
          </cell>
          <cell r="E1137" t="str">
            <v>PE</v>
          </cell>
          <cell r="F1137">
            <v>0.74650000000000005</v>
          </cell>
          <cell r="G1137">
            <v>0</v>
          </cell>
          <cell r="H1137">
            <v>0.74650000000000005</v>
          </cell>
        </row>
        <row r="1138">
          <cell r="A1138" t="str">
            <v>6011PE</v>
          </cell>
          <cell r="B1138">
            <v>6011</v>
          </cell>
          <cell r="C1138" t="str">
            <v>NARIDRIN 12HS GOTAS FR C/30ML</v>
          </cell>
          <cell r="D1138" t="str">
            <v>FR X 30 ML</v>
          </cell>
          <cell r="E1138" t="str">
            <v>PE</v>
          </cell>
          <cell r="F1138">
            <v>0.74</v>
          </cell>
          <cell r="G1138">
            <v>0</v>
          </cell>
          <cell r="H1138">
            <v>0.74</v>
          </cell>
        </row>
        <row r="1139">
          <cell r="A1139" t="str">
            <v>2604PE</v>
          </cell>
          <cell r="B1139">
            <v>2604</v>
          </cell>
          <cell r="C1139" t="str">
            <v>NARIDRIN ALTO VOL 30ENVX2,16G+FR240ML</v>
          </cell>
          <cell r="D1139" t="str">
            <v>30ENVX2,16G+FR240ML</v>
          </cell>
          <cell r="E1139" t="str">
            <v>PE</v>
          </cell>
          <cell r="F1139">
            <v>0.64</v>
          </cell>
          <cell r="G1139">
            <v>0</v>
          </cell>
          <cell r="H1139">
            <v>0.64</v>
          </cell>
        </row>
        <row r="1140">
          <cell r="A1140" t="str">
            <v>2605PE</v>
          </cell>
          <cell r="B1140">
            <v>2605</v>
          </cell>
          <cell r="C1140" t="str">
            <v>NARIDRIN ALTO VOL REFIL</v>
          </cell>
          <cell r="D1140" t="str">
            <v>30 ENV X 2,16G</v>
          </cell>
          <cell r="E1140" t="str">
            <v>PE</v>
          </cell>
          <cell r="F1140">
            <v>0.59999999999999987</v>
          </cell>
          <cell r="G1140">
            <v>0</v>
          </cell>
          <cell r="H1140">
            <v>0.59999999999999987</v>
          </cell>
        </row>
        <row r="1141">
          <cell r="A1141" t="str">
            <v>1433PE</v>
          </cell>
          <cell r="B1141">
            <v>1433</v>
          </cell>
          <cell r="C1141" t="str">
            <v>NARIDRIN AQUA 9MG/ML FRASCO C/50ML-E</v>
          </cell>
          <cell r="D1141" t="str">
            <v>FR X 50 ML SPRAY</v>
          </cell>
          <cell r="E1141" t="str">
            <v>PE</v>
          </cell>
          <cell r="F1141">
            <v>0.71</v>
          </cell>
          <cell r="G1141">
            <v>0</v>
          </cell>
          <cell r="H1141">
            <v>0.71</v>
          </cell>
        </row>
        <row r="1142">
          <cell r="A1142" t="str">
            <v>6005PE</v>
          </cell>
          <cell r="B1142">
            <v>6005</v>
          </cell>
          <cell r="C1142" t="str">
            <v>NARIDRIN GOTAS AD FR C/15ML</v>
          </cell>
          <cell r="D1142" t="str">
            <v>FR X 15 ML</v>
          </cell>
          <cell r="E1142" t="str">
            <v>PE</v>
          </cell>
          <cell r="F1142">
            <v>0.74</v>
          </cell>
          <cell r="G1142">
            <v>0</v>
          </cell>
          <cell r="H1142">
            <v>0.74</v>
          </cell>
        </row>
        <row r="1143">
          <cell r="A1143" t="str">
            <v>6006PE</v>
          </cell>
          <cell r="B1143">
            <v>6006</v>
          </cell>
          <cell r="C1143" t="str">
            <v>NARIDRIN GOTAS INF FR C/15ML</v>
          </cell>
          <cell r="D1143" t="str">
            <v>FR X 15 ML</v>
          </cell>
          <cell r="E1143" t="str">
            <v>PE</v>
          </cell>
          <cell r="F1143">
            <v>0.72999999999999987</v>
          </cell>
          <cell r="G1143">
            <v>0</v>
          </cell>
          <cell r="H1143">
            <v>0.72999999999999987</v>
          </cell>
        </row>
        <row r="1144">
          <cell r="A1144" t="str">
            <v>1079PE</v>
          </cell>
          <cell r="B1144">
            <v>1079</v>
          </cell>
          <cell r="C1144" t="str">
            <v>NARIDRIN H 30MG/ML SOL.NAS SPRAY 60ML-E</v>
          </cell>
          <cell r="D1144" t="str">
            <v>FRASCO X 60ML</v>
          </cell>
          <cell r="E1144" t="str">
            <v>PE</v>
          </cell>
          <cell r="F1144">
            <v>0.7</v>
          </cell>
          <cell r="G1144">
            <v>0</v>
          </cell>
          <cell r="H1144">
            <v>0.7</v>
          </cell>
        </row>
        <row r="1145">
          <cell r="A1145" t="str">
            <v>1368PE</v>
          </cell>
          <cell r="B1145">
            <v>1368</v>
          </cell>
          <cell r="C1145" t="str">
            <v>NIMESILAM BLT 1X12= 12 COM - E</v>
          </cell>
          <cell r="D1145" t="str">
            <v>1 BLT X 12</v>
          </cell>
          <cell r="E1145" t="str">
            <v>PE</v>
          </cell>
          <cell r="F1145">
            <v>0.89999999999999991</v>
          </cell>
          <cell r="G1145">
            <v>0</v>
          </cell>
          <cell r="H1145">
            <v>0.89999999999999991</v>
          </cell>
        </row>
        <row r="1146">
          <cell r="A1146" t="str">
            <v>1367PE</v>
          </cell>
          <cell r="B1146">
            <v>1367</v>
          </cell>
          <cell r="C1146" t="str">
            <v>NIMESILAM GOTAS FRC/15ML  - E</v>
          </cell>
          <cell r="D1146" t="str">
            <v>FR 15 ML</v>
          </cell>
          <cell r="E1146" t="str">
            <v>PE</v>
          </cell>
          <cell r="F1146">
            <v>0.73</v>
          </cell>
          <cell r="G1146">
            <v>0</v>
          </cell>
          <cell r="H1146">
            <v>0.73</v>
          </cell>
        </row>
        <row r="1147">
          <cell r="A1147" t="str">
            <v>2058PE</v>
          </cell>
          <cell r="B1147">
            <v>2058</v>
          </cell>
          <cell r="C1147" t="str">
            <v>NOCICLIN 1BLT C/21COM-EMS</v>
          </cell>
          <cell r="D1147" t="str">
            <v>1 BL X 21</v>
          </cell>
          <cell r="E1147" t="str">
            <v>PE</v>
          </cell>
          <cell r="F1147">
            <v>0.68</v>
          </cell>
          <cell r="G1147">
            <v>0</v>
          </cell>
          <cell r="H1147">
            <v>0.68</v>
          </cell>
        </row>
        <row r="1148">
          <cell r="A1148" t="str">
            <v>2391PE</v>
          </cell>
          <cell r="B1148">
            <v>2391</v>
          </cell>
          <cell r="C1148" t="str">
            <v>RUDITE 20MG/ML PO SUS 100ML-E</v>
          </cell>
          <cell r="D1148" t="str">
            <v>FR X 100 ML</v>
          </cell>
          <cell r="E1148" t="str">
            <v>PE</v>
          </cell>
          <cell r="F1148">
            <v>0.59899999999999998</v>
          </cell>
          <cell r="G1148">
            <v>0</v>
          </cell>
          <cell r="H1148">
            <v>0.59899999999999998</v>
          </cell>
        </row>
        <row r="1149">
          <cell r="A1149" t="str">
            <v>2392PE</v>
          </cell>
          <cell r="B1149">
            <v>2392</v>
          </cell>
          <cell r="C1149" t="str">
            <v>RUDITE 20MG/ML PO SUS 45ML-E</v>
          </cell>
          <cell r="D1149" t="str">
            <v>FR X 45 ML</v>
          </cell>
          <cell r="E1149" t="str">
            <v>PE</v>
          </cell>
          <cell r="F1149">
            <v>0.58999999999999986</v>
          </cell>
          <cell r="G1149">
            <v>0</v>
          </cell>
          <cell r="H1149">
            <v>0.58999999999999986</v>
          </cell>
        </row>
        <row r="1150">
          <cell r="A1150" t="str">
            <v>2390PE</v>
          </cell>
          <cell r="B1150">
            <v>2390</v>
          </cell>
          <cell r="C1150" t="str">
            <v>RUDITE(C1)500MG C/6 COM REV-E</v>
          </cell>
          <cell r="D1150" t="str">
            <v>1 BLT X 6</v>
          </cell>
          <cell r="E1150" t="str">
            <v>PE</v>
          </cell>
          <cell r="F1150">
            <v>0.7</v>
          </cell>
          <cell r="G1150">
            <v>0</v>
          </cell>
          <cell r="H1150">
            <v>0.7</v>
          </cell>
        </row>
        <row r="1151">
          <cell r="A1151" t="str">
            <v>2398PE</v>
          </cell>
          <cell r="B1151">
            <v>2398</v>
          </cell>
          <cell r="C1151" t="str">
            <v>SOMINEX COMPOS OTC CPR REVEST x 20</v>
          </cell>
          <cell r="D1151" t="str">
            <v>2 BL X 10</v>
          </cell>
          <cell r="E1151" t="str">
            <v>PE</v>
          </cell>
          <cell r="F1151">
            <v>0.68899999999999995</v>
          </cell>
          <cell r="G1151">
            <v>0</v>
          </cell>
          <cell r="H1151">
            <v>0.68899999999999995</v>
          </cell>
        </row>
        <row r="1152">
          <cell r="A1152" t="str">
            <v>1818PE</v>
          </cell>
          <cell r="B1152">
            <v>1818</v>
          </cell>
          <cell r="C1152" t="str">
            <v>SUPLEVIT MULHER VIT. 2BLT C/15 CAP.GEL-E</v>
          </cell>
          <cell r="D1152" t="str">
            <v>2 BLT C/15</v>
          </cell>
          <cell r="E1152" t="str">
            <v>PE</v>
          </cell>
          <cell r="F1152">
            <v>0.82</v>
          </cell>
          <cell r="G1152">
            <v>0</v>
          </cell>
          <cell r="H1152">
            <v>0.82</v>
          </cell>
        </row>
        <row r="1153">
          <cell r="A1153" t="str">
            <v>1819PE</v>
          </cell>
          <cell r="B1153">
            <v>1819</v>
          </cell>
          <cell r="C1153" t="str">
            <v>SUPLEVIT MULHER VIT. 4BLT C/15 CAP.GEL-E</v>
          </cell>
          <cell r="D1153" t="str">
            <v>4 BLT C/15</v>
          </cell>
          <cell r="E1153" t="str">
            <v>PE</v>
          </cell>
          <cell r="F1153">
            <v>0.81999999999999984</v>
          </cell>
          <cell r="G1153">
            <v>0</v>
          </cell>
          <cell r="H1153">
            <v>0.81999999999999984</v>
          </cell>
        </row>
        <row r="1154">
          <cell r="A1154" t="str">
            <v>2036PE</v>
          </cell>
          <cell r="B1154">
            <v>2036</v>
          </cell>
          <cell r="C1154" t="str">
            <v>VITAFER FR C/50 COMP-E</v>
          </cell>
          <cell r="D1154" t="str">
            <v>FR X 50</v>
          </cell>
          <cell r="E1154" t="str">
            <v>PE</v>
          </cell>
          <cell r="F1154">
            <v>0.52999999999999992</v>
          </cell>
          <cell r="G1154">
            <v>0</v>
          </cell>
          <cell r="H1154">
            <v>0.52999999999999992</v>
          </cell>
        </row>
        <row r="1155">
          <cell r="A1155" t="str">
            <v>60000PI</v>
          </cell>
          <cell r="B1155">
            <v>60000</v>
          </cell>
          <cell r="C1155" t="str">
            <v>A SAUDE DA MULHER 150ML SOLUCAO</v>
          </cell>
          <cell r="D1155" t="str">
            <v>FR X 150 ML</v>
          </cell>
          <cell r="E1155" t="str">
            <v>PI</v>
          </cell>
          <cell r="F1155">
            <v>0.26999999999999996</v>
          </cell>
          <cell r="G1155">
            <v>0</v>
          </cell>
          <cell r="H1155">
            <v>0.26999999999999996</v>
          </cell>
        </row>
        <row r="1156">
          <cell r="A1156" t="str">
            <v>2256PI</v>
          </cell>
          <cell r="B1156">
            <v>2256</v>
          </cell>
          <cell r="C1156" t="str">
            <v>ALLEXOFEDRIN 120MG 1BLTC/10 COM REV-E</v>
          </cell>
          <cell r="D1156" t="str">
            <v>1 BL X 10 COMP REVEST</v>
          </cell>
          <cell r="E1156" t="str">
            <v>PI</v>
          </cell>
          <cell r="F1156">
            <v>0.75</v>
          </cell>
          <cell r="G1156">
            <v>0</v>
          </cell>
          <cell r="H1156">
            <v>0.75</v>
          </cell>
        </row>
        <row r="1157">
          <cell r="A1157" t="str">
            <v>2255PI</v>
          </cell>
          <cell r="B1157">
            <v>2255</v>
          </cell>
          <cell r="C1157" t="str">
            <v>ALLEXOFEDRIN 180MG 1BLTC/10 COM REV-E</v>
          </cell>
          <cell r="D1157" t="str">
            <v>1 BL X 10 COMP REVEST</v>
          </cell>
          <cell r="E1157" t="str">
            <v>PI</v>
          </cell>
          <cell r="F1157">
            <v>0.74999999999999989</v>
          </cell>
          <cell r="G1157">
            <v>0</v>
          </cell>
          <cell r="H1157">
            <v>0.74999999999999989</v>
          </cell>
        </row>
        <row r="1158">
          <cell r="A1158" t="str">
            <v>2133PI</v>
          </cell>
          <cell r="B1158">
            <v>2133</v>
          </cell>
          <cell r="C1158" t="str">
            <v>ALLEXOFEDRIN D 60+120MG 1BLT C/10C.REV</v>
          </cell>
          <cell r="D1158" t="str">
            <v>1 BL X 10 COMP REVEST</v>
          </cell>
          <cell r="E1158" t="str">
            <v>PI</v>
          </cell>
          <cell r="F1158">
            <v>0.26</v>
          </cell>
          <cell r="G1158">
            <v>0</v>
          </cell>
          <cell r="H1158">
            <v>0.26</v>
          </cell>
        </row>
        <row r="1159">
          <cell r="A1159" t="str">
            <v>1066CE</v>
          </cell>
          <cell r="B1159">
            <v>1066</v>
          </cell>
          <cell r="C1159" t="str">
            <v>CELERGIN XPE 120ML-E</v>
          </cell>
          <cell r="D1159" t="str">
            <v>FR X 120 ML</v>
          </cell>
          <cell r="E1159" t="str">
            <v>CE</v>
          </cell>
          <cell r="F1159">
            <v>0.73499999999999999</v>
          </cell>
          <cell r="G1159">
            <v>0</v>
          </cell>
          <cell r="H1159">
            <v>0.73499999999999999</v>
          </cell>
        </row>
        <row r="1160">
          <cell r="A1160" t="str">
            <v>2347PI</v>
          </cell>
          <cell r="B1160">
            <v>2347</v>
          </cell>
          <cell r="C1160" t="str">
            <v>ALLEXOFEDRIN PEDIATRICO6MG/MLSUS150 ML-E</v>
          </cell>
          <cell r="D1160" t="str">
            <v>6MG/MLSUS150 ML-E</v>
          </cell>
          <cell r="E1160" t="str">
            <v>PI</v>
          </cell>
          <cell r="F1160">
            <v>0.60909999999999997</v>
          </cell>
          <cell r="G1160">
            <v>0</v>
          </cell>
          <cell r="H1160">
            <v>0.60909999999999997</v>
          </cell>
        </row>
        <row r="1161">
          <cell r="A1161" t="str">
            <v>2190PI</v>
          </cell>
          <cell r="B1161">
            <v>2190</v>
          </cell>
          <cell r="C1161" t="str">
            <v>ANTIVIRAX 400MG 2BLTX15 COM - E</v>
          </cell>
          <cell r="D1161" t="str">
            <v>2 BL X 15</v>
          </cell>
          <cell r="E1161" t="str">
            <v>PI</v>
          </cell>
          <cell r="F1161">
            <v>0.68</v>
          </cell>
          <cell r="G1161">
            <v>0</v>
          </cell>
          <cell r="H1161">
            <v>0.68</v>
          </cell>
        </row>
        <row r="1162">
          <cell r="A1162" t="str">
            <v>3009PI</v>
          </cell>
          <cell r="B1162">
            <v>3009</v>
          </cell>
          <cell r="C1162" t="str">
            <v>ANTIVIRAX CR BG C/10 G</v>
          </cell>
          <cell r="D1162" t="str">
            <v>BISN X 10 G</v>
          </cell>
          <cell r="E1162" t="str">
            <v>PI</v>
          </cell>
          <cell r="F1162">
            <v>0.74999999999999989</v>
          </cell>
          <cell r="G1162">
            <v>0</v>
          </cell>
          <cell r="H1162">
            <v>0.74999999999999989</v>
          </cell>
        </row>
        <row r="1163">
          <cell r="A1163" t="str">
            <v>1001PI</v>
          </cell>
          <cell r="B1163">
            <v>1001</v>
          </cell>
          <cell r="C1163" t="str">
            <v>APEVITIN BC XPE FRC/240ML</v>
          </cell>
          <cell r="D1163" t="str">
            <v>FR X 240 ML</v>
          </cell>
          <cell r="E1163" t="str">
            <v>PI</v>
          </cell>
          <cell r="F1163">
            <v>0.80710000000000004</v>
          </cell>
          <cell r="G1163">
            <v>0</v>
          </cell>
          <cell r="H1163">
            <v>0.80710000000000004</v>
          </cell>
        </row>
        <row r="1164">
          <cell r="A1164" t="str">
            <v>1226PI</v>
          </cell>
          <cell r="B1164">
            <v>1226</v>
          </cell>
          <cell r="C1164" t="str">
            <v>BENZIFLEX 10MG 1BLX15COMP.REV-E</v>
          </cell>
          <cell r="D1164" t="str">
            <v>1 BL X 15 COMP.</v>
          </cell>
          <cell r="E1164" t="str">
            <v>PI</v>
          </cell>
          <cell r="F1164">
            <v>0.71</v>
          </cell>
          <cell r="G1164">
            <v>0</v>
          </cell>
          <cell r="H1164">
            <v>0.71</v>
          </cell>
        </row>
        <row r="1165">
          <cell r="A1165" t="str">
            <v>1227PI</v>
          </cell>
          <cell r="B1165">
            <v>1227</v>
          </cell>
          <cell r="C1165" t="str">
            <v>BENZIFLEX 10MG 2BLX15COMP.REV-E</v>
          </cell>
          <cell r="D1165" t="str">
            <v>2 BL X 15 COMP.</v>
          </cell>
          <cell r="E1165" t="str">
            <v>PI</v>
          </cell>
          <cell r="F1165">
            <v>0.71</v>
          </cell>
          <cell r="G1165">
            <v>0</v>
          </cell>
          <cell r="H1165">
            <v>0.71</v>
          </cell>
        </row>
        <row r="1166">
          <cell r="A1166" t="str">
            <v>1233PI</v>
          </cell>
          <cell r="B1166">
            <v>1233</v>
          </cell>
          <cell r="C1166" t="str">
            <v>BENZIFLEX 5MG 2BLX15COMP.REV-E</v>
          </cell>
          <cell r="D1166" t="str">
            <v>2 BL X 15 COMP.</v>
          </cell>
          <cell r="E1166" t="str">
            <v>PI</v>
          </cell>
          <cell r="F1166">
            <v>0.71</v>
          </cell>
          <cell r="G1166">
            <v>0</v>
          </cell>
          <cell r="H1166">
            <v>0.71</v>
          </cell>
        </row>
        <row r="1167">
          <cell r="A1167" t="str">
            <v>1574PI</v>
          </cell>
          <cell r="B1167">
            <v>1574</v>
          </cell>
          <cell r="C1167" t="str">
            <v>BENZIFLEX LIS 125MG+5MG 15COM.REV.-E</v>
          </cell>
          <cell r="D1167" t="str">
            <v>1 BL X 15 COMP.</v>
          </cell>
          <cell r="E1167" t="str">
            <v>PI</v>
          </cell>
          <cell r="F1167">
            <v>0.5</v>
          </cell>
          <cell r="G1167">
            <v>0</v>
          </cell>
          <cell r="H1167">
            <v>0.5</v>
          </cell>
        </row>
        <row r="1168">
          <cell r="A1168" t="str">
            <v>2292PI</v>
          </cell>
          <cell r="B1168">
            <v>2292</v>
          </cell>
          <cell r="C1168" t="str">
            <v>BENZIFLEX LIS 125MG+5MG 2BL15 COM.REV.-E</v>
          </cell>
          <cell r="D1168" t="str">
            <v>2 BL X 15 COMP.</v>
          </cell>
          <cell r="E1168" t="str">
            <v>PI</v>
          </cell>
          <cell r="F1168">
            <v>0.53</v>
          </cell>
          <cell r="G1168">
            <v>0</v>
          </cell>
          <cell r="H1168">
            <v>0.53</v>
          </cell>
        </row>
        <row r="1169">
          <cell r="A1169" t="str">
            <v>1155PI</v>
          </cell>
          <cell r="B1169">
            <v>1155</v>
          </cell>
          <cell r="C1169" t="str">
            <v>BIOFLADEX AEROSSOL 60G- E</v>
          </cell>
          <cell r="D1169" t="str">
            <v>FRASCO 60 G</v>
          </cell>
          <cell r="E1169" t="str">
            <v>PI</v>
          </cell>
          <cell r="F1169">
            <v>0.66</v>
          </cell>
          <cell r="G1169">
            <v>0</v>
          </cell>
          <cell r="H1169">
            <v>0.66</v>
          </cell>
        </row>
        <row r="1170">
          <cell r="A1170" t="str">
            <v>1072PI</v>
          </cell>
          <cell r="B1170">
            <v>1072</v>
          </cell>
          <cell r="C1170" t="str">
            <v>BISURAN 4MG/5ML XPE INF 120ML-E</v>
          </cell>
          <cell r="D1170" t="str">
            <v>FR X 120 ML</v>
          </cell>
          <cell r="E1170" t="str">
            <v>PI</v>
          </cell>
          <cell r="F1170">
            <v>0.53</v>
          </cell>
          <cell r="G1170">
            <v>0</v>
          </cell>
          <cell r="H1170">
            <v>0.53</v>
          </cell>
        </row>
        <row r="1171">
          <cell r="A1171" t="str">
            <v>1318PI</v>
          </cell>
          <cell r="B1171">
            <v>1318</v>
          </cell>
          <cell r="C1171" t="str">
            <v>BISURAN 8MG/5ML XPE AD. 120ML-E</v>
          </cell>
          <cell r="D1171" t="str">
            <v>FR X 120 ML</v>
          </cell>
          <cell r="E1171" t="str">
            <v>PI</v>
          </cell>
          <cell r="F1171">
            <v>0.61999999999999988</v>
          </cell>
          <cell r="G1171">
            <v>0</v>
          </cell>
          <cell r="H1171">
            <v>0.61999999999999988</v>
          </cell>
        </row>
        <row r="1172">
          <cell r="A1172" t="str">
            <v>2141PI</v>
          </cell>
          <cell r="B1172">
            <v>2141</v>
          </cell>
          <cell r="C1172" t="str">
            <v>CELERGIN 20 COMP-E</v>
          </cell>
          <cell r="D1172" t="str">
            <v>CX. C/20 COMP.</v>
          </cell>
          <cell r="E1172" t="str">
            <v>PI</v>
          </cell>
          <cell r="F1172">
            <v>0.65649999999999986</v>
          </cell>
          <cell r="G1172">
            <v>0</v>
          </cell>
          <cell r="H1172">
            <v>0.65649999999999986</v>
          </cell>
        </row>
        <row r="1173">
          <cell r="A1173" t="str">
            <v>1066DF</v>
          </cell>
          <cell r="B1173">
            <v>1066</v>
          </cell>
          <cell r="C1173" t="str">
            <v>CELERGIN XPE 120ML-E</v>
          </cell>
          <cell r="D1173" t="str">
            <v>FR X 120 ML</v>
          </cell>
          <cell r="E1173" t="str">
            <v>DF</v>
          </cell>
          <cell r="F1173">
            <v>0.73440000000000016</v>
          </cell>
          <cell r="G1173">
            <v>0</v>
          </cell>
          <cell r="H1173">
            <v>0.73440000000000016</v>
          </cell>
        </row>
        <row r="1174">
          <cell r="A1174" t="str">
            <v>2322PI</v>
          </cell>
          <cell r="B1174">
            <v>2322</v>
          </cell>
          <cell r="C1174" t="str">
            <v>CLOPE 3,54MG/ML XPE 120ML FR PLAS-E</v>
          </cell>
          <cell r="D1174" t="str">
            <v>FR X 120 ML</v>
          </cell>
          <cell r="E1174" t="str">
            <v>PI</v>
          </cell>
          <cell r="F1174">
            <v>0.53</v>
          </cell>
          <cell r="G1174">
            <v>0</v>
          </cell>
          <cell r="H1174">
            <v>0.53</v>
          </cell>
        </row>
        <row r="1175">
          <cell r="A1175" t="str">
            <v>2383PI</v>
          </cell>
          <cell r="B1175">
            <v>2383</v>
          </cell>
          <cell r="C1175" t="str">
            <v>COMPLEXO B 12 XPE FR C/120ML E</v>
          </cell>
          <cell r="D1175" t="str">
            <v>FR X 120 ML</v>
          </cell>
          <cell r="E1175" t="str">
            <v>PI</v>
          </cell>
          <cell r="F1175">
            <v>0.67000000000000015</v>
          </cell>
          <cell r="G1175">
            <v>0</v>
          </cell>
          <cell r="H1175">
            <v>0.67000000000000015</v>
          </cell>
        </row>
        <row r="1176">
          <cell r="A1176" t="str">
            <v>2384PI</v>
          </cell>
          <cell r="B1176">
            <v>2384</v>
          </cell>
          <cell r="C1176" t="str">
            <v>COMPLEXO B CPR REVEST x 20</v>
          </cell>
          <cell r="D1176" t="str">
            <v xml:space="preserve">FR X 20 </v>
          </cell>
          <cell r="E1176" t="str">
            <v>PI</v>
          </cell>
          <cell r="F1176">
            <v>0.66000000000000014</v>
          </cell>
          <cell r="G1176">
            <v>0</v>
          </cell>
          <cell r="H1176">
            <v>0.66000000000000014</v>
          </cell>
        </row>
        <row r="1177">
          <cell r="A1177" t="str">
            <v>2382PI</v>
          </cell>
          <cell r="B1177">
            <v>2382</v>
          </cell>
          <cell r="C1177" t="str">
            <v>COMPLEXO B FR C/100 COM REV  E</v>
          </cell>
          <cell r="D1177" t="str">
            <v>FR X 100</v>
          </cell>
          <cell r="E1177" t="str">
            <v>PI</v>
          </cell>
          <cell r="F1177">
            <v>0.64000000000000012</v>
          </cell>
          <cell r="G1177">
            <v>0</v>
          </cell>
          <cell r="H1177">
            <v>0.64000000000000012</v>
          </cell>
        </row>
        <row r="1178">
          <cell r="A1178" t="str">
            <v>2011PI</v>
          </cell>
          <cell r="B1178">
            <v>2011</v>
          </cell>
          <cell r="C1178" t="str">
            <v>CYSTEX FR C/24 DRG</v>
          </cell>
          <cell r="D1178" t="str">
            <v xml:space="preserve">FR X 24 </v>
          </cell>
          <cell r="E1178" t="str">
            <v>PI</v>
          </cell>
          <cell r="F1178">
            <v>0.36070000000000002</v>
          </cell>
          <cell r="G1178">
            <v>0</v>
          </cell>
          <cell r="H1178">
            <v>0.36070000000000002</v>
          </cell>
        </row>
        <row r="1179">
          <cell r="A1179" t="str">
            <v>1837PI</v>
          </cell>
          <cell r="B1179">
            <v>1837</v>
          </cell>
          <cell r="C1179" t="str">
            <v>DIOVASES 450+50MG C/30 COM.REV. - E</v>
          </cell>
          <cell r="D1179" t="str">
            <v>2 BL X 15 COMP.</v>
          </cell>
          <cell r="E1179" t="str">
            <v>PI</v>
          </cell>
          <cell r="F1179">
            <v>0.68</v>
          </cell>
          <cell r="G1179">
            <v>0</v>
          </cell>
          <cell r="H1179">
            <v>0.68</v>
          </cell>
        </row>
        <row r="1180">
          <cell r="A1180" t="str">
            <v>1838PI</v>
          </cell>
          <cell r="B1180">
            <v>1838</v>
          </cell>
          <cell r="C1180" t="str">
            <v>DIOVASES 450+50MG C/60 COM.REV. - E</v>
          </cell>
          <cell r="D1180" t="str">
            <v>4 BL X 15 COMP.</v>
          </cell>
          <cell r="E1180" t="str">
            <v>PI</v>
          </cell>
          <cell r="F1180">
            <v>0.72</v>
          </cell>
          <cell r="G1180">
            <v>0</v>
          </cell>
          <cell r="H1180">
            <v>0.72</v>
          </cell>
        </row>
        <row r="1181">
          <cell r="A1181" t="str">
            <v>2261PI</v>
          </cell>
          <cell r="B1181">
            <v>2261</v>
          </cell>
          <cell r="C1181" t="str">
            <v>DORICIN CPR x 24</v>
          </cell>
          <cell r="D1181" t="str">
            <v>2BL C/12 COMPRIMIDOS -E</v>
          </cell>
          <cell r="E1181" t="str">
            <v>PI</v>
          </cell>
          <cell r="F1181">
            <v>0.74099999999999999</v>
          </cell>
          <cell r="G1181">
            <v>0</v>
          </cell>
          <cell r="H1181">
            <v>0.74099999999999999</v>
          </cell>
        </row>
        <row r="1182">
          <cell r="A1182" t="str">
            <v>2264PI</v>
          </cell>
          <cell r="B1182">
            <v>2264</v>
          </cell>
          <cell r="C1182" t="str">
            <v>DORICIN CPR x 300</v>
          </cell>
          <cell r="D1182" t="str">
            <v>30BL C/10 COMPRIMIDOS -E</v>
          </cell>
          <cell r="E1182" t="str">
            <v>PI</v>
          </cell>
          <cell r="F1182">
            <v>0.74099999999999999</v>
          </cell>
          <cell r="G1182">
            <v>0</v>
          </cell>
          <cell r="H1182">
            <v>0.74099999999999999</v>
          </cell>
        </row>
        <row r="1183">
          <cell r="A1183" t="str">
            <v>2262PI</v>
          </cell>
          <cell r="B1183">
            <v>2262</v>
          </cell>
          <cell r="C1183" t="str">
            <v>DORICIN CPR X 36</v>
          </cell>
          <cell r="D1183" t="str">
            <v>3BL C/12 COMPRIMIDOS -E</v>
          </cell>
          <cell r="E1183" t="str">
            <v>PI</v>
          </cell>
          <cell r="F1183">
            <v>0.75139999999999996</v>
          </cell>
          <cell r="G1183">
            <v>0</v>
          </cell>
          <cell r="H1183">
            <v>0.75139999999999996</v>
          </cell>
        </row>
        <row r="1184">
          <cell r="A1184" t="str">
            <v>2263PI</v>
          </cell>
          <cell r="B1184">
            <v>2263</v>
          </cell>
          <cell r="C1184" t="str">
            <v>DORICIN CPR X 50</v>
          </cell>
          <cell r="D1184" t="str">
            <v>5BL C/10 COMPRIMIDOS - E</v>
          </cell>
          <cell r="E1184" t="str">
            <v>PI</v>
          </cell>
          <cell r="F1184">
            <v>0.66100000000000003</v>
          </cell>
          <cell r="G1184">
            <v>0</v>
          </cell>
          <cell r="H1184">
            <v>0.66100000000000003</v>
          </cell>
        </row>
        <row r="1185">
          <cell r="A1185" t="str">
            <v>1173PI</v>
          </cell>
          <cell r="B1185">
            <v>1173</v>
          </cell>
          <cell r="C1185" t="str">
            <v>DORICIN GOTAS 20ML x 1</v>
          </cell>
          <cell r="D1185" t="str">
            <v>FR X 20 ML</v>
          </cell>
          <cell r="E1185" t="str">
            <v>PI</v>
          </cell>
          <cell r="F1185">
            <v>0.65</v>
          </cell>
          <cell r="G1185">
            <v>0</v>
          </cell>
          <cell r="H1185">
            <v>0.65</v>
          </cell>
        </row>
        <row r="1186">
          <cell r="A1186" t="str">
            <v>2018PI</v>
          </cell>
          <cell r="B1186">
            <v>2018</v>
          </cell>
          <cell r="C1186" t="str">
            <v>EMISTIN BLT 1X20=20COMP</v>
          </cell>
          <cell r="D1186" t="str">
            <v>1 BL X 20</v>
          </cell>
          <cell r="E1186" t="str">
            <v>PI</v>
          </cell>
          <cell r="F1186">
            <v>0.67</v>
          </cell>
          <cell r="G1186">
            <v>0</v>
          </cell>
          <cell r="H1186">
            <v>0.67</v>
          </cell>
        </row>
        <row r="1187">
          <cell r="A1187" t="str">
            <v>3008PI</v>
          </cell>
          <cell r="B1187">
            <v>3008</v>
          </cell>
          <cell r="C1187" t="str">
            <v>EMISTIN CR BG C/20G</v>
          </cell>
          <cell r="D1187" t="str">
            <v>BISN X 20 G</v>
          </cell>
          <cell r="E1187" t="str">
            <v>PI</v>
          </cell>
          <cell r="F1187">
            <v>0.77</v>
          </cell>
          <cell r="G1187">
            <v>0</v>
          </cell>
          <cell r="H1187">
            <v>0.77</v>
          </cell>
        </row>
        <row r="1188">
          <cell r="A1188" t="str">
            <v>3020PI</v>
          </cell>
          <cell r="B1188">
            <v>3020</v>
          </cell>
          <cell r="C1188" t="str">
            <v>EMSCORT CR BG C/30G</v>
          </cell>
          <cell r="D1188" t="str">
            <v>BISN X 30 G</v>
          </cell>
          <cell r="E1188" t="str">
            <v>PI</v>
          </cell>
          <cell r="F1188">
            <v>0.77000000000000013</v>
          </cell>
          <cell r="G1188">
            <v>0</v>
          </cell>
          <cell r="H1188">
            <v>0.77000000000000013</v>
          </cell>
        </row>
        <row r="1189">
          <cell r="A1189" t="str">
            <v>6023PI</v>
          </cell>
          <cell r="B1189">
            <v>6023</v>
          </cell>
          <cell r="C1189" t="str">
            <v>EMSCORT POM BISN 30G-E</v>
          </cell>
          <cell r="D1189" t="str">
            <v>BISN X 30 G</v>
          </cell>
          <cell r="E1189" t="str">
            <v>PI</v>
          </cell>
          <cell r="F1189">
            <v>0.7639999999999999</v>
          </cell>
          <cell r="G1189">
            <v>0</v>
          </cell>
          <cell r="H1189">
            <v>0.7639999999999999</v>
          </cell>
        </row>
        <row r="1190">
          <cell r="A1190" t="str">
            <v>1190PI</v>
          </cell>
          <cell r="B1190">
            <v>1190</v>
          </cell>
          <cell r="C1190" t="str">
            <v>EMSEXPECTOR XAROPE FR C/120ML - E</v>
          </cell>
          <cell r="D1190" t="str">
            <v>FR X 120 ML</v>
          </cell>
          <cell r="E1190" t="str">
            <v>PI</v>
          </cell>
          <cell r="F1190">
            <v>0.48</v>
          </cell>
          <cell r="G1190">
            <v>0</v>
          </cell>
          <cell r="H1190">
            <v>0.48</v>
          </cell>
        </row>
        <row r="1191">
          <cell r="A1191" t="str">
            <v>2111PI</v>
          </cell>
          <cell r="B1191">
            <v>2111</v>
          </cell>
          <cell r="C1191" t="str">
            <v>ENDCOFF PAST MEL ELIMAO C/12UN</v>
          </cell>
          <cell r="D1191" t="str">
            <v>3 STP X 4</v>
          </cell>
          <cell r="E1191" t="str">
            <v>PI</v>
          </cell>
          <cell r="F1191">
            <v>0.48</v>
          </cell>
          <cell r="G1191">
            <v>0</v>
          </cell>
          <cell r="H1191">
            <v>0.48</v>
          </cell>
        </row>
        <row r="1192">
          <cell r="A1192" t="str">
            <v>2092PI</v>
          </cell>
          <cell r="B1192">
            <v>2092</v>
          </cell>
          <cell r="C1192" t="str">
            <v>ENDCOFF PAST STP MENTA C/12 UN</v>
          </cell>
          <cell r="D1192" t="str">
            <v>3 STP X 4</v>
          </cell>
          <cell r="E1192" t="str">
            <v>PI</v>
          </cell>
          <cell r="F1192">
            <v>0.48</v>
          </cell>
          <cell r="G1192">
            <v>0</v>
          </cell>
          <cell r="H1192">
            <v>0.48</v>
          </cell>
        </row>
        <row r="1193">
          <cell r="A1193" t="str">
            <v>1905PI</v>
          </cell>
          <cell r="B1193">
            <v>1905</v>
          </cell>
          <cell r="C1193" t="str">
            <v>ESMOG 20MG 4BLTC/7 COM REV LIB RETARD- E</v>
          </cell>
          <cell r="D1193" t="str">
            <v>4 BLT C/7</v>
          </cell>
          <cell r="E1193" t="str">
            <v>PI</v>
          </cell>
          <cell r="F1193">
            <v>0.77800000000000002</v>
          </cell>
          <cell r="G1193">
            <v>0</v>
          </cell>
          <cell r="H1193">
            <v>0.77800000000000002</v>
          </cell>
        </row>
        <row r="1194">
          <cell r="A1194" t="str">
            <v>1906PI</v>
          </cell>
          <cell r="B1194">
            <v>1906</v>
          </cell>
          <cell r="C1194" t="str">
            <v>ESMOG 40MG 4BLTC/7 COM REV LIB RETARD- E</v>
          </cell>
          <cell r="D1194" t="str">
            <v>4 BLT C/7</v>
          </cell>
          <cell r="E1194" t="str">
            <v>PI</v>
          </cell>
          <cell r="F1194">
            <v>0.8</v>
          </cell>
          <cell r="G1194">
            <v>0</v>
          </cell>
          <cell r="H1194">
            <v>0.8</v>
          </cell>
        </row>
        <row r="1195">
          <cell r="A1195" t="str">
            <v>1016PI</v>
          </cell>
          <cell r="B1195">
            <v>1016</v>
          </cell>
          <cell r="C1195" t="str">
            <v>EXPECTUSS XPE ADULTO FR C/100ML</v>
          </cell>
          <cell r="D1195" t="str">
            <v>FR X 100 ML</v>
          </cell>
          <cell r="E1195" t="str">
            <v>PI</v>
          </cell>
          <cell r="F1195">
            <v>0.55000000000000016</v>
          </cell>
          <cell r="G1195">
            <v>0</v>
          </cell>
          <cell r="H1195">
            <v>0.55000000000000016</v>
          </cell>
        </row>
        <row r="1196">
          <cell r="A1196" t="str">
            <v>1015PI</v>
          </cell>
          <cell r="B1196">
            <v>1015</v>
          </cell>
          <cell r="C1196" t="str">
            <v>EXPECTUSS XPE INF FR C/100ML</v>
          </cell>
          <cell r="D1196" t="str">
            <v>FR X 100 ML</v>
          </cell>
          <cell r="E1196" t="str">
            <v>PI</v>
          </cell>
          <cell r="F1196">
            <v>0.5099999999999999</v>
          </cell>
          <cell r="G1196">
            <v>0</v>
          </cell>
          <cell r="H1196">
            <v>0.5099999999999999</v>
          </cell>
        </row>
        <row r="1197">
          <cell r="A1197" t="str">
            <v>1363PI</v>
          </cell>
          <cell r="B1197">
            <v>1363</v>
          </cell>
          <cell r="C1197" t="str">
            <v>FLUITEINA 600MG GRAN 16ENV 5G-E</v>
          </cell>
          <cell r="D1197" t="str">
            <v>CX. C/16 ENV X 5GR</v>
          </cell>
          <cell r="E1197" t="str">
            <v>PI</v>
          </cell>
          <cell r="F1197">
            <v>0.42999999999999994</v>
          </cell>
          <cell r="G1197">
            <v>0</v>
          </cell>
          <cell r="H1197">
            <v>0.42999999999999994</v>
          </cell>
        </row>
        <row r="1198">
          <cell r="A1198" t="str">
            <v>1364PI</v>
          </cell>
          <cell r="B1198">
            <v>1364</v>
          </cell>
          <cell r="C1198" t="str">
            <v>FLUITEINA XPE AD 40MG/ML120ML-E</v>
          </cell>
          <cell r="D1198" t="str">
            <v>FR X 120 ML</v>
          </cell>
          <cell r="E1198" t="str">
            <v>PI</v>
          </cell>
          <cell r="F1198">
            <v>0.56999999999999973</v>
          </cell>
          <cell r="G1198">
            <v>0</v>
          </cell>
          <cell r="H1198">
            <v>0.56999999999999973</v>
          </cell>
        </row>
        <row r="1199">
          <cell r="A1199" t="str">
            <v>1163PI</v>
          </cell>
          <cell r="B1199">
            <v>1163</v>
          </cell>
          <cell r="C1199" t="str">
            <v>FLUITEINA XPE INF 20MG/ML 120ML-E</v>
          </cell>
          <cell r="D1199" t="str">
            <v>FR X 120 ML</v>
          </cell>
          <cell r="E1199" t="str">
            <v>PI</v>
          </cell>
          <cell r="F1199">
            <v>0.51900000000000002</v>
          </cell>
          <cell r="G1199">
            <v>0</v>
          </cell>
          <cell r="H1199">
            <v>0.51900000000000002</v>
          </cell>
        </row>
        <row r="1200">
          <cell r="A1200" t="str">
            <v>1168PI</v>
          </cell>
          <cell r="B1200">
            <v>1168</v>
          </cell>
          <cell r="C1200" t="str">
            <v>FOLIFOLIN 5MG 2BLTX15COMP - E</v>
          </cell>
          <cell r="D1200" t="str">
            <v>2 BLT X 15 COMP.</v>
          </cell>
          <cell r="E1200" t="str">
            <v>PI</v>
          </cell>
          <cell r="F1200">
            <v>0.66</v>
          </cell>
          <cell r="G1200">
            <v>0</v>
          </cell>
          <cell r="H1200">
            <v>0.66</v>
          </cell>
        </row>
        <row r="1201">
          <cell r="A1201" t="str">
            <v>2318PI</v>
          </cell>
          <cell r="B1201">
            <v>2318</v>
          </cell>
          <cell r="C1201" t="str">
            <v>GEROVITAL  2BLT15 CAP MOLE-E</v>
          </cell>
          <cell r="D1201" t="str">
            <v>3 BL X 10</v>
          </cell>
          <cell r="E1201" t="str">
            <v>PI</v>
          </cell>
          <cell r="F1201">
            <v>0.57899999999999996</v>
          </cell>
          <cell r="G1201">
            <v>0</v>
          </cell>
          <cell r="H1201">
            <v>0.57899999999999996</v>
          </cell>
        </row>
        <row r="1202">
          <cell r="A1202" t="str">
            <v>2062PI</v>
          </cell>
          <cell r="B1202">
            <v>2062</v>
          </cell>
          <cell r="C1202" t="str">
            <v>GEROVITAL 3BLT C/20 CAP</v>
          </cell>
          <cell r="D1202" t="str">
            <v>6 BL X 10</v>
          </cell>
          <cell r="E1202" t="str">
            <v>PI</v>
          </cell>
          <cell r="F1202">
            <v>0.48100000000000004</v>
          </cell>
          <cell r="G1202">
            <v>0</v>
          </cell>
          <cell r="H1202">
            <v>0.48100000000000004</v>
          </cell>
        </row>
        <row r="1203">
          <cell r="A1203" t="str">
            <v>1230PI</v>
          </cell>
          <cell r="B1203">
            <v>1230</v>
          </cell>
          <cell r="C1203" t="str">
            <v>IBULIV 100MG/ML SUP ORAL C/ 20 ML-E</v>
          </cell>
          <cell r="D1203" t="str">
            <v>FR X 20 ML</v>
          </cell>
          <cell r="E1203" t="str">
            <v>PI</v>
          </cell>
          <cell r="F1203">
            <v>0.68000000000000016</v>
          </cell>
          <cell r="G1203">
            <v>0</v>
          </cell>
          <cell r="H1203">
            <v>0.68000000000000016</v>
          </cell>
        </row>
        <row r="1204">
          <cell r="A1204" t="str">
            <v>1472PI</v>
          </cell>
          <cell r="B1204">
            <v>1472</v>
          </cell>
          <cell r="C1204" t="str">
            <v>IBULIV 400MG 10 BLT C/ 4CAPS GEL.MOLES-E</v>
          </cell>
          <cell r="D1204" t="str">
            <v>10 BLT X 4 CÁPS</v>
          </cell>
          <cell r="E1204" t="str">
            <v>PI</v>
          </cell>
          <cell r="F1204">
            <v>0.71000000000000019</v>
          </cell>
          <cell r="G1204">
            <v>0</v>
          </cell>
          <cell r="H1204">
            <v>0.71000000000000019</v>
          </cell>
        </row>
        <row r="1205">
          <cell r="A1205" t="str">
            <v>2469PI</v>
          </cell>
          <cell r="B1205">
            <v>2469</v>
          </cell>
          <cell r="C1205" t="str">
            <v>IBULIV 400MG 2 BLT C/ 10CAPS GEL.MOLES-E</v>
          </cell>
          <cell r="D1205" t="str">
            <v>20 CÁPS.</v>
          </cell>
          <cell r="E1205" t="str">
            <v>PI</v>
          </cell>
          <cell r="F1205">
            <v>0.71</v>
          </cell>
          <cell r="G1205">
            <v>0</v>
          </cell>
          <cell r="H1205">
            <v>0.71</v>
          </cell>
        </row>
        <row r="1206">
          <cell r="A1206" t="str">
            <v>1471PI</v>
          </cell>
          <cell r="B1206">
            <v>1471</v>
          </cell>
          <cell r="C1206" t="str">
            <v>IBULIV 400MG 2 BLT C/ 4CAPS GEL.MOLES-E</v>
          </cell>
          <cell r="D1206" t="str">
            <v>2 BLT X 4 CÁPS.</v>
          </cell>
          <cell r="E1206" t="str">
            <v>PI</v>
          </cell>
          <cell r="F1206">
            <v>0.71</v>
          </cell>
          <cell r="G1206">
            <v>0</v>
          </cell>
          <cell r="H1206">
            <v>0.71</v>
          </cell>
        </row>
        <row r="1207">
          <cell r="A1207" t="str">
            <v>1175PI</v>
          </cell>
          <cell r="B1207">
            <v>1175</v>
          </cell>
          <cell r="C1207" t="str">
            <v>INFRALAX 1BLT C/15COMP - EMS</v>
          </cell>
          <cell r="D1207" t="str">
            <v>1 BLT C/ 15</v>
          </cell>
          <cell r="E1207" t="str">
            <v>PI</v>
          </cell>
          <cell r="F1207">
            <v>0.74280000000000002</v>
          </cell>
          <cell r="G1207">
            <v>0</v>
          </cell>
          <cell r="H1207">
            <v>0.74280000000000002</v>
          </cell>
        </row>
        <row r="1208">
          <cell r="A1208" t="str">
            <v>1821PI</v>
          </cell>
          <cell r="B1208">
            <v>1821</v>
          </cell>
          <cell r="C1208" t="str">
            <v>INFRALAX 20BLTX10COMP - E</v>
          </cell>
          <cell r="D1208" t="str">
            <v>20 BLT X 10</v>
          </cell>
          <cell r="E1208" t="str">
            <v>PI</v>
          </cell>
          <cell r="F1208">
            <v>0.81</v>
          </cell>
          <cell r="G1208">
            <v>0</v>
          </cell>
          <cell r="H1208">
            <v>0.81</v>
          </cell>
        </row>
        <row r="1209">
          <cell r="A1209" t="str">
            <v>2138PI</v>
          </cell>
          <cell r="B1209">
            <v>2138</v>
          </cell>
          <cell r="C1209" t="str">
            <v>INFRALAX 2BLT C/15COMP - EMS</v>
          </cell>
          <cell r="D1209" t="str">
            <v>2 BL X 15</v>
          </cell>
          <cell r="E1209" t="str">
            <v>PI</v>
          </cell>
          <cell r="F1209">
            <v>0.74650000000000005</v>
          </cell>
          <cell r="G1209">
            <v>0</v>
          </cell>
          <cell r="H1209">
            <v>0.74650000000000005</v>
          </cell>
        </row>
        <row r="1210">
          <cell r="A1210" t="str">
            <v>6011PI</v>
          </cell>
          <cell r="B1210">
            <v>6011</v>
          </cell>
          <cell r="C1210" t="str">
            <v>NARIDRIN 12HS GOTAS FR C/30ML</v>
          </cell>
          <cell r="D1210" t="str">
            <v>FR X 30 ML</v>
          </cell>
          <cell r="E1210" t="str">
            <v>PI</v>
          </cell>
          <cell r="F1210">
            <v>0.74</v>
          </cell>
          <cell r="G1210">
            <v>0</v>
          </cell>
          <cell r="H1210">
            <v>0.74</v>
          </cell>
        </row>
        <row r="1211">
          <cell r="A1211" t="str">
            <v>2604PI</v>
          </cell>
          <cell r="B1211">
            <v>2604</v>
          </cell>
          <cell r="C1211" t="str">
            <v>NARIDRIN ALTO VOL 30ENVX2,16G+FR240ML</v>
          </cell>
          <cell r="D1211" t="str">
            <v>30ENVX2,16G+FR240ML</v>
          </cell>
          <cell r="E1211" t="str">
            <v>PI</v>
          </cell>
          <cell r="F1211">
            <v>0.64</v>
          </cell>
          <cell r="G1211">
            <v>0</v>
          </cell>
          <cell r="H1211">
            <v>0.64</v>
          </cell>
        </row>
        <row r="1212">
          <cell r="A1212" t="str">
            <v>2605PI</v>
          </cell>
          <cell r="B1212">
            <v>2605</v>
          </cell>
          <cell r="C1212" t="str">
            <v>NARIDRIN ALTO VOL REFIL</v>
          </cell>
          <cell r="D1212" t="str">
            <v>30 ENV X 2,16G</v>
          </cell>
          <cell r="E1212" t="str">
            <v>PI</v>
          </cell>
          <cell r="F1212">
            <v>0.59999999999999987</v>
          </cell>
          <cell r="G1212">
            <v>0</v>
          </cell>
          <cell r="H1212">
            <v>0.59999999999999987</v>
          </cell>
        </row>
        <row r="1213">
          <cell r="A1213" t="str">
            <v>1433PI</v>
          </cell>
          <cell r="B1213">
            <v>1433</v>
          </cell>
          <cell r="C1213" t="str">
            <v>NARIDRIN AQUA 9MG/ML FRASCO C/50ML-E</v>
          </cell>
          <cell r="D1213" t="str">
            <v>FR X 50 ML SPRAY</v>
          </cell>
          <cell r="E1213" t="str">
            <v>PI</v>
          </cell>
          <cell r="F1213">
            <v>0.71</v>
          </cell>
          <cell r="G1213">
            <v>0</v>
          </cell>
          <cell r="H1213">
            <v>0.71</v>
          </cell>
        </row>
        <row r="1214">
          <cell r="A1214" t="str">
            <v>6005PI</v>
          </cell>
          <cell r="B1214">
            <v>6005</v>
          </cell>
          <cell r="C1214" t="str">
            <v>NARIDRIN GOTAS AD FR C/15ML</v>
          </cell>
          <cell r="D1214" t="str">
            <v>FR X 15 ML</v>
          </cell>
          <cell r="E1214" t="str">
            <v>PI</v>
          </cell>
          <cell r="F1214">
            <v>0.74</v>
          </cell>
          <cell r="G1214">
            <v>0</v>
          </cell>
          <cell r="H1214">
            <v>0.74</v>
          </cell>
        </row>
        <row r="1215">
          <cell r="A1215" t="str">
            <v>6006PI</v>
          </cell>
          <cell r="B1215">
            <v>6006</v>
          </cell>
          <cell r="C1215" t="str">
            <v>NARIDRIN GOTAS INF FR C/15ML</v>
          </cell>
          <cell r="D1215" t="str">
            <v>FR X 15 ML</v>
          </cell>
          <cell r="E1215" t="str">
            <v>PI</v>
          </cell>
          <cell r="F1215">
            <v>0.72999999999999987</v>
          </cell>
          <cell r="G1215">
            <v>0</v>
          </cell>
          <cell r="H1215">
            <v>0.72999999999999987</v>
          </cell>
        </row>
        <row r="1216">
          <cell r="A1216" t="str">
            <v>1079PI</v>
          </cell>
          <cell r="B1216">
            <v>1079</v>
          </cell>
          <cell r="C1216" t="str">
            <v>NARIDRIN H 30MG/ML SOL.NAS SPRAY 60ML-E</v>
          </cell>
          <cell r="D1216" t="str">
            <v>FRASCO X 60ML</v>
          </cell>
          <cell r="E1216" t="str">
            <v>PI</v>
          </cell>
          <cell r="F1216">
            <v>0.7</v>
          </cell>
          <cell r="G1216">
            <v>0</v>
          </cell>
          <cell r="H1216">
            <v>0.7</v>
          </cell>
        </row>
        <row r="1217">
          <cell r="A1217" t="str">
            <v>1368PI</v>
          </cell>
          <cell r="B1217">
            <v>1368</v>
          </cell>
          <cell r="C1217" t="str">
            <v>NIMESILAM BLT 1X12= 12 COM - E</v>
          </cell>
          <cell r="D1217" t="str">
            <v>1 BLT X 12</v>
          </cell>
          <cell r="E1217" t="str">
            <v>PI</v>
          </cell>
          <cell r="F1217">
            <v>0.89999999999999991</v>
          </cell>
          <cell r="G1217">
            <v>0</v>
          </cell>
          <cell r="H1217">
            <v>0.89999999999999991</v>
          </cell>
        </row>
        <row r="1218">
          <cell r="A1218" t="str">
            <v>1367PI</v>
          </cell>
          <cell r="B1218">
            <v>1367</v>
          </cell>
          <cell r="C1218" t="str">
            <v>NIMESILAM GOTAS FRC/15ML  - E</v>
          </cell>
          <cell r="D1218" t="str">
            <v>FR 15 ML</v>
          </cell>
          <cell r="E1218" t="str">
            <v>PI</v>
          </cell>
          <cell r="F1218">
            <v>0.73</v>
          </cell>
          <cell r="G1218">
            <v>0</v>
          </cell>
          <cell r="H1218">
            <v>0.73</v>
          </cell>
        </row>
        <row r="1219">
          <cell r="A1219" t="str">
            <v>2058PI</v>
          </cell>
          <cell r="B1219">
            <v>2058</v>
          </cell>
          <cell r="C1219" t="str">
            <v>NOCICLIN 1BLT C/21COM-EMS</v>
          </cell>
          <cell r="D1219" t="str">
            <v>1 BL X 21</v>
          </cell>
          <cell r="E1219" t="str">
            <v>PI</v>
          </cell>
          <cell r="F1219">
            <v>0.68</v>
          </cell>
          <cell r="G1219">
            <v>0</v>
          </cell>
          <cell r="H1219">
            <v>0.68</v>
          </cell>
        </row>
        <row r="1220">
          <cell r="A1220" t="str">
            <v>2391PI</v>
          </cell>
          <cell r="B1220">
            <v>2391</v>
          </cell>
          <cell r="C1220" t="str">
            <v>RUDITE 20MG/ML PO SUS 100ML-E</v>
          </cell>
          <cell r="D1220" t="str">
            <v>FR X 100 ML</v>
          </cell>
          <cell r="E1220" t="str">
            <v>PI</v>
          </cell>
          <cell r="F1220">
            <v>0.59899999999999998</v>
          </cell>
          <cell r="G1220">
            <v>0</v>
          </cell>
          <cell r="H1220">
            <v>0.59899999999999998</v>
          </cell>
        </row>
        <row r="1221">
          <cell r="A1221" t="str">
            <v>2392PI</v>
          </cell>
          <cell r="B1221">
            <v>2392</v>
          </cell>
          <cell r="C1221" t="str">
            <v>RUDITE 20MG/ML PO SUS 45ML-E</v>
          </cell>
          <cell r="D1221" t="str">
            <v>FR X 45 ML</v>
          </cell>
          <cell r="E1221" t="str">
            <v>PI</v>
          </cell>
          <cell r="F1221">
            <v>0.58999999999999986</v>
          </cell>
          <cell r="G1221">
            <v>0</v>
          </cell>
          <cell r="H1221">
            <v>0.58999999999999986</v>
          </cell>
        </row>
        <row r="1222">
          <cell r="A1222" t="str">
            <v>2390PI</v>
          </cell>
          <cell r="B1222">
            <v>2390</v>
          </cell>
          <cell r="C1222" t="str">
            <v>RUDITE(C1)500MG C/6 COM REV-E</v>
          </cell>
          <cell r="D1222" t="str">
            <v>1 BLT X 6</v>
          </cell>
          <cell r="E1222" t="str">
            <v>PI</v>
          </cell>
          <cell r="F1222">
            <v>0.7</v>
          </cell>
          <cell r="G1222">
            <v>0</v>
          </cell>
          <cell r="H1222">
            <v>0.7</v>
          </cell>
        </row>
        <row r="1223">
          <cell r="A1223" t="str">
            <v>2398PI</v>
          </cell>
          <cell r="B1223">
            <v>2398</v>
          </cell>
          <cell r="C1223" t="str">
            <v>SOMINEX COMPOS OTC CPR REVEST x 20</v>
          </cell>
          <cell r="D1223" t="str">
            <v>2 BL X 10</v>
          </cell>
          <cell r="E1223" t="str">
            <v>PI</v>
          </cell>
          <cell r="F1223">
            <v>0.68899999999999995</v>
          </cell>
          <cell r="G1223">
            <v>0</v>
          </cell>
          <cell r="H1223">
            <v>0.68899999999999995</v>
          </cell>
        </row>
        <row r="1224">
          <cell r="A1224" t="str">
            <v>1818PI</v>
          </cell>
          <cell r="B1224">
            <v>1818</v>
          </cell>
          <cell r="C1224" t="str">
            <v>SUPLEVIT MULHER VIT. 2BLT C/15 CAP.GEL-E</v>
          </cell>
          <cell r="D1224" t="str">
            <v>2 BLT C/15</v>
          </cell>
          <cell r="E1224" t="str">
            <v>PI</v>
          </cell>
          <cell r="F1224">
            <v>0.82</v>
          </cell>
          <cell r="G1224">
            <v>0</v>
          </cell>
          <cell r="H1224">
            <v>0.82</v>
          </cell>
        </row>
        <row r="1225">
          <cell r="A1225" t="str">
            <v>1819PI</v>
          </cell>
          <cell r="B1225">
            <v>1819</v>
          </cell>
          <cell r="C1225" t="str">
            <v>SUPLEVIT MULHER VIT. 4BLT C/15 CAP.GEL-E</v>
          </cell>
          <cell r="D1225" t="str">
            <v>4 BLT C/15</v>
          </cell>
          <cell r="E1225" t="str">
            <v>PI</v>
          </cell>
          <cell r="F1225">
            <v>0.81999999999999984</v>
          </cell>
          <cell r="G1225">
            <v>0</v>
          </cell>
          <cell r="H1225">
            <v>0.81999999999999984</v>
          </cell>
        </row>
        <row r="1226">
          <cell r="A1226" t="str">
            <v>2036PI</v>
          </cell>
          <cell r="B1226">
            <v>2036</v>
          </cell>
          <cell r="C1226" t="str">
            <v>VITAFER FR C/50 COMP-E</v>
          </cell>
          <cell r="D1226" t="str">
            <v>FR X 50</v>
          </cell>
          <cell r="E1226" t="str">
            <v>PI</v>
          </cell>
          <cell r="F1226">
            <v>0.52999999999999992</v>
          </cell>
          <cell r="G1226">
            <v>0</v>
          </cell>
          <cell r="H1226">
            <v>0.52999999999999992</v>
          </cell>
        </row>
        <row r="1227">
          <cell r="A1227" t="str">
            <v>60000PR</v>
          </cell>
          <cell r="B1227">
            <v>60000</v>
          </cell>
          <cell r="C1227" t="str">
            <v>A SAUDE DA MULHER 150ML SOLUCAO</v>
          </cell>
          <cell r="D1227" t="str">
            <v>FR X 150 ML</v>
          </cell>
          <cell r="E1227" t="str">
            <v>PR</v>
          </cell>
          <cell r="F1227">
            <v>0.26999999999999996</v>
          </cell>
          <cell r="G1227">
            <v>0</v>
          </cell>
          <cell r="H1227">
            <v>0.26999999999999996</v>
          </cell>
        </row>
        <row r="1228">
          <cell r="A1228" t="str">
            <v>2256PR</v>
          </cell>
          <cell r="B1228">
            <v>2256</v>
          </cell>
          <cell r="C1228" t="str">
            <v>ALLEXOFEDRIN 120MG 1BLTC/10 COM REV-E</v>
          </cell>
          <cell r="D1228" t="str">
            <v>1 BL X 10 COMP REVEST</v>
          </cell>
          <cell r="E1228" t="str">
            <v>PR</v>
          </cell>
          <cell r="F1228">
            <v>0.75</v>
          </cell>
          <cell r="G1228">
            <v>0</v>
          </cell>
          <cell r="H1228">
            <v>0.75</v>
          </cell>
        </row>
        <row r="1229">
          <cell r="A1229" t="str">
            <v>2255PR</v>
          </cell>
          <cell r="B1229">
            <v>2255</v>
          </cell>
          <cell r="C1229" t="str">
            <v>ALLEXOFEDRIN 180MG 1BLTC/10 COM REV-E</v>
          </cell>
          <cell r="D1229" t="str">
            <v>1 BL X 10 COMP REVEST</v>
          </cell>
          <cell r="E1229" t="str">
            <v>PR</v>
          </cell>
          <cell r="F1229">
            <v>0.74999999999999989</v>
          </cell>
          <cell r="G1229">
            <v>0</v>
          </cell>
          <cell r="H1229">
            <v>0.74999999999999989</v>
          </cell>
        </row>
        <row r="1230">
          <cell r="A1230" t="str">
            <v>2133PR</v>
          </cell>
          <cell r="B1230">
            <v>2133</v>
          </cell>
          <cell r="C1230" t="str">
            <v>ALLEXOFEDRIN D 60+120MG 1BLT C/10C.REV</v>
          </cell>
          <cell r="D1230" t="str">
            <v>1 BL X 10 COMP REVEST</v>
          </cell>
          <cell r="E1230" t="str">
            <v>PR</v>
          </cell>
          <cell r="F1230">
            <v>0.26</v>
          </cell>
          <cell r="G1230">
            <v>0</v>
          </cell>
          <cell r="H1230">
            <v>0.26</v>
          </cell>
        </row>
        <row r="1231">
          <cell r="A1231" t="str">
            <v>1066ES</v>
          </cell>
          <cell r="B1231">
            <v>1066</v>
          </cell>
          <cell r="C1231" t="str">
            <v>CELERGIN XPE 120ML-E</v>
          </cell>
          <cell r="D1231" t="str">
            <v>FR X 120 ML</v>
          </cell>
          <cell r="E1231" t="str">
            <v>ES</v>
          </cell>
          <cell r="F1231">
            <v>0.73440000000000016</v>
          </cell>
          <cell r="G1231">
            <v>0</v>
          </cell>
          <cell r="H1231">
            <v>0.73440000000000016</v>
          </cell>
        </row>
        <row r="1232">
          <cell r="A1232" t="str">
            <v>2347PR</v>
          </cell>
          <cell r="B1232">
            <v>2347</v>
          </cell>
          <cell r="C1232" t="str">
            <v>ALLEXOFEDRIN PEDIATRICO6MG/MLSUS150 ML-E</v>
          </cell>
          <cell r="D1232" t="str">
            <v>6MG/MLSUS150 ML-E</v>
          </cell>
          <cell r="E1232" t="str">
            <v>PR</v>
          </cell>
          <cell r="F1232">
            <v>0.60909999999999997</v>
          </cell>
          <cell r="G1232">
            <v>0</v>
          </cell>
          <cell r="H1232">
            <v>0.60909999999999997</v>
          </cell>
        </row>
        <row r="1233">
          <cell r="A1233" t="str">
            <v>2190PR</v>
          </cell>
          <cell r="B1233">
            <v>2190</v>
          </cell>
          <cell r="C1233" t="str">
            <v>ANTIVIRAX 400MG 2BLTX15 COM - E</v>
          </cell>
          <cell r="D1233" t="str">
            <v>2 BL X 15</v>
          </cell>
          <cell r="E1233" t="str">
            <v>PR</v>
          </cell>
          <cell r="F1233">
            <v>0.68</v>
          </cell>
          <cell r="G1233">
            <v>0</v>
          </cell>
          <cell r="H1233">
            <v>0.68</v>
          </cell>
        </row>
        <row r="1234">
          <cell r="A1234" t="str">
            <v>3009PR</v>
          </cell>
          <cell r="B1234">
            <v>3009</v>
          </cell>
          <cell r="C1234" t="str">
            <v>ANTIVIRAX CR BG C/10 G</v>
          </cell>
          <cell r="D1234" t="str">
            <v>BISN X 10 G</v>
          </cell>
          <cell r="E1234" t="str">
            <v>PR</v>
          </cell>
          <cell r="F1234">
            <v>0.74999999999999989</v>
          </cell>
          <cell r="G1234">
            <v>0</v>
          </cell>
          <cell r="H1234">
            <v>0.74999999999999989</v>
          </cell>
        </row>
        <row r="1235">
          <cell r="A1235" t="str">
            <v>1001PR</v>
          </cell>
          <cell r="B1235">
            <v>1001</v>
          </cell>
          <cell r="C1235" t="str">
            <v>APEVITIN BC XPE FRC/240ML</v>
          </cell>
          <cell r="D1235" t="str">
            <v>FR X 240 ML</v>
          </cell>
          <cell r="E1235" t="str">
            <v>PR</v>
          </cell>
          <cell r="F1235">
            <v>0.76910000000000001</v>
          </cell>
          <cell r="G1235">
            <v>0</v>
          </cell>
          <cell r="H1235">
            <v>0.76910000000000001</v>
          </cell>
        </row>
        <row r="1236">
          <cell r="A1236" t="str">
            <v>1226PR</v>
          </cell>
          <cell r="B1236">
            <v>1226</v>
          </cell>
          <cell r="C1236" t="str">
            <v>BENZIFLEX 10MG 1BLX15COMP.REV-E</v>
          </cell>
          <cell r="D1236" t="str">
            <v>1 BL X 15 COMP.</v>
          </cell>
          <cell r="E1236" t="str">
            <v>PR</v>
          </cell>
          <cell r="F1236">
            <v>0.71</v>
          </cell>
          <cell r="G1236">
            <v>0</v>
          </cell>
          <cell r="H1236">
            <v>0.71</v>
          </cell>
        </row>
        <row r="1237">
          <cell r="A1237" t="str">
            <v>1227PR</v>
          </cell>
          <cell r="B1237">
            <v>1227</v>
          </cell>
          <cell r="C1237" t="str">
            <v>BENZIFLEX 10MG 2BLX15COMP.REV-E</v>
          </cell>
          <cell r="D1237" t="str">
            <v>2 BL X 15 COMP.</v>
          </cell>
          <cell r="E1237" t="str">
            <v>PR</v>
          </cell>
          <cell r="F1237">
            <v>0.71</v>
          </cell>
          <cell r="G1237">
            <v>0</v>
          </cell>
          <cell r="H1237">
            <v>0.71</v>
          </cell>
        </row>
        <row r="1238">
          <cell r="A1238" t="str">
            <v>1233PR</v>
          </cell>
          <cell r="B1238">
            <v>1233</v>
          </cell>
          <cell r="C1238" t="str">
            <v>BENZIFLEX 5MG 2BLX15COMP.REV-E</v>
          </cell>
          <cell r="D1238" t="str">
            <v>2 BL X 15 COMP.</v>
          </cell>
          <cell r="E1238" t="str">
            <v>PR</v>
          </cell>
          <cell r="F1238">
            <v>0.71</v>
          </cell>
          <cell r="G1238">
            <v>0</v>
          </cell>
          <cell r="H1238">
            <v>0.71</v>
          </cell>
        </row>
        <row r="1239">
          <cell r="A1239" t="str">
            <v>1574PR</v>
          </cell>
          <cell r="B1239">
            <v>1574</v>
          </cell>
          <cell r="C1239" t="str">
            <v>BENZIFLEX LIS 125MG+5MG 15COM.REV.-E</v>
          </cell>
          <cell r="D1239" t="str">
            <v>1 BL X 15 COMP.</v>
          </cell>
          <cell r="E1239" t="str">
            <v>PR</v>
          </cell>
          <cell r="F1239">
            <v>0.5</v>
          </cell>
          <cell r="G1239">
            <v>0</v>
          </cell>
          <cell r="H1239">
            <v>0.5</v>
          </cell>
        </row>
        <row r="1240">
          <cell r="A1240" t="str">
            <v>2292PR</v>
          </cell>
          <cell r="B1240">
            <v>2292</v>
          </cell>
          <cell r="C1240" t="str">
            <v>BENZIFLEX LIS 125MG+5MG 2BL15 COM.REV.-E</v>
          </cell>
          <cell r="D1240" t="str">
            <v>2 BL X 15 COMP.</v>
          </cell>
          <cell r="E1240" t="str">
            <v>PR</v>
          </cell>
          <cell r="F1240">
            <v>0.53</v>
          </cell>
          <cell r="G1240">
            <v>0</v>
          </cell>
          <cell r="H1240">
            <v>0.53</v>
          </cell>
        </row>
        <row r="1241">
          <cell r="A1241" t="str">
            <v>1155PR</v>
          </cell>
          <cell r="B1241">
            <v>1155</v>
          </cell>
          <cell r="C1241" t="str">
            <v>BIOFLADEX AEROSSOL 60G- E</v>
          </cell>
          <cell r="D1241" t="str">
            <v>FRASCO 60 G</v>
          </cell>
          <cell r="E1241" t="str">
            <v>PR</v>
          </cell>
          <cell r="F1241">
            <v>0.66</v>
          </cell>
          <cell r="G1241">
            <v>0</v>
          </cell>
          <cell r="H1241">
            <v>0.66</v>
          </cell>
        </row>
        <row r="1242">
          <cell r="A1242" t="str">
            <v>1072PR</v>
          </cell>
          <cell r="B1242">
            <v>1072</v>
          </cell>
          <cell r="C1242" t="str">
            <v>BISURAN 4MG/5ML XPE INF 120ML-E</v>
          </cell>
          <cell r="D1242" t="str">
            <v>FR X 120 ML</v>
          </cell>
          <cell r="E1242" t="str">
            <v>PR</v>
          </cell>
          <cell r="F1242">
            <v>0.53</v>
          </cell>
          <cell r="G1242">
            <v>0</v>
          </cell>
          <cell r="H1242">
            <v>0.53</v>
          </cell>
        </row>
        <row r="1243">
          <cell r="A1243" t="str">
            <v>1318PR</v>
          </cell>
          <cell r="B1243">
            <v>1318</v>
          </cell>
          <cell r="C1243" t="str">
            <v>BISURAN 8MG/5ML XPE AD. 120ML-E</v>
          </cell>
          <cell r="D1243" t="str">
            <v>FR X 120 ML</v>
          </cell>
          <cell r="E1243" t="str">
            <v>PR</v>
          </cell>
          <cell r="F1243">
            <v>0.61999999999999988</v>
          </cell>
          <cell r="G1243">
            <v>0</v>
          </cell>
          <cell r="H1243">
            <v>0.61999999999999988</v>
          </cell>
        </row>
        <row r="1244">
          <cell r="A1244" t="str">
            <v>2141PR</v>
          </cell>
          <cell r="B1244">
            <v>2141</v>
          </cell>
          <cell r="C1244" t="str">
            <v>CELERGIN 20 COMP-E</v>
          </cell>
          <cell r="D1244" t="str">
            <v>CX. C/20 COMP.</v>
          </cell>
          <cell r="E1244" t="str">
            <v>PR</v>
          </cell>
          <cell r="F1244">
            <v>0.65649999999999986</v>
          </cell>
          <cell r="G1244">
            <v>0</v>
          </cell>
          <cell r="H1244">
            <v>0.65649999999999986</v>
          </cell>
        </row>
        <row r="1245">
          <cell r="A1245" t="str">
            <v>1066GO</v>
          </cell>
          <cell r="B1245">
            <v>1066</v>
          </cell>
          <cell r="C1245" t="str">
            <v>CELERGIN XPE 120ML-E</v>
          </cell>
          <cell r="D1245" t="str">
            <v>FR X 120 ML</v>
          </cell>
          <cell r="E1245" t="str">
            <v>GO</v>
          </cell>
          <cell r="F1245">
            <v>0.73799999999999999</v>
          </cell>
          <cell r="G1245">
            <v>0</v>
          </cell>
          <cell r="H1245">
            <v>0.73799999999999999</v>
          </cell>
        </row>
        <row r="1246">
          <cell r="A1246" t="str">
            <v>2322PR</v>
          </cell>
          <cell r="B1246">
            <v>2322</v>
          </cell>
          <cell r="C1246" t="str">
            <v>CLOPE 3,54MG/ML XPE 120ML FR PLAS-E</v>
          </cell>
          <cell r="D1246" t="str">
            <v>FR X 120 ML</v>
          </cell>
          <cell r="E1246" t="str">
            <v>PR</v>
          </cell>
          <cell r="F1246">
            <v>0.53</v>
          </cell>
          <cell r="G1246">
            <v>0</v>
          </cell>
          <cell r="H1246">
            <v>0.53</v>
          </cell>
        </row>
        <row r="1247">
          <cell r="A1247" t="str">
            <v>2383PR</v>
          </cell>
          <cell r="B1247">
            <v>2383</v>
          </cell>
          <cell r="C1247" t="str">
            <v>COMPLEXO B 12 XPE FR C/120ML E</v>
          </cell>
          <cell r="D1247" t="str">
            <v>FR X 120 ML</v>
          </cell>
          <cell r="E1247" t="str">
            <v>PR</v>
          </cell>
          <cell r="F1247">
            <v>0.67000000000000015</v>
          </cell>
          <cell r="G1247">
            <v>0</v>
          </cell>
          <cell r="H1247">
            <v>0.67000000000000015</v>
          </cell>
        </row>
        <row r="1248">
          <cell r="A1248" t="str">
            <v>2384PR</v>
          </cell>
          <cell r="B1248">
            <v>2384</v>
          </cell>
          <cell r="C1248" t="str">
            <v>COMPLEXO B CPR REVEST x 20</v>
          </cell>
          <cell r="D1248" t="str">
            <v xml:space="preserve">FR X 20 </v>
          </cell>
          <cell r="E1248" t="str">
            <v>PR</v>
          </cell>
          <cell r="F1248">
            <v>0.66000000000000014</v>
          </cell>
          <cell r="G1248">
            <v>0</v>
          </cell>
          <cell r="H1248">
            <v>0.66000000000000014</v>
          </cell>
        </row>
        <row r="1249">
          <cell r="A1249" t="str">
            <v>2382PR</v>
          </cell>
          <cell r="B1249">
            <v>2382</v>
          </cell>
          <cell r="C1249" t="str">
            <v>COMPLEXO B FR C/100 COM REV  E</v>
          </cell>
          <cell r="D1249" t="str">
            <v>FR X 100</v>
          </cell>
          <cell r="E1249" t="str">
            <v>PR</v>
          </cell>
          <cell r="F1249">
            <v>0.64000000000000012</v>
          </cell>
          <cell r="G1249">
            <v>0</v>
          </cell>
          <cell r="H1249">
            <v>0.64000000000000012</v>
          </cell>
        </row>
        <row r="1250">
          <cell r="A1250" t="str">
            <v>2011PR</v>
          </cell>
          <cell r="B1250">
            <v>2011</v>
          </cell>
          <cell r="C1250" t="str">
            <v>CYSTEX FR C/24 DRG</v>
          </cell>
          <cell r="D1250" t="str">
            <v xml:space="preserve">FR X 24 </v>
          </cell>
          <cell r="E1250" t="str">
            <v>PR</v>
          </cell>
          <cell r="F1250">
            <v>0.36070000000000002</v>
          </cell>
          <cell r="G1250">
            <v>0</v>
          </cell>
          <cell r="H1250">
            <v>0.36070000000000002</v>
          </cell>
        </row>
        <row r="1251">
          <cell r="A1251" t="str">
            <v>1837PR</v>
          </cell>
          <cell r="B1251">
            <v>1837</v>
          </cell>
          <cell r="C1251" t="str">
            <v>DIOVASES 450+50MG C/30 COM.REV. - E</v>
          </cell>
          <cell r="D1251" t="str">
            <v>2 BL X 15 COMP.</v>
          </cell>
          <cell r="E1251" t="str">
            <v>PR</v>
          </cell>
          <cell r="F1251">
            <v>0.68</v>
          </cell>
          <cell r="G1251">
            <v>0</v>
          </cell>
          <cell r="H1251">
            <v>0.68</v>
          </cell>
        </row>
        <row r="1252">
          <cell r="A1252" t="str">
            <v>1838PR</v>
          </cell>
          <cell r="B1252">
            <v>1838</v>
          </cell>
          <cell r="C1252" t="str">
            <v>DIOVASES 450+50MG C/60 COM.REV. - E</v>
          </cell>
          <cell r="D1252" t="str">
            <v>4 BL X 15 COMP.</v>
          </cell>
          <cell r="E1252" t="str">
            <v>PR</v>
          </cell>
          <cell r="F1252">
            <v>0.72</v>
          </cell>
          <cell r="G1252">
            <v>0</v>
          </cell>
          <cell r="H1252">
            <v>0.72</v>
          </cell>
        </row>
        <row r="1253">
          <cell r="A1253" t="str">
            <v>2261PR</v>
          </cell>
          <cell r="B1253">
            <v>2261</v>
          </cell>
          <cell r="C1253" t="str">
            <v>DORICIN CPR x 24</v>
          </cell>
          <cell r="D1253" t="str">
            <v>2BL C/12 COMPRIMIDOS -E</v>
          </cell>
          <cell r="E1253" t="str">
            <v>PR</v>
          </cell>
          <cell r="F1253">
            <v>0.74099999999999999</v>
          </cell>
          <cell r="G1253">
            <v>0</v>
          </cell>
          <cell r="H1253">
            <v>0.74099999999999999</v>
          </cell>
        </row>
        <row r="1254">
          <cell r="A1254" t="str">
            <v>2264PR</v>
          </cell>
          <cell r="B1254">
            <v>2264</v>
          </cell>
          <cell r="C1254" t="str">
            <v>DORICIN CPR x 300</v>
          </cell>
          <cell r="D1254" t="str">
            <v>30BL C/10 COMPRIMIDOS -E</v>
          </cell>
          <cell r="E1254" t="str">
            <v>PR</v>
          </cell>
          <cell r="F1254">
            <v>0.74099999999999999</v>
          </cell>
          <cell r="G1254">
            <v>0</v>
          </cell>
          <cell r="H1254">
            <v>0.74099999999999999</v>
          </cell>
        </row>
        <row r="1255">
          <cell r="A1255" t="str">
            <v>2262PR</v>
          </cell>
          <cell r="B1255">
            <v>2262</v>
          </cell>
          <cell r="C1255" t="str">
            <v>DORICIN CPR X 36</v>
          </cell>
          <cell r="D1255" t="str">
            <v>3BL C/12 COMPRIMIDOS -E</v>
          </cell>
          <cell r="E1255" t="str">
            <v>PR</v>
          </cell>
          <cell r="F1255">
            <v>0.75139999999999996</v>
          </cell>
          <cell r="G1255">
            <v>0</v>
          </cell>
          <cell r="H1255">
            <v>0.75139999999999996</v>
          </cell>
        </row>
        <row r="1256">
          <cell r="A1256" t="str">
            <v>2263PR</v>
          </cell>
          <cell r="B1256">
            <v>2263</v>
          </cell>
          <cell r="C1256" t="str">
            <v>DORICIN CPR X 50</v>
          </cell>
          <cell r="D1256" t="str">
            <v>5BL C/10 COMPRIMIDOS - E</v>
          </cell>
          <cell r="E1256" t="str">
            <v>PR</v>
          </cell>
          <cell r="F1256">
            <v>0.66100000000000003</v>
          </cell>
          <cell r="G1256">
            <v>0</v>
          </cell>
          <cell r="H1256">
            <v>0.66100000000000003</v>
          </cell>
        </row>
        <row r="1257">
          <cell r="A1257" t="str">
            <v>1173PR</v>
          </cell>
          <cell r="B1257">
            <v>1173</v>
          </cell>
          <cell r="C1257" t="str">
            <v>DORICIN GOTAS 20ML x 1</v>
          </cell>
          <cell r="D1257" t="str">
            <v>FR X 20 ML</v>
          </cell>
          <cell r="E1257" t="str">
            <v>PR</v>
          </cell>
          <cell r="F1257">
            <v>0.65</v>
          </cell>
          <cell r="G1257">
            <v>0</v>
          </cell>
          <cell r="H1257">
            <v>0.65</v>
          </cell>
        </row>
        <row r="1258">
          <cell r="A1258" t="str">
            <v>2018PR</v>
          </cell>
          <cell r="B1258">
            <v>2018</v>
          </cell>
          <cell r="C1258" t="str">
            <v>EMISTIN BLT 1X20=20COMP</v>
          </cell>
          <cell r="D1258" t="str">
            <v>1 BL X 20</v>
          </cell>
          <cell r="E1258" t="str">
            <v>PR</v>
          </cell>
          <cell r="F1258">
            <v>0.67</v>
          </cell>
          <cell r="G1258">
            <v>0</v>
          </cell>
          <cell r="H1258">
            <v>0.67</v>
          </cell>
        </row>
        <row r="1259">
          <cell r="A1259" t="str">
            <v>3008PR</v>
          </cell>
          <cell r="B1259">
            <v>3008</v>
          </cell>
          <cell r="C1259" t="str">
            <v>EMISTIN CR BG C/20G</v>
          </cell>
          <cell r="D1259" t="str">
            <v>BISN X 20 G</v>
          </cell>
          <cell r="E1259" t="str">
            <v>PR</v>
          </cell>
          <cell r="F1259">
            <v>0.77</v>
          </cell>
          <cell r="G1259">
            <v>0</v>
          </cell>
          <cell r="H1259">
            <v>0.77</v>
          </cell>
        </row>
        <row r="1260">
          <cell r="A1260" t="str">
            <v>3020PR</v>
          </cell>
          <cell r="B1260">
            <v>3020</v>
          </cell>
          <cell r="C1260" t="str">
            <v>EMSCORT CR BG C/30G</v>
          </cell>
          <cell r="D1260" t="str">
            <v>BISN X 30 G</v>
          </cell>
          <cell r="E1260" t="str">
            <v>PR</v>
          </cell>
          <cell r="F1260">
            <v>0.77000000000000013</v>
          </cell>
          <cell r="G1260">
            <v>0</v>
          </cell>
          <cell r="H1260">
            <v>0.77000000000000013</v>
          </cell>
        </row>
        <row r="1261">
          <cell r="A1261" t="str">
            <v>6023PR</v>
          </cell>
          <cell r="B1261">
            <v>6023</v>
          </cell>
          <cell r="C1261" t="str">
            <v>EMSCORT POM BISN 30G-E</v>
          </cell>
          <cell r="D1261" t="str">
            <v>BISN X 30 G</v>
          </cell>
          <cell r="E1261" t="str">
            <v>PR</v>
          </cell>
          <cell r="F1261">
            <v>0.7639999999999999</v>
          </cell>
          <cell r="G1261">
            <v>0</v>
          </cell>
          <cell r="H1261">
            <v>0.7639999999999999</v>
          </cell>
        </row>
        <row r="1262">
          <cell r="A1262" t="str">
            <v>1190PR</v>
          </cell>
          <cell r="B1262">
            <v>1190</v>
          </cell>
          <cell r="C1262" t="str">
            <v>EMSEXPECTOR XAROPE FR C/120ML - E</v>
          </cell>
          <cell r="D1262" t="str">
            <v>FR X 120 ML</v>
          </cell>
          <cell r="E1262" t="str">
            <v>PR</v>
          </cell>
          <cell r="F1262">
            <v>0.48</v>
          </cell>
          <cell r="G1262">
            <v>0</v>
          </cell>
          <cell r="H1262">
            <v>0.48</v>
          </cell>
        </row>
        <row r="1263">
          <cell r="A1263" t="str">
            <v>2111PR</v>
          </cell>
          <cell r="B1263">
            <v>2111</v>
          </cell>
          <cell r="C1263" t="str">
            <v>ENDCOFF PAST MEL ELIMAO C/12UN</v>
          </cell>
          <cell r="D1263" t="str">
            <v>3 STP X 4</v>
          </cell>
          <cell r="E1263" t="str">
            <v>PR</v>
          </cell>
          <cell r="F1263">
            <v>0.48</v>
          </cell>
          <cell r="G1263">
            <v>0</v>
          </cell>
          <cell r="H1263">
            <v>0.48</v>
          </cell>
        </row>
        <row r="1264">
          <cell r="A1264" t="str">
            <v>2092PR</v>
          </cell>
          <cell r="B1264">
            <v>2092</v>
          </cell>
          <cell r="C1264" t="str">
            <v>ENDCOFF PAST STP MENTA C/12 UN</v>
          </cell>
          <cell r="D1264" t="str">
            <v>3 STP X 4</v>
          </cell>
          <cell r="E1264" t="str">
            <v>PR</v>
          </cell>
          <cell r="F1264">
            <v>0.48</v>
          </cell>
          <cell r="G1264">
            <v>0</v>
          </cell>
          <cell r="H1264">
            <v>0.48</v>
          </cell>
        </row>
        <row r="1265">
          <cell r="A1265" t="str">
            <v>1905PR</v>
          </cell>
          <cell r="B1265">
            <v>1905</v>
          </cell>
          <cell r="C1265" t="str">
            <v>ESMOG 20MG 4BLTC/7 COM REV LIB RETARD- E</v>
          </cell>
          <cell r="D1265" t="str">
            <v>4 BLT C/7</v>
          </cell>
          <cell r="E1265" t="str">
            <v>PR</v>
          </cell>
          <cell r="F1265">
            <v>0.77800000000000002</v>
          </cell>
          <cell r="G1265">
            <v>0</v>
          </cell>
          <cell r="H1265">
            <v>0.77800000000000002</v>
          </cell>
        </row>
        <row r="1266">
          <cell r="A1266" t="str">
            <v>1906PR</v>
          </cell>
          <cell r="B1266">
            <v>1906</v>
          </cell>
          <cell r="C1266" t="str">
            <v>ESMOG 40MG 4BLTC/7 COM REV LIB RETARD- E</v>
          </cell>
          <cell r="D1266" t="str">
            <v>4 BLT C/7</v>
          </cell>
          <cell r="E1266" t="str">
            <v>PR</v>
          </cell>
          <cell r="F1266">
            <v>0.8</v>
          </cell>
          <cell r="G1266">
            <v>0</v>
          </cell>
          <cell r="H1266">
            <v>0.8</v>
          </cell>
        </row>
        <row r="1267">
          <cell r="A1267" t="str">
            <v>1016PR</v>
          </cell>
          <cell r="B1267">
            <v>1016</v>
          </cell>
          <cell r="C1267" t="str">
            <v>EXPECTUSS XPE ADULTO FR C/100ML</v>
          </cell>
          <cell r="D1267" t="str">
            <v>FR X 100 ML</v>
          </cell>
          <cell r="E1267" t="str">
            <v>PR</v>
          </cell>
          <cell r="F1267">
            <v>0.55000000000000016</v>
          </cell>
          <cell r="G1267">
            <v>0</v>
          </cell>
          <cell r="H1267">
            <v>0.55000000000000016</v>
          </cell>
        </row>
        <row r="1268">
          <cell r="A1268" t="str">
            <v>1015PR</v>
          </cell>
          <cell r="B1268">
            <v>1015</v>
          </cell>
          <cell r="C1268" t="str">
            <v>EXPECTUSS XPE INF FR C/100ML</v>
          </cell>
          <cell r="D1268" t="str">
            <v>FR X 100 ML</v>
          </cell>
          <cell r="E1268" t="str">
            <v>PR</v>
          </cell>
          <cell r="F1268">
            <v>0.5099999999999999</v>
          </cell>
          <cell r="G1268">
            <v>0</v>
          </cell>
          <cell r="H1268">
            <v>0.5099999999999999</v>
          </cell>
        </row>
        <row r="1269">
          <cell r="A1269" t="str">
            <v>1363PR</v>
          </cell>
          <cell r="B1269">
            <v>1363</v>
          </cell>
          <cell r="C1269" t="str">
            <v>FLUITEINA 600MG GRAN 16ENV 5G-E</v>
          </cell>
          <cell r="D1269" t="str">
            <v>CX. C/16 ENV X 5GR</v>
          </cell>
          <cell r="E1269" t="str">
            <v>PR</v>
          </cell>
          <cell r="F1269">
            <v>0.42999999999999994</v>
          </cell>
          <cell r="G1269">
            <v>0</v>
          </cell>
          <cell r="H1269">
            <v>0.42999999999999994</v>
          </cell>
        </row>
        <row r="1270">
          <cell r="A1270" t="str">
            <v>1364PR</v>
          </cell>
          <cell r="B1270">
            <v>1364</v>
          </cell>
          <cell r="C1270" t="str">
            <v>FLUITEINA XPE AD 40MG/ML120ML-E</v>
          </cell>
          <cell r="D1270" t="str">
            <v>FR X 120 ML</v>
          </cell>
          <cell r="E1270" t="str">
            <v>PR</v>
          </cell>
          <cell r="F1270">
            <v>0.56999999999999973</v>
          </cell>
          <cell r="G1270">
            <v>0</v>
          </cell>
          <cell r="H1270">
            <v>0.56999999999999973</v>
          </cell>
        </row>
        <row r="1271">
          <cell r="A1271" t="str">
            <v>1163PR</v>
          </cell>
          <cell r="B1271">
            <v>1163</v>
          </cell>
          <cell r="C1271" t="str">
            <v>FLUITEINA XPE INF 20MG/ML 120ML-E</v>
          </cell>
          <cell r="D1271" t="str">
            <v>FR X 120 ML</v>
          </cell>
          <cell r="E1271" t="str">
            <v>PR</v>
          </cell>
          <cell r="F1271">
            <v>0.51900000000000002</v>
          </cell>
          <cell r="G1271">
            <v>0</v>
          </cell>
          <cell r="H1271">
            <v>0.51900000000000002</v>
          </cell>
        </row>
        <row r="1272">
          <cell r="A1272" t="str">
            <v>1168PR</v>
          </cell>
          <cell r="B1272">
            <v>1168</v>
          </cell>
          <cell r="C1272" t="str">
            <v>FOLIFOLIN 5MG 2BLTX15COMP - E</v>
          </cell>
          <cell r="D1272" t="str">
            <v>2 BLT X 15 COMP.</v>
          </cell>
          <cell r="E1272" t="str">
            <v>PR</v>
          </cell>
          <cell r="F1272">
            <v>0.66</v>
          </cell>
          <cell r="G1272">
            <v>0</v>
          </cell>
          <cell r="H1272">
            <v>0.66</v>
          </cell>
        </row>
        <row r="1273">
          <cell r="A1273" t="str">
            <v>2318PR</v>
          </cell>
          <cell r="B1273">
            <v>2318</v>
          </cell>
          <cell r="C1273" t="str">
            <v>GEROVITAL  2BLT15 CAP MOLE-E</v>
          </cell>
          <cell r="D1273" t="str">
            <v>3 BL X 10</v>
          </cell>
          <cell r="E1273" t="str">
            <v>PR</v>
          </cell>
          <cell r="F1273">
            <v>0.57899999999999996</v>
          </cell>
          <cell r="G1273">
            <v>0</v>
          </cell>
          <cell r="H1273">
            <v>0.57899999999999996</v>
          </cell>
        </row>
        <row r="1274">
          <cell r="A1274" t="str">
            <v>2062PR</v>
          </cell>
          <cell r="B1274">
            <v>2062</v>
          </cell>
          <cell r="C1274" t="str">
            <v>GEROVITAL 3BLT C/20 CAP</v>
          </cell>
          <cell r="D1274" t="str">
            <v>6 BL X 10</v>
          </cell>
          <cell r="E1274" t="str">
            <v>PR</v>
          </cell>
          <cell r="F1274">
            <v>0.48100000000000004</v>
          </cell>
          <cell r="G1274">
            <v>0</v>
          </cell>
          <cell r="H1274">
            <v>0.48100000000000004</v>
          </cell>
        </row>
        <row r="1275">
          <cell r="A1275" t="str">
            <v>1230PR</v>
          </cell>
          <cell r="B1275">
            <v>1230</v>
          </cell>
          <cell r="C1275" t="str">
            <v>IBULIV 100MG/ML SUP ORAL C/ 20 ML-E</v>
          </cell>
          <cell r="D1275" t="str">
            <v>FR X 20 ML</v>
          </cell>
          <cell r="E1275" t="str">
            <v>PR</v>
          </cell>
          <cell r="F1275">
            <v>0.68000000000000016</v>
          </cell>
          <cell r="G1275">
            <v>0</v>
          </cell>
          <cell r="H1275">
            <v>0.68000000000000016</v>
          </cell>
        </row>
        <row r="1276">
          <cell r="A1276" t="str">
            <v>1472PR</v>
          </cell>
          <cell r="B1276">
            <v>1472</v>
          </cell>
          <cell r="C1276" t="str">
            <v>IBULIV 400MG 10 BLT C/ 4CAPS GEL.MOLES-E</v>
          </cell>
          <cell r="D1276" t="str">
            <v>10 BLT X 4 CÁPS</v>
          </cell>
          <cell r="E1276" t="str">
            <v>PR</v>
          </cell>
          <cell r="F1276">
            <v>0.71000000000000019</v>
          </cell>
          <cell r="G1276">
            <v>0</v>
          </cell>
          <cell r="H1276">
            <v>0.71000000000000019</v>
          </cell>
        </row>
        <row r="1277">
          <cell r="A1277" t="str">
            <v>2469PR</v>
          </cell>
          <cell r="B1277">
            <v>2469</v>
          </cell>
          <cell r="C1277" t="str">
            <v>IBULIV 400MG 2 BLT C/ 10CAPS GEL.MOLES-E</v>
          </cell>
          <cell r="D1277" t="str">
            <v>20 CÁPS.</v>
          </cell>
          <cell r="E1277" t="str">
            <v>PR</v>
          </cell>
          <cell r="F1277">
            <v>0.71</v>
          </cell>
          <cell r="G1277">
            <v>0</v>
          </cell>
          <cell r="H1277">
            <v>0.71</v>
          </cell>
        </row>
        <row r="1278">
          <cell r="A1278" t="str">
            <v>1471PR</v>
          </cell>
          <cell r="B1278">
            <v>1471</v>
          </cell>
          <cell r="C1278" t="str">
            <v>IBULIV 400MG 2 BLT C/ 4CAPS GEL.MOLES-E</v>
          </cell>
          <cell r="D1278" t="str">
            <v>2 BLT X 4 CÁPS.</v>
          </cell>
          <cell r="E1278" t="str">
            <v>PR</v>
          </cell>
          <cell r="F1278">
            <v>0.71</v>
          </cell>
          <cell r="G1278">
            <v>0</v>
          </cell>
          <cell r="H1278">
            <v>0.71</v>
          </cell>
        </row>
        <row r="1279">
          <cell r="A1279" t="str">
            <v>1175PR</v>
          </cell>
          <cell r="B1279">
            <v>1175</v>
          </cell>
          <cell r="C1279" t="str">
            <v>INFRALAX 1BLT C/15COMP - EMS</v>
          </cell>
          <cell r="D1279" t="str">
            <v>1 BLT C/ 15</v>
          </cell>
          <cell r="E1279" t="str">
            <v>PR</v>
          </cell>
          <cell r="F1279">
            <v>0.74280000000000002</v>
          </cell>
          <cell r="G1279">
            <v>0</v>
          </cell>
          <cell r="H1279">
            <v>0.74280000000000002</v>
          </cell>
        </row>
        <row r="1280">
          <cell r="A1280" t="str">
            <v>1821PR</v>
          </cell>
          <cell r="B1280">
            <v>1821</v>
          </cell>
          <cell r="C1280" t="str">
            <v>INFRALAX 20BLTX10COMP - E</v>
          </cell>
          <cell r="D1280" t="str">
            <v>20 BLT X 10</v>
          </cell>
          <cell r="E1280" t="str">
            <v>PR</v>
          </cell>
          <cell r="F1280">
            <v>0.81</v>
          </cell>
          <cell r="G1280">
            <v>0</v>
          </cell>
          <cell r="H1280">
            <v>0.81</v>
          </cell>
        </row>
        <row r="1281">
          <cell r="A1281" t="str">
            <v>2138PR</v>
          </cell>
          <cell r="B1281">
            <v>2138</v>
          </cell>
          <cell r="C1281" t="str">
            <v>INFRALAX 2BLT C/15COMP - EMS</v>
          </cell>
          <cell r="D1281" t="str">
            <v>2 BL X 15</v>
          </cell>
          <cell r="E1281" t="str">
            <v>PR</v>
          </cell>
          <cell r="F1281">
            <v>0.74650000000000005</v>
          </cell>
          <cell r="G1281">
            <v>0</v>
          </cell>
          <cell r="H1281">
            <v>0.74650000000000005</v>
          </cell>
        </row>
        <row r="1282">
          <cell r="A1282" t="str">
            <v>6011PR</v>
          </cell>
          <cell r="B1282">
            <v>6011</v>
          </cell>
          <cell r="C1282" t="str">
            <v>NARIDRIN 12HS GOTAS FR C/30ML</v>
          </cell>
          <cell r="D1282" t="str">
            <v>FR X 30 ML</v>
          </cell>
          <cell r="E1282" t="str">
            <v>PR</v>
          </cell>
          <cell r="F1282">
            <v>0.74</v>
          </cell>
          <cell r="G1282">
            <v>0</v>
          </cell>
          <cell r="H1282">
            <v>0.74</v>
          </cell>
        </row>
        <row r="1283">
          <cell r="A1283" t="str">
            <v>2604PR</v>
          </cell>
          <cell r="B1283">
            <v>2604</v>
          </cell>
          <cell r="C1283" t="str">
            <v>NARIDRIN ALTO VOL 30ENVX2,16G+FR240ML</v>
          </cell>
          <cell r="D1283" t="str">
            <v>30ENVX2,16G+FR240ML</v>
          </cell>
          <cell r="E1283" t="str">
            <v>PR</v>
          </cell>
          <cell r="F1283">
            <v>0.64</v>
          </cell>
          <cell r="G1283">
            <v>0</v>
          </cell>
          <cell r="H1283">
            <v>0.64</v>
          </cell>
        </row>
        <row r="1284">
          <cell r="A1284" t="str">
            <v>2605PR</v>
          </cell>
          <cell r="B1284">
            <v>2605</v>
          </cell>
          <cell r="C1284" t="str">
            <v>NARIDRIN ALTO VOL REFIL</v>
          </cell>
          <cell r="D1284" t="str">
            <v>30 ENV X 2,16G</v>
          </cell>
          <cell r="E1284" t="str">
            <v>PR</v>
          </cell>
          <cell r="F1284">
            <v>0.59999999999999987</v>
          </cell>
          <cell r="G1284">
            <v>0</v>
          </cell>
          <cell r="H1284">
            <v>0.59999999999999987</v>
          </cell>
        </row>
        <row r="1285">
          <cell r="A1285" t="str">
            <v>1433PR</v>
          </cell>
          <cell r="B1285">
            <v>1433</v>
          </cell>
          <cell r="C1285" t="str">
            <v>NARIDRIN AQUA 9MG/ML FRASCO C/50ML-E</v>
          </cell>
          <cell r="D1285" t="str">
            <v>FR X 50 ML SPRAY</v>
          </cell>
          <cell r="E1285" t="str">
            <v>PR</v>
          </cell>
          <cell r="F1285">
            <v>0.71</v>
          </cell>
          <cell r="G1285">
            <v>0</v>
          </cell>
          <cell r="H1285">
            <v>0.71</v>
          </cell>
        </row>
        <row r="1286">
          <cell r="A1286" t="str">
            <v>6005PR</v>
          </cell>
          <cell r="B1286">
            <v>6005</v>
          </cell>
          <cell r="C1286" t="str">
            <v>NARIDRIN GOTAS AD FR C/15ML</v>
          </cell>
          <cell r="D1286" t="str">
            <v>FR X 15 ML</v>
          </cell>
          <cell r="E1286" t="str">
            <v>PR</v>
          </cell>
          <cell r="F1286">
            <v>0.74</v>
          </cell>
          <cell r="G1286">
            <v>0</v>
          </cell>
          <cell r="H1286">
            <v>0.74</v>
          </cell>
        </row>
        <row r="1287">
          <cell r="A1287" t="str">
            <v>6006PR</v>
          </cell>
          <cell r="B1287">
            <v>6006</v>
          </cell>
          <cell r="C1287" t="str">
            <v>NARIDRIN GOTAS INF FR C/15ML</v>
          </cell>
          <cell r="D1287" t="str">
            <v>FR X 15 ML</v>
          </cell>
          <cell r="E1287" t="str">
            <v>PR</v>
          </cell>
          <cell r="F1287">
            <v>0.72999999999999987</v>
          </cell>
          <cell r="G1287">
            <v>0</v>
          </cell>
          <cell r="H1287">
            <v>0.72999999999999987</v>
          </cell>
        </row>
        <row r="1288">
          <cell r="A1288" t="str">
            <v>1079PR</v>
          </cell>
          <cell r="B1288">
            <v>1079</v>
          </cell>
          <cell r="C1288" t="str">
            <v>NARIDRIN H 30MG/ML SOL.NAS SPRAY 60ML-E</v>
          </cell>
          <cell r="D1288" t="str">
            <v>FRASCO X 60ML</v>
          </cell>
          <cell r="E1288" t="str">
            <v>PR</v>
          </cell>
          <cell r="F1288">
            <v>0.7</v>
          </cell>
          <cell r="G1288">
            <v>0</v>
          </cell>
          <cell r="H1288">
            <v>0.7</v>
          </cell>
        </row>
        <row r="1289">
          <cell r="A1289" t="str">
            <v>1368PR</v>
          </cell>
          <cell r="B1289">
            <v>1368</v>
          </cell>
          <cell r="C1289" t="str">
            <v>NIMESILAM BLT 1X12= 12 COM - E</v>
          </cell>
          <cell r="D1289" t="str">
            <v>1 BLT X 12</v>
          </cell>
          <cell r="E1289" t="str">
            <v>PR</v>
          </cell>
          <cell r="F1289">
            <v>0.89999999999999991</v>
          </cell>
          <cell r="G1289">
            <v>0</v>
          </cell>
          <cell r="H1289">
            <v>0.89999999999999991</v>
          </cell>
        </row>
        <row r="1290">
          <cell r="A1290" t="str">
            <v>1367PR</v>
          </cell>
          <cell r="B1290">
            <v>1367</v>
          </cell>
          <cell r="C1290" t="str">
            <v>NIMESILAM GOTAS FRC/15ML  - E</v>
          </cell>
          <cell r="D1290" t="str">
            <v>FR 15 ML</v>
          </cell>
          <cell r="E1290" t="str">
            <v>PR</v>
          </cell>
          <cell r="F1290">
            <v>0.73</v>
          </cell>
          <cell r="G1290">
            <v>0</v>
          </cell>
          <cell r="H1290">
            <v>0.73</v>
          </cell>
        </row>
        <row r="1291">
          <cell r="A1291" t="str">
            <v>2058PR</v>
          </cell>
          <cell r="B1291">
            <v>2058</v>
          </cell>
          <cell r="C1291" t="str">
            <v>NOCICLIN 1BLT C/21COM-EMS</v>
          </cell>
          <cell r="D1291" t="str">
            <v>1 BL X 21</v>
          </cell>
          <cell r="E1291" t="str">
            <v>PR</v>
          </cell>
          <cell r="F1291">
            <v>0.68</v>
          </cell>
          <cell r="G1291">
            <v>0</v>
          </cell>
          <cell r="H1291">
            <v>0.68</v>
          </cell>
        </row>
        <row r="1292">
          <cell r="A1292" t="str">
            <v>2391PR</v>
          </cell>
          <cell r="B1292">
            <v>2391</v>
          </cell>
          <cell r="C1292" t="str">
            <v>RUDITE 20MG/ML PO SUS 100ML-E</v>
          </cell>
          <cell r="D1292" t="str">
            <v>FR X 100 ML</v>
          </cell>
          <cell r="E1292" t="str">
            <v>PR</v>
          </cell>
          <cell r="F1292">
            <v>0.59899999999999998</v>
          </cell>
          <cell r="G1292">
            <v>0</v>
          </cell>
          <cell r="H1292">
            <v>0.59899999999999998</v>
          </cell>
        </row>
        <row r="1293">
          <cell r="A1293" t="str">
            <v>2392PR</v>
          </cell>
          <cell r="B1293">
            <v>2392</v>
          </cell>
          <cell r="C1293" t="str">
            <v>RUDITE 20MG/ML PO SUS 45ML-E</v>
          </cell>
          <cell r="D1293" t="str">
            <v>FR X 45 ML</v>
          </cell>
          <cell r="E1293" t="str">
            <v>PR</v>
          </cell>
          <cell r="F1293">
            <v>0.58999999999999986</v>
          </cell>
          <cell r="G1293">
            <v>0</v>
          </cell>
          <cell r="H1293">
            <v>0.58999999999999986</v>
          </cell>
        </row>
        <row r="1294">
          <cell r="A1294" t="str">
            <v>2390PR</v>
          </cell>
          <cell r="B1294">
            <v>2390</v>
          </cell>
          <cell r="C1294" t="str">
            <v>RUDITE(C1)500MG C/6 COM REV-E</v>
          </cell>
          <cell r="D1294" t="str">
            <v>1 BLT X 6</v>
          </cell>
          <cell r="E1294" t="str">
            <v>PR</v>
          </cell>
          <cell r="F1294">
            <v>0.7</v>
          </cell>
          <cell r="G1294">
            <v>0</v>
          </cell>
          <cell r="H1294">
            <v>0.7</v>
          </cell>
        </row>
        <row r="1295">
          <cell r="A1295" t="str">
            <v>2398PR</v>
          </cell>
          <cell r="B1295">
            <v>2398</v>
          </cell>
          <cell r="C1295" t="str">
            <v>SOMINEX COMPOS OTC CPR REVEST x 20</v>
          </cell>
          <cell r="D1295" t="str">
            <v>2 BL X 10</v>
          </cell>
          <cell r="E1295" t="str">
            <v>PR</v>
          </cell>
          <cell r="F1295">
            <v>0.68899999999999995</v>
          </cell>
          <cell r="G1295">
            <v>0</v>
          </cell>
          <cell r="H1295">
            <v>0.68899999999999995</v>
          </cell>
        </row>
        <row r="1296">
          <cell r="A1296" t="str">
            <v>1818PR</v>
          </cell>
          <cell r="B1296">
            <v>1818</v>
          </cell>
          <cell r="C1296" t="str">
            <v>SUPLEVIT MULHER VIT. 2BLT C/15 CAP.GEL-E</v>
          </cell>
          <cell r="D1296" t="str">
            <v>2 BLT C/15</v>
          </cell>
          <cell r="E1296" t="str">
            <v>PR</v>
          </cell>
          <cell r="F1296">
            <v>0.82</v>
          </cell>
          <cell r="G1296">
            <v>0</v>
          </cell>
          <cell r="H1296">
            <v>0.82</v>
          </cell>
        </row>
        <row r="1297">
          <cell r="A1297" t="str">
            <v>1819PR</v>
          </cell>
          <cell r="B1297">
            <v>1819</v>
          </cell>
          <cell r="C1297" t="str">
            <v>SUPLEVIT MULHER VIT. 4BLT C/15 CAP.GEL-E</v>
          </cell>
          <cell r="D1297" t="str">
            <v>4 BLT C/15</v>
          </cell>
          <cell r="E1297" t="str">
            <v>PR</v>
          </cell>
          <cell r="F1297">
            <v>0.81999999999999984</v>
          </cell>
          <cell r="G1297">
            <v>0</v>
          </cell>
          <cell r="H1297">
            <v>0.81999999999999984</v>
          </cell>
        </row>
        <row r="1298">
          <cell r="A1298" t="str">
            <v>2036PR</v>
          </cell>
          <cell r="B1298">
            <v>2036</v>
          </cell>
          <cell r="C1298" t="str">
            <v>VITAFER FR C/50 COMP-E</v>
          </cell>
          <cell r="D1298" t="str">
            <v>FR X 50</v>
          </cell>
          <cell r="E1298" t="str">
            <v>PR</v>
          </cell>
          <cell r="F1298">
            <v>0.52999999999999992</v>
          </cell>
          <cell r="G1298">
            <v>0</v>
          </cell>
          <cell r="H1298">
            <v>0.52999999999999992</v>
          </cell>
        </row>
        <row r="1299">
          <cell r="A1299" t="str">
            <v>60000RJ</v>
          </cell>
          <cell r="B1299">
            <v>60000</v>
          </cell>
          <cell r="C1299" t="str">
            <v>A SAUDE DA MULHER 150ML SOLUCAO</v>
          </cell>
          <cell r="D1299" t="str">
            <v>FR X 150 ML</v>
          </cell>
          <cell r="E1299" t="str">
            <v>RJ</v>
          </cell>
          <cell r="F1299">
            <v>0.26999999999999996</v>
          </cell>
          <cell r="G1299">
            <v>0</v>
          </cell>
          <cell r="H1299">
            <v>0.26999999999999996</v>
          </cell>
        </row>
        <row r="1300">
          <cell r="A1300" t="str">
            <v>2256RJ</v>
          </cell>
          <cell r="B1300">
            <v>2256</v>
          </cell>
          <cell r="C1300" t="str">
            <v>ALLEXOFEDRIN 120MG 1BLTC/10 COM REV-E</v>
          </cell>
          <cell r="D1300" t="str">
            <v>1 BL X 10 COMP REVEST</v>
          </cell>
          <cell r="E1300" t="str">
            <v>RJ</v>
          </cell>
          <cell r="F1300">
            <v>0.75</v>
          </cell>
          <cell r="G1300">
            <v>0</v>
          </cell>
          <cell r="H1300">
            <v>0.75</v>
          </cell>
        </row>
        <row r="1301">
          <cell r="A1301" t="str">
            <v>2255RJ</v>
          </cell>
          <cell r="B1301">
            <v>2255</v>
          </cell>
          <cell r="C1301" t="str">
            <v>ALLEXOFEDRIN 180MG 1BLTC/10 COM REV-E</v>
          </cell>
          <cell r="D1301" t="str">
            <v>1 BL X 10 COMP REVEST</v>
          </cell>
          <cell r="E1301" t="str">
            <v>RJ</v>
          </cell>
          <cell r="F1301">
            <v>0.74999999999999989</v>
          </cell>
          <cell r="G1301">
            <v>0</v>
          </cell>
          <cell r="H1301">
            <v>0.74999999999999989</v>
          </cell>
        </row>
        <row r="1302">
          <cell r="A1302" t="str">
            <v>2133RJ</v>
          </cell>
          <cell r="B1302">
            <v>2133</v>
          </cell>
          <cell r="C1302" t="str">
            <v>ALLEXOFEDRIN D 60+120MG 1BLT C/10C.REV</v>
          </cell>
          <cell r="D1302" t="str">
            <v>1 BL X 10 COMP REVEST</v>
          </cell>
          <cell r="E1302" t="str">
            <v>RJ</v>
          </cell>
          <cell r="F1302">
            <v>0.26</v>
          </cell>
          <cell r="G1302">
            <v>0</v>
          </cell>
          <cell r="H1302">
            <v>0.26</v>
          </cell>
        </row>
        <row r="1303">
          <cell r="A1303" t="str">
            <v>1066MA</v>
          </cell>
          <cell r="B1303">
            <v>1066</v>
          </cell>
          <cell r="C1303" t="str">
            <v>CELERGIN XPE 120ML-E</v>
          </cell>
          <cell r="D1303" t="str">
            <v>FR X 120 ML</v>
          </cell>
          <cell r="E1303" t="str">
            <v>MA</v>
          </cell>
          <cell r="F1303">
            <v>0.73480000000000001</v>
          </cell>
          <cell r="G1303">
            <v>0</v>
          </cell>
          <cell r="H1303">
            <v>0.73480000000000001</v>
          </cell>
        </row>
        <row r="1304">
          <cell r="A1304" t="str">
            <v>2347RJ</v>
          </cell>
          <cell r="B1304">
            <v>2347</v>
          </cell>
          <cell r="C1304" t="str">
            <v>ALLEXOFEDRIN PEDIATRICO6MG/MLSUS150 ML-E</v>
          </cell>
          <cell r="D1304" t="str">
            <v>6MG/MLSUS150 ML-E</v>
          </cell>
          <cell r="E1304" t="str">
            <v>RJ</v>
          </cell>
          <cell r="F1304">
            <v>0.60909999999999997</v>
          </cell>
          <cell r="G1304">
            <v>0</v>
          </cell>
          <cell r="H1304">
            <v>0.60909999999999997</v>
          </cell>
        </row>
        <row r="1305">
          <cell r="A1305" t="str">
            <v>2190RJ</v>
          </cell>
          <cell r="B1305">
            <v>2190</v>
          </cell>
          <cell r="C1305" t="str">
            <v>ANTIVIRAX 400MG 2BLTX15 COM - E</v>
          </cell>
          <cell r="D1305" t="str">
            <v>2 BL X 15</v>
          </cell>
          <cell r="E1305" t="str">
            <v>RJ</v>
          </cell>
          <cell r="F1305">
            <v>0.68</v>
          </cell>
          <cell r="G1305">
            <v>0</v>
          </cell>
          <cell r="H1305">
            <v>0.68</v>
          </cell>
        </row>
        <row r="1306">
          <cell r="A1306" t="str">
            <v>3009RJ</v>
          </cell>
          <cell r="B1306">
            <v>3009</v>
          </cell>
          <cell r="C1306" t="str">
            <v>ANTIVIRAX CR BG C/10 G</v>
          </cell>
          <cell r="D1306" t="str">
            <v>BISN X 10 G</v>
          </cell>
          <cell r="E1306" t="str">
            <v>RJ</v>
          </cell>
          <cell r="F1306">
            <v>0.74999999999999989</v>
          </cell>
          <cell r="G1306">
            <v>0</v>
          </cell>
          <cell r="H1306">
            <v>0.74999999999999989</v>
          </cell>
        </row>
        <row r="1307">
          <cell r="A1307" t="str">
            <v>1001RJ</v>
          </cell>
          <cell r="B1307">
            <v>1001</v>
          </cell>
          <cell r="C1307" t="str">
            <v>APEVITIN BC XPE FRC/240ML</v>
          </cell>
          <cell r="D1307" t="str">
            <v>FR X 240 ML</v>
          </cell>
          <cell r="E1307" t="str">
            <v>RJ</v>
          </cell>
          <cell r="F1307">
            <v>0.78909999999999991</v>
          </cell>
          <cell r="G1307">
            <v>0</v>
          </cell>
          <cell r="H1307">
            <v>0.78909999999999991</v>
          </cell>
        </row>
        <row r="1308">
          <cell r="A1308" t="str">
            <v>1226RJ</v>
          </cell>
          <cell r="B1308">
            <v>1226</v>
          </cell>
          <cell r="C1308" t="str">
            <v>BENZIFLEX 10MG 1BLX15COMP.REV-E</v>
          </cell>
          <cell r="D1308" t="str">
            <v>1 BL X 15 COMP.</v>
          </cell>
          <cell r="E1308" t="str">
            <v>RJ</v>
          </cell>
          <cell r="F1308">
            <v>0.71</v>
          </cell>
          <cell r="G1308">
            <v>0</v>
          </cell>
          <cell r="H1308">
            <v>0.71</v>
          </cell>
        </row>
        <row r="1309">
          <cell r="A1309" t="str">
            <v>1227RJ</v>
          </cell>
          <cell r="B1309">
            <v>1227</v>
          </cell>
          <cell r="C1309" t="str">
            <v>BENZIFLEX 10MG 2BLX15COMP.REV-E</v>
          </cell>
          <cell r="D1309" t="str">
            <v>2 BL X 15 COMP.</v>
          </cell>
          <cell r="E1309" t="str">
            <v>RJ</v>
          </cell>
          <cell r="F1309">
            <v>0.71</v>
          </cell>
          <cell r="G1309">
            <v>0</v>
          </cell>
          <cell r="H1309">
            <v>0.71</v>
          </cell>
        </row>
        <row r="1310">
          <cell r="A1310" t="str">
            <v>1233RJ</v>
          </cell>
          <cell r="B1310">
            <v>1233</v>
          </cell>
          <cell r="C1310" t="str">
            <v>BENZIFLEX 5MG 2BLX15COMP.REV-E</v>
          </cell>
          <cell r="D1310" t="str">
            <v>2 BL X 15 COMP.</v>
          </cell>
          <cell r="E1310" t="str">
            <v>RJ</v>
          </cell>
          <cell r="F1310">
            <v>0.71</v>
          </cell>
          <cell r="G1310">
            <v>0</v>
          </cell>
          <cell r="H1310">
            <v>0.71</v>
          </cell>
        </row>
        <row r="1311">
          <cell r="A1311" t="str">
            <v>1574RJ</v>
          </cell>
          <cell r="B1311">
            <v>1574</v>
          </cell>
          <cell r="C1311" t="str">
            <v>BENZIFLEX LIS 125MG+5MG 15COM.REV.-E</v>
          </cell>
          <cell r="D1311" t="str">
            <v>1 BL X 15 COMP.</v>
          </cell>
          <cell r="E1311" t="str">
            <v>RJ</v>
          </cell>
          <cell r="F1311">
            <v>0.5</v>
          </cell>
          <cell r="G1311">
            <v>0</v>
          </cell>
          <cell r="H1311">
            <v>0.5</v>
          </cell>
        </row>
        <row r="1312">
          <cell r="A1312" t="str">
            <v>2292RJ</v>
          </cell>
          <cell r="B1312">
            <v>2292</v>
          </cell>
          <cell r="C1312" t="str">
            <v>BENZIFLEX LIS 125MG+5MG 2BL15 COM.REV.-E</v>
          </cell>
          <cell r="D1312" t="str">
            <v>2 BL X 15 COMP.</v>
          </cell>
          <cell r="E1312" t="str">
            <v>RJ</v>
          </cell>
          <cell r="F1312">
            <v>0.53</v>
          </cell>
          <cell r="G1312">
            <v>0</v>
          </cell>
          <cell r="H1312">
            <v>0.53</v>
          </cell>
        </row>
        <row r="1313">
          <cell r="A1313" t="str">
            <v>1155RJ</v>
          </cell>
          <cell r="B1313">
            <v>1155</v>
          </cell>
          <cell r="C1313" t="str">
            <v>BIOFLADEX AEROSSOL 60G- E</v>
          </cell>
          <cell r="D1313" t="str">
            <v>FRASCO 60 G</v>
          </cell>
          <cell r="E1313" t="str">
            <v>RJ</v>
          </cell>
          <cell r="F1313">
            <v>0.66</v>
          </cell>
          <cell r="G1313">
            <v>0</v>
          </cell>
          <cell r="H1313">
            <v>0.66</v>
          </cell>
        </row>
        <row r="1314">
          <cell r="A1314" t="str">
            <v>1072RJ</v>
          </cell>
          <cell r="B1314">
            <v>1072</v>
          </cell>
          <cell r="C1314" t="str">
            <v>BISURAN 4MG/5ML XPE INF 120ML-E</v>
          </cell>
          <cell r="D1314" t="str">
            <v>FR X 120 ML</v>
          </cell>
          <cell r="E1314" t="str">
            <v>RJ</v>
          </cell>
          <cell r="F1314">
            <v>0.53</v>
          </cell>
          <cell r="G1314">
            <v>0</v>
          </cell>
          <cell r="H1314">
            <v>0.53</v>
          </cell>
        </row>
        <row r="1315">
          <cell r="A1315" t="str">
            <v>1318RJ</v>
          </cell>
          <cell r="B1315">
            <v>1318</v>
          </cell>
          <cell r="C1315" t="str">
            <v>BISURAN 8MG/5ML XPE AD. 120ML-E</v>
          </cell>
          <cell r="D1315" t="str">
            <v>FR X 120 ML</v>
          </cell>
          <cell r="E1315" t="str">
            <v>RJ</v>
          </cell>
          <cell r="F1315">
            <v>0.61999999999999988</v>
          </cell>
          <cell r="G1315">
            <v>0</v>
          </cell>
          <cell r="H1315">
            <v>0.61999999999999988</v>
          </cell>
        </row>
        <row r="1316">
          <cell r="A1316" t="str">
            <v>2141RJ</v>
          </cell>
          <cell r="B1316">
            <v>2141</v>
          </cell>
          <cell r="C1316" t="str">
            <v>CELERGIN 20 COMP-E</v>
          </cell>
          <cell r="D1316" t="str">
            <v>CX. C/20 COMP.</v>
          </cell>
          <cell r="E1316" t="str">
            <v>RJ</v>
          </cell>
          <cell r="F1316">
            <v>0.65649999999999986</v>
          </cell>
          <cell r="G1316">
            <v>0</v>
          </cell>
          <cell r="H1316">
            <v>0.65649999999999986</v>
          </cell>
        </row>
        <row r="1317">
          <cell r="A1317" t="str">
            <v>1066MG</v>
          </cell>
          <cell r="B1317">
            <v>1066</v>
          </cell>
          <cell r="C1317" t="str">
            <v>CELERGIN XPE 120ML-E</v>
          </cell>
          <cell r="D1317" t="str">
            <v>FR X 120 ML</v>
          </cell>
          <cell r="E1317" t="str">
            <v>MG</v>
          </cell>
          <cell r="F1317">
            <v>0.75</v>
          </cell>
          <cell r="G1317">
            <v>0</v>
          </cell>
          <cell r="H1317">
            <v>0.75</v>
          </cell>
        </row>
        <row r="1318">
          <cell r="A1318" t="str">
            <v>2322RJ</v>
          </cell>
          <cell r="B1318">
            <v>2322</v>
          </cell>
          <cell r="C1318" t="str">
            <v>CLOPE 3,54MG/ML XPE 120ML FR PLAS-E</v>
          </cell>
          <cell r="D1318" t="str">
            <v>FR X 120 ML</v>
          </cell>
          <cell r="E1318" t="str">
            <v>RJ</v>
          </cell>
          <cell r="F1318">
            <v>0.53</v>
          </cell>
          <cell r="G1318">
            <v>0</v>
          </cell>
          <cell r="H1318">
            <v>0.53</v>
          </cell>
        </row>
        <row r="1319">
          <cell r="A1319" t="str">
            <v>2383RJ</v>
          </cell>
          <cell r="B1319">
            <v>2383</v>
          </cell>
          <cell r="C1319" t="str">
            <v>COMPLEXO B 12 XPE FR C/120ML E</v>
          </cell>
          <cell r="D1319" t="str">
            <v>FR X 120 ML</v>
          </cell>
          <cell r="E1319" t="str">
            <v>RJ</v>
          </cell>
          <cell r="F1319">
            <v>0.67000000000000015</v>
          </cell>
          <cell r="G1319">
            <v>0</v>
          </cell>
          <cell r="H1319">
            <v>0.67000000000000015</v>
          </cell>
        </row>
        <row r="1320">
          <cell r="A1320" t="str">
            <v>2384RJ</v>
          </cell>
          <cell r="B1320">
            <v>2384</v>
          </cell>
          <cell r="C1320" t="str">
            <v>COMPLEXO B CPR REVEST x 20</v>
          </cell>
          <cell r="D1320" t="str">
            <v xml:space="preserve">FR X 20 </v>
          </cell>
          <cell r="E1320" t="str">
            <v>RJ</v>
          </cell>
          <cell r="F1320">
            <v>0.66000000000000014</v>
          </cell>
          <cell r="G1320">
            <v>0</v>
          </cell>
          <cell r="H1320">
            <v>0.66000000000000014</v>
          </cell>
        </row>
        <row r="1321">
          <cell r="A1321" t="str">
            <v>2382RJ</v>
          </cell>
          <cell r="B1321">
            <v>2382</v>
          </cell>
          <cell r="C1321" t="str">
            <v>COMPLEXO B FR C/100 COM REV  E</v>
          </cell>
          <cell r="D1321" t="str">
            <v>FR X 100</v>
          </cell>
          <cell r="E1321" t="str">
            <v>RJ</v>
          </cell>
          <cell r="F1321">
            <v>0.64000000000000012</v>
          </cell>
          <cell r="G1321">
            <v>0</v>
          </cell>
          <cell r="H1321">
            <v>0.64000000000000012</v>
          </cell>
        </row>
        <row r="1322">
          <cell r="A1322" t="str">
            <v>2011RJ</v>
          </cell>
          <cell r="B1322">
            <v>2011</v>
          </cell>
          <cell r="C1322" t="str">
            <v>CYSTEX FR C/24 DRG</v>
          </cell>
          <cell r="D1322" t="str">
            <v xml:space="preserve">FR X 24 </v>
          </cell>
          <cell r="E1322" t="str">
            <v>RJ</v>
          </cell>
          <cell r="F1322">
            <v>0.36070000000000002</v>
          </cell>
          <cell r="G1322">
            <v>0</v>
          </cell>
          <cell r="H1322">
            <v>0.36070000000000002</v>
          </cell>
        </row>
        <row r="1323">
          <cell r="A1323" t="str">
            <v>1837RJ</v>
          </cell>
          <cell r="B1323">
            <v>1837</v>
          </cell>
          <cell r="C1323" t="str">
            <v>DIOVASES 450+50MG C/30 COM.REV. - E</v>
          </cell>
          <cell r="D1323" t="str">
            <v>2 BL X 15 COMP.</v>
          </cell>
          <cell r="E1323" t="str">
            <v>RJ</v>
          </cell>
          <cell r="F1323">
            <v>0.68</v>
          </cell>
          <cell r="G1323">
            <v>0</v>
          </cell>
          <cell r="H1323">
            <v>0.68</v>
          </cell>
        </row>
        <row r="1324">
          <cell r="A1324" t="str">
            <v>1838RJ</v>
          </cell>
          <cell r="B1324">
            <v>1838</v>
          </cell>
          <cell r="C1324" t="str">
            <v>DIOVASES 450+50MG C/60 COM.REV. - E</v>
          </cell>
          <cell r="D1324" t="str">
            <v>4 BL X 15 COMP.</v>
          </cell>
          <cell r="E1324" t="str">
            <v>RJ</v>
          </cell>
          <cell r="F1324">
            <v>0.72</v>
          </cell>
          <cell r="G1324">
            <v>0</v>
          </cell>
          <cell r="H1324">
            <v>0.72</v>
          </cell>
        </row>
        <row r="1325">
          <cell r="A1325" t="str">
            <v>2261RJ</v>
          </cell>
          <cell r="B1325">
            <v>2261</v>
          </cell>
          <cell r="C1325" t="str">
            <v>DORICIN CPR x 24</v>
          </cell>
          <cell r="D1325" t="str">
            <v>2BL C/12 COMPRIMIDOS -E</v>
          </cell>
          <cell r="E1325" t="str">
            <v>RJ</v>
          </cell>
          <cell r="F1325">
            <v>0.74099999999999999</v>
          </cell>
          <cell r="G1325">
            <v>0</v>
          </cell>
          <cell r="H1325">
            <v>0.74099999999999999</v>
          </cell>
        </row>
        <row r="1326">
          <cell r="A1326" t="str">
            <v>2264RJ</v>
          </cell>
          <cell r="B1326">
            <v>2264</v>
          </cell>
          <cell r="C1326" t="str">
            <v>DORICIN CPR x 300</v>
          </cell>
          <cell r="D1326" t="str">
            <v>30BL C/10 COMPRIMIDOS -E</v>
          </cell>
          <cell r="E1326" t="str">
            <v>RJ</v>
          </cell>
          <cell r="F1326">
            <v>0.74099999999999999</v>
          </cell>
          <cell r="G1326">
            <v>0</v>
          </cell>
          <cell r="H1326">
            <v>0.74099999999999999</v>
          </cell>
        </row>
        <row r="1327">
          <cell r="A1327" t="str">
            <v>2262RJ</v>
          </cell>
          <cell r="B1327">
            <v>2262</v>
          </cell>
          <cell r="C1327" t="str">
            <v>DORICIN CPR X 36</v>
          </cell>
          <cell r="D1327" t="str">
            <v>3BL C/12 COMPRIMIDOS -E</v>
          </cell>
          <cell r="E1327" t="str">
            <v>RJ</v>
          </cell>
          <cell r="F1327">
            <v>0.75139999999999996</v>
          </cell>
          <cell r="G1327">
            <v>0</v>
          </cell>
          <cell r="H1327">
            <v>0.75139999999999996</v>
          </cell>
        </row>
        <row r="1328">
          <cell r="A1328" t="str">
            <v>2263RJ</v>
          </cell>
          <cell r="B1328">
            <v>2263</v>
          </cell>
          <cell r="C1328" t="str">
            <v>DORICIN CPR X 50</v>
          </cell>
          <cell r="D1328" t="str">
            <v>5BL C/10 COMPRIMIDOS - E</v>
          </cell>
          <cell r="E1328" t="str">
            <v>RJ</v>
          </cell>
          <cell r="F1328">
            <v>0.66100000000000003</v>
          </cell>
          <cell r="G1328">
            <v>0</v>
          </cell>
          <cell r="H1328">
            <v>0.66100000000000003</v>
          </cell>
        </row>
        <row r="1329">
          <cell r="A1329" t="str">
            <v>1173RJ</v>
          </cell>
          <cell r="B1329">
            <v>1173</v>
          </cell>
          <cell r="C1329" t="str">
            <v>DORICIN GOTAS 20ML x 1</v>
          </cell>
          <cell r="D1329" t="str">
            <v>FR X 20 ML</v>
          </cell>
          <cell r="E1329" t="str">
            <v>RJ</v>
          </cell>
          <cell r="F1329">
            <v>0.65</v>
          </cell>
          <cell r="G1329">
            <v>0</v>
          </cell>
          <cell r="H1329">
            <v>0.65</v>
          </cell>
        </row>
        <row r="1330">
          <cell r="A1330" t="str">
            <v>2018RJ</v>
          </cell>
          <cell r="B1330">
            <v>2018</v>
          </cell>
          <cell r="C1330" t="str">
            <v>EMISTIN BLT 1X20=20COMP</v>
          </cell>
          <cell r="D1330" t="str">
            <v>1 BL X 20</v>
          </cell>
          <cell r="E1330" t="str">
            <v>RJ</v>
          </cell>
          <cell r="F1330">
            <v>0.67</v>
          </cell>
          <cell r="G1330">
            <v>0</v>
          </cell>
          <cell r="H1330">
            <v>0.67</v>
          </cell>
        </row>
        <row r="1331">
          <cell r="A1331" t="str">
            <v>3008RJ</v>
          </cell>
          <cell r="B1331">
            <v>3008</v>
          </cell>
          <cell r="C1331" t="str">
            <v>EMISTIN CR BG C/20G</v>
          </cell>
          <cell r="D1331" t="str">
            <v>BISN X 20 G</v>
          </cell>
          <cell r="E1331" t="str">
            <v>RJ</v>
          </cell>
          <cell r="F1331">
            <v>0.77</v>
          </cell>
          <cell r="G1331">
            <v>0</v>
          </cell>
          <cell r="H1331">
            <v>0.77</v>
          </cell>
        </row>
        <row r="1332">
          <cell r="A1332" t="str">
            <v>3020RJ</v>
          </cell>
          <cell r="B1332">
            <v>3020</v>
          </cell>
          <cell r="C1332" t="str">
            <v>EMSCORT CR BG C/30G</v>
          </cell>
          <cell r="D1332" t="str">
            <v>BISN X 30 G</v>
          </cell>
          <cell r="E1332" t="str">
            <v>RJ</v>
          </cell>
          <cell r="F1332">
            <v>0.77000000000000013</v>
          </cell>
          <cell r="G1332">
            <v>0</v>
          </cell>
          <cell r="H1332">
            <v>0.77000000000000013</v>
          </cell>
        </row>
        <row r="1333">
          <cell r="A1333" t="str">
            <v>6023RJ</v>
          </cell>
          <cell r="B1333">
            <v>6023</v>
          </cell>
          <cell r="C1333" t="str">
            <v>EMSCORT POM BISN 30G-E</v>
          </cell>
          <cell r="D1333" t="str">
            <v>BISN X 30 G</v>
          </cell>
          <cell r="E1333" t="str">
            <v>RJ</v>
          </cell>
          <cell r="F1333">
            <v>0.7639999999999999</v>
          </cell>
          <cell r="G1333">
            <v>0</v>
          </cell>
          <cell r="H1333">
            <v>0.7639999999999999</v>
          </cell>
        </row>
        <row r="1334">
          <cell r="A1334" t="str">
            <v>1190RJ</v>
          </cell>
          <cell r="B1334">
            <v>1190</v>
          </cell>
          <cell r="C1334" t="str">
            <v>EMSEXPECTOR XAROPE FR C/120ML - E</v>
          </cell>
          <cell r="D1334" t="str">
            <v>FR X 120 ML</v>
          </cell>
          <cell r="E1334" t="str">
            <v>RJ</v>
          </cell>
          <cell r="F1334">
            <v>0.48</v>
          </cell>
          <cell r="G1334">
            <v>0</v>
          </cell>
          <cell r="H1334">
            <v>0.48</v>
          </cell>
        </row>
        <row r="1335">
          <cell r="A1335" t="str">
            <v>2111RJ</v>
          </cell>
          <cell r="B1335">
            <v>2111</v>
          </cell>
          <cell r="C1335" t="str">
            <v>ENDCOFF PAST MEL ELIMAO C/12UN</v>
          </cell>
          <cell r="D1335" t="str">
            <v>3 STP X 4</v>
          </cell>
          <cell r="E1335" t="str">
            <v>RJ</v>
          </cell>
          <cell r="F1335">
            <v>0.48</v>
          </cell>
          <cell r="G1335">
            <v>0</v>
          </cell>
          <cell r="H1335">
            <v>0.48</v>
          </cell>
        </row>
        <row r="1336">
          <cell r="A1336" t="str">
            <v>2092RJ</v>
          </cell>
          <cell r="B1336">
            <v>2092</v>
          </cell>
          <cell r="C1336" t="str">
            <v>ENDCOFF PAST STP MENTA C/12 UN</v>
          </cell>
          <cell r="D1336" t="str">
            <v>3 STP X 4</v>
          </cell>
          <cell r="E1336" t="str">
            <v>RJ</v>
          </cell>
          <cell r="F1336">
            <v>0.48</v>
          </cell>
          <cell r="G1336">
            <v>0</v>
          </cell>
          <cell r="H1336">
            <v>0.48</v>
          </cell>
        </row>
        <row r="1337">
          <cell r="A1337" t="str">
            <v>1905RJ</v>
          </cell>
          <cell r="B1337">
            <v>1905</v>
          </cell>
          <cell r="C1337" t="str">
            <v>ESMOG 20MG 4BLTC/7 COM REV LIB RETARD- E</v>
          </cell>
          <cell r="D1337" t="str">
            <v>4 BLT C/7</v>
          </cell>
          <cell r="E1337" t="str">
            <v>RJ</v>
          </cell>
          <cell r="F1337">
            <v>0.77800000000000002</v>
          </cell>
          <cell r="G1337">
            <v>0</v>
          </cell>
          <cell r="H1337">
            <v>0.77800000000000002</v>
          </cell>
        </row>
        <row r="1338">
          <cell r="A1338" t="str">
            <v>1906RJ</v>
          </cell>
          <cell r="B1338">
            <v>1906</v>
          </cell>
          <cell r="C1338" t="str">
            <v>ESMOG 40MG 4BLTC/7 COM REV LIB RETARD- E</v>
          </cell>
          <cell r="D1338" t="str">
            <v>4 BLT C/7</v>
          </cell>
          <cell r="E1338" t="str">
            <v>RJ</v>
          </cell>
          <cell r="F1338">
            <v>0.8</v>
          </cell>
          <cell r="G1338">
            <v>0</v>
          </cell>
          <cell r="H1338">
            <v>0.8</v>
          </cell>
        </row>
        <row r="1339">
          <cell r="A1339" t="str">
            <v>1016RJ</v>
          </cell>
          <cell r="B1339">
            <v>1016</v>
          </cell>
          <cell r="C1339" t="str">
            <v>EXPECTUSS XPE ADULTO FR C/100ML</v>
          </cell>
          <cell r="D1339" t="str">
            <v>FR X 100 ML</v>
          </cell>
          <cell r="E1339" t="str">
            <v>RJ</v>
          </cell>
          <cell r="F1339">
            <v>0.55000000000000016</v>
          </cell>
          <cell r="G1339">
            <v>0</v>
          </cell>
          <cell r="H1339">
            <v>0.55000000000000016</v>
          </cell>
        </row>
        <row r="1340">
          <cell r="A1340" t="str">
            <v>1015RJ</v>
          </cell>
          <cell r="B1340">
            <v>1015</v>
          </cell>
          <cell r="C1340" t="str">
            <v>EXPECTUSS XPE INF FR C/100ML</v>
          </cell>
          <cell r="D1340" t="str">
            <v>FR X 100 ML</v>
          </cell>
          <cell r="E1340" t="str">
            <v>RJ</v>
          </cell>
          <cell r="F1340">
            <v>0.5099999999999999</v>
          </cell>
          <cell r="G1340">
            <v>0</v>
          </cell>
          <cell r="H1340">
            <v>0.5099999999999999</v>
          </cell>
        </row>
        <row r="1341">
          <cell r="A1341" t="str">
            <v>1363RJ</v>
          </cell>
          <cell r="B1341">
            <v>1363</v>
          </cell>
          <cell r="C1341" t="str">
            <v>FLUITEINA 600MG GRAN 16ENV 5G-E</v>
          </cell>
          <cell r="D1341" t="str">
            <v>CX. C/16 ENV X 5GR</v>
          </cell>
          <cell r="E1341" t="str">
            <v>RJ</v>
          </cell>
          <cell r="F1341">
            <v>0.42999999999999994</v>
          </cell>
          <cell r="G1341">
            <v>0</v>
          </cell>
          <cell r="H1341">
            <v>0.42999999999999994</v>
          </cell>
        </row>
        <row r="1342">
          <cell r="A1342" t="str">
            <v>1364RJ</v>
          </cell>
          <cell r="B1342">
            <v>1364</v>
          </cell>
          <cell r="C1342" t="str">
            <v>FLUITEINA XPE AD 40MG/ML120ML-E</v>
          </cell>
          <cell r="D1342" t="str">
            <v>FR X 120 ML</v>
          </cell>
          <cell r="E1342" t="str">
            <v>RJ</v>
          </cell>
          <cell r="F1342">
            <v>0.56999999999999973</v>
          </cell>
          <cell r="G1342">
            <v>0</v>
          </cell>
          <cell r="H1342">
            <v>0.56999999999999973</v>
          </cell>
        </row>
        <row r="1343">
          <cell r="A1343" t="str">
            <v>1163RJ</v>
          </cell>
          <cell r="B1343">
            <v>1163</v>
          </cell>
          <cell r="C1343" t="str">
            <v>FLUITEINA XPE INF 20MG/ML 120ML-E</v>
          </cell>
          <cell r="D1343" t="str">
            <v>FR X 120 ML</v>
          </cell>
          <cell r="E1343" t="str">
            <v>RJ</v>
          </cell>
          <cell r="F1343">
            <v>0.51900000000000002</v>
          </cell>
          <cell r="G1343">
            <v>0</v>
          </cell>
          <cell r="H1343">
            <v>0.51900000000000002</v>
          </cell>
        </row>
        <row r="1344">
          <cell r="A1344" t="str">
            <v>1168RJ</v>
          </cell>
          <cell r="B1344">
            <v>1168</v>
          </cell>
          <cell r="C1344" t="str">
            <v>FOLIFOLIN 5MG 2BLTX15COMP - E</v>
          </cell>
          <cell r="D1344" t="str">
            <v>2 BLT X 15 COMP.</v>
          </cell>
          <cell r="E1344" t="str">
            <v>RJ</v>
          </cell>
          <cell r="F1344">
            <v>0.66</v>
          </cell>
          <cell r="G1344">
            <v>0</v>
          </cell>
          <cell r="H1344">
            <v>0.66</v>
          </cell>
        </row>
        <row r="1345">
          <cell r="A1345" t="str">
            <v>2318RJ</v>
          </cell>
          <cell r="B1345">
            <v>2318</v>
          </cell>
          <cell r="C1345" t="str">
            <v>GEROVITAL  2BLT15 CAP MOLE-E</v>
          </cell>
          <cell r="D1345" t="str">
            <v>3 BL X 10</v>
          </cell>
          <cell r="E1345" t="str">
            <v>RJ</v>
          </cell>
          <cell r="F1345">
            <v>0.57899999999999996</v>
          </cell>
          <cell r="G1345">
            <v>0</v>
          </cell>
          <cell r="H1345">
            <v>0.57899999999999996</v>
          </cell>
        </row>
        <row r="1346">
          <cell r="A1346" t="str">
            <v>2062RJ</v>
          </cell>
          <cell r="B1346">
            <v>2062</v>
          </cell>
          <cell r="C1346" t="str">
            <v>GEROVITAL 3BLT C/20 CAP</v>
          </cell>
          <cell r="D1346" t="str">
            <v>6 BL X 10</v>
          </cell>
          <cell r="E1346" t="str">
            <v>RJ</v>
          </cell>
          <cell r="F1346">
            <v>0.48100000000000004</v>
          </cell>
          <cell r="G1346">
            <v>0</v>
          </cell>
          <cell r="H1346">
            <v>0.48100000000000004</v>
          </cell>
        </row>
        <row r="1347">
          <cell r="A1347" t="str">
            <v>1230RJ</v>
          </cell>
          <cell r="B1347">
            <v>1230</v>
          </cell>
          <cell r="C1347" t="str">
            <v>IBULIV 100MG/ML SUP ORAL C/ 20 ML-E</v>
          </cell>
          <cell r="D1347" t="str">
            <v>FR X 20 ML</v>
          </cell>
          <cell r="E1347" t="str">
            <v>RJ</v>
          </cell>
          <cell r="F1347">
            <v>0.68000000000000016</v>
          </cell>
          <cell r="G1347">
            <v>0</v>
          </cell>
          <cell r="H1347">
            <v>0.68000000000000016</v>
          </cell>
        </row>
        <row r="1348">
          <cell r="A1348" t="str">
            <v>1472RJ</v>
          </cell>
          <cell r="B1348">
            <v>1472</v>
          </cell>
          <cell r="C1348" t="str">
            <v>IBULIV 400MG 10 BLT C/ 4CAPS GEL.MOLES-E</v>
          </cell>
          <cell r="D1348" t="str">
            <v>10 BLT X 4 CÁPS</v>
          </cell>
          <cell r="E1348" t="str">
            <v>RJ</v>
          </cell>
          <cell r="F1348">
            <v>0.71000000000000019</v>
          </cell>
          <cell r="G1348">
            <v>0</v>
          </cell>
          <cell r="H1348">
            <v>0.71000000000000019</v>
          </cell>
        </row>
        <row r="1349">
          <cell r="A1349" t="str">
            <v>2469RJ</v>
          </cell>
          <cell r="B1349">
            <v>2469</v>
          </cell>
          <cell r="C1349" t="str">
            <v>IBULIV 400MG 2 BLT C/ 10CAPS GEL.MOLES-E</v>
          </cell>
          <cell r="D1349" t="str">
            <v>20 CÁPS.</v>
          </cell>
          <cell r="E1349" t="str">
            <v>RJ</v>
          </cell>
          <cell r="F1349">
            <v>0.71</v>
          </cell>
          <cell r="G1349">
            <v>0</v>
          </cell>
          <cell r="H1349">
            <v>0.71</v>
          </cell>
        </row>
        <row r="1350">
          <cell r="A1350" t="str">
            <v>1471RJ</v>
          </cell>
          <cell r="B1350">
            <v>1471</v>
          </cell>
          <cell r="C1350" t="str">
            <v>IBULIV 400MG 2 BLT C/ 4CAPS GEL.MOLES-E</v>
          </cell>
          <cell r="D1350" t="str">
            <v>2 BLT X 4 CÁPS.</v>
          </cell>
          <cell r="E1350" t="str">
            <v>RJ</v>
          </cell>
          <cell r="F1350">
            <v>0.71</v>
          </cell>
          <cell r="G1350">
            <v>0</v>
          </cell>
          <cell r="H1350">
            <v>0.71</v>
          </cell>
        </row>
        <row r="1351">
          <cell r="A1351" t="str">
            <v>1175RJ</v>
          </cell>
          <cell r="B1351">
            <v>1175</v>
          </cell>
          <cell r="C1351" t="str">
            <v>INFRALAX 1BLT C/15COMP - EMS</v>
          </cell>
          <cell r="D1351" t="str">
            <v>1 BLT C/ 15</v>
          </cell>
          <cell r="E1351" t="str">
            <v>RJ</v>
          </cell>
          <cell r="F1351">
            <v>0.74280000000000002</v>
          </cell>
          <cell r="G1351">
            <v>0</v>
          </cell>
          <cell r="H1351">
            <v>0.74280000000000002</v>
          </cell>
        </row>
        <row r="1352">
          <cell r="A1352" t="str">
            <v>1821RJ</v>
          </cell>
          <cell r="B1352">
            <v>1821</v>
          </cell>
          <cell r="C1352" t="str">
            <v>INFRALAX 20BLTX10COMP - E</v>
          </cell>
          <cell r="D1352" t="str">
            <v>20 BLT X 10</v>
          </cell>
          <cell r="E1352" t="str">
            <v>RJ</v>
          </cell>
          <cell r="F1352">
            <v>0.81</v>
          </cell>
          <cell r="G1352">
            <v>0</v>
          </cell>
          <cell r="H1352">
            <v>0.81</v>
          </cell>
        </row>
        <row r="1353">
          <cell r="A1353" t="str">
            <v>2138RJ</v>
          </cell>
          <cell r="B1353">
            <v>2138</v>
          </cell>
          <cell r="C1353" t="str">
            <v>INFRALAX 2BLT C/15COMP - EMS</v>
          </cell>
          <cell r="D1353" t="str">
            <v>2 BL X 15</v>
          </cell>
          <cell r="E1353" t="str">
            <v>RJ</v>
          </cell>
          <cell r="F1353">
            <v>0.74650000000000005</v>
          </cell>
          <cell r="G1353">
            <v>0</v>
          </cell>
          <cell r="H1353">
            <v>0.74650000000000005</v>
          </cell>
        </row>
        <row r="1354">
          <cell r="A1354" t="str">
            <v>6011RJ</v>
          </cell>
          <cell r="B1354">
            <v>6011</v>
          </cell>
          <cell r="C1354" t="str">
            <v>NARIDRIN 12HS GOTAS FR C/30ML</v>
          </cell>
          <cell r="D1354" t="str">
            <v>FR X 30 ML</v>
          </cell>
          <cell r="E1354" t="str">
            <v>RJ</v>
          </cell>
          <cell r="F1354">
            <v>0.74</v>
          </cell>
          <cell r="G1354">
            <v>0</v>
          </cell>
          <cell r="H1354">
            <v>0.74</v>
          </cell>
        </row>
        <row r="1355">
          <cell r="A1355" t="str">
            <v>2604RJ</v>
          </cell>
          <cell r="B1355">
            <v>2604</v>
          </cell>
          <cell r="C1355" t="str">
            <v>NARIDRIN ALTO VOL 30ENVX2,16G+FR240ML</v>
          </cell>
          <cell r="D1355" t="str">
            <v>30ENVX2,16G+FR240ML</v>
          </cell>
          <cell r="E1355" t="str">
            <v>RJ</v>
          </cell>
          <cell r="F1355">
            <v>0.64</v>
          </cell>
          <cell r="G1355">
            <v>0</v>
          </cell>
          <cell r="H1355">
            <v>0.64</v>
          </cell>
        </row>
        <row r="1356">
          <cell r="A1356" t="str">
            <v>2605RJ</v>
          </cell>
          <cell r="B1356">
            <v>2605</v>
          </cell>
          <cell r="C1356" t="str">
            <v>NARIDRIN ALTO VOL REFIL</v>
          </cell>
          <cell r="D1356" t="str">
            <v>30 ENV X 2,16G</v>
          </cell>
          <cell r="E1356" t="str">
            <v>RJ</v>
          </cell>
          <cell r="F1356">
            <v>0.59999999999999987</v>
          </cell>
          <cell r="G1356">
            <v>0</v>
          </cell>
          <cell r="H1356">
            <v>0.59999999999999987</v>
          </cell>
        </row>
        <row r="1357">
          <cell r="A1357" t="str">
            <v>1433RJ</v>
          </cell>
          <cell r="B1357">
            <v>1433</v>
          </cell>
          <cell r="C1357" t="str">
            <v>NARIDRIN AQUA 9MG/ML FRASCO C/50ML-E</v>
          </cell>
          <cell r="D1357" t="str">
            <v>FR X 50 ML SPRAY</v>
          </cell>
          <cell r="E1357" t="str">
            <v>RJ</v>
          </cell>
          <cell r="F1357">
            <v>0.71</v>
          </cell>
          <cell r="G1357">
            <v>0</v>
          </cell>
          <cell r="H1357">
            <v>0.71</v>
          </cell>
        </row>
        <row r="1358">
          <cell r="A1358" t="str">
            <v>6005RJ</v>
          </cell>
          <cell r="B1358">
            <v>6005</v>
          </cell>
          <cell r="C1358" t="str">
            <v>NARIDRIN GOTAS AD FR C/15ML</v>
          </cell>
          <cell r="D1358" t="str">
            <v>FR X 15 ML</v>
          </cell>
          <cell r="E1358" t="str">
            <v>RJ</v>
          </cell>
          <cell r="F1358">
            <v>0.74</v>
          </cell>
          <cell r="G1358">
            <v>0</v>
          </cell>
          <cell r="H1358">
            <v>0.74</v>
          </cell>
        </row>
        <row r="1359">
          <cell r="A1359" t="str">
            <v>6006RJ</v>
          </cell>
          <cell r="B1359">
            <v>6006</v>
          </cell>
          <cell r="C1359" t="str">
            <v>NARIDRIN GOTAS INF FR C/15ML</v>
          </cell>
          <cell r="D1359" t="str">
            <v>FR X 15 ML</v>
          </cell>
          <cell r="E1359" t="str">
            <v>RJ</v>
          </cell>
          <cell r="F1359">
            <v>0.72999999999999987</v>
          </cell>
          <cell r="G1359">
            <v>0</v>
          </cell>
          <cell r="H1359">
            <v>0.72999999999999987</v>
          </cell>
        </row>
        <row r="1360">
          <cell r="A1360" t="str">
            <v>1079RJ</v>
          </cell>
          <cell r="B1360">
            <v>1079</v>
          </cell>
          <cell r="C1360" t="str">
            <v>NARIDRIN H 30MG/ML SOL.NAS SPRAY 60ML-E</v>
          </cell>
          <cell r="D1360" t="str">
            <v>FRASCO X 60ML</v>
          </cell>
          <cell r="E1360" t="str">
            <v>RJ</v>
          </cell>
          <cell r="F1360">
            <v>0.7</v>
          </cell>
          <cell r="G1360">
            <v>0</v>
          </cell>
          <cell r="H1360">
            <v>0.7</v>
          </cell>
        </row>
        <row r="1361">
          <cell r="A1361" t="str">
            <v>1368RJ</v>
          </cell>
          <cell r="B1361">
            <v>1368</v>
          </cell>
          <cell r="C1361" t="str">
            <v>NIMESILAM BLT 1X12= 12 COM - E</v>
          </cell>
          <cell r="D1361" t="str">
            <v>1 BLT X 12</v>
          </cell>
          <cell r="E1361" t="str">
            <v>RJ</v>
          </cell>
          <cell r="F1361">
            <v>0.89999999999999991</v>
          </cell>
          <cell r="G1361">
            <v>0</v>
          </cell>
          <cell r="H1361">
            <v>0.89999999999999991</v>
          </cell>
        </row>
        <row r="1362">
          <cell r="A1362" t="str">
            <v>1367RJ</v>
          </cell>
          <cell r="B1362">
            <v>1367</v>
          </cell>
          <cell r="C1362" t="str">
            <v>NIMESILAM GOTAS FRC/15ML  - E</v>
          </cell>
          <cell r="D1362" t="str">
            <v>FR 15 ML</v>
          </cell>
          <cell r="E1362" t="str">
            <v>RJ</v>
          </cell>
          <cell r="F1362">
            <v>0.73</v>
          </cell>
          <cell r="G1362">
            <v>0</v>
          </cell>
          <cell r="H1362">
            <v>0.73</v>
          </cell>
        </row>
        <row r="1363">
          <cell r="A1363" t="str">
            <v>2058RJ</v>
          </cell>
          <cell r="B1363">
            <v>2058</v>
          </cell>
          <cell r="C1363" t="str">
            <v>NOCICLIN 1BLT C/21COM-EMS</v>
          </cell>
          <cell r="D1363" t="str">
            <v>1 BL X 21</v>
          </cell>
          <cell r="E1363" t="str">
            <v>RJ</v>
          </cell>
          <cell r="F1363">
            <v>0.68</v>
          </cell>
          <cell r="G1363">
            <v>0</v>
          </cell>
          <cell r="H1363">
            <v>0.68</v>
          </cell>
        </row>
        <row r="1364">
          <cell r="A1364" t="str">
            <v>2391RJ</v>
          </cell>
          <cell r="B1364">
            <v>2391</v>
          </cell>
          <cell r="C1364" t="str">
            <v>RUDITE 20MG/ML PO SUS 100ML-E</v>
          </cell>
          <cell r="D1364" t="str">
            <v>FR X 100 ML</v>
          </cell>
          <cell r="E1364" t="str">
            <v>RJ</v>
          </cell>
          <cell r="F1364">
            <v>0.59899999999999998</v>
          </cell>
          <cell r="G1364">
            <v>0</v>
          </cell>
          <cell r="H1364">
            <v>0.59899999999999998</v>
          </cell>
        </row>
        <row r="1365">
          <cell r="A1365" t="str">
            <v>2392RJ</v>
          </cell>
          <cell r="B1365">
            <v>2392</v>
          </cell>
          <cell r="C1365" t="str">
            <v>RUDITE 20MG/ML PO SUS 45ML-E</v>
          </cell>
          <cell r="D1365" t="str">
            <v>FR X 45 ML</v>
          </cell>
          <cell r="E1365" t="str">
            <v>RJ</v>
          </cell>
          <cell r="F1365">
            <v>0.58999999999999986</v>
          </cell>
          <cell r="G1365">
            <v>0</v>
          </cell>
          <cell r="H1365">
            <v>0.58999999999999986</v>
          </cell>
        </row>
        <row r="1366">
          <cell r="A1366" t="str">
            <v>2390RJ</v>
          </cell>
          <cell r="B1366">
            <v>2390</v>
          </cell>
          <cell r="C1366" t="str">
            <v>RUDITE(C1)500MG C/6 COM REV-E</v>
          </cell>
          <cell r="D1366" t="str">
            <v>1 BLT X 6</v>
          </cell>
          <cell r="E1366" t="str">
            <v>RJ</v>
          </cell>
          <cell r="F1366">
            <v>0.7</v>
          </cell>
          <cell r="G1366">
            <v>0</v>
          </cell>
          <cell r="H1366">
            <v>0.7</v>
          </cell>
        </row>
        <row r="1367">
          <cell r="A1367" t="str">
            <v>2398RJ</v>
          </cell>
          <cell r="B1367">
            <v>2398</v>
          </cell>
          <cell r="C1367" t="str">
            <v>SOMINEX COMPOS OTC CPR REVEST x 20</v>
          </cell>
          <cell r="D1367" t="str">
            <v>2 BL X 10</v>
          </cell>
          <cell r="E1367" t="str">
            <v>RJ</v>
          </cell>
          <cell r="F1367">
            <v>0.68899999999999995</v>
          </cell>
          <cell r="G1367">
            <v>0</v>
          </cell>
          <cell r="H1367">
            <v>0.68899999999999995</v>
          </cell>
        </row>
        <row r="1368">
          <cell r="A1368" t="str">
            <v>1818RJ</v>
          </cell>
          <cell r="B1368">
            <v>1818</v>
          </cell>
          <cell r="C1368" t="str">
            <v>SUPLEVIT MULHER VIT. 2BLT C/15 CAP.GEL-E</v>
          </cell>
          <cell r="D1368" t="str">
            <v>2 BLT C/15</v>
          </cell>
          <cell r="E1368" t="str">
            <v>RJ</v>
          </cell>
          <cell r="F1368">
            <v>0.82</v>
          </cell>
          <cell r="G1368">
            <v>0</v>
          </cell>
          <cell r="H1368">
            <v>0.82</v>
          </cell>
        </row>
        <row r="1369">
          <cell r="A1369" t="str">
            <v>1819RJ</v>
          </cell>
          <cell r="B1369">
            <v>1819</v>
          </cell>
          <cell r="C1369" t="str">
            <v>SUPLEVIT MULHER VIT. 4BLT C/15 CAP.GEL-E</v>
          </cell>
          <cell r="D1369" t="str">
            <v>4 BLT C/15</v>
          </cell>
          <cell r="E1369" t="str">
            <v>RJ</v>
          </cell>
          <cell r="F1369">
            <v>0.81999999999999984</v>
          </cell>
          <cell r="G1369">
            <v>0</v>
          </cell>
          <cell r="H1369">
            <v>0.81999999999999984</v>
          </cell>
        </row>
        <row r="1370">
          <cell r="A1370" t="str">
            <v>2036RJ</v>
          </cell>
          <cell r="B1370">
            <v>2036</v>
          </cell>
          <cell r="C1370" t="str">
            <v>VITAFER FR C/50 COMP-E</v>
          </cell>
          <cell r="D1370" t="str">
            <v>FR X 50</v>
          </cell>
          <cell r="E1370" t="str">
            <v>RJ</v>
          </cell>
          <cell r="F1370">
            <v>0.52999999999999992</v>
          </cell>
          <cell r="G1370">
            <v>0</v>
          </cell>
          <cell r="H1370">
            <v>0.52999999999999992</v>
          </cell>
        </row>
        <row r="1371">
          <cell r="A1371" t="str">
            <v>60000RN</v>
          </cell>
          <cell r="B1371">
            <v>60000</v>
          </cell>
          <cell r="C1371" t="str">
            <v>A SAUDE DA MULHER 150ML SOLUCAO</v>
          </cell>
          <cell r="D1371" t="str">
            <v>FR X 150 ML</v>
          </cell>
          <cell r="E1371" t="str">
            <v>RN</v>
          </cell>
          <cell r="F1371">
            <v>0.26999999999999996</v>
          </cell>
          <cell r="G1371">
            <v>0</v>
          </cell>
          <cell r="H1371">
            <v>0.26999999999999996</v>
          </cell>
        </row>
        <row r="1372">
          <cell r="A1372" t="str">
            <v>2256RN</v>
          </cell>
          <cell r="B1372">
            <v>2256</v>
          </cell>
          <cell r="C1372" t="str">
            <v>ALLEXOFEDRIN 120MG 1BLTC/10 COM REV-E</v>
          </cell>
          <cell r="D1372" t="str">
            <v>1 BL X 10 COMP REVEST</v>
          </cell>
          <cell r="E1372" t="str">
            <v>RN</v>
          </cell>
          <cell r="F1372">
            <v>0.75</v>
          </cell>
          <cell r="G1372">
            <v>0</v>
          </cell>
          <cell r="H1372">
            <v>0.75</v>
          </cell>
        </row>
        <row r="1373">
          <cell r="A1373" t="str">
            <v>2255RN</v>
          </cell>
          <cell r="B1373">
            <v>2255</v>
          </cell>
          <cell r="C1373" t="str">
            <v>ALLEXOFEDRIN 180MG 1BLTC/10 COM REV-E</v>
          </cell>
          <cell r="D1373" t="str">
            <v>1 BL X 10 COMP REVEST</v>
          </cell>
          <cell r="E1373" t="str">
            <v>RN</v>
          </cell>
          <cell r="F1373">
            <v>0.74999999999999989</v>
          </cell>
          <cell r="G1373">
            <v>0</v>
          </cell>
          <cell r="H1373">
            <v>0.74999999999999989</v>
          </cell>
        </row>
        <row r="1374">
          <cell r="A1374" t="str">
            <v>2133RN</v>
          </cell>
          <cell r="B1374">
            <v>2133</v>
          </cell>
          <cell r="C1374" t="str">
            <v>ALLEXOFEDRIN D 60+120MG 1BLT C/10C.REV</v>
          </cell>
          <cell r="D1374" t="str">
            <v>1 BL X 10 COMP REVEST</v>
          </cell>
          <cell r="E1374" t="str">
            <v>RN</v>
          </cell>
          <cell r="F1374">
            <v>0.26</v>
          </cell>
          <cell r="G1374">
            <v>0</v>
          </cell>
          <cell r="H1374">
            <v>0.26</v>
          </cell>
        </row>
        <row r="1375">
          <cell r="A1375" t="str">
            <v>1066MS</v>
          </cell>
          <cell r="B1375">
            <v>1066</v>
          </cell>
          <cell r="C1375" t="str">
            <v>CELERGIN XPE 120ML-E</v>
          </cell>
          <cell r="D1375" t="str">
            <v>FR X 120 ML</v>
          </cell>
          <cell r="E1375" t="str">
            <v>MS</v>
          </cell>
          <cell r="F1375">
            <v>0.73440000000000016</v>
          </cell>
          <cell r="G1375">
            <v>0</v>
          </cell>
          <cell r="H1375">
            <v>0.73440000000000016</v>
          </cell>
        </row>
        <row r="1376">
          <cell r="A1376" t="str">
            <v>2347RN</v>
          </cell>
          <cell r="B1376">
            <v>2347</v>
          </cell>
          <cell r="C1376" t="str">
            <v>ALLEXOFEDRIN PEDIATRICO6MG/MLSUS150 ML-E</v>
          </cell>
          <cell r="D1376" t="str">
            <v>6MG/MLSUS150 ML-E</v>
          </cell>
          <cell r="E1376" t="str">
            <v>RN</v>
          </cell>
          <cell r="F1376">
            <v>0.60909999999999997</v>
          </cell>
          <cell r="G1376">
            <v>0</v>
          </cell>
          <cell r="H1376">
            <v>0.60909999999999997</v>
          </cell>
        </row>
        <row r="1377">
          <cell r="A1377" t="str">
            <v>2190RN</v>
          </cell>
          <cell r="B1377">
            <v>2190</v>
          </cell>
          <cell r="C1377" t="str">
            <v>ANTIVIRAX 400MG 2BLTX15 COM - E</v>
          </cell>
          <cell r="D1377" t="str">
            <v>2 BL X 15</v>
          </cell>
          <cell r="E1377" t="str">
            <v>RN</v>
          </cell>
          <cell r="F1377">
            <v>0.68</v>
          </cell>
          <cell r="G1377">
            <v>0</v>
          </cell>
          <cell r="H1377">
            <v>0.68</v>
          </cell>
        </row>
        <row r="1378">
          <cell r="A1378" t="str">
            <v>3009RN</v>
          </cell>
          <cell r="B1378">
            <v>3009</v>
          </cell>
          <cell r="C1378" t="str">
            <v>ANTIVIRAX CR BG C/10 G</v>
          </cell>
          <cell r="D1378" t="str">
            <v>BISN X 10 G</v>
          </cell>
          <cell r="E1378" t="str">
            <v>RN</v>
          </cell>
          <cell r="F1378">
            <v>0.74999999999999989</v>
          </cell>
          <cell r="G1378">
            <v>0</v>
          </cell>
          <cell r="H1378">
            <v>0.74999999999999989</v>
          </cell>
        </row>
        <row r="1379">
          <cell r="A1379" t="str">
            <v>1001RN</v>
          </cell>
          <cell r="B1379">
            <v>1001</v>
          </cell>
          <cell r="C1379" t="str">
            <v>APEVITIN BC XPE FRC/240ML</v>
          </cell>
          <cell r="D1379" t="str">
            <v>FR X 240 ML</v>
          </cell>
          <cell r="E1379" t="str">
            <v>RN</v>
          </cell>
          <cell r="F1379">
            <v>0.80710000000000004</v>
          </cell>
          <cell r="G1379">
            <v>0</v>
          </cell>
          <cell r="H1379">
            <v>0.80710000000000004</v>
          </cell>
        </row>
        <row r="1380">
          <cell r="A1380" t="str">
            <v>1226RN</v>
          </cell>
          <cell r="B1380">
            <v>1226</v>
          </cell>
          <cell r="C1380" t="str">
            <v>BENZIFLEX 10MG 1BLX15COMP.REV-E</v>
          </cell>
          <cell r="D1380" t="str">
            <v>1 BL X 15 COMP.</v>
          </cell>
          <cell r="E1380" t="str">
            <v>RN</v>
          </cell>
          <cell r="F1380">
            <v>0.71</v>
          </cell>
          <cell r="G1380">
            <v>0</v>
          </cell>
          <cell r="H1380">
            <v>0.71</v>
          </cell>
        </row>
        <row r="1381">
          <cell r="A1381" t="str">
            <v>1227RN</v>
          </cell>
          <cell r="B1381">
            <v>1227</v>
          </cell>
          <cell r="C1381" t="str">
            <v>BENZIFLEX 10MG 2BLX15COMP.REV-E</v>
          </cell>
          <cell r="D1381" t="str">
            <v>2 BL X 15 COMP.</v>
          </cell>
          <cell r="E1381" t="str">
            <v>RN</v>
          </cell>
          <cell r="F1381">
            <v>0.71</v>
          </cell>
          <cell r="G1381">
            <v>0</v>
          </cell>
          <cell r="H1381">
            <v>0.71</v>
          </cell>
        </row>
        <row r="1382">
          <cell r="A1382" t="str">
            <v>1233RN</v>
          </cell>
          <cell r="B1382">
            <v>1233</v>
          </cell>
          <cell r="C1382" t="str">
            <v>BENZIFLEX 5MG 2BLX15COMP.REV-E</v>
          </cell>
          <cell r="D1382" t="str">
            <v>2 BL X 15 COMP.</v>
          </cell>
          <cell r="E1382" t="str">
            <v>RN</v>
          </cell>
          <cell r="F1382">
            <v>0.71</v>
          </cell>
          <cell r="G1382">
            <v>0</v>
          </cell>
          <cell r="H1382">
            <v>0.71</v>
          </cell>
        </row>
        <row r="1383">
          <cell r="A1383" t="str">
            <v>1574RN</v>
          </cell>
          <cell r="B1383">
            <v>1574</v>
          </cell>
          <cell r="C1383" t="str">
            <v>BENZIFLEX LIS 125MG+5MG 15COM.REV.-E</v>
          </cell>
          <cell r="D1383" t="str">
            <v>1 BL X 15 COMP.</v>
          </cell>
          <cell r="E1383" t="str">
            <v>RN</v>
          </cell>
          <cell r="F1383">
            <v>0.5</v>
          </cell>
          <cell r="G1383">
            <v>0</v>
          </cell>
          <cell r="H1383">
            <v>0.5</v>
          </cell>
        </row>
        <row r="1384">
          <cell r="A1384" t="str">
            <v>2292RN</v>
          </cell>
          <cell r="B1384">
            <v>2292</v>
          </cell>
          <cell r="C1384" t="str">
            <v>BENZIFLEX LIS 125MG+5MG 2BL15 COM.REV.-E</v>
          </cell>
          <cell r="D1384" t="str">
            <v>2 BL X 15 COMP.</v>
          </cell>
          <cell r="E1384" t="str">
            <v>RN</v>
          </cell>
          <cell r="F1384">
            <v>0.53</v>
          </cell>
          <cell r="G1384">
            <v>0</v>
          </cell>
          <cell r="H1384">
            <v>0.53</v>
          </cell>
        </row>
        <row r="1385">
          <cell r="A1385" t="str">
            <v>1155RN</v>
          </cell>
          <cell r="B1385">
            <v>1155</v>
          </cell>
          <cell r="C1385" t="str">
            <v>BIOFLADEX AEROSSOL 60G- E</v>
          </cell>
          <cell r="D1385" t="str">
            <v>FRASCO 60 G</v>
          </cell>
          <cell r="E1385" t="str">
            <v>RN</v>
          </cell>
          <cell r="F1385">
            <v>0.66</v>
          </cell>
          <cell r="G1385">
            <v>0</v>
          </cell>
          <cell r="H1385">
            <v>0.66</v>
          </cell>
        </row>
        <row r="1386">
          <cell r="A1386" t="str">
            <v>1072RN</v>
          </cell>
          <cell r="B1386">
            <v>1072</v>
          </cell>
          <cell r="C1386" t="str">
            <v>BISURAN 4MG/5ML XPE INF 120ML-E</v>
          </cell>
          <cell r="D1386" t="str">
            <v>FR X 120 ML</v>
          </cell>
          <cell r="E1386" t="str">
            <v>RN</v>
          </cell>
          <cell r="F1386">
            <v>0.53</v>
          </cell>
          <cell r="G1386">
            <v>0</v>
          </cell>
          <cell r="H1386">
            <v>0.53</v>
          </cell>
        </row>
        <row r="1387">
          <cell r="A1387" t="str">
            <v>1318RN</v>
          </cell>
          <cell r="B1387">
            <v>1318</v>
          </cell>
          <cell r="C1387" t="str">
            <v>BISURAN 8MG/5ML XPE AD. 120ML-E</v>
          </cell>
          <cell r="D1387" t="str">
            <v>FR X 120 ML</v>
          </cell>
          <cell r="E1387" t="str">
            <v>RN</v>
          </cell>
          <cell r="F1387">
            <v>0.61999999999999988</v>
          </cell>
          <cell r="G1387">
            <v>0</v>
          </cell>
          <cell r="H1387">
            <v>0.61999999999999988</v>
          </cell>
        </row>
        <row r="1388">
          <cell r="A1388" t="str">
            <v>2141RN</v>
          </cell>
          <cell r="B1388">
            <v>2141</v>
          </cell>
          <cell r="C1388" t="str">
            <v>CELERGIN 20 COMP-E</v>
          </cell>
          <cell r="D1388" t="str">
            <v>CX. C/20 COMP.</v>
          </cell>
          <cell r="E1388" t="str">
            <v>RN</v>
          </cell>
          <cell r="F1388">
            <v>0.65649999999999986</v>
          </cell>
          <cell r="G1388">
            <v>0</v>
          </cell>
          <cell r="H1388">
            <v>0.65649999999999986</v>
          </cell>
        </row>
        <row r="1389">
          <cell r="A1389" t="str">
            <v>1066MT</v>
          </cell>
          <cell r="B1389">
            <v>1066</v>
          </cell>
          <cell r="C1389" t="str">
            <v>CELERGIN XPE 120ML-E</v>
          </cell>
          <cell r="D1389" t="str">
            <v>FR X 120 ML</v>
          </cell>
          <cell r="E1389" t="str">
            <v>MT</v>
          </cell>
          <cell r="F1389">
            <v>0.73499999999999999</v>
          </cell>
          <cell r="G1389">
            <v>0</v>
          </cell>
          <cell r="H1389">
            <v>0.73499999999999999</v>
          </cell>
        </row>
        <row r="1390">
          <cell r="A1390" t="str">
            <v>2322RN</v>
          </cell>
          <cell r="B1390">
            <v>2322</v>
          </cell>
          <cell r="C1390" t="str">
            <v>CLOPE 3,54MG/ML XPE 120ML FR PLAS-E</v>
          </cell>
          <cell r="D1390" t="str">
            <v>FR X 120 ML</v>
          </cell>
          <cell r="E1390" t="str">
            <v>RN</v>
          </cell>
          <cell r="F1390">
            <v>0.53</v>
          </cell>
          <cell r="G1390">
            <v>0</v>
          </cell>
          <cell r="H1390">
            <v>0.53</v>
          </cell>
        </row>
        <row r="1391">
          <cell r="A1391" t="str">
            <v>2383RN</v>
          </cell>
          <cell r="B1391">
            <v>2383</v>
          </cell>
          <cell r="C1391" t="str">
            <v>COMPLEXO B 12 XPE FR C/120ML E</v>
          </cell>
          <cell r="D1391" t="str">
            <v>FR X 120 ML</v>
          </cell>
          <cell r="E1391" t="str">
            <v>RN</v>
          </cell>
          <cell r="F1391">
            <v>0.67000000000000015</v>
          </cell>
          <cell r="G1391">
            <v>0</v>
          </cell>
          <cell r="H1391">
            <v>0.67000000000000015</v>
          </cell>
        </row>
        <row r="1392">
          <cell r="A1392" t="str">
            <v>2384RN</v>
          </cell>
          <cell r="B1392">
            <v>2384</v>
          </cell>
          <cell r="C1392" t="str">
            <v>COMPLEXO B CPR REVEST x 20</v>
          </cell>
          <cell r="D1392" t="str">
            <v xml:space="preserve">FR X 20 </v>
          </cell>
          <cell r="E1392" t="str">
            <v>RN</v>
          </cell>
          <cell r="F1392">
            <v>0.66000000000000014</v>
          </cell>
          <cell r="G1392">
            <v>0</v>
          </cell>
          <cell r="H1392">
            <v>0.66000000000000014</v>
          </cell>
        </row>
        <row r="1393">
          <cell r="A1393" t="str">
            <v>2382RN</v>
          </cell>
          <cell r="B1393">
            <v>2382</v>
          </cell>
          <cell r="C1393" t="str">
            <v>COMPLEXO B FR C/100 COM REV  E</v>
          </cell>
          <cell r="D1393" t="str">
            <v>FR X 100</v>
          </cell>
          <cell r="E1393" t="str">
            <v>RN</v>
          </cell>
          <cell r="F1393">
            <v>0.64000000000000012</v>
          </cell>
          <cell r="G1393">
            <v>0</v>
          </cell>
          <cell r="H1393">
            <v>0.64000000000000012</v>
          </cell>
        </row>
        <row r="1394">
          <cell r="A1394" t="str">
            <v>2011RN</v>
          </cell>
          <cell r="B1394">
            <v>2011</v>
          </cell>
          <cell r="C1394" t="str">
            <v>CYSTEX FR C/24 DRG</v>
          </cell>
          <cell r="D1394" t="str">
            <v xml:space="preserve">FR X 24 </v>
          </cell>
          <cell r="E1394" t="str">
            <v>RN</v>
          </cell>
          <cell r="F1394">
            <v>0.36070000000000002</v>
          </cell>
          <cell r="G1394">
            <v>0</v>
          </cell>
          <cell r="H1394">
            <v>0.36070000000000002</v>
          </cell>
        </row>
        <row r="1395">
          <cell r="A1395" t="str">
            <v>1837RN</v>
          </cell>
          <cell r="B1395">
            <v>1837</v>
          </cell>
          <cell r="C1395" t="str">
            <v>DIOVASES 450+50MG C/30 COM.REV. - E</v>
          </cell>
          <cell r="D1395" t="str">
            <v>2 BL X 15 COMP.</v>
          </cell>
          <cell r="E1395" t="str">
            <v>RN</v>
          </cell>
          <cell r="F1395">
            <v>0.68</v>
          </cell>
          <cell r="G1395">
            <v>0</v>
          </cell>
          <cell r="H1395">
            <v>0.68</v>
          </cell>
        </row>
        <row r="1396">
          <cell r="A1396" t="str">
            <v>1838RN</v>
          </cell>
          <cell r="B1396">
            <v>1838</v>
          </cell>
          <cell r="C1396" t="str">
            <v>DIOVASES 450+50MG C/60 COM.REV. - E</v>
          </cell>
          <cell r="D1396" t="str">
            <v>4 BL X 15 COMP.</v>
          </cell>
          <cell r="E1396" t="str">
            <v>RN</v>
          </cell>
          <cell r="F1396">
            <v>0.72</v>
          </cell>
          <cell r="G1396">
            <v>0</v>
          </cell>
          <cell r="H1396">
            <v>0.72</v>
          </cell>
        </row>
        <row r="1397">
          <cell r="A1397" t="str">
            <v>2261RN</v>
          </cell>
          <cell r="B1397">
            <v>2261</v>
          </cell>
          <cell r="C1397" t="str">
            <v>DORICIN CPR x 24</v>
          </cell>
          <cell r="D1397" t="str">
            <v>2BL C/12 COMPRIMIDOS -E</v>
          </cell>
          <cell r="E1397" t="str">
            <v>RN</v>
          </cell>
          <cell r="F1397">
            <v>0.74099999999999999</v>
          </cell>
          <cell r="G1397">
            <v>0</v>
          </cell>
          <cell r="H1397">
            <v>0.74099999999999999</v>
          </cell>
        </row>
        <row r="1398">
          <cell r="A1398" t="str">
            <v>2264RN</v>
          </cell>
          <cell r="B1398">
            <v>2264</v>
          </cell>
          <cell r="C1398" t="str">
            <v>DORICIN CPR x 300</v>
          </cell>
          <cell r="D1398" t="str">
            <v>30BL C/10 COMPRIMIDOS -E</v>
          </cell>
          <cell r="E1398" t="str">
            <v>RN</v>
          </cell>
          <cell r="F1398">
            <v>0.74099999999999999</v>
          </cell>
          <cell r="G1398">
            <v>0</v>
          </cell>
          <cell r="H1398">
            <v>0.74099999999999999</v>
          </cell>
        </row>
        <row r="1399">
          <cell r="A1399" t="str">
            <v>2262RN</v>
          </cell>
          <cell r="B1399">
            <v>2262</v>
          </cell>
          <cell r="C1399" t="str">
            <v>DORICIN CPR X 36</v>
          </cell>
          <cell r="D1399" t="str">
            <v>3BL C/12 COMPRIMIDOS -E</v>
          </cell>
          <cell r="E1399" t="str">
            <v>RN</v>
          </cell>
          <cell r="F1399">
            <v>0.75139999999999996</v>
          </cell>
          <cell r="G1399">
            <v>0</v>
          </cell>
          <cell r="H1399">
            <v>0.75139999999999996</v>
          </cell>
        </row>
        <row r="1400">
          <cell r="A1400" t="str">
            <v>2263RN</v>
          </cell>
          <cell r="B1400">
            <v>2263</v>
          </cell>
          <cell r="C1400" t="str">
            <v>DORICIN CPR X 50</v>
          </cell>
          <cell r="D1400" t="str">
            <v>5BL C/10 COMPRIMIDOS - E</v>
          </cell>
          <cell r="E1400" t="str">
            <v>RN</v>
          </cell>
          <cell r="F1400">
            <v>0.66100000000000003</v>
          </cell>
          <cell r="G1400">
            <v>0</v>
          </cell>
          <cell r="H1400">
            <v>0.66100000000000003</v>
          </cell>
        </row>
        <row r="1401">
          <cell r="A1401" t="str">
            <v>1173RN</v>
          </cell>
          <cell r="B1401">
            <v>1173</v>
          </cell>
          <cell r="C1401" t="str">
            <v>DORICIN GOTAS 20ML x 1</v>
          </cell>
          <cell r="D1401" t="str">
            <v>FR X 20 ML</v>
          </cell>
          <cell r="E1401" t="str">
            <v>RN</v>
          </cell>
          <cell r="F1401">
            <v>0.65</v>
          </cell>
          <cell r="G1401">
            <v>0</v>
          </cell>
          <cell r="H1401">
            <v>0.65</v>
          </cell>
        </row>
        <row r="1402">
          <cell r="A1402" t="str">
            <v>2018RN</v>
          </cell>
          <cell r="B1402">
            <v>2018</v>
          </cell>
          <cell r="C1402" t="str">
            <v>EMISTIN BLT 1X20=20COMP</v>
          </cell>
          <cell r="D1402" t="str">
            <v>1 BL X 20</v>
          </cell>
          <cell r="E1402" t="str">
            <v>RN</v>
          </cell>
          <cell r="F1402">
            <v>0.67</v>
          </cell>
          <cell r="G1402">
            <v>0</v>
          </cell>
          <cell r="H1402">
            <v>0.67</v>
          </cell>
        </row>
        <row r="1403">
          <cell r="A1403" t="str">
            <v>3008RN</v>
          </cell>
          <cell r="B1403">
            <v>3008</v>
          </cell>
          <cell r="C1403" t="str">
            <v>EMISTIN CR BG C/20G</v>
          </cell>
          <cell r="D1403" t="str">
            <v>BISN X 20 G</v>
          </cell>
          <cell r="E1403" t="str">
            <v>RN</v>
          </cell>
          <cell r="F1403">
            <v>0.77</v>
          </cell>
          <cell r="G1403">
            <v>0</v>
          </cell>
          <cell r="H1403">
            <v>0.77</v>
          </cell>
        </row>
        <row r="1404">
          <cell r="A1404" t="str">
            <v>3020RN</v>
          </cell>
          <cell r="B1404">
            <v>3020</v>
          </cell>
          <cell r="C1404" t="str">
            <v>EMSCORT CR BG C/30G</v>
          </cell>
          <cell r="D1404" t="str">
            <v>BISN X 30 G</v>
          </cell>
          <cell r="E1404" t="str">
            <v>RN</v>
          </cell>
          <cell r="F1404">
            <v>0.77000000000000013</v>
          </cell>
          <cell r="G1404">
            <v>0</v>
          </cell>
          <cell r="H1404">
            <v>0.77000000000000013</v>
          </cell>
        </row>
        <row r="1405">
          <cell r="A1405" t="str">
            <v>6023RN</v>
          </cell>
          <cell r="B1405">
            <v>6023</v>
          </cell>
          <cell r="C1405" t="str">
            <v>EMSCORT POM BISN 30G-E</v>
          </cell>
          <cell r="D1405" t="str">
            <v>BISN X 30 G</v>
          </cell>
          <cell r="E1405" t="str">
            <v>RN</v>
          </cell>
          <cell r="F1405">
            <v>0.7639999999999999</v>
          </cell>
          <cell r="G1405">
            <v>0</v>
          </cell>
          <cell r="H1405">
            <v>0.7639999999999999</v>
          </cell>
        </row>
        <row r="1406">
          <cell r="A1406" t="str">
            <v>1190RN</v>
          </cell>
          <cell r="B1406">
            <v>1190</v>
          </cell>
          <cell r="C1406" t="str">
            <v>EMSEXPECTOR XAROPE FR C/120ML - E</v>
          </cell>
          <cell r="D1406" t="str">
            <v>FR X 120 ML</v>
          </cell>
          <cell r="E1406" t="str">
            <v>RN</v>
          </cell>
          <cell r="F1406">
            <v>0.48</v>
          </cell>
          <cell r="G1406">
            <v>0</v>
          </cell>
          <cell r="H1406">
            <v>0.48</v>
          </cell>
        </row>
        <row r="1407">
          <cell r="A1407" t="str">
            <v>2111RN</v>
          </cell>
          <cell r="B1407">
            <v>2111</v>
          </cell>
          <cell r="C1407" t="str">
            <v>ENDCOFF PAST MEL ELIMAO C/12UN</v>
          </cell>
          <cell r="D1407" t="str">
            <v>3 STP X 4</v>
          </cell>
          <cell r="E1407" t="str">
            <v>RN</v>
          </cell>
          <cell r="F1407">
            <v>0.48</v>
          </cell>
          <cell r="G1407">
            <v>0</v>
          </cell>
          <cell r="H1407">
            <v>0.48</v>
          </cell>
        </row>
        <row r="1408">
          <cell r="A1408" t="str">
            <v>2092RN</v>
          </cell>
          <cell r="B1408">
            <v>2092</v>
          </cell>
          <cell r="C1408" t="str">
            <v>ENDCOFF PAST STP MENTA C/12 UN</v>
          </cell>
          <cell r="D1408" t="str">
            <v>3 STP X 4</v>
          </cell>
          <cell r="E1408" t="str">
            <v>RN</v>
          </cell>
          <cell r="F1408">
            <v>0.48</v>
          </cell>
          <cell r="G1408">
            <v>0</v>
          </cell>
          <cell r="H1408">
            <v>0.48</v>
          </cell>
        </row>
        <row r="1409">
          <cell r="A1409" t="str">
            <v>1905RN</v>
          </cell>
          <cell r="B1409">
            <v>1905</v>
          </cell>
          <cell r="C1409" t="str">
            <v>ESMOG 20MG 4BLTC/7 COM REV LIB RETARD- E</v>
          </cell>
          <cell r="D1409" t="str">
            <v>4 BLT C/7</v>
          </cell>
          <cell r="E1409" t="str">
            <v>RN</v>
          </cell>
          <cell r="F1409">
            <v>0.77800000000000002</v>
          </cell>
          <cell r="G1409">
            <v>0</v>
          </cell>
          <cell r="H1409">
            <v>0.77800000000000002</v>
          </cell>
        </row>
        <row r="1410">
          <cell r="A1410" t="str">
            <v>1906RN</v>
          </cell>
          <cell r="B1410">
            <v>1906</v>
          </cell>
          <cell r="C1410" t="str">
            <v>ESMOG 40MG 4BLTC/7 COM REV LIB RETARD- E</v>
          </cell>
          <cell r="D1410" t="str">
            <v>4 BLT C/7</v>
          </cell>
          <cell r="E1410" t="str">
            <v>RN</v>
          </cell>
          <cell r="F1410">
            <v>0.8</v>
          </cell>
          <cell r="G1410">
            <v>0</v>
          </cell>
          <cell r="H1410">
            <v>0.8</v>
          </cell>
        </row>
        <row r="1411">
          <cell r="A1411" t="str">
            <v>1016RN</v>
          </cell>
          <cell r="B1411">
            <v>1016</v>
          </cell>
          <cell r="C1411" t="str">
            <v>EXPECTUSS XPE ADULTO FR C/100ML</v>
          </cell>
          <cell r="D1411" t="str">
            <v>FR X 100 ML</v>
          </cell>
          <cell r="E1411" t="str">
            <v>RN</v>
          </cell>
          <cell r="F1411">
            <v>0.55000000000000016</v>
          </cell>
          <cell r="G1411">
            <v>0</v>
          </cell>
          <cell r="H1411">
            <v>0.55000000000000016</v>
          </cell>
        </row>
        <row r="1412">
          <cell r="A1412" t="str">
            <v>1015RN</v>
          </cell>
          <cell r="B1412">
            <v>1015</v>
          </cell>
          <cell r="C1412" t="str">
            <v>EXPECTUSS XPE INF FR C/100ML</v>
          </cell>
          <cell r="D1412" t="str">
            <v>FR X 100 ML</v>
          </cell>
          <cell r="E1412" t="str">
            <v>RN</v>
          </cell>
          <cell r="F1412">
            <v>0.5099999999999999</v>
          </cell>
          <cell r="G1412">
            <v>0</v>
          </cell>
          <cell r="H1412">
            <v>0.5099999999999999</v>
          </cell>
        </row>
        <row r="1413">
          <cell r="A1413" t="str">
            <v>1363RN</v>
          </cell>
          <cell r="B1413">
            <v>1363</v>
          </cell>
          <cell r="C1413" t="str">
            <v>FLUITEINA 600MG GRAN 16ENV 5G-E</v>
          </cell>
          <cell r="D1413" t="str">
            <v>CX. C/16 ENV X 5GR</v>
          </cell>
          <cell r="E1413" t="str">
            <v>RN</v>
          </cell>
          <cell r="F1413">
            <v>0.42999999999999994</v>
          </cell>
          <cell r="G1413">
            <v>0</v>
          </cell>
          <cell r="H1413">
            <v>0.42999999999999994</v>
          </cell>
        </row>
        <row r="1414">
          <cell r="A1414" t="str">
            <v>1364RN</v>
          </cell>
          <cell r="B1414">
            <v>1364</v>
          </cell>
          <cell r="C1414" t="str">
            <v>FLUITEINA XPE AD 40MG/ML120ML-E</v>
          </cell>
          <cell r="D1414" t="str">
            <v>FR X 120 ML</v>
          </cell>
          <cell r="E1414" t="str">
            <v>RN</v>
          </cell>
          <cell r="F1414">
            <v>0.56999999999999973</v>
          </cell>
          <cell r="G1414">
            <v>0</v>
          </cell>
          <cell r="H1414">
            <v>0.56999999999999973</v>
          </cell>
        </row>
        <row r="1415">
          <cell r="A1415" t="str">
            <v>1163RN</v>
          </cell>
          <cell r="B1415">
            <v>1163</v>
          </cell>
          <cell r="C1415" t="str">
            <v>FLUITEINA XPE INF 20MG/ML 120ML-E</v>
          </cell>
          <cell r="D1415" t="str">
            <v>FR X 120 ML</v>
          </cell>
          <cell r="E1415" t="str">
            <v>RN</v>
          </cell>
          <cell r="F1415">
            <v>0.51900000000000002</v>
          </cell>
          <cell r="G1415">
            <v>0</v>
          </cell>
          <cell r="H1415">
            <v>0.51900000000000002</v>
          </cell>
        </row>
        <row r="1416">
          <cell r="A1416" t="str">
            <v>1168RN</v>
          </cell>
          <cell r="B1416">
            <v>1168</v>
          </cell>
          <cell r="C1416" t="str">
            <v>FOLIFOLIN 5MG 2BLTX15COMP - E</v>
          </cell>
          <cell r="D1416" t="str">
            <v>2 BLT X 15 COMP.</v>
          </cell>
          <cell r="E1416" t="str">
            <v>RN</v>
          </cell>
          <cell r="F1416">
            <v>0.66</v>
          </cell>
          <cell r="G1416">
            <v>0</v>
          </cell>
          <cell r="H1416">
            <v>0.66</v>
          </cell>
        </row>
        <row r="1417">
          <cell r="A1417" t="str">
            <v>2318RN</v>
          </cell>
          <cell r="B1417">
            <v>2318</v>
          </cell>
          <cell r="C1417" t="str">
            <v>GEROVITAL  2BLT15 CAP MOLE-E</v>
          </cell>
          <cell r="D1417" t="str">
            <v>3 BL X 10</v>
          </cell>
          <cell r="E1417" t="str">
            <v>RN</v>
          </cell>
          <cell r="F1417">
            <v>0.57899999999999996</v>
          </cell>
          <cell r="G1417">
            <v>0</v>
          </cell>
          <cell r="H1417">
            <v>0.57899999999999996</v>
          </cell>
        </row>
        <row r="1418">
          <cell r="A1418" t="str">
            <v>2062RN</v>
          </cell>
          <cell r="B1418">
            <v>2062</v>
          </cell>
          <cell r="C1418" t="str">
            <v>GEROVITAL 3BLT C/20 CAP</v>
          </cell>
          <cell r="D1418" t="str">
            <v>6 BL X 10</v>
          </cell>
          <cell r="E1418" t="str">
            <v>RN</v>
          </cell>
          <cell r="F1418">
            <v>0.48100000000000004</v>
          </cell>
          <cell r="G1418">
            <v>0</v>
          </cell>
          <cell r="H1418">
            <v>0.48100000000000004</v>
          </cell>
        </row>
        <row r="1419">
          <cell r="A1419" t="str">
            <v>1230RN</v>
          </cell>
          <cell r="B1419">
            <v>1230</v>
          </cell>
          <cell r="C1419" t="str">
            <v>IBULIV 100MG/ML SUP ORAL C/ 20 ML-E</v>
          </cell>
          <cell r="D1419" t="str">
            <v>FR X 20 ML</v>
          </cell>
          <cell r="E1419" t="str">
            <v>RN</v>
          </cell>
          <cell r="F1419">
            <v>0.68000000000000016</v>
          </cell>
          <cell r="G1419">
            <v>0</v>
          </cell>
          <cell r="H1419">
            <v>0.68000000000000016</v>
          </cell>
        </row>
        <row r="1420">
          <cell r="A1420" t="str">
            <v>1472RN</v>
          </cell>
          <cell r="B1420">
            <v>1472</v>
          </cell>
          <cell r="C1420" t="str">
            <v>IBULIV 400MG 10 BLT C/ 4CAPS GEL.MOLES-E</v>
          </cell>
          <cell r="D1420" t="str">
            <v>10 BLT X 4 CÁPS</v>
          </cell>
          <cell r="E1420" t="str">
            <v>RN</v>
          </cell>
          <cell r="F1420">
            <v>0.71000000000000019</v>
          </cell>
          <cell r="G1420">
            <v>0</v>
          </cell>
          <cell r="H1420">
            <v>0.71000000000000019</v>
          </cell>
        </row>
        <row r="1421">
          <cell r="A1421" t="str">
            <v>2469RN</v>
          </cell>
          <cell r="B1421">
            <v>2469</v>
          </cell>
          <cell r="C1421" t="str">
            <v>IBULIV 400MG 2 BLT C/ 10CAPS GEL.MOLES-E</v>
          </cell>
          <cell r="D1421" t="str">
            <v>20 CÁPS.</v>
          </cell>
          <cell r="E1421" t="str">
            <v>RN</v>
          </cell>
          <cell r="F1421">
            <v>0.71</v>
          </cell>
          <cell r="G1421">
            <v>0</v>
          </cell>
          <cell r="H1421">
            <v>0.71</v>
          </cell>
        </row>
        <row r="1422">
          <cell r="A1422" t="str">
            <v>1471RN</v>
          </cell>
          <cell r="B1422">
            <v>1471</v>
          </cell>
          <cell r="C1422" t="str">
            <v>IBULIV 400MG 2 BLT C/ 4CAPS GEL.MOLES-E</v>
          </cell>
          <cell r="D1422" t="str">
            <v>2 BLT X 4 CÁPS.</v>
          </cell>
          <cell r="E1422" t="str">
            <v>RN</v>
          </cell>
          <cell r="F1422">
            <v>0.71</v>
          </cell>
          <cell r="G1422">
            <v>0</v>
          </cell>
          <cell r="H1422">
            <v>0.71</v>
          </cell>
        </row>
        <row r="1423">
          <cell r="A1423" t="str">
            <v>1175RN</v>
          </cell>
          <cell r="B1423">
            <v>1175</v>
          </cell>
          <cell r="C1423" t="str">
            <v>INFRALAX 1BLT C/15COMP - EMS</v>
          </cell>
          <cell r="D1423" t="str">
            <v>1 BLT C/ 15</v>
          </cell>
          <cell r="E1423" t="str">
            <v>RN</v>
          </cell>
          <cell r="F1423">
            <v>0.74280000000000002</v>
          </cell>
          <cell r="G1423">
            <v>0</v>
          </cell>
          <cell r="H1423">
            <v>0.74280000000000002</v>
          </cell>
        </row>
        <row r="1424">
          <cell r="A1424" t="str">
            <v>1821RN</v>
          </cell>
          <cell r="B1424">
            <v>1821</v>
          </cell>
          <cell r="C1424" t="str">
            <v>INFRALAX 20BLTX10COMP - E</v>
          </cell>
          <cell r="D1424" t="str">
            <v>20 BLT X 10</v>
          </cell>
          <cell r="E1424" t="str">
            <v>RN</v>
          </cell>
          <cell r="F1424">
            <v>0.81</v>
          </cell>
          <cell r="G1424">
            <v>0</v>
          </cell>
          <cell r="H1424">
            <v>0.81</v>
          </cell>
        </row>
        <row r="1425">
          <cell r="A1425" t="str">
            <v>2138RN</v>
          </cell>
          <cell r="B1425">
            <v>2138</v>
          </cell>
          <cell r="C1425" t="str">
            <v>INFRALAX 2BLT C/15COMP - EMS</v>
          </cell>
          <cell r="D1425" t="str">
            <v>2 BL X 15</v>
          </cell>
          <cell r="E1425" t="str">
            <v>RN</v>
          </cell>
          <cell r="F1425">
            <v>0.74650000000000005</v>
          </cell>
          <cell r="G1425">
            <v>0</v>
          </cell>
          <cell r="H1425">
            <v>0.74650000000000005</v>
          </cell>
        </row>
        <row r="1426">
          <cell r="A1426" t="str">
            <v>6011RN</v>
          </cell>
          <cell r="B1426">
            <v>6011</v>
          </cell>
          <cell r="C1426" t="str">
            <v>NARIDRIN 12HS GOTAS FR C/30ML</v>
          </cell>
          <cell r="D1426" t="str">
            <v>FR X 30 ML</v>
          </cell>
          <cell r="E1426" t="str">
            <v>RN</v>
          </cell>
          <cell r="F1426">
            <v>0.74</v>
          </cell>
          <cell r="G1426">
            <v>0</v>
          </cell>
          <cell r="H1426">
            <v>0.74</v>
          </cell>
        </row>
        <row r="1427">
          <cell r="A1427" t="str">
            <v>2604RN</v>
          </cell>
          <cell r="B1427">
            <v>2604</v>
          </cell>
          <cell r="C1427" t="str">
            <v>NARIDRIN ALTO VOL 30ENVX2,16G+FR240ML</v>
          </cell>
          <cell r="D1427" t="str">
            <v>30ENVX2,16G+FR240ML</v>
          </cell>
          <cell r="E1427" t="str">
            <v>RN</v>
          </cell>
          <cell r="F1427">
            <v>0.64</v>
          </cell>
          <cell r="G1427">
            <v>0</v>
          </cell>
          <cell r="H1427">
            <v>0.64</v>
          </cell>
        </row>
        <row r="1428">
          <cell r="A1428" t="str">
            <v>2605RN</v>
          </cell>
          <cell r="B1428">
            <v>2605</v>
          </cell>
          <cell r="C1428" t="str">
            <v>NARIDRIN ALTO VOL REFIL</v>
          </cell>
          <cell r="D1428" t="str">
            <v>30 ENV X 2,16G</v>
          </cell>
          <cell r="E1428" t="str">
            <v>RN</v>
          </cell>
          <cell r="F1428">
            <v>0.59999999999999987</v>
          </cell>
          <cell r="G1428">
            <v>0</v>
          </cell>
          <cell r="H1428">
            <v>0.59999999999999987</v>
          </cell>
        </row>
        <row r="1429">
          <cell r="A1429" t="str">
            <v>1433RN</v>
          </cell>
          <cell r="B1429">
            <v>1433</v>
          </cell>
          <cell r="C1429" t="str">
            <v>NARIDRIN AQUA 9MG/ML FRASCO C/50ML-E</v>
          </cell>
          <cell r="D1429" t="str">
            <v>FR X 50 ML SPRAY</v>
          </cell>
          <cell r="E1429" t="str">
            <v>RN</v>
          </cell>
          <cell r="F1429">
            <v>0.71</v>
          </cell>
          <cell r="G1429">
            <v>0</v>
          </cell>
          <cell r="H1429">
            <v>0.71</v>
          </cell>
        </row>
        <row r="1430">
          <cell r="A1430" t="str">
            <v>6005RN</v>
          </cell>
          <cell r="B1430">
            <v>6005</v>
          </cell>
          <cell r="C1430" t="str">
            <v>NARIDRIN GOTAS AD FR C/15ML</v>
          </cell>
          <cell r="D1430" t="str">
            <v>FR X 15 ML</v>
          </cell>
          <cell r="E1430" t="str">
            <v>RN</v>
          </cell>
          <cell r="F1430">
            <v>0.74</v>
          </cell>
          <cell r="G1430">
            <v>0</v>
          </cell>
          <cell r="H1430">
            <v>0.74</v>
          </cell>
        </row>
        <row r="1431">
          <cell r="A1431" t="str">
            <v>6006RN</v>
          </cell>
          <cell r="B1431">
            <v>6006</v>
          </cell>
          <cell r="C1431" t="str">
            <v>NARIDRIN GOTAS INF FR C/15ML</v>
          </cell>
          <cell r="D1431" t="str">
            <v>FR X 15 ML</v>
          </cell>
          <cell r="E1431" t="str">
            <v>RN</v>
          </cell>
          <cell r="F1431">
            <v>0.72999999999999987</v>
          </cell>
          <cell r="G1431">
            <v>0</v>
          </cell>
          <cell r="H1431">
            <v>0.72999999999999987</v>
          </cell>
        </row>
        <row r="1432">
          <cell r="A1432" t="str">
            <v>1079RN</v>
          </cell>
          <cell r="B1432">
            <v>1079</v>
          </cell>
          <cell r="C1432" t="str">
            <v>NARIDRIN H 30MG/ML SOL.NAS SPRAY 60ML-E</v>
          </cell>
          <cell r="D1432" t="str">
            <v>FRASCO X 60ML</v>
          </cell>
          <cell r="E1432" t="str">
            <v>RN</v>
          </cell>
          <cell r="F1432">
            <v>0.7</v>
          </cell>
          <cell r="G1432">
            <v>0</v>
          </cell>
          <cell r="H1432">
            <v>0.7</v>
          </cell>
        </row>
        <row r="1433">
          <cell r="A1433" t="str">
            <v>1368RN</v>
          </cell>
          <cell r="B1433">
            <v>1368</v>
          </cell>
          <cell r="C1433" t="str">
            <v>NIMESILAM BLT 1X12= 12 COM - E</v>
          </cell>
          <cell r="D1433" t="str">
            <v>1 BLT X 12</v>
          </cell>
          <cell r="E1433" t="str">
            <v>RN</v>
          </cell>
          <cell r="F1433">
            <v>0.89999999999999991</v>
          </cell>
          <cell r="G1433">
            <v>0</v>
          </cell>
          <cell r="H1433">
            <v>0.89999999999999991</v>
          </cell>
        </row>
        <row r="1434">
          <cell r="A1434" t="str">
            <v>1367RN</v>
          </cell>
          <cell r="B1434">
            <v>1367</v>
          </cell>
          <cell r="C1434" t="str">
            <v>NIMESILAM GOTAS FRC/15ML  - E</v>
          </cell>
          <cell r="D1434" t="str">
            <v>FR 15 ML</v>
          </cell>
          <cell r="E1434" t="str">
            <v>RN</v>
          </cell>
          <cell r="F1434">
            <v>0.73</v>
          </cell>
          <cell r="G1434">
            <v>0</v>
          </cell>
          <cell r="H1434">
            <v>0.73</v>
          </cell>
        </row>
        <row r="1435">
          <cell r="A1435" t="str">
            <v>2058RN</v>
          </cell>
          <cell r="B1435">
            <v>2058</v>
          </cell>
          <cell r="C1435" t="str">
            <v>NOCICLIN 1BLT C/21COM-EMS</v>
          </cell>
          <cell r="D1435" t="str">
            <v>1 BL X 21</v>
          </cell>
          <cell r="E1435" t="str">
            <v>RN</v>
          </cell>
          <cell r="F1435">
            <v>0.68</v>
          </cell>
          <cell r="G1435">
            <v>0</v>
          </cell>
          <cell r="H1435">
            <v>0.68</v>
          </cell>
        </row>
        <row r="1436">
          <cell r="A1436" t="str">
            <v>2391RN</v>
          </cell>
          <cell r="B1436">
            <v>2391</v>
          </cell>
          <cell r="C1436" t="str">
            <v>RUDITE 20MG/ML PO SUS 100ML-E</v>
          </cell>
          <cell r="D1436" t="str">
            <v>FR X 100 ML</v>
          </cell>
          <cell r="E1436" t="str">
            <v>RN</v>
          </cell>
          <cell r="F1436">
            <v>0.59899999999999998</v>
          </cell>
          <cell r="G1436">
            <v>0</v>
          </cell>
          <cell r="H1436">
            <v>0.59899999999999998</v>
          </cell>
        </row>
        <row r="1437">
          <cell r="A1437" t="str">
            <v>2392RN</v>
          </cell>
          <cell r="B1437">
            <v>2392</v>
          </cell>
          <cell r="C1437" t="str">
            <v>RUDITE 20MG/ML PO SUS 45ML-E</v>
          </cell>
          <cell r="D1437" t="str">
            <v>FR X 45 ML</v>
          </cell>
          <cell r="E1437" t="str">
            <v>RN</v>
          </cell>
          <cell r="F1437">
            <v>0.58999999999999986</v>
          </cell>
          <cell r="G1437">
            <v>0</v>
          </cell>
          <cell r="H1437">
            <v>0.58999999999999986</v>
          </cell>
        </row>
        <row r="1438">
          <cell r="A1438" t="str">
            <v>2390RN</v>
          </cell>
          <cell r="B1438">
            <v>2390</v>
          </cell>
          <cell r="C1438" t="str">
            <v>RUDITE(C1)500MG C/6 COM REV-E</v>
          </cell>
          <cell r="D1438" t="str">
            <v>1 BLT X 6</v>
          </cell>
          <cell r="E1438" t="str">
            <v>RN</v>
          </cell>
          <cell r="F1438">
            <v>0.7</v>
          </cell>
          <cell r="G1438">
            <v>0</v>
          </cell>
          <cell r="H1438">
            <v>0.7</v>
          </cell>
        </row>
        <row r="1439">
          <cell r="A1439" t="str">
            <v>2398RN</v>
          </cell>
          <cell r="B1439">
            <v>2398</v>
          </cell>
          <cell r="C1439" t="str">
            <v>SOMINEX COMPOS OTC CPR REVEST x 20</v>
          </cell>
          <cell r="D1439" t="str">
            <v>2 BL X 10</v>
          </cell>
          <cell r="E1439" t="str">
            <v>RN</v>
          </cell>
          <cell r="F1439">
            <v>0.68899999999999995</v>
          </cell>
          <cell r="G1439">
            <v>0</v>
          </cell>
          <cell r="H1439">
            <v>0.68899999999999995</v>
          </cell>
        </row>
        <row r="1440">
          <cell r="A1440" t="str">
            <v>1818RN</v>
          </cell>
          <cell r="B1440">
            <v>1818</v>
          </cell>
          <cell r="C1440" t="str">
            <v>SUPLEVIT MULHER VIT. 2BLT C/15 CAP.GEL-E</v>
          </cell>
          <cell r="D1440" t="str">
            <v>2 BLT C/15</v>
          </cell>
          <cell r="E1440" t="str">
            <v>RN</v>
          </cell>
          <cell r="F1440">
            <v>0.82</v>
          </cell>
          <cell r="G1440">
            <v>0</v>
          </cell>
          <cell r="H1440">
            <v>0.82</v>
          </cell>
        </row>
        <row r="1441">
          <cell r="A1441" t="str">
            <v>1819RN</v>
          </cell>
          <cell r="B1441">
            <v>1819</v>
          </cell>
          <cell r="C1441" t="str">
            <v>SUPLEVIT MULHER VIT. 4BLT C/15 CAP.GEL-E</v>
          </cell>
          <cell r="D1441" t="str">
            <v>4 BLT C/15</v>
          </cell>
          <cell r="E1441" t="str">
            <v>RN</v>
          </cell>
          <cell r="F1441">
            <v>0.81999999999999984</v>
          </cell>
          <cell r="G1441">
            <v>0</v>
          </cell>
          <cell r="H1441">
            <v>0.81999999999999984</v>
          </cell>
        </row>
        <row r="1442">
          <cell r="A1442" t="str">
            <v>2036RN</v>
          </cell>
          <cell r="B1442">
            <v>2036</v>
          </cell>
          <cell r="C1442" t="str">
            <v>VITAFER FR C/50 COMP-E</v>
          </cell>
          <cell r="D1442" t="str">
            <v>FR X 50</v>
          </cell>
          <cell r="E1442" t="str">
            <v>RN</v>
          </cell>
          <cell r="F1442">
            <v>0.52999999999999992</v>
          </cell>
          <cell r="G1442">
            <v>0</v>
          </cell>
          <cell r="H1442">
            <v>0.52999999999999992</v>
          </cell>
        </row>
        <row r="1443">
          <cell r="A1443" t="str">
            <v>60000RO</v>
          </cell>
          <cell r="B1443">
            <v>60000</v>
          </cell>
          <cell r="C1443" t="str">
            <v>A SAUDE DA MULHER 150ML SOLUCAO</v>
          </cell>
          <cell r="D1443" t="str">
            <v>FR X 150 ML</v>
          </cell>
          <cell r="E1443" t="str">
            <v>RO</v>
          </cell>
          <cell r="F1443">
            <v>0.26999999999999996</v>
          </cell>
          <cell r="G1443">
            <v>0</v>
          </cell>
          <cell r="H1443">
            <v>0.26999999999999996</v>
          </cell>
        </row>
        <row r="1444">
          <cell r="A1444" t="str">
            <v>2256RO</v>
          </cell>
          <cell r="B1444">
            <v>2256</v>
          </cell>
          <cell r="C1444" t="str">
            <v>ALLEXOFEDRIN 120MG 1BLTC/10 COM REV-E</v>
          </cell>
          <cell r="D1444" t="str">
            <v>1 BL X 10 COMP REVEST</v>
          </cell>
          <cell r="E1444" t="str">
            <v>RO</v>
          </cell>
          <cell r="F1444">
            <v>0.75</v>
          </cell>
          <cell r="G1444">
            <v>0</v>
          </cell>
          <cell r="H1444">
            <v>0.75</v>
          </cell>
        </row>
        <row r="1445">
          <cell r="A1445" t="str">
            <v>2255RO</v>
          </cell>
          <cell r="B1445">
            <v>2255</v>
          </cell>
          <cell r="C1445" t="str">
            <v>ALLEXOFEDRIN 180MG 1BLTC/10 COM REV-E</v>
          </cell>
          <cell r="D1445" t="str">
            <v>1 BL X 10 COMP REVEST</v>
          </cell>
          <cell r="E1445" t="str">
            <v>RO</v>
          </cell>
          <cell r="F1445">
            <v>0.74999999999999989</v>
          </cell>
          <cell r="G1445">
            <v>0</v>
          </cell>
          <cell r="H1445">
            <v>0.74999999999999989</v>
          </cell>
        </row>
        <row r="1446">
          <cell r="A1446" t="str">
            <v>2133RO</v>
          </cell>
          <cell r="B1446">
            <v>2133</v>
          </cell>
          <cell r="C1446" t="str">
            <v>ALLEXOFEDRIN D 60+120MG 1BLT C/10C.REV</v>
          </cell>
          <cell r="D1446" t="str">
            <v>1 BL X 10 COMP REVEST</v>
          </cell>
          <cell r="E1446" t="str">
            <v>RO</v>
          </cell>
          <cell r="F1446">
            <v>0.26</v>
          </cell>
          <cell r="G1446">
            <v>0</v>
          </cell>
          <cell r="H1446">
            <v>0.26</v>
          </cell>
        </row>
        <row r="1447">
          <cell r="A1447" t="str">
            <v>1066PA</v>
          </cell>
          <cell r="B1447">
            <v>1066</v>
          </cell>
          <cell r="C1447" t="str">
            <v>CELERGIN XPE 120ML-E</v>
          </cell>
          <cell r="D1447" t="str">
            <v>FR X 120 ML</v>
          </cell>
          <cell r="E1447" t="str">
            <v>PA</v>
          </cell>
          <cell r="F1447">
            <v>0.65450000000000008</v>
          </cell>
          <cell r="G1447">
            <v>0</v>
          </cell>
          <cell r="H1447">
            <v>0.65450000000000008</v>
          </cell>
        </row>
        <row r="1448">
          <cell r="A1448" t="str">
            <v>2347RO</v>
          </cell>
          <cell r="B1448">
            <v>2347</v>
          </cell>
          <cell r="C1448" t="str">
            <v>ALLEXOFEDRIN PEDIATRICO6MG/MLSUS150 ML-E</v>
          </cell>
          <cell r="D1448" t="str">
            <v>6MG/MLSUS150 ML-E</v>
          </cell>
          <cell r="E1448" t="str">
            <v>RO</v>
          </cell>
          <cell r="F1448">
            <v>0.60909999999999997</v>
          </cell>
          <cell r="G1448">
            <v>0</v>
          </cell>
          <cell r="H1448">
            <v>0.60909999999999997</v>
          </cell>
        </row>
        <row r="1449">
          <cell r="A1449" t="str">
            <v>2190RO</v>
          </cell>
          <cell r="B1449">
            <v>2190</v>
          </cell>
          <cell r="C1449" t="str">
            <v>ANTIVIRAX 400MG 2BLTX15 COM - E</v>
          </cell>
          <cell r="D1449" t="str">
            <v>2 BL X 15</v>
          </cell>
          <cell r="E1449" t="str">
            <v>RO</v>
          </cell>
          <cell r="F1449">
            <v>0.68</v>
          </cell>
          <cell r="G1449">
            <v>0</v>
          </cell>
          <cell r="H1449">
            <v>0.68</v>
          </cell>
        </row>
        <row r="1450">
          <cell r="A1450" t="str">
            <v>3009RO</v>
          </cell>
          <cell r="B1450">
            <v>3009</v>
          </cell>
          <cell r="C1450" t="str">
            <v>ANTIVIRAX CR BG C/10 G</v>
          </cell>
          <cell r="D1450" t="str">
            <v>BISN X 10 G</v>
          </cell>
          <cell r="E1450" t="str">
            <v>RO</v>
          </cell>
          <cell r="F1450">
            <v>0.74999999999999989</v>
          </cell>
          <cell r="G1450">
            <v>0</v>
          </cell>
          <cell r="H1450">
            <v>0.74999999999999989</v>
          </cell>
        </row>
        <row r="1451">
          <cell r="A1451" t="str">
            <v>1001RO</v>
          </cell>
          <cell r="B1451">
            <v>1001</v>
          </cell>
          <cell r="C1451" t="str">
            <v>APEVITIN BC XPE FRC/240ML</v>
          </cell>
          <cell r="D1451" t="str">
            <v>FR X 240 ML</v>
          </cell>
          <cell r="E1451" t="str">
            <v>RO</v>
          </cell>
          <cell r="F1451">
            <v>0.80710000000000004</v>
          </cell>
          <cell r="G1451">
            <v>0</v>
          </cell>
          <cell r="H1451">
            <v>0.80710000000000004</v>
          </cell>
        </row>
        <row r="1452">
          <cell r="A1452" t="str">
            <v>1226RO</v>
          </cell>
          <cell r="B1452">
            <v>1226</v>
          </cell>
          <cell r="C1452" t="str">
            <v>BENZIFLEX 10MG 1BLX15COMP.REV-E</v>
          </cell>
          <cell r="D1452" t="str">
            <v>1 BL X 15 COMP.</v>
          </cell>
          <cell r="E1452" t="str">
            <v>RO</v>
          </cell>
          <cell r="F1452">
            <v>0.71</v>
          </cell>
          <cell r="G1452">
            <v>0</v>
          </cell>
          <cell r="H1452">
            <v>0.71</v>
          </cell>
        </row>
        <row r="1453">
          <cell r="A1453" t="str">
            <v>1227RO</v>
          </cell>
          <cell r="B1453">
            <v>1227</v>
          </cell>
          <cell r="C1453" t="str">
            <v>BENZIFLEX 10MG 2BLX15COMP.REV-E</v>
          </cell>
          <cell r="D1453" t="str">
            <v>2 BL X 15 COMP.</v>
          </cell>
          <cell r="E1453" t="str">
            <v>RO</v>
          </cell>
          <cell r="F1453">
            <v>0.71</v>
          </cell>
          <cell r="G1453">
            <v>0</v>
          </cell>
          <cell r="H1453">
            <v>0.71</v>
          </cell>
        </row>
        <row r="1454">
          <cell r="A1454" t="str">
            <v>1233RO</v>
          </cell>
          <cell r="B1454">
            <v>1233</v>
          </cell>
          <cell r="C1454" t="str">
            <v>BENZIFLEX 5MG 2BLX15COMP.REV-E</v>
          </cell>
          <cell r="D1454" t="str">
            <v>2 BL X 15 COMP.</v>
          </cell>
          <cell r="E1454" t="str">
            <v>RO</v>
          </cell>
          <cell r="F1454">
            <v>0.71</v>
          </cell>
          <cell r="G1454">
            <v>0</v>
          </cell>
          <cell r="H1454">
            <v>0.71</v>
          </cell>
        </row>
        <row r="1455">
          <cell r="A1455" t="str">
            <v>1574RO</v>
          </cell>
          <cell r="B1455">
            <v>1574</v>
          </cell>
          <cell r="C1455" t="str">
            <v>BENZIFLEX LIS 125MG+5MG 15COM.REV.-E</v>
          </cell>
          <cell r="D1455" t="str">
            <v>1 BL X 15 COMP.</v>
          </cell>
          <cell r="E1455" t="str">
            <v>RO</v>
          </cell>
          <cell r="F1455">
            <v>0.5</v>
          </cell>
          <cell r="G1455">
            <v>0</v>
          </cell>
          <cell r="H1455">
            <v>0.5</v>
          </cell>
        </row>
        <row r="1456">
          <cell r="A1456" t="str">
            <v>2292RO</v>
          </cell>
          <cell r="B1456">
            <v>2292</v>
          </cell>
          <cell r="C1456" t="str">
            <v>BENZIFLEX LIS 125MG+5MG 2BL15 COM.REV.-E</v>
          </cell>
          <cell r="D1456" t="str">
            <v>2 BL X 15 COMP.</v>
          </cell>
          <cell r="E1456" t="str">
            <v>RO</v>
          </cell>
          <cell r="F1456">
            <v>0.53</v>
          </cell>
          <cell r="G1456">
            <v>0</v>
          </cell>
          <cell r="H1456">
            <v>0.53</v>
          </cell>
        </row>
        <row r="1457">
          <cell r="A1457" t="str">
            <v>1155RO</v>
          </cell>
          <cell r="B1457">
            <v>1155</v>
          </cell>
          <cell r="C1457" t="str">
            <v>BIOFLADEX AEROSSOL 60G- E</v>
          </cell>
          <cell r="D1457" t="str">
            <v>FRASCO 60 G</v>
          </cell>
          <cell r="E1457" t="str">
            <v>RO</v>
          </cell>
          <cell r="F1457">
            <v>0.66</v>
          </cell>
          <cell r="G1457">
            <v>0</v>
          </cell>
          <cell r="H1457">
            <v>0.66</v>
          </cell>
        </row>
        <row r="1458">
          <cell r="A1458" t="str">
            <v>1072RO</v>
          </cell>
          <cell r="B1458">
            <v>1072</v>
          </cell>
          <cell r="C1458" t="str">
            <v>BISURAN 4MG/5ML XPE INF 120ML-E</v>
          </cell>
          <cell r="D1458" t="str">
            <v>FR X 120 ML</v>
          </cell>
          <cell r="E1458" t="str">
            <v>RO</v>
          </cell>
          <cell r="F1458">
            <v>0.53</v>
          </cell>
          <cell r="G1458">
            <v>0</v>
          </cell>
          <cell r="H1458">
            <v>0.53</v>
          </cell>
        </row>
        <row r="1459">
          <cell r="A1459" t="str">
            <v>1318RO</v>
          </cell>
          <cell r="B1459">
            <v>1318</v>
          </cell>
          <cell r="C1459" t="str">
            <v>BISURAN 8MG/5ML XPE AD. 120ML-E</v>
          </cell>
          <cell r="D1459" t="str">
            <v>FR X 120 ML</v>
          </cell>
          <cell r="E1459" t="str">
            <v>RO</v>
          </cell>
          <cell r="F1459">
            <v>0.61999999999999988</v>
          </cell>
          <cell r="G1459">
            <v>0</v>
          </cell>
          <cell r="H1459">
            <v>0.61999999999999988</v>
          </cell>
        </row>
        <row r="1460">
          <cell r="A1460" t="str">
            <v>2141RO</v>
          </cell>
          <cell r="B1460">
            <v>2141</v>
          </cell>
          <cell r="C1460" t="str">
            <v>CELERGIN 20 COMP-E</v>
          </cell>
          <cell r="D1460" t="str">
            <v>CX. C/20 COMP.</v>
          </cell>
          <cell r="E1460" t="str">
            <v>RO</v>
          </cell>
          <cell r="F1460">
            <v>0.65649999999999986</v>
          </cell>
          <cell r="G1460">
            <v>0</v>
          </cell>
          <cell r="H1460">
            <v>0.65649999999999986</v>
          </cell>
        </row>
        <row r="1461">
          <cell r="A1461" t="str">
            <v>1066PB</v>
          </cell>
          <cell r="B1461">
            <v>1066</v>
          </cell>
          <cell r="C1461" t="str">
            <v>CELERGIN XPE 120ML-E</v>
          </cell>
          <cell r="D1461" t="str">
            <v>FR X 120 ML</v>
          </cell>
          <cell r="E1461" t="str">
            <v>PB</v>
          </cell>
          <cell r="F1461">
            <v>0.73440000000000016</v>
          </cell>
          <cell r="G1461">
            <v>0</v>
          </cell>
          <cell r="H1461">
            <v>0.73440000000000016</v>
          </cell>
        </row>
        <row r="1462">
          <cell r="A1462" t="str">
            <v>2322RO</v>
          </cell>
          <cell r="B1462">
            <v>2322</v>
          </cell>
          <cell r="C1462" t="str">
            <v>CLOPE 3,54MG/ML XPE 120ML FR PLAS-E</v>
          </cell>
          <cell r="D1462" t="str">
            <v>FR X 120 ML</v>
          </cell>
          <cell r="E1462" t="str">
            <v>RO</v>
          </cell>
          <cell r="F1462">
            <v>0.53</v>
          </cell>
          <cell r="G1462">
            <v>0</v>
          </cell>
          <cell r="H1462">
            <v>0.53</v>
          </cell>
        </row>
        <row r="1463">
          <cell r="A1463" t="str">
            <v>2383RO</v>
          </cell>
          <cell r="B1463">
            <v>2383</v>
          </cell>
          <cell r="C1463" t="str">
            <v>COMPLEXO B 12 XPE FR C/120ML E</v>
          </cell>
          <cell r="D1463" t="str">
            <v>FR X 120 ML</v>
          </cell>
          <cell r="E1463" t="str">
            <v>RO</v>
          </cell>
          <cell r="F1463">
            <v>0.67000000000000015</v>
          </cell>
          <cell r="G1463">
            <v>0</v>
          </cell>
          <cell r="H1463">
            <v>0.67000000000000015</v>
          </cell>
        </row>
        <row r="1464">
          <cell r="A1464" t="str">
            <v>2384RO</v>
          </cell>
          <cell r="B1464">
            <v>2384</v>
          </cell>
          <cell r="C1464" t="str">
            <v>COMPLEXO B CPR REVEST x 20</v>
          </cell>
          <cell r="D1464" t="str">
            <v xml:space="preserve">FR X 20 </v>
          </cell>
          <cell r="E1464" t="str">
            <v>RO</v>
          </cell>
          <cell r="F1464">
            <v>0.66000000000000014</v>
          </cell>
          <cell r="G1464">
            <v>0</v>
          </cell>
          <cell r="H1464">
            <v>0.66000000000000014</v>
          </cell>
        </row>
        <row r="1465">
          <cell r="A1465" t="str">
            <v>2382RO</v>
          </cell>
          <cell r="B1465">
            <v>2382</v>
          </cell>
          <cell r="C1465" t="str">
            <v>COMPLEXO B FR C/100 COM REV  E</v>
          </cell>
          <cell r="D1465" t="str">
            <v>FR X 100</v>
          </cell>
          <cell r="E1465" t="str">
            <v>RO</v>
          </cell>
          <cell r="F1465">
            <v>0.64000000000000012</v>
          </cell>
          <cell r="G1465">
            <v>0</v>
          </cell>
          <cell r="H1465">
            <v>0.64000000000000012</v>
          </cell>
        </row>
        <row r="1466">
          <cell r="A1466" t="str">
            <v>2011RO</v>
          </cell>
          <cell r="B1466">
            <v>2011</v>
          </cell>
          <cell r="C1466" t="str">
            <v>CYSTEX FR C/24 DRG</v>
          </cell>
          <cell r="D1466" t="str">
            <v xml:space="preserve">FR X 24 </v>
          </cell>
          <cell r="E1466" t="str">
            <v>RO</v>
          </cell>
          <cell r="F1466">
            <v>0.36070000000000002</v>
          </cell>
          <cell r="G1466">
            <v>0</v>
          </cell>
          <cell r="H1466">
            <v>0.36070000000000002</v>
          </cell>
        </row>
        <row r="1467">
          <cell r="A1467" t="str">
            <v>1837RO</v>
          </cell>
          <cell r="B1467">
            <v>1837</v>
          </cell>
          <cell r="C1467" t="str">
            <v>DIOVASES 450+50MG C/30 COM.REV. - E</v>
          </cell>
          <cell r="D1467" t="str">
            <v>2 BL X 15 COMP.</v>
          </cell>
          <cell r="E1467" t="str">
            <v>RO</v>
          </cell>
          <cell r="F1467">
            <v>0.68</v>
          </cell>
          <cell r="G1467">
            <v>0</v>
          </cell>
          <cell r="H1467">
            <v>0.68</v>
          </cell>
        </row>
        <row r="1468">
          <cell r="A1468" t="str">
            <v>1838RO</v>
          </cell>
          <cell r="B1468">
            <v>1838</v>
          </cell>
          <cell r="C1468" t="str">
            <v>DIOVASES 450+50MG C/60 COM.REV. - E</v>
          </cell>
          <cell r="D1468" t="str">
            <v>4 BL X 15 COMP.</v>
          </cell>
          <cell r="E1468" t="str">
            <v>RO</v>
          </cell>
          <cell r="F1468">
            <v>0.72</v>
          </cell>
          <cell r="G1468">
            <v>0</v>
          </cell>
          <cell r="H1468">
            <v>0.72</v>
          </cell>
        </row>
        <row r="1469">
          <cell r="A1469" t="str">
            <v>2261RO</v>
          </cell>
          <cell r="B1469">
            <v>2261</v>
          </cell>
          <cell r="C1469" t="str">
            <v>DORICIN CPR x 24</v>
          </cell>
          <cell r="D1469" t="str">
            <v>2BL C/12 COMPRIMIDOS -E</v>
          </cell>
          <cell r="E1469" t="str">
            <v>RO</v>
          </cell>
          <cell r="F1469">
            <v>0.74099999999999999</v>
          </cell>
          <cell r="G1469">
            <v>0</v>
          </cell>
          <cell r="H1469">
            <v>0.74099999999999999</v>
          </cell>
        </row>
        <row r="1470">
          <cell r="A1470" t="str">
            <v>2264RO</v>
          </cell>
          <cell r="B1470">
            <v>2264</v>
          </cell>
          <cell r="C1470" t="str">
            <v>DORICIN CPR x 300</v>
          </cell>
          <cell r="D1470" t="str">
            <v>30BL C/10 COMPRIMIDOS -E</v>
          </cell>
          <cell r="E1470" t="str">
            <v>RO</v>
          </cell>
          <cell r="F1470">
            <v>0.74099999999999999</v>
          </cell>
          <cell r="G1470">
            <v>0</v>
          </cell>
          <cell r="H1470">
            <v>0.74099999999999999</v>
          </cell>
        </row>
        <row r="1471">
          <cell r="A1471" t="str">
            <v>2262RO</v>
          </cell>
          <cell r="B1471">
            <v>2262</v>
          </cell>
          <cell r="C1471" t="str">
            <v>DORICIN CPR X 36</v>
          </cell>
          <cell r="D1471" t="str">
            <v>3BL C/12 COMPRIMIDOS -E</v>
          </cell>
          <cell r="E1471" t="str">
            <v>RO</v>
          </cell>
          <cell r="F1471">
            <v>0.75139999999999996</v>
          </cell>
          <cell r="G1471">
            <v>0</v>
          </cell>
          <cell r="H1471">
            <v>0.75139999999999996</v>
          </cell>
        </row>
        <row r="1472">
          <cell r="A1472" t="str">
            <v>2263RO</v>
          </cell>
          <cell r="B1472">
            <v>2263</v>
          </cell>
          <cell r="C1472" t="str">
            <v>DORICIN CPR X 50</v>
          </cell>
          <cell r="D1472" t="str">
            <v>5BL C/10 COMPRIMIDOS - E</v>
          </cell>
          <cell r="E1472" t="str">
            <v>RO</v>
          </cell>
          <cell r="F1472">
            <v>0.66100000000000003</v>
          </cell>
          <cell r="G1472">
            <v>0</v>
          </cell>
          <cell r="H1472">
            <v>0.66100000000000003</v>
          </cell>
        </row>
        <row r="1473">
          <cell r="A1473" t="str">
            <v>1173RO</v>
          </cell>
          <cell r="B1473">
            <v>1173</v>
          </cell>
          <cell r="C1473" t="str">
            <v>DORICIN GOTAS 20ML x 1</v>
          </cell>
          <cell r="D1473" t="str">
            <v>FR X 20 ML</v>
          </cell>
          <cell r="E1473" t="str">
            <v>RO</v>
          </cell>
          <cell r="F1473">
            <v>0.65</v>
          </cell>
          <cell r="G1473">
            <v>0</v>
          </cell>
          <cell r="H1473">
            <v>0.65</v>
          </cell>
        </row>
        <row r="1474">
          <cell r="A1474" t="str">
            <v>2018RO</v>
          </cell>
          <cell r="B1474">
            <v>2018</v>
          </cell>
          <cell r="C1474" t="str">
            <v>EMISTIN BLT 1X20=20COMP</v>
          </cell>
          <cell r="D1474" t="str">
            <v>1 BL X 20</v>
          </cell>
          <cell r="E1474" t="str">
            <v>RO</v>
          </cell>
          <cell r="F1474">
            <v>0.67</v>
          </cell>
          <cell r="G1474">
            <v>0</v>
          </cell>
          <cell r="H1474">
            <v>0.67</v>
          </cell>
        </row>
        <row r="1475">
          <cell r="A1475" t="str">
            <v>3008RO</v>
          </cell>
          <cell r="B1475">
            <v>3008</v>
          </cell>
          <cell r="C1475" t="str">
            <v>EMISTIN CR BG C/20G</v>
          </cell>
          <cell r="D1475" t="str">
            <v>BISN X 20 G</v>
          </cell>
          <cell r="E1475" t="str">
            <v>RO</v>
          </cell>
          <cell r="F1475">
            <v>0.77</v>
          </cell>
          <cell r="G1475">
            <v>0</v>
          </cell>
          <cell r="H1475">
            <v>0.77</v>
          </cell>
        </row>
        <row r="1476">
          <cell r="A1476" t="str">
            <v>3020RO</v>
          </cell>
          <cell r="B1476">
            <v>3020</v>
          </cell>
          <cell r="C1476" t="str">
            <v>EMSCORT CR BG C/30G</v>
          </cell>
          <cell r="D1476" t="str">
            <v>BISN X 30 G</v>
          </cell>
          <cell r="E1476" t="str">
            <v>RO</v>
          </cell>
          <cell r="F1476">
            <v>0.77000000000000013</v>
          </cell>
          <cell r="G1476">
            <v>0</v>
          </cell>
          <cell r="H1476">
            <v>0.77000000000000013</v>
          </cell>
        </row>
        <row r="1477">
          <cell r="A1477" t="str">
            <v>6023RO</v>
          </cell>
          <cell r="B1477">
            <v>6023</v>
          </cell>
          <cell r="C1477" t="str">
            <v>EMSCORT POM BISN 30G-E</v>
          </cell>
          <cell r="D1477" t="str">
            <v>BISN X 30 G</v>
          </cell>
          <cell r="E1477" t="str">
            <v>RO</v>
          </cell>
          <cell r="F1477">
            <v>0.7639999999999999</v>
          </cell>
          <cell r="G1477">
            <v>0</v>
          </cell>
          <cell r="H1477">
            <v>0.7639999999999999</v>
          </cell>
        </row>
        <row r="1478">
          <cell r="A1478" t="str">
            <v>1190RO</v>
          </cell>
          <cell r="B1478">
            <v>1190</v>
          </cell>
          <cell r="C1478" t="str">
            <v>EMSEXPECTOR XAROPE FR C/120ML - E</v>
          </cell>
          <cell r="D1478" t="str">
            <v>FR X 120 ML</v>
          </cell>
          <cell r="E1478" t="str">
            <v>RO</v>
          </cell>
          <cell r="F1478">
            <v>0.48</v>
          </cell>
          <cell r="G1478">
            <v>0</v>
          </cell>
          <cell r="H1478">
            <v>0.48</v>
          </cell>
        </row>
        <row r="1479">
          <cell r="A1479" t="str">
            <v>2111RO</v>
          </cell>
          <cell r="B1479">
            <v>2111</v>
          </cell>
          <cell r="C1479" t="str">
            <v>ENDCOFF PAST MEL ELIMAO C/12UN</v>
          </cell>
          <cell r="D1479" t="str">
            <v>3 STP X 4</v>
          </cell>
          <cell r="E1479" t="str">
            <v>RO</v>
          </cell>
          <cell r="F1479">
            <v>0.48</v>
          </cell>
          <cell r="G1479">
            <v>0</v>
          </cell>
          <cell r="H1479">
            <v>0.48</v>
          </cell>
        </row>
        <row r="1480">
          <cell r="A1480" t="str">
            <v>2092RO</v>
          </cell>
          <cell r="B1480">
            <v>2092</v>
          </cell>
          <cell r="C1480" t="str">
            <v>ENDCOFF PAST STP MENTA C/12 UN</v>
          </cell>
          <cell r="D1480" t="str">
            <v>3 STP X 4</v>
          </cell>
          <cell r="E1480" t="str">
            <v>RO</v>
          </cell>
          <cell r="F1480">
            <v>0.48</v>
          </cell>
          <cell r="G1480">
            <v>0</v>
          </cell>
          <cell r="H1480">
            <v>0.48</v>
          </cell>
        </row>
        <row r="1481">
          <cell r="A1481" t="str">
            <v>1905RO</v>
          </cell>
          <cell r="B1481">
            <v>1905</v>
          </cell>
          <cell r="C1481" t="str">
            <v>ESMOG 20MG 4BLTC/7 COM REV LIB RETARD- E</v>
          </cell>
          <cell r="D1481" t="str">
            <v>4 BLT C/7</v>
          </cell>
          <cell r="E1481" t="str">
            <v>RO</v>
          </cell>
          <cell r="F1481">
            <v>0.77800000000000002</v>
          </cell>
          <cell r="G1481">
            <v>0</v>
          </cell>
          <cell r="H1481">
            <v>0.77800000000000002</v>
          </cell>
        </row>
        <row r="1482">
          <cell r="A1482" t="str">
            <v>1906RO</v>
          </cell>
          <cell r="B1482">
            <v>1906</v>
          </cell>
          <cell r="C1482" t="str">
            <v>ESMOG 40MG 4BLTC/7 COM REV LIB RETARD- E</v>
          </cell>
          <cell r="D1482" t="str">
            <v>4 BLT C/7</v>
          </cell>
          <cell r="E1482" t="str">
            <v>RO</v>
          </cell>
          <cell r="F1482">
            <v>0.8</v>
          </cell>
          <cell r="G1482">
            <v>0</v>
          </cell>
          <cell r="H1482">
            <v>0.8</v>
          </cell>
        </row>
        <row r="1483">
          <cell r="A1483" t="str">
            <v>1016RO</v>
          </cell>
          <cell r="B1483">
            <v>1016</v>
          </cell>
          <cell r="C1483" t="str">
            <v>EXPECTUSS XPE ADULTO FR C/100ML</v>
          </cell>
          <cell r="D1483" t="str">
            <v>FR X 100 ML</v>
          </cell>
          <cell r="E1483" t="str">
            <v>RO</v>
          </cell>
          <cell r="F1483">
            <v>0.55000000000000016</v>
          </cell>
          <cell r="G1483">
            <v>0</v>
          </cell>
          <cell r="H1483">
            <v>0.55000000000000016</v>
          </cell>
        </row>
        <row r="1484">
          <cell r="A1484" t="str">
            <v>1015RO</v>
          </cell>
          <cell r="B1484">
            <v>1015</v>
          </cell>
          <cell r="C1484" t="str">
            <v>EXPECTUSS XPE INF FR C/100ML</v>
          </cell>
          <cell r="D1484" t="str">
            <v>FR X 100 ML</v>
          </cell>
          <cell r="E1484" t="str">
            <v>RO</v>
          </cell>
          <cell r="F1484">
            <v>0.5099999999999999</v>
          </cell>
          <cell r="G1484">
            <v>0</v>
          </cell>
          <cell r="H1484">
            <v>0.5099999999999999</v>
          </cell>
        </row>
        <row r="1485">
          <cell r="A1485" t="str">
            <v>1363RO</v>
          </cell>
          <cell r="B1485">
            <v>1363</v>
          </cell>
          <cell r="C1485" t="str">
            <v>FLUITEINA 600MG GRAN 16ENV 5G-E</v>
          </cell>
          <cell r="D1485" t="str">
            <v>CX. C/16 ENV X 5GR</v>
          </cell>
          <cell r="E1485" t="str">
            <v>RO</v>
          </cell>
          <cell r="F1485">
            <v>0.42999999999999994</v>
          </cell>
          <cell r="G1485">
            <v>0</v>
          </cell>
          <cell r="H1485">
            <v>0.42999999999999994</v>
          </cell>
        </row>
        <row r="1486">
          <cell r="A1486" t="str">
            <v>1364RO</v>
          </cell>
          <cell r="B1486">
            <v>1364</v>
          </cell>
          <cell r="C1486" t="str">
            <v>FLUITEINA XPE AD 40MG/ML120ML-E</v>
          </cell>
          <cell r="D1486" t="str">
            <v>FR X 120 ML</v>
          </cell>
          <cell r="E1486" t="str">
            <v>RO</v>
          </cell>
          <cell r="F1486">
            <v>0.56999999999999973</v>
          </cell>
          <cell r="G1486">
            <v>0</v>
          </cell>
          <cell r="H1486">
            <v>0.56999999999999973</v>
          </cell>
        </row>
        <row r="1487">
          <cell r="A1487" t="str">
            <v>1163RO</v>
          </cell>
          <cell r="B1487">
            <v>1163</v>
          </cell>
          <cell r="C1487" t="str">
            <v>FLUITEINA XPE INF 20MG/ML 120ML-E</v>
          </cell>
          <cell r="D1487" t="str">
            <v>FR X 120 ML</v>
          </cell>
          <cell r="E1487" t="str">
            <v>RO</v>
          </cell>
          <cell r="F1487">
            <v>0.51900000000000002</v>
          </cell>
          <cell r="G1487">
            <v>0</v>
          </cell>
          <cell r="H1487">
            <v>0.51900000000000002</v>
          </cell>
        </row>
        <row r="1488">
          <cell r="A1488" t="str">
            <v>1168RO</v>
          </cell>
          <cell r="B1488">
            <v>1168</v>
          </cell>
          <cell r="C1488" t="str">
            <v>FOLIFOLIN 5MG 2BLTX15COMP - E</v>
          </cell>
          <cell r="D1488" t="str">
            <v>2 BLT X 15 COMP.</v>
          </cell>
          <cell r="E1488" t="str">
            <v>RO</v>
          </cell>
          <cell r="F1488">
            <v>0.66</v>
          </cell>
          <cell r="G1488">
            <v>0</v>
          </cell>
          <cell r="H1488">
            <v>0.66</v>
          </cell>
        </row>
        <row r="1489">
          <cell r="A1489" t="str">
            <v>2318RO</v>
          </cell>
          <cell r="B1489">
            <v>2318</v>
          </cell>
          <cell r="C1489" t="str">
            <v>GEROVITAL  2BLT15 CAP MOLE-E</v>
          </cell>
          <cell r="D1489" t="str">
            <v>3 BL X 10</v>
          </cell>
          <cell r="E1489" t="str">
            <v>RO</v>
          </cell>
          <cell r="F1489">
            <v>0.57899999999999996</v>
          </cell>
          <cell r="G1489">
            <v>0</v>
          </cell>
          <cell r="H1489">
            <v>0.57899999999999996</v>
          </cell>
        </row>
        <row r="1490">
          <cell r="A1490" t="str">
            <v>2062RO</v>
          </cell>
          <cell r="B1490">
            <v>2062</v>
          </cell>
          <cell r="C1490" t="str">
            <v>GEROVITAL 3BLT C/20 CAP</v>
          </cell>
          <cell r="D1490" t="str">
            <v>6 BL X 10</v>
          </cell>
          <cell r="E1490" t="str">
            <v>RO</v>
          </cell>
          <cell r="F1490">
            <v>0.48100000000000004</v>
          </cell>
          <cell r="G1490">
            <v>0</v>
          </cell>
          <cell r="H1490">
            <v>0.48100000000000004</v>
          </cell>
        </row>
        <row r="1491">
          <cell r="A1491" t="str">
            <v>1230RO</v>
          </cell>
          <cell r="B1491">
            <v>1230</v>
          </cell>
          <cell r="C1491" t="str">
            <v>IBULIV 100MG/ML SUP ORAL C/ 20 ML-E</v>
          </cell>
          <cell r="D1491" t="str">
            <v>FR X 20 ML</v>
          </cell>
          <cell r="E1491" t="str">
            <v>RO</v>
          </cell>
          <cell r="F1491">
            <v>0.68000000000000016</v>
          </cell>
          <cell r="G1491">
            <v>0</v>
          </cell>
          <cell r="H1491">
            <v>0.68000000000000016</v>
          </cell>
        </row>
        <row r="1492">
          <cell r="A1492" t="str">
            <v>1472RO</v>
          </cell>
          <cell r="B1492">
            <v>1472</v>
          </cell>
          <cell r="C1492" t="str">
            <v>IBULIV 400MG 10 BLT C/ 4CAPS GEL.MOLES-E</v>
          </cell>
          <cell r="D1492" t="str">
            <v>10 BLT X 4 CÁPS</v>
          </cell>
          <cell r="E1492" t="str">
            <v>RO</v>
          </cell>
          <cell r="F1492">
            <v>0.71000000000000019</v>
          </cell>
          <cell r="G1492">
            <v>0</v>
          </cell>
          <cell r="H1492">
            <v>0.71000000000000019</v>
          </cell>
        </row>
        <row r="1493">
          <cell r="A1493" t="str">
            <v>2469RO</v>
          </cell>
          <cell r="B1493">
            <v>2469</v>
          </cell>
          <cell r="C1493" t="str">
            <v>IBULIV 400MG 2 BLT C/ 10CAPS GEL.MOLES-E</v>
          </cell>
          <cell r="D1493" t="str">
            <v>20 CÁPS.</v>
          </cell>
          <cell r="E1493" t="str">
            <v>RO</v>
          </cell>
          <cell r="F1493">
            <v>0.71</v>
          </cell>
          <cell r="G1493">
            <v>0</v>
          </cell>
          <cell r="H1493">
            <v>0.71</v>
          </cell>
        </row>
        <row r="1494">
          <cell r="A1494" t="str">
            <v>1471RO</v>
          </cell>
          <cell r="B1494">
            <v>1471</v>
          </cell>
          <cell r="C1494" t="str">
            <v>IBULIV 400MG 2 BLT C/ 4CAPS GEL.MOLES-E</v>
          </cell>
          <cell r="D1494" t="str">
            <v>2 BLT X 4 CÁPS.</v>
          </cell>
          <cell r="E1494" t="str">
            <v>RO</v>
          </cell>
          <cell r="F1494">
            <v>0.71</v>
          </cell>
          <cell r="G1494">
            <v>0</v>
          </cell>
          <cell r="H1494">
            <v>0.71</v>
          </cell>
        </row>
        <row r="1495">
          <cell r="A1495" t="str">
            <v>1175RO</v>
          </cell>
          <cell r="B1495">
            <v>1175</v>
          </cell>
          <cell r="C1495" t="str">
            <v>INFRALAX 1BLT C/15COMP - EMS</v>
          </cell>
          <cell r="D1495" t="str">
            <v>1 BLT C/ 15</v>
          </cell>
          <cell r="E1495" t="str">
            <v>RO</v>
          </cell>
          <cell r="F1495">
            <v>0.74280000000000002</v>
          </cell>
          <cell r="G1495">
            <v>0</v>
          </cell>
          <cell r="H1495">
            <v>0.74280000000000002</v>
          </cell>
        </row>
        <row r="1496">
          <cell r="A1496" t="str">
            <v>1821RO</v>
          </cell>
          <cell r="B1496">
            <v>1821</v>
          </cell>
          <cell r="C1496" t="str">
            <v>INFRALAX 20BLTX10COMP - E</v>
          </cell>
          <cell r="D1496" t="str">
            <v>20 BLT X 10</v>
          </cell>
          <cell r="E1496" t="str">
            <v>RO</v>
          </cell>
          <cell r="F1496">
            <v>0.81</v>
          </cell>
          <cell r="G1496">
            <v>0</v>
          </cell>
          <cell r="H1496">
            <v>0.81</v>
          </cell>
        </row>
        <row r="1497">
          <cell r="A1497" t="str">
            <v>2138RO</v>
          </cell>
          <cell r="B1497">
            <v>2138</v>
          </cell>
          <cell r="C1497" t="str">
            <v>INFRALAX 2BLT C/15COMP - EMS</v>
          </cell>
          <cell r="D1497" t="str">
            <v>2 BL X 15</v>
          </cell>
          <cell r="E1497" t="str">
            <v>RO</v>
          </cell>
          <cell r="F1497">
            <v>0.74650000000000005</v>
          </cell>
          <cell r="G1497">
            <v>0</v>
          </cell>
          <cell r="H1497">
            <v>0.74650000000000005</v>
          </cell>
        </row>
        <row r="1498">
          <cell r="A1498" t="str">
            <v>6011RO</v>
          </cell>
          <cell r="B1498">
            <v>6011</v>
          </cell>
          <cell r="C1498" t="str">
            <v>NARIDRIN 12HS GOTAS FR C/30ML</v>
          </cell>
          <cell r="D1498" t="str">
            <v>FR X 30 ML</v>
          </cell>
          <cell r="E1498" t="str">
            <v>RO</v>
          </cell>
          <cell r="F1498">
            <v>0.74</v>
          </cell>
          <cell r="G1498">
            <v>0</v>
          </cell>
          <cell r="H1498">
            <v>0.74</v>
          </cell>
        </row>
        <row r="1499">
          <cell r="A1499" t="str">
            <v>2604RO</v>
          </cell>
          <cell r="B1499">
            <v>2604</v>
          </cell>
          <cell r="C1499" t="str">
            <v>NARIDRIN ALTO VOL 30ENVX2,16G+FR240ML</v>
          </cell>
          <cell r="D1499" t="str">
            <v>30ENVX2,16G+FR240ML</v>
          </cell>
          <cell r="E1499" t="str">
            <v>RO</v>
          </cell>
          <cell r="F1499">
            <v>0.64</v>
          </cell>
          <cell r="G1499">
            <v>0</v>
          </cell>
          <cell r="H1499">
            <v>0.64</v>
          </cell>
        </row>
        <row r="1500">
          <cell r="A1500" t="str">
            <v>2605RO</v>
          </cell>
          <cell r="B1500">
            <v>2605</v>
          </cell>
          <cell r="C1500" t="str">
            <v>NARIDRIN ALTO VOL REFIL</v>
          </cell>
          <cell r="D1500" t="str">
            <v>30 ENV X 2,16G</v>
          </cell>
          <cell r="E1500" t="str">
            <v>RO</v>
          </cell>
          <cell r="F1500">
            <v>0.59999999999999987</v>
          </cell>
          <cell r="G1500">
            <v>0</v>
          </cell>
          <cell r="H1500">
            <v>0.59999999999999987</v>
          </cell>
        </row>
        <row r="1501">
          <cell r="A1501" t="str">
            <v>1433RO</v>
          </cell>
          <cell r="B1501">
            <v>1433</v>
          </cell>
          <cell r="C1501" t="str">
            <v>NARIDRIN AQUA 9MG/ML FRASCO C/50ML-E</v>
          </cell>
          <cell r="D1501" t="str">
            <v>FR X 50 ML SPRAY</v>
          </cell>
          <cell r="E1501" t="str">
            <v>RO</v>
          </cell>
          <cell r="F1501">
            <v>0.71</v>
          </cell>
          <cell r="G1501">
            <v>0</v>
          </cell>
          <cell r="H1501">
            <v>0.71</v>
          </cell>
        </row>
        <row r="1502">
          <cell r="A1502" t="str">
            <v>6005RO</v>
          </cell>
          <cell r="B1502">
            <v>6005</v>
          </cell>
          <cell r="C1502" t="str">
            <v>NARIDRIN GOTAS AD FR C/15ML</v>
          </cell>
          <cell r="D1502" t="str">
            <v>FR X 15 ML</v>
          </cell>
          <cell r="E1502" t="str">
            <v>RO</v>
          </cell>
          <cell r="F1502">
            <v>0.74</v>
          </cell>
          <cell r="G1502">
            <v>0</v>
          </cell>
          <cell r="H1502">
            <v>0.74</v>
          </cell>
        </row>
        <row r="1503">
          <cell r="A1503" t="str">
            <v>6006RO</v>
          </cell>
          <cell r="B1503">
            <v>6006</v>
          </cell>
          <cell r="C1503" t="str">
            <v>NARIDRIN GOTAS INF FR C/15ML</v>
          </cell>
          <cell r="D1503" t="str">
            <v>FR X 15 ML</v>
          </cell>
          <cell r="E1503" t="str">
            <v>RO</v>
          </cell>
          <cell r="F1503">
            <v>0.72999999999999987</v>
          </cell>
          <cell r="G1503">
            <v>0</v>
          </cell>
          <cell r="H1503">
            <v>0.72999999999999987</v>
          </cell>
        </row>
        <row r="1504">
          <cell r="A1504" t="str">
            <v>1079RO</v>
          </cell>
          <cell r="B1504">
            <v>1079</v>
          </cell>
          <cell r="C1504" t="str">
            <v>NARIDRIN H 30MG/ML SOL.NAS SPRAY 60ML-E</v>
          </cell>
          <cell r="D1504" t="str">
            <v>FRASCO X 60ML</v>
          </cell>
          <cell r="E1504" t="str">
            <v>RO</v>
          </cell>
          <cell r="F1504">
            <v>0.7</v>
          </cell>
          <cell r="G1504">
            <v>0</v>
          </cell>
          <cell r="H1504">
            <v>0.7</v>
          </cell>
        </row>
        <row r="1505">
          <cell r="A1505" t="str">
            <v>1368RO</v>
          </cell>
          <cell r="B1505">
            <v>1368</v>
          </cell>
          <cell r="C1505" t="str">
            <v>NIMESILAM BLT 1X12= 12 COM - E</v>
          </cell>
          <cell r="D1505" t="str">
            <v>1 BLT X 12</v>
          </cell>
          <cell r="E1505" t="str">
            <v>RO</v>
          </cell>
          <cell r="F1505">
            <v>0.89999999999999991</v>
          </cell>
          <cell r="G1505">
            <v>0</v>
          </cell>
          <cell r="H1505">
            <v>0.89999999999999991</v>
          </cell>
        </row>
        <row r="1506">
          <cell r="A1506" t="str">
            <v>1367RO</v>
          </cell>
          <cell r="B1506">
            <v>1367</v>
          </cell>
          <cell r="C1506" t="str">
            <v>NIMESILAM GOTAS FRC/15ML  - E</v>
          </cell>
          <cell r="D1506" t="str">
            <v>FR 15 ML</v>
          </cell>
          <cell r="E1506" t="str">
            <v>RO</v>
          </cell>
          <cell r="F1506">
            <v>0.73</v>
          </cell>
          <cell r="G1506">
            <v>0</v>
          </cell>
          <cell r="H1506">
            <v>0.73</v>
          </cell>
        </row>
        <row r="1507">
          <cell r="A1507" t="str">
            <v>2058RO</v>
          </cell>
          <cell r="B1507">
            <v>2058</v>
          </cell>
          <cell r="C1507" t="str">
            <v>NOCICLIN 1BLT C/21COM-EMS</v>
          </cell>
          <cell r="D1507" t="str">
            <v>1 BL X 21</v>
          </cell>
          <cell r="E1507" t="str">
            <v>RO</v>
          </cell>
          <cell r="F1507">
            <v>0.68</v>
          </cell>
          <cell r="G1507">
            <v>0</v>
          </cell>
          <cell r="H1507">
            <v>0.68</v>
          </cell>
        </row>
        <row r="1508">
          <cell r="A1508" t="str">
            <v>2391RO</v>
          </cell>
          <cell r="B1508">
            <v>2391</v>
          </cell>
          <cell r="C1508" t="str">
            <v>RUDITE 20MG/ML PO SUS 100ML-E</v>
          </cell>
          <cell r="D1508" t="str">
            <v>FR X 100 ML</v>
          </cell>
          <cell r="E1508" t="str">
            <v>RO</v>
          </cell>
          <cell r="F1508">
            <v>0.59899999999999998</v>
          </cell>
          <cell r="G1508">
            <v>0</v>
          </cell>
          <cell r="H1508">
            <v>0.59899999999999998</v>
          </cell>
        </row>
        <row r="1509">
          <cell r="A1509" t="str">
            <v>2392RO</v>
          </cell>
          <cell r="B1509">
            <v>2392</v>
          </cell>
          <cell r="C1509" t="str">
            <v>RUDITE 20MG/ML PO SUS 45ML-E</v>
          </cell>
          <cell r="D1509" t="str">
            <v>FR X 45 ML</v>
          </cell>
          <cell r="E1509" t="str">
            <v>RO</v>
          </cell>
          <cell r="F1509">
            <v>0.58999999999999986</v>
          </cell>
          <cell r="G1509">
            <v>0</v>
          </cell>
          <cell r="H1509">
            <v>0.58999999999999986</v>
          </cell>
        </row>
        <row r="1510">
          <cell r="A1510" t="str">
            <v>2390RO</v>
          </cell>
          <cell r="B1510">
            <v>2390</v>
          </cell>
          <cell r="C1510" t="str">
            <v>RUDITE(C1)500MG C/6 COM REV-E</v>
          </cell>
          <cell r="D1510" t="str">
            <v>1 BLT X 6</v>
          </cell>
          <cell r="E1510" t="str">
            <v>RO</v>
          </cell>
          <cell r="F1510">
            <v>0.7</v>
          </cell>
          <cell r="G1510">
            <v>0</v>
          </cell>
          <cell r="H1510">
            <v>0.7</v>
          </cell>
        </row>
        <row r="1511">
          <cell r="A1511" t="str">
            <v>2398RO</v>
          </cell>
          <cell r="B1511">
            <v>2398</v>
          </cell>
          <cell r="C1511" t="str">
            <v>SOMINEX COMPOS OTC CPR REVEST x 20</v>
          </cell>
          <cell r="D1511" t="str">
            <v>2 BL X 10</v>
          </cell>
          <cell r="E1511" t="str">
            <v>RO</v>
          </cell>
          <cell r="F1511">
            <v>0.68899999999999995</v>
          </cell>
          <cell r="G1511">
            <v>0</v>
          </cell>
          <cell r="H1511">
            <v>0.68899999999999995</v>
          </cell>
        </row>
        <row r="1512">
          <cell r="A1512" t="str">
            <v>1818RO</v>
          </cell>
          <cell r="B1512">
            <v>1818</v>
          </cell>
          <cell r="C1512" t="str">
            <v>SUPLEVIT MULHER VIT. 2BLT C/15 CAP.GEL-E</v>
          </cell>
          <cell r="D1512" t="str">
            <v>2 BLT C/15</v>
          </cell>
          <cell r="E1512" t="str">
            <v>RO</v>
          </cell>
          <cell r="F1512">
            <v>0.82</v>
          </cell>
          <cell r="G1512">
            <v>0</v>
          </cell>
          <cell r="H1512">
            <v>0.82</v>
          </cell>
        </row>
        <row r="1513">
          <cell r="A1513" t="str">
            <v>1819RO</v>
          </cell>
          <cell r="B1513">
            <v>1819</v>
          </cell>
          <cell r="C1513" t="str">
            <v>SUPLEVIT MULHER VIT. 4BLT C/15 CAP.GEL-E</v>
          </cell>
          <cell r="D1513" t="str">
            <v>4 BLT C/15</v>
          </cell>
          <cell r="E1513" t="str">
            <v>RO</v>
          </cell>
          <cell r="F1513">
            <v>0.81999999999999984</v>
          </cell>
          <cell r="G1513">
            <v>0</v>
          </cell>
          <cell r="H1513">
            <v>0.81999999999999984</v>
          </cell>
        </row>
        <row r="1514">
          <cell r="A1514" t="str">
            <v>2036RO</v>
          </cell>
          <cell r="B1514">
            <v>2036</v>
          </cell>
          <cell r="C1514" t="str">
            <v>VITAFER FR C/50 COMP-E</v>
          </cell>
          <cell r="D1514" t="str">
            <v>FR X 50</v>
          </cell>
          <cell r="E1514" t="str">
            <v>RO</v>
          </cell>
          <cell r="F1514">
            <v>0.52999999999999992</v>
          </cell>
          <cell r="G1514">
            <v>0</v>
          </cell>
          <cell r="H1514">
            <v>0.52999999999999992</v>
          </cell>
        </row>
        <row r="1515">
          <cell r="A1515" t="str">
            <v>60000RR</v>
          </cell>
          <cell r="B1515">
            <v>60000</v>
          </cell>
          <cell r="C1515" t="str">
            <v>A SAUDE DA MULHER 150ML SOLUCAO</v>
          </cell>
          <cell r="D1515" t="str">
            <v>FR X 150 ML</v>
          </cell>
          <cell r="E1515" t="str">
            <v>RR</v>
          </cell>
          <cell r="F1515">
            <v>0.26999999999999996</v>
          </cell>
          <cell r="G1515">
            <v>0</v>
          </cell>
          <cell r="H1515">
            <v>0.26999999999999996</v>
          </cell>
        </row>
        <row r="1516">
          <cell r="A1516" t="str">
            <v>2256RR</v>
          </cell>
          <cell r="B1516">
            <v>2256</v>
          </cell>
          <cell r="C1516" t="str">
            <v>ALLEXOFEDRIN 120MG 1BLTC/10 COM REV-E</v>
          </cell>
          <cell r="D1516" t="str">
            <v>1 BL X 10 COMP REVEST</v>
          </cell>
          <cell r="E1516" t="str">
            <v>RR</v>
          </cell>
          <cell r="F1516">
            <v>0.75</v>
          </cell>
          <cell r="G1516">
            <v>0</v>
          </cell>
          <cell r="H1516">
            <v>0.75</v>
          </cell>
        </row>
        <row r="1517">
          <cell r="A1517" t="str">
            <v>2255RR</v>
          </cell>
          <cell r="B1517">
            <v>2255</v>
          </cell>
          <cell r="C1517" t="str">
            <v>ALLEXOFEDRIN 180MG 1BLTC/10 COM REV-E</v>
          </cell>
          <cell r="D1517" t="str">
            <v>1 BL X 10 COMP REVEST</v>
          </cell>
          <cell r="E1517" t="str">
            <v>RR</v>
          </cell>
          <cell r="F1517">
            <v>0.74999999999999989</v>
          </cell>
          <cell r="G1517">
            <v>0</v>
          </cell>
          <cell r="H1517">
            <v>0.74999999999999989</v>
          </cell>
        </row>
        <row r="1518">
          <cell r="A1518" t="str">
            <v>2133RR</v>
          </cell>
          <cell r="B1518">
            <v>2133</v>
          </cell>
          <cell r="C1518" t="str">
            <v>ALLEXOFEDRIN D 60+120MG 1BLT C/10C.REV</v>
          </cell>
          <cell r="D1518" t="str">
            <v>1 BL X 10 COMP REVEST</v>
          </cell>
          <cell r="E1518" t="str">
            <v>RR</v>
          </cell>
          <cell r="F1518">
            <v>0.26</v>
          </cell>
          <cell r="G1518">
            <v>0</v>
          </cell>
          <cell r="H1518">
            <v>0.26</v>
          </cell>
        </row>
        <row r="1519">
          <cell r="A1519" t="str">
            <v>1066PE</v>
          </cell>
          <cell r="B1519">
            <v>1066</v>
          </cell>
          <cell r="C1519" t="str">
            <v>CELERGIN XPE 120ML-E</v>
          </cell>
          <cell r="D1519" t="str">
            <v>FR X 120 ML</v>
          </cell>
          <cell r="E1519" t="str">
            <v>PE</v>
          </cell>
          <cell r="F1519">
            <v>0.72750000000000004</v>
          </cell>
          <cell r="G1519">
            <v>0</v>
          </cell>
          <cell r="H1519">
            <v>0.72750000000000004</v>
          </cell>
        </row>
        <row r="1520">
          <cell r="A1520" t="str">
            <v>2347RR</v>
          </cell>
          <cell r="B1520">
            <v>2347</v>
          </cell>
          <cell r="C1520" t="str">
            <v>ALLEXOFEDRIN PEDIATRICO6MG/MLSUS150 ML-E</v>
          </cell>
          <cell r="D1520" t="str">
            <v>6MG/MLSUS150 ML-E</v>
          </cell>
          <cell r="E1520" t="str">
            <v>RR</v>
          </cell>
          <cell r="F1520">
            <v>0.60909999999999997</v>
          </cell>
          <cell r="G1520">
            <v>0</v>
          </cell>
          <cell r="H1520">
            <v>0.60909999999999997</v>
          </cell>
        </row>
        <row r="1521">
          <cell r="A1521" t="str">
            <v>2190RR</v>
          </cell>
          <cell r="B1521">
            <v>2190</v>
          </cell>
          <cell r="C1521" t="str">
            <v>ANTIVIRAX 400MG 2BLTX15 COM - E</v>
          </cell>
          <cell r="D1521" t="str">
            <v>2 BL X 15</v>
          </cell>
          <cell r="E1521" t="str">
            <v>RR</v>
          </cell>
          <cell r="F1521">
            <v>0.68</v>
          </cell>
          <cell r="G1521">
            <v>0</v>
          </cell>
          <cell r="H1521">
            <v>0.68</v>
          </cell>
        </row>
        <row r="1522">
          <cell r="A1522" t="str">
            <v>3009RR</v>
          </cell>
          <cell r="B1522">
            <v>3009</v>
          </cell>
          <cell r="C1522" t="str">
            <v>ANTIVIRAX CR BG C/10 G</v>
          </cell>
          <cell r="D1522" t="str">
            <v>BISN X 10 G</v>
          </cell>
          <cell r="E1522" t="str">
            <v>RR</v>
          </cell>
          <cell r="F1522">
            <v>0.74999999999999989</v>
          </cell>
          <cell r="G1522">
            <v>0</v>
          </cell>
          <cell r="H1522">
            <v>0.74999999999999989</v>
          </cell>
        </row>
        <row r="1523">
          <cell r="A1523" t="str">
            <v>1001RR</v>
          </cell>
          <cell r="B1523">
            <v>1001</v>
          </cell>
          <cell r="C1523" t="str">
            <v>APEVITIN BC XPE FRC/240ML</v>
          </cell>
          <cell r="D1523" t="str">
            <v>FR X 240 ML</v>
          </cell>
          <cell r="E1523" t="str">
            <v>RR</v>
          </cell>
          <cell r="F1523">
            <v>0.80710000000000004</v>
          </cell>
          <cell r="G1523">
            <v>0</v>
          </cell>
          <cell r="H1523">
            <v>0.80710000000000004</v>
          </cell>
        </row>
        <row r="1524">
          <cell r="A1524" t="str">
            <v>1226RR</v>
          </cell>
          <cell r="B1524">
            <v>1226</v>
          </cell>
          <cell r="C1524" t="str">
            <v>BENZIFLEX 10MG 1BLX15COMP.REV-E</v>
          </cell>
          <cell r="D1524" t="str">
            <v>1 BL X 15 COMP.</v>
          </cell>
          <cell r="E1524" t="str">
            <v>RR</v>
          </cell>
          <cell r="F1524">
            <v>0.71</v>
          </cell>
          <cell r="G1524">
            <v>0</v>
          </cell>
          <cell r="H1524">
            <v>0.71</v>
          </cell>
        </row>
        <row r="1525">
          <cell r="A1525" t="str">
            <v>1227RR</v>
          </cell>
          <cell r="B1525">
            <v>1227</v>
          </cell>
          <cell r="C1525" t="str">
            <v>BENZIFLEX 10MG 2BLX15COMP.REV-E</v>
          </cell>
          <cell r="D1525" t="str">
            <v>2 BL X 15 COMP.</v>
          </cell>
          <cell r="E1525" t="str">
            <v>RR</v>
          </cell>
          <cell r="F1525">
            <v>0.71</v>
          </cell>
          <cell r="G1525">
            <v>0</v>
          </cell>
          <cell r="H1525">
            <v>0.71</v>
          </cell>
        </row>
        <row r="1526">
          <cell r="A1526" t="str">
            <v>1233RR</v>
          </cell>
          <cell r="B1526">
            <v>1233</v>
          </cell>
          <cell r="C1526" t="str">
            <v>BENZIFLEX 5MG 2BLX15COMP.REV-E</v>
          </cell>
          <cell r="D1526" t="str">
            <v>2 BL X 15 COMP.</v>
          </cell>
          <cell r="E1526" t="str">
            <v>RR</v>
          </cell>
          <cell r="F1526">
            <v>0.71</v>
          </cell>
          <cell r="G1526">
            <v>0</v>
          </cell>
          <cell r="H1526">
            <v>0.71</v>
          </cell>
        </row>
        <row r="1527">
          <cell r="A1527" t="str">
            <v>1574RR</v>
          </cell>
          <cell r="B1527">
            <v>1574</v>
          </cell>
          <cell r="C1527" t="str">
            <v>BENZIFLEX LIS 125MG+5MG 15COM.REV.-E</v>
          </cell>
          <cell r="D1527" t="str">
            <v>1 BL X 15 COMP.</v>
          </cell>
          <cell r="E1527" t="str">
            <v>RR</v>
          </cell>
          <cell r="F1527">
            <v>0.5</v>
          </cell>
          <cell r="G1527">
            <v>0</v>
          </cell>
          <cell r="H1527">
            <v>0.5</v>
          </cell>
        </row>
        <row r="1528">
          <cell r="A1528" t="str">
            <v>2292RR</v>
          </cell>
          <cell r="B1528">
            <v>2292</v>
          </cell>
          <cell r="C1528" t="str">
            <v>BENZIFLEX LIS 125MG+5MG 2BL15 COM.REV.-E</v>
          </cell>
          <cell r="D1528" t="str">
            <v>2 BL X 15 COMP.</v>
          </cell>
          <cell r="E1528" t="str">
            <v>RR</v>
          </cell>
          <cell r="F1528">
            <v>0.53</v>
          </cell>
          <cell r="G1528">
            <v>0</v>
          </cell>
          <cell r="H1528">
            <v>0.53</v>
          </cell>
        </row>
        <row r="1529">
          <cell r="A1529" t="str">
            <v>1155RR</v>
          </cell>
          <cell r="B1529">
            <v>1155</v>
          </cell>
          <cell r="C1529" t="str">
            <v>BIOFLADEX AEROSSOL 60G- E</v>
          </cell>
          <cell r="D1529" t="str">
            <v>FRASCO 60 G</v>
          </cell>
          <cell r="E1529" t="str">
            <v>RR</v>
          </cell>
          <cell r="F1529">
            <v>0.66</v>
          </cell>
          <cell r="G1529">
            <v>0</v>
          </cell>
          <cell r="H1529">
            <v>0.66</v>
          </cell>
        </row>
        <row r="1530">
          <cell r="A1530" t="str">
            <v>1072RR</v>
          </cell>
          <cell r="B1530">
            <v>1072</v>
          </cell>
          <cell r="C1530" t="str">
            <v>BISURAN 4MG/5ML XPE INF 120ML-E</v>
          </cell>
          <cell r="D1530" t="str">
            <v>FR X 120 ML</v>
          </cell>
          <cell r="E1530" t="str">
            <v>RR</v>
          </cell>
          <cell r="F1530">
            <v>0.53</v>
          </cell>
          <cell r="G1530">
            <v>0</v>
          </cell>
          <cell r="H1530">
            <v>0.53</v>
          </cell>
        </row>
        <row r="1531">
          <cell r="A1531" t="str">
            <v>1318RR</v>
          </cell>
          <cell r="B1531">
            <v>1318</v>
          </cell>
          <cell r="C1531" t="str">
            <v>BISURAN 8MG/5ML XPE AD. 120ML-E</v>
          </cell>
          <cell r="D1531" t="str">
            <v>FR X 120 ML</v>
          </cell>
          <cell r="E1531" t="str">
            <v>RR</v>
          </cell>
          <cell r="F1531">
            <v>0.61999999999999988</v>
          </cell>
          <cell r="G1531">
            <v>0</v>
          </cell>
          <cell r="H1531">
            <v>0.61999999999999988</v>
          </cell>
        </row>
        <row r="1532">
          <cell r="A1532" t="str">
            <v>2141RR</v>
          </cell>
          <cell r="B1532">
            <v>2141</v>
          </cell>
          <cell r="C1532" t="str">
            <v>CELERGIN 20 COMP-E</v>
          </cell>
          <cell r="D1532" t="str">
            <v>CX. C/20 COMP.</v>
          </cell>
          <cell r="E1532" t="str">
            <v>RR</v>
          </cell>
          <cell r="F1532">
            <v>0.65649999999999986</v>
          </cell>
          <cell r="G1532">
            <v>0</v>
          </cell>
          <cell r="H1532">
            <v>0.65649999999999986</v>
          </cell>
        </row>
        <row r="1533">
          <cell r="A1533" t="str">
            <v>1066PI</v>
          </cell>
          <cell r="B1533">
            <v>1066</v>
          </cell>
          <cell r="C1533" t="str">
            <v>CELERGIN XPE 120ML-E</v>
          </cell>
          <cell r="D1533" t="str">
            <v>FR X 120 ML</v>
          </cell>
          <cell r="E1533" t="str">
            <v>PI</v>
          </cell>
          <cell r="F1533">
            <v>0.69520000000000015</v>
          </cell>
          <cell r="G1533">
            <v>0</v>
          </cell>
          <cell r="H1533">
            <v>0.69520000000000015</v>
          </cell>
        </row>
        <row r="1534">
          <cell r="A1534" t="str">
            <v>2322RR</v>
          </cell>
          <cell r="B1534">
            <v>2322</v>
          </cell>
          <cell r="C1534" t="str">
            <v>CLOPE 3,54MG/ML XPE 120ML FR PLAS-E</v>
          </cell>
          <cell r="D1534" t="str">
            <v>FR X 120 ML</v>
          </cell>
          <cell r="E1534" t="str">
            <v>RR</v>
          </cell>
          <cell r="F1534">
            <v>0.53</v>
          </cell>
          <cell r="G1534">
            <v>0</v>
          </cell>
          <cell r="H1534">
            <v>0.53</v>
          </cell>
        </row>
        <row r="1535">
          <cell r="A1535" t="str">
            <v>2383RR</v>
          </cell>
          <cell r="B1535">
            <v>2383</v>
          </cell>
          <cell r="C1535" t="str">
            <v>COMPLEXO B 12 XPE FR C/120ML E</v>
          </cell>
          <cell r="D1535" t="str">
            <v>FR X 120 ML</v>
          </cell>
          <cell r="E1535" t="str">
            <v>RR</v>
          </cell>
          <cell r="F1535">
            <v>0.67000000000000015</v>
          </cell>
          <cell r="G1535">
            <v>0</v>
          </cell>
          <cell r="H1535">
            <v>0.67000000000000015</v>
          </cell>
        </row>
        <row r="1536">
          <cell r="A1536" t="str">
            <v>2384RR</v>
          </cell>
          <cell r="B1536">
            <v>2384</v>
          </cell>
          <cell r="C1536" t="str">
            <v>COMPLEXO B CPR REVEST x 20</v>
          </cell>
          <cell r="D1536" t="str">
            <v xml:space="preserve">FR X 20 </v>
          </cell>
          <cell r="E1536" t="str">
            <v>RR</v>
          </cell>
          <cell r="F1536">
            <v>0.66000000000000014</v>
          </cell>
          <cell r="G1536">
            <v>0</v>
          </cell>
          <cell r="H1536">
            <v>0.66000000000000014</v>
          </cell>
        </row>
        <row r="1537">
          <cell r="A1537" t="str">
            <v>2382RR</v>
          </cell>
          <cell r="B1537">
            <v>2382</v>
          </cell>
          <cell r="C1537" t="str">
            <v>COMPLEXO B FR C/100 COM REV  E</v>
          </cell>
          <cell r="D1537" t="str">
            <v>FR X 100</v>
          </cell>
          <cell r="E1537" t="str">
            <v>RR</v>
          </cell>
          <cell r="F1537">
            <v>0.64000000000000012</v>
          </cell>
          <cell r="G1537">
            <v>0</v>
          </cell>
          <cell r="H1537">
            <v>0.64000000000000012</v>
          </cell>
        </row>
        <row r="1538">
          <cell r="A1538" t="str">
            <v>2011RR</v>
          </cell>
          <cell r="B1538">
            <v>2011</v>
          </cell>
          <cell r="C1538" t="str">
            <v>CYSTEX FR C/24 DRG</v>
          </cell>
          <cell r="D1538" t="str">
            <v xml:space="preserve">FR X 24 </v>
          </cell>
          <cell r="E1538" t="str">
            <v>RR</v>
          </cell>
          <cell r="F1538">
            <v>0.36070000000000002</v>
          </cell>
          <cell r="G1538">
            <v>0</v>
          </cell>
          <cell r="H1538">
            <v>0.36070000000000002</v>
          </cell>
        </row>
        <row r="1539">
          <cell r="A1539" t="str">
            <v>1837RR</v>
          </cell>
          <cell r="B1539">
            <v>1837</v>
          </cell>
          <cell r="C1539" t="str">
            <v>DIOVASES 450+50MG C/30 COM.REV. - E</v>
          </cell>
          <cell r="D1539" t="str">
            <v>2 BL X 15 COMP.</v>
          </cell>
          <cell r="E1539" t="str">
            <v>RR</v>
          </cell>
          <cell r="F1539">
            <v>0.68</v>
          </cell>
          <cell r="G1539">
            <v>0</v>
          </cell>
          <cell r="H1539">
            <v>0.68</v>
          </cell>
        </row>
        <row r="1540">
          <cell r="A1540" t="str">
            <v>1838RR</v>
          </cell>
          <cell r="B1540">
            <v>1838</v>
          </cell>
          <cell r="C1540" t="str">
            <v>DIOVASES 450+50MG C/60 COM.REV. - E</v>
          </cell>
          <cell r="D1540" t="str">
            <v>4 BL X 15 COMP.</v>
          </cell>
          <cell r="E1540" t="str">
            <v>RR</v>
          </cell>
          <cell r="F1540">
            <v>0.72</v>
          </cell>
          <cell r="G1540">
            <v>0</v>
          </cell>
          <cell r="H1540">
            <v>0.72</v>
          </cell>
        </row>
        <row r="1541">
          <cell r="A1541" t="str">
            <v>2261RR</v>
          </cell>
          <cell r="B1541">
            <v>2261</v>
          </cell>
          <cell r="C1541" t="str">
            <v>DORICIN CPR x 24</v>
          </cell>
          <cell r="D1541" t="str">
            <v>2BL C/12 COMPRIMIDOS -E</v>
          </cell>
          <cell r="E1541" t="str">
            <v>RR</v>
          </cell>
          <cell r="F1541">
            <v>0.74099999999999999</v>
          </cell>
          <cell r="G1541">
            <v>0</v>
          </cell>
          <cell r="H1541">
            <v>0.74099999999999999</v>
          </cell>
        </row>
        <row r="1542">
          <cell r="A1542" t="str">
            <v>2264RR</v>
          </cell>
          <cell r="B1542">
            <v>2264</v>
          </cell>
          <cell r="C1542" t="str">
            <v>DORICIN CPR x 300</v>
          </cell>
          <cell r="D1542" t="str">
            <v>30BL C/10 COMPRIMIDOS -E</v>
          </cell>
          <cell r="E1542" t="str">
            <v>RR</v>
          </cell>
          <cell r="F1542">
            <v>0.74099999999999999</v>
          </cell>
          <cell r="G1542">
            <v>0</v>
          </cell>
          <cell r="H1542">
            <v>0.74099999999999999</v>
          </cell>
        </row>
        <row r="1543">
          <cell r="A1543" t="str">
            <v>2262RR</v>
          </cell>
          <cell r="B1543">
            <v>2262</v>
          </cell>
          <cell r="C1543" t="str">
            <v>DORICIN CPR X 36</v>
          </cell>
          <cell r="D1543" t="str">
            <v>3BL C/12 COMPRIMIDOS -E</v>
          </cell>
          <cell r="E1543" t="str">
            <v>RR</v>
          </cell>
          <cell r="F1543">
            <v>0.75139999999999996</v>
          </cell>
          <cell r="G1543">
            <v>0</v>
          </cell>
          <cell r="H1543">
            <v>0.75139999999999996</v>
          </cell>
        </row>
        <row r="1544">
          <cell r="A1544" t="str">
            <v>2263RR</v>
          </cell>
          <cell r="B1544">
            <v>2263</v>
          </cell>
          <cell r="C1544" t="str">
            <v>DORICIN CPR X 50</v>
          </cell>
          <cell r="D1544" t="str">
            <v>5BL C/10 COMPRIMIDOS - E</v>
          </cell>
          <cell r="E1544" t="str">
            <v>RR</v>
          </cell>
          <cell r="F1544">
            <v>0.66100000000000003</v>
          </cell>
          <cell r="G1544">
            <v>0</v>
          </cell>
          <cell r="H1544">
            <v>0.66100000000000003</v>
          </cell>
        </row>
        <row r="1545">
          <cell r="A1545" t="str">
            <v>1173RR</v>
          </cell>
          <cell r="B1545">
            <v>1173</v>
          </cell>
          <cell r="C1545" t="str">
            <v>DORICIN GOTAS 20ML x 1</v>
          </cell>
          <cell r="D1545" t="str">
            <v>FR X 20 ML</v>
          </cell>
          <cell r="E1545" t="str">
            <v>RR</v>
          </cell>
          <cell r="F1545">
            <v>0.65</v>
          </cell>
          <cell r="G1545">
            <v>0</v>
          </cell>
          <cell r="H1545">
            <v>0.65</v>
          </cell>
        </row>
        <row r="1546">
          <cell r="A1546" t="str">
            <v>2018RR</v>
          </cell>
          <cell r="B1546">
            <v>2018</v>
          </cell>
          <cell r="C1546" t="str">
            <v>EMISTIN BLT 1X20=20COMP</v>
          </cell>
          <cell r="D1546" t="str">
            <v>1 BL X 20</v>
          </cell>
          <cell r="E1546" t="str">
            <v>RR</v>
          </cell>
          <cell r="F1546">
            <v>0.67</v>
          </cell>
          <cell r="G1546">
            <v>0</v>
          </cell>
          <cell r="H1546">
            <v>0.67</v>
          </cell>
        </row>
        <row r="1547">
          <cell r="A1547" t="str">
            <v>3008RR</v>
          </cell>
          <cell r="B1547">
            <v>3008</v>
          </cell>
          <cell r="C1547" t="str">
            <v>EMISTIN CR BG C/20G</v>
          </cell>
          <cell r="D1547" t="str">
            <v>BISN X 20 G</v>
          </cell>
          <cell r="E1547" t="str">
            <v>RR</v>
          </cell>
          <cell r="F1547">
            <v>0.77</v>
          </cell>
          <cell r="G1547">
            <v>0</v>
          </cell>
          <cell r="H1547">
            <v>0.77</v>
          </cell>
        </row>
        <row r="1548">
          <cell r="A1548" t="str">
            <v>3020RR</v>
          </cell>
          <cell r="B1548">
            <v>3020</v>
          </cell>
          <cell r="C1548" t="str">
            <v>EMSCORT CR BG C/30G</v>
          </cell>
          <cell r="D1548" t="str">
            <v>BISN X 30 G</v>
          </cell>
          <cell r="E1548" t="str">
            <v>RR</v>
          </cell>
          <cell r="F1548">
            <v>0.77000000000000013</v>
          </cell>
          <cell r="G1548">
            <v>0</v>
          </cell>
          <cell r="H1548">
            <v>0.77000000000000013</v>
          </cell>
        </row>
        <row r="1549">
          <cell r="A1549" t="str">
            <v>6023RR</v>
          </cell>
          <cell r="B1549">
            <v>6023</v>
          </cell>
          <cell r="C1549" t="str">
            <v>EMSCORT POM BISN 30G-E</v>
          </cell>
          <cell r="D1549" t="str">
            <v>BISN X 30 G</v>
          </cell>
          <cell r="E1549" t="str">
            <v>RR</v>
          </cell>
          <cell r="F1549">
            <v>0.7639999999999999</v>
          </cell>
          <cell r="G1549">
            <v>0</v>
          </cell>
          <cell r="H1549">
            <v>0.7639999999999999</v>
          </cell>
        </row>
        <row r="1550">
          <cell r="A1550" t="str">
            <v>1190RR</v>
          </cell>
          <cell r="B1550">
            <v>1190</v>
          </cell>
          <cell r="C1550" t="str">
            <v>EMSEXPECTOR XAROPE FR C/120ML - E</v>
          </cell>
          <cell r="D1550" t="str">
            <v>FR X 120 ML</v>
          </cell>
          <cell r="E1550" t="str">
            <v>RR</v>
          </cell>
          <cell r="F1550">
            <v>0.48</v>
          </cell>
          <cell r="G1550">
            <v>0</v>
          </cell>
          <cell r="H1550">
            <v>0.48</v>
          </cell>
        </row>
        <row r="1551">
          <cell r="A1551" t="str">
            <v>2111RR</v>
          </cell>
          <cell r="B1551">
            <v>2111</v>
          </cell>
          <cell r="C1551" t="str">
            <v>ENDCOFF PAST MEL ELIMAO C/12UN</v>
          </cell>
          <cell r="D1551" t="str">
            <v>3 STP X 4</v>
          </cell>
          <cell r="E1551" t="str">
            <v>RR</v>
          </cell>
          <cell r="F1551">
            <v>0.48</v>
          </cell>
          <cell r="G1551">
            <v>0</v>
          </cell>
          <cell r="H1551">
            <v>0.48</v>
          </cell>
        </row>
        <row r="1552">
          <cell r="A1552" t="str">
            <v>2092RR</v>
          </cell>
          <cell r="B1552">
            <v>2092</v>
          </cell>
          <cell r="C1552" t="str">
            <v>ENDCOFF PAST STP MENTA C/12 UN</v>
          </cell>
          <cell r="D1552" t="str">
            <v>3 STP X 4</v>
          </cell>
          <cell r="E1552" t="str">
            <v>RR</v>
          </cell>
          <cell r="F1552">
            <v>0.48</v>
          </cell>
          <cell r="G1552">
            <v>0</v>
          </cell>
          <cell r="H1552">
            <v>0.48</v>
          </cell>
        </row>
        <row r="1553">
          <cell r="A1553" t="str">
            <v>1905RR</v>
          </cell>
          <cell r="B1553">
            <v>1905</v>
          </cell>
          <cell r="C1553" t="str">
            <v>ESMOG 20MG 4BLTC/7 COM REV LIB RETARD- E</v>
          </cell>
          <cell r="D1553" t="str">
            <v>4 BLT C/7</v>
          </cell>
          <cell r="E1553" t="str">
            <v>RR</v>
          </cell>
          <cell r="F1553">
            <v>0.77800000000000002</v>
          </cell>
          <cell r="G1553">
            <v>0</v>
          </cell>
          <cell r="H1553">
            <v>0.77800000000000002</v>
          </cell>
        </row>
        <row r="1554">
          <cell r="A1554" t="str">
            <v>1906RR</v>
          </cell>
          <cell r="B1554">
            <v>1906</v>
          </cell>
          <cell r="C1554" t="str">
            <v>ESMOG 40MG 4BLTC/7 COM REV LIB RETARD- E</v>
          </cell>
          <cell r="D1554" t="str">
            <v>4 BLT C/7</v>
          </cell>
          <cell r="E1554" t="str">
            <v>RR</v>
          </cell>
          <cell r="F1554">
            <v>0.8</v>
          </cell>
          <cell r="G1554">
            <v>0</v>
          </cell>
          <cell r="H1554">
            <v>0.8</v>
          </cell>
        </row>
        <row r="1555">
          <cell r="A1555" t="str">
            <v>1016RR</v>
          </cell>
          <cell r="B1555">
            <v>1016</v>
          </cell>
          <cell r="C1555" t="str">
            <v>EXPECTUSS XPE ADULTO FR C/100ML</v>
          </cell>
          <cell r="D1555" t="str">
            <v>FR X 100 ML</v>
          </cell>
          <cell r="E1555" t="str">
            <v>RR</v>
          </cell>
          <cell r="F1555">
            <v>0.55000000000000016</v>
          </cell>
          <cell r="G1555">
            <v>0</v>
          </cell>
          <cell r="H1555">
            <v>0.55000000000000016</v>
          </cell>
        </row>
        <row r="1556">
          <cell r="A1556" t="str">
            <v>1015RR</v>
          </cell>
          <cell r="B1556">
            <v>1015</v>
          </cell>
          <cell r="C1556" t="str">
            <v>EXPECTUSS XPE INF FR C/100ML</v>
          </cell>
          <cell r="D1556" t="str">
            <v>FR X 100 ML</v>
          </cell>
          <cell r="E1556" t="str">
            <v>RR</v>
          </cell>
          <cell r="F1556">
            <v>0.5099999999999999</v>
          </cell>
          <cell r="G1556">
            <v>0</v>
          </cell>
          <cell r="H1556">
            <v>0.5099999999999999</v>
          </cell>
        </row>
        <row r="1557">
          <cell r="A1557" t="str">
            <v>1363RR</v>
          </cell>
          <cell r="B1557">
            <v>1363</v>
          </cell>
          <cell r="C1557" t="str">
            <v>FLUITEINA 600MG GRAN 16ENV 5G-E</v>
          </cell>
          <cell r="D1557" t="str">
            <v>CX. C/16 ENV X 5GR</v>
          </cell>
          <cell r="E1557" t="str">
            <v>RR</v>
          </cell>
          <cell r="F1557">
            <v>0.42999999999999994</v>
          </cell>
          <cell r="G1557">
            <v>0</v>
          </cell>
          <cell r="H1557">
            <v>0.42999999999999994</v>
          </cell>
        </row>
        <row r="1558">
          <cell r="A1558" t="str">
            <v>1364RR</v>
          </cell>
          <cell r="B1558">
            <v>1364</v>
          </cell>
          <cell r="C1558" t="str">
            <v>FLUITEINA XPE AD 40MG/ML120ML-E</v>
          </cell>
          <cell r="D1558" t="str">
            <v>FR X 120 ML</v>
          </cell>
          <cell r="E1558" t="str">
            <v>RR</v>
          </cell>
          <cell r="F1558">
            <v>0.56999999999999973</v>
          </cell>
          <cell r="G1558">
            <v>0</v>
          </cell>
          <cell r="H1558">
            <v>0.56999999999999973</v>
          </cell>
        </row>
        <row r="1559">
          <cell r="A1559" t="str">
            <v>1163RR</v>
          </cell>
          <cell r="B1559">
            <v>1163</v>
          </cell>
          <cell r="C1559" t="str">
            <v>FLUITEINA XPE INF 20MG/ML 120ML-E</v>
          </cell>
          <cell r="D1559" t="str">
            <v>FR X 120 ML</v>
          </cell>
          <cell r="E1559" t="str">
            <v>RR</v>
          </cell>
          <cell r="F1559">
            <v>0.51900000000000002</v>
          </cell>
          <cell r="G1559">
            <v>0</v>
          </cell>
          <cell r="H1559">
            <v>0.51900000000000002</v>
          </cell>
        </row>
        <row r="1560">
          <cell r="A1560" t="str">
            <v>1168RR</v>
          </cell>
          <cell r="B1560">
            <v>1168</v>
          </cell>
          <cell r="C1560" t="str">
            <v>FOLIFOLIN 5MG 2BLTX15COMP - E</v>
          </cell>
          <cell r="D1560" t="str">
            <v>2 BLT X 15 COMP.</v>
          </cell>
          <cell r="E1560" t="str">
            <v>RR</v>
          </cell>
          <cell r="F1560">
            <v>0.66</v>
          </cell>
          <cell r="G1560">
            <v>0</v>
          </cell>
          <cell r="H1560">
            <v>0.66</v>
          </cell>
        </row>
        <row r="1561">
          <cell r="A1561" t="str">
            <v>2318RR</v>
          </cell>
          <cell r="B1561">
            <v>2318</v>
          </cell>
          <cell r="C1561" t="str">
            <v>GEROVITAL  2BLT15 CAP MOLE-E</v>
          </cell>
          <cell r="D1561" t="str">
            <v>3 BL X 10</v>
          </cell>
          <cell r="E1561" t="str">
            <v>RR</v>
          </cell>
          <cell r="F1561">
            <v>0.57899999999999996</v>
          </cell>
          <cell r="G1561">
            <v>0</v>
          </cell>
          <cell r="H1561">
            <v>0.57899999999999996</v>
          </cell>
        </row>
        <row r="1562">
          <cell r="A1562" t="str">
            <v>2062RR</v>
          </cell>
          <cell r="B1562">
            <v>2062</v>
          </cell>
          <cell r="C1562" t="str">
            <v>GEROVITAL 3BLT C/20 CAP</v>
          </cell>
          <cell r="D1562" t="str">
            <v>6 BL X 10</v>
          </cell>
          <cell r="E1562" t="str">
            <v>RR</v>
          </cell>
          <cell r="F1562">
            <v>0.48100000000000004</v>
          </cell>
          <cell r="G1562">
            <v>0</v>
          </cell>
          <cell r="H1562">
            <v>0.48100000000000004</v>
          </cell>
        </row>
        <row r="1563">
          <cell r="A1563" t="str">
            <v>1230RR</v>
          </cell>
          <cell r="B1563">
            <v>1230</v>
          </cell>
          <cell r="C1563" t="str">
            <v>IBULIV 100MG/ML SUP ORAL C/ 20 ML-E</v>
          </cell>
          <cell r="D1563" t="str">
            <v>FR X 20 ML</v>
          </cell>
          <cell r="E1563" t="str">
            <v>RR</v>
          </cell>
          <cell r="F1563">
            <v>0.68000000000000016</v>
          </cell>
          <cell r="G1563">
            <v>0</v>
          </cell>
          <cell r="H1563">
            <v>0.68000000000000016</v>
          </cell>
        </row>
        <row r="1564">
          <cell r="A1564" t="str">
            <v>1472RR</v>
          </cell>
          <cell r="B1564">
            <v>1472</v>
          </cell>
          <cell r="C1564" t="str">
            <v>IBULIV 400MG 10 BLT C/ 4CAPS GEL.MOLES-E</v>
          </cell>
          <cell r="D1564" t="str">
            <v>10 BLT X 4 CÁPS</v>
          </cell>
          <cell r="E1564" t="str">
            <v>RR</v>
          </cell>
          <cell r="F1564">
            <v>0.71000000000000019</v>
          </cell>
          <cell r="G1564">
            <v>0</v>
          </cell>
          <cell r="H1564">
            <v>0.71000000000000019</v>
          </cell>
        </row>
        <row r="1565">
          <cell r="A1565" t="str">
            <v>2469RR</v>
          </cell>
          <cell r="B1565">
            <v>2469</v>
          </cell>
          <cell r="C1565" t="str">
            <v>IBULIV 400MG 2 BLT C/ 10CAPS GEL.MOLES-E</v>
          </cell>
          <cell r="D1565" t="str">
            <v>20 CÁPS.</v>
          </cell>
          <cell r="E1565" t="str">
            <v>RR</v>
          </cell>
          <cell r="F1565">
            <v>0.71</v>
          </cell>
          <cell r="G1565">
            <v>0</v>
          </cell>
          <cell r="H1565">
            <v>0.71</v>
          </cell>
        </row>
        <row r="1566">
          <cell r="A1566" t="str">
            <v>1471RR</v>
          </cell>
          <cell r="B1566">
            <v>1471</v>
          </cell>
          <cell r="C1566" t="str">
            <v>IBULIV 400MG 2 BLT C/ 4CAPS GEL.MOLES-E</v>
          </cell>
          <cell r="D1566" t="str">
            <v>2 BLT X 4 CÁPS.</v>
          </cell>
          <cell r="E1566" t="str">
            <v>RR</v>
          </cell>
          <cell r="F1566">
            <v>0.71</v>
          </cell>
          <cell r="G1566">
            <v>0</v>
          </cell>
          <cell r="H1566">
            <v>0.71</v>
          </cell>
        </row>
        <row r="1567">
          <cell r="A1567" t="str">
            <v>1175RR</v>
          </cell>
          <cell r="B1567">
            <v>1175</v>
          </cell>
          <cell r="C1567" t="str">
            <v>INFRALAX 1BLT C/15COMP - EMS</v>
          </cell>
          <cell r="D1567" t="str">
            <v>1 BLT C/ 15</v>
          </cell>
          <cell r="E1567" t="str">
            <v>RR</v>
          </cell>
          <cell r="F1567">
            <v>0.74280000000000002</v>
          </cell>
          <cell r="G1567">
            <v>0</v>
          </cell>
          <cell r="H1567">
            <v>0.74280000000000002</v>
          </cell>
        </row>
        <row r="1568">
          <cell r="A1568" t="str">
            <v>1821RR</v>
          </cell>
          <cell r="B1568">
            <v>1821</v>
          </cell>
          <cell r="C1568" t="str">
            <v>INFRALAX 20BLTX10COMP - E</v>
          </cell>
          <cell r="D1568" t="str">
            <v>20 BLT X 10</v>
          </cell>
          <cell r="E1568" t="str">
            <v>RR</v>
          </cell>
          <cell r="F1568">
            <v>0.81</v>
          </cell>
          <cell r="G1568">
            <v>0</v>
          </cell>
          <cell r="H1568">
            <v>0.81</v>
          </cell>
        </row>
        <row r="1569">
          <cell r="A1569" t="str">
            <v>2138RR</v>
          </cell>
          <cell r="B1569">
            <v>2138</v>
          </cell>
          <cell r="C1569" t="str">
            <v>INFRALAX 2BLT C/15COMP - EMS</v>
          </cell>
          <cell r="D1569" t="str">
            <v>2 BL X 15</v>
          </cell>
          <cell r="E1569" t="str">
            <v>RR</v>
          </cell>
          <cell r="F1569">
            <v>0.74650000000000005</v>
          </cell>
          <cell r="G1569">
            <v>0</v>
          </cell>
          <cell r="H1569">
            <v>0.74650000000000005</v>
          </cell>
        </row>
        <row r="1570">
          <cell r="A1570" t="str">
            <v>6011RR</v>
          </cell>
          <cell r="B1570">
            <v>6011</v>
          </cell>
          <cell r="C1570" t="str">
            <v>NARIDRIN 12HS GOTAS FR C/30ML</v>
          </cell>
          <cell r="D1570" t="str">
            <v>FR X 30 ML</v>
          </cell>
          <cell r="E1570" t="str">
            <v>RR</v>
          </cell>
          <cell r="F1570">
            <v>0.74</v>
          </cell>
          <cell r="G1570">
            <v>0</v>
          </cell>
          <cell r="H1570">
            <v>0.74</v>
          </cell>
        </row>
        <row r="1571">
          <cell r="A1571" t="str">
            <v>2604RR</v>
          </cell>
          <cell r="B1571">
            <v>2604</v>
          </cell>
          <cell r="C1571" t="str">
            <v>NARIDRIN ALTO VOL 30ENVX2,16G+FR240ML</v>
          </cell>
          <cell r="D1571" t="str">
            <v>30ENVX2,16G+FR240ML</v>
          </cell>
          <cell r="E1571" t="str">
            <v>RR</v>
          </cell>
          <cell r="F1571">
            <v>0.64</v>
          </cell>
          <cell r="G1571">
            <v>0</v>
          </cell>
          <cell r="H1571">
            <v>0.64</v>
          </cell>
        </row>
        <row r="1572">
          <cell r="A1572" t="str">
            <v>2605RR</v>
          </cell>
          <cell r="B1572">
            <v>2605</v>
          </cell>
          <cell r="C1572" t="str">
            <v>NARIDRIN ALTO VOL REFIL</v>
          </cell>
          <cell r="D1572" t="str">
            <v>30 ENV X 2,16G</v>
          </cell>
          <cell r="E1572" t="str">
            <v>RR</v>
          </cell>
          <cell r="F1572">
            <v>0.59999999999999987</v>
          </cell>
          <cell r="G1572">
            <v>0</v>
          </cell>
          <cell r="H1572">
            <v>0.59999999999999987</v>
          </cell>
        </row>
        <row r="1573">
          <cell r="A1573" t="str">
            <v>1433RR</v>
          </cell>
          <cell r="B1573">
            <v>1433</v>
          </cell>
          <cell r="C1573" t="str">
            <v>NARIDRIN AQUA 9MG/ML FRASCO C/50ML-E</v>
          </cell>
          <cell r="D1573" t="str">
            <v>FR X 50 ML SPRAY</v>
          </cell>
          <cell r="E1573" t="str">
            <v>RR</v>
          </cell>
          <cell r="F1573">
            <v>0.71</v>
          </cell>
          <cell r="G1573">
            <v>0</v>
          </cell>
          <cell r="H1573">
            <v>0.71</v>
          </cell>
        </row>
        <row r="1574">
          <cell r="A1574" t="str">
            <v>6005RR</v>
          </cell>
          <cell r="B1574">
            <v>6005</v>
          </cell>
          <cell r="C1574" t="str">
            <v>NARIDRIN GOTAS AD FR C/15ML</v>
          </cell>
          <cell r="D1574" t="str">
            <v>FR X 15 ML</v>
          </cell>
          <cell r="E1574" t="str">
            <v>RR</v>
          </cell>
          <cell r="F1574">
            <v>0.74</v>
          </cell>
          <cell r="G1574">
            <v>0</v>
          </cell>
          <cell r="H1574">
            <v>0.74</v>
          </cell>
        </row>
        <row r="1575">
          <cell r="A1575" t="str">
            <v>6006RR</v>
          </cell>
          <cell r="B1575">
            <v>6006</v>
          </cell>
          <cell r="C1575" t="str">
            <v>NARIDRIN GOTAS INF FR C/15ML</v>
          </cell>
          <cell r="D1575" t="str">
            <v>FR X 15 ML</v>
          </cell>
          <cell r="E1575" t="str">
            <v>RR</v>
          </cell>
          <cell r="F1575">
            <v>0.72999999999999987</v>
          </cell>
          <cell r="G1575">
            <v>0</v>
          </cell>
          <cell r="H1575">
            <v>0.72999999999999987</v>
          </cell>
        </row>
        <row r="1576">
          <cell r="A1576" t="str">
            <v>1079RR</v>
          </cell>
          <cell r="B1576">
            <v>1079</v>
          </cell>
          <cell r="C1576" t="str">
            <v>NARIDRIN H 30MG/ML SOL.NAS SPRAY 60ML-E</v>
          </cell>
          <cell r="D1576" t="str">
            <v>FRASCO X 60ML</v>
          </cell>
          <cell r="E1576" t="str">
            <v>RR</v>
          </cell>
          <cell r="F1576">
            <v>0.7</v>
          </cell>
          <cell r="G1576">
            <v>0</v>
          </cell>
          <cell r="H1576">
            <v>0.7</v>
          </cell>
        </row>
        <row r="1577">
          <cell r="A1577" t="str">
            <v>1368RR</v>
          </cell>
          <cell r="B1577">
            <v>1368</v>
          </cell>
          <cell r="C1577" t="str">
            <v>NIMESILAM BLT 1X12= 12 COM - E</v>
          </cell>
          <cell r="D1577" t="str">
            <v>1 BLT X 12</v>
          </cell>
          <cell r="E1577" t="str">
            <v>RR</v>
          </cell>
          <cell r="F1577">
            <v>0.89999999999999991</v>
          </cell>
          <cell r="G1577">
            <v>0</v>
          </cell>
          <cell r="H1577">
            <v>0.89999999999999991</v>
          </cell>
        </row>
        <row r="1578">
          <cell r="A1578" t="str">
            <v>1367RR</v>
          </cell>
          <cell r="B1578">
            <v>1367</v>
          </cell>
          <cell r="C1578" t="str">
            <v>NIMESILAM GOTAS FRC/15ML  - E</v>
          </cell>
          <cell r="D1578" t="str">
            <v>FR 15 ML</v>
          </cell>
          <cell r="E1578" t="str">
            <v>RR</v>
          </cell>
          <cell r="F1578">
            <v>0.73</v>
          </cell>
          <cell r="G1578">
            <v>0</v>
          </cell>
          <cell r="H1578">
            <v>0.73</v>
          </cell>
        </row>
        <row r="1579">
          <cell r="A1579" t="str">
            <v>2058RR</v>
          </cell>
          <cell r="B1579">
            <v>2058</v>
          </cell>
          <cell r="C1579" t="str">
            <v>NOCICLIN 1BLT C/21COM-EMS</v>
          </cell>
          <cell r="D1579" t="str">
            <v>1 BL X 21</v>
          </cell>
          <cell r="E1579" t="str">
            <v>RR</v>
          </cell>
          <cell r="F1579">
            <v>0.68</v>
          </cell>
          <cell r="G1579">
            <v>0</v>
          </cell>
          <cell r="H1579">
            <v>0.68</v>
          </cell>
        </row>
        <row r="1580">
          <cell r="A1580" t="str">
            <v>2391RR</v>
          </cell>
          <cell r="B1580">
            <v>2391</v>
          </cell>
          <cell r="C1580" t="str">
            <v>RUDITE 20MG/ML PO SUS 100ML-E</v>
          </cell>
          <cell r="D1580" t="str">
            <v>FR X 100 ML</v>
          </cell>
          <cell r="E1580" t="str">
            <v>RR</v>
          </cell>
          <cell r="F1580">
            <v>0.59899999999999998</v>
          </cell>
          <cell r="G1580">
            <v>0</v>
          </cell>
          <cell r="H1580">
            <v>0.59899999999999998</v>
          </cell>
        </row>
        <row r="1581">
          <cell r="A1581" t="str">
            <v>2392RR</v>
          </cell>
          <cell r="B1581">
            <v>2392</v>
          </cell>
          <cell r="C1581" t="str">
            <v>RUDITE 20MG/ML PO SUS 45ML-E</v>
          </cell>
          <cell r="D1581" t="str">
            <v>FR X 45 ML</v>
          </cell>
          <cell r="E1581" t="str">
            <v>RR</v>
          </cell>
          <cell r="F1581">
            <v>0.58999999999999986</v>
          </cell>
          <cell r="G1581">
            <v>0</v>
          </cell>
          <cell r="H1581">
            <v>0.58999999999999986</v>
          </cell>
        </row>
        <row r="1582">
          <cell r="A1582" t="str">
            <v>2390RR</v>
          </cell>
          <cell r="B1582">
            <v>2390</v>
          </cell>
          <cell r="C1582" t="str">
            <v>RUDITE(C1)500MG C/6 COM REV-E</v>
          </cell>
          <cell r="D1582" t="str">
            <v>1 BLT X 6</v>
          </cell>
          <cell r="E1582" t="str">
            <v>RR</v>
          </cell>
          <cell r="F1582">
            <v>0.7</v>
          </cell>
          <cell r="G1582">
            <v>0</v>
          </cell>
          <cell r="H1582">
            <v>0.7</v>
          </cell>
        </row>
        <row r="1583">
          <cell r="A1583" t="str">
            <v>2398RR</v>
          </cell>
          <cell r="B1583">
            <v>2398</v>
          </cell>
          <cell r="C1583" t="str">
            <v>SOMINEX COMPOS OTC CPR REVEST x 20</v>
          </cell>
          <cell r="D1583" t="str">
            <v>2 BL X 10</v>
          </cell>
          <cell r="E1583" t="str">
            <v>RR</v>
          </cell>
          <cell r="F1583">
            <v>0.68899999999999995</v>
          </cell>
          <cell r="G1583">
            <v>0</v>
          </cell>
          <cell r="H1583">
            <v>0.68899999999999995</v>
          </cell>
        </row>
        <row r="1584">
          <cell r="A1584" t="str">
            <v>1818RR</v>
          </cell>
          <cell r="B1584">
            <v>1818</v>
          </cell>
          <cell r="C1584" t="str">
            <v>SUPLEVIT MULHER VIT. 2BLT C/15 CAP.GEL-E</v>
          </cell>
          <cell r="D1584" t="str">
            <v>2 BLT C/15</v>
          </cell>
          <cell r="E1584" t="str">
            <v>RR</v>
          </cell>
          <cell r="F1584">
            <v>0.82</v>
          </cell>
          <cell r="G1584">
            <v>0</v>
          </cell>
          <cell r="H1584">
            <v>0.82</v>
          </cell>
        </row>
        <row r="1585">
          <cell r="A1585" t="str">
            <v>1819RR</v>
          </cell>
          <cell r="B1585">
            <v>1819</v>
          </cell>
          <cell r="C1585" t="str">
            <v>SUPLEVIT MULHER VIT. 4BLT C/15 CAP.GEL-E</v>
          </cell>
          <cell r="D1585" t="str">
            <v>4 BLT C/15</v>
          </cell>
          <cell r="E1585" t="str">
            <v>RR</v>
          </cell>
          <cell r="F1585">
            <v>0.81999999999999984</v>
          </cell>
          <cell r="G1585">
            <v>0</v>
          </cell>
          <cell r="H1585">
            <v>0.81999999999999984</v>
          </cell>
        </row>
        <row r="1586">
          <cell r="A1586" t="str">
            <v>2036RR</v>
          </cell>
          <cell r="B1586">
            <v>2036</v>
          </cell>
          <cell r="C1586" t="str">
            <v>VITAFER FR C/50 COMP-E</v>
          </cell>
          <cell r="D1586" t="str">
            <v>FR X 50</v>
          </cell>
          <cell r="E1586" t="str">
            <v>RR</v>
          </cell>
          <cell r="F1586">
            <v>0.52999999999999992</v>
          </cell>
          <cell r="G1586">
            <v>0</v>
          </cell>
          <cell r="H1586">
            <v>0.52999999999999992</v>
          </cell>
        </row>
        <row r="1587">
          <cell r="A1587" t="str">
            <v>60000RS</v>
          </cell>
          <cell r="B1587">
            <v>60000</v>
          </cell>
          <cell r="C1587" t="str">
            <v>A SAUDE DA MULHER 150ML SOLUCAO</v>
          </cell>
          <cell r="D1587" t="str">
            <v>FR X 150 ML</v>
          </cell>
          <cell r="E1587" t="str">
            <v>RS</v>
          </cell>
          <cell r="F1587">
            <v>0.26999999999999996</v>
          </cell>
          <cell r="G1587">
            <v>0</v>
          </cell>
          <cell r="H1587">
            <v>0.26999999999999996</v>
          </cell>
        </row>
        <row r="1588">
          <cell r="A1588" t="str">
            <v>2256RS</v>
          </cell>
          <cell r="B1588">
            <v>2256</v>
          </cell>
          <cell r="C1588" t="str">
            <v>ALLEXOFEDRIN 120MG 1BLTC/10 COM REV-E</v>
          </cell>
          <cell r="D1588" t="str">
            <v>1 BL X 10 COMP REVEST</v>
          </cell>
          <cell r="E1588" t="str">
            <v>RS</v>
          </cell>
          <cell r="F1588">
            <v>0.75</v>
          </cell>
          <cell r="G1588">
            <v>0</v>
          </cell>
          <cell r="H1588">
            <v>0.75</v>
          </cell>
        </row>
        <row r="1589">
          <cell r="A1589" t="str">
            <v>2255RS</v>
          </cell>
          <cell r="B1589">
            <v>2255</v>
          </cell>
          <cell r="C1589" t="str">
            <v>ALLEXOFEDRIN 180MG 1BLTC/10 COM REV-E</v>
          </cell>
          <cell r="D1589" t="str">
            <v>1 BL X 10 COMP REVEST</v>
          </cell>
          <cell r="E1589" t="str">
            <v>RS</v>
          </cell>
          <cell r="F1589">
            <v>0.74999999999999989</v>
          </cell>
          <cell r="G1589">
            <v>0</v>
          </cell>
          <cell r="H1589">
            <v>0.74999999999999989</v>
          </cell>
        </row>
        <row r="1590">
          <cell r="A1590" t="str">
            <v>2133RS</v>
          </cell>
          <cell r="B1590">
            <v>2133</v>
          </cell>
          <cell r="C1590" t="str">
            <v>ALLEXOFEDRIN D 60+120MG 1BLT C/10C.REV</v>
          </cell>
          <cell r="D1590" t="str">
            <v>1 BL X 10 COMP REVEST</v>
          </cell>
          <cell r="E1590" t="str">
            <v>RS</v>
          </cell>
          <cell r="F1590">
            <v>0.26</v>
          </cell>
          <cell r="G1590">
            <v>0</v>
          </cell>
          <cell r="H1590">
            <v>0.26</v>
          </cell>
        </row>
        <row r="1591">
          <cell r="A1591" t="str">
            <v>1066PR</v>
          </cell>
          <cell r="B1591">
            <v>1066</v>
          </cell>
          <cell r="C1591" t="str">
            <v>CELERGIN XPE 120ML-E</v>
          </cell>
          <cell r="D1591" t="str">
            <v>FR X 120 ML</v>
          </cell>
          <cell r="E1591" t="str">
            <v>PR</v>
          </cell>
          <cell r="F1591">
            <v>0.74209999999999998</v>
          </cell>
          <cell r="G1591">
            <v>0</v>
          </cell>
          <cell r="H1591">
            <v>0.74209999999999998</v>
          </cell>
        </row>
        <row r="1592">
          <cell r="A1592" t="str">
            <v>2347RS</v>
          </cell>
          <cell r="B1592">
            <v>2347</v>
          </cell>
          <cell r="C1592" t="str">
            <v>ALLEXOFEDRIN PEDIATRICO6MG/MLSUS150 ML-E</v>
          </cell>
          <cell r="D1592" t="str">
            <v>6MG/MLSUS150 ML-E</v>
          </cell>
          <cell r="E1592" t="str">
            <v>RS</v>
          </cell>
          <cell r="F1592">
            <v>0.60909999999999997</v>
          </cell>
          <cell r="G1592">
            <v>0</v>
          </cell>
          <cell r="H1592">
            <v>0.60909999999999997</v>
          </cell>
        </row>
        <row r="1593">
          <cell r="A1593" t="str">
            <v>2190RS</v>
          </cell>
          <cell r="B1593">
            <v>2190</v>
          </cell>
          <cell r="C1593" t="str">
            <v>ANTIVIRAX 400MG 2BLTX15 COM - E</v>
          </cell>
          <cell r="D1593" t="str">
            <v>2 BL X 15</v>
          </cell>
          <cell r="E1593" t="str">
            <v>RS</v>
          </cell>
          <cell r="F1593">
            <v>0.68</v>
          </cell>
          <cell r="G1593">
            <v>0</v>
          </cell>
          <cell r="H1593">
            <v>0.68</v>
          </cell>
        </row>
        <row r="1594">
          <cell r="A1594" t="str">
            <v>3009RS</v>
          </cell>
          <cell r="B1594">
            <v>3009</v>
          </cell>
          <cell r="C1594" t="str">
            <v>ANTIVIRAX CR BG C/10 G</v>
          </cell>
          <cell r="D1594" t="str">
            <v>BISN X 10 G</v>
          </cell>
          <cell r="E1594" t="str">
            <v>RS</v>
          </cell>
          <cell r="F1594">
            <v>0.74999999999999989</v>
          </cell>
          <cell r="G1594">
            <v>0</v>
          </cell>
          <cell r="H1594">
            <v>0.74999999999999989</v>
          </cell>
        </row>
        <row r="1595">
          <cell r="A1595" t="str">
            <v>1001RS</v>
          </cell>
          <cell r="B1595">
            <v>1001</v>
          </cell>
          <cell r="C1595" t="str">
            <v>APEVITIN BC XPE FRC/240ML</v>
          </cell>
          <cell r="D1595" t="str">
            <v>FR X 240 ML</v>
          </cell>
          <cell r="E1595" t="str">
            <v>RS</v>
          </cell>
          <cell r="F1595">
            <v>0.76910000000000001</v>
          </cell>
          <cell r="G1595">
            <v>0</v>
          </cell>
          <cell r="H1595">
            <v>0.76910000000000001</v>
          </cell>
        </row>
        <row r="1596">
          <cell r="A1596" t="str">
            <v>1226RS</v>
          </cell>
          <cell r="B1596">
            <v>1226</v>
          </cell>
          <cell r="C1596" t="str">
            <v>BENZIFLEX 10MG 1BLX15COMP.REV-E</v>
          </cell>
          <cell r="D1596" t="str">
            <v>1 BL X 15 COMP.</v>
          </cell>
          <cell r="E1596" t="str">
            <v>RS</v>
          </cell>
          <cell r="F1596">
            <v>0.71</v>
          </cell>
          <cell r="G1596">
            <v>0</v>
          </cell>
          <cell r="H1596">
            <v>0.71</v>
          </cell>
        </row>
        <row r="1597">
          <cell r="A1597" t="str">
            <v>1227RS</v>
          </cell>
          <cell r="B1597">
            <v>1227</v>
          </cell>
          <cell r="C1597" t="str">
            <v>BENZIFLEX 10MG 2BLX15COMP.REV-E</v>
          </cell>
          <cell r="D1597" t="str">
            <v>2 BL X 15 COMP.</v>
          </cell>
          <cell r="E1597" t="str">
            <v>RS</v>
          </cell>
          <cell r="F1597">
            <v>0.71</v>
          </cell>
          <cell r="G1597">
            <v>0</v>
          </cell>
          <cell r="H1597">
            <v>0.71</v>
          </cell>
        </row>
        <row r="1598">
          <cell r="A1598" t="str">
            <v>1233RS</v>
          </cell>
          <cell r="B1598">
            <v>1233</v>
          </cell>
          <cell r="C1598" t="str">
            <v>BENZIFLEX 5MG 2BLX15COMP.REV-E</v>
          </cell>
          <cell r="D1598" t="str">
            <v>2 BL X 15 COMP.</v>
          </cell>
          <cell r="E1598" t="str">
            <v>RS</v>
          </cell>
          <cell r="F1598">
            <v>0.71</v>
          </cell>
          <cell r="G1598">
            <v>0</v>
          </cell>
          <cell r="H1598">
            <v>0.71</v>
          </cell>
        </row>
        <row r="1599">
          <cell r="A1599" t="str">
            <v>1574RS</v>
          </cell>
          <cell r="B1599">
            <v>1574</v>
          </cell>
          <cell r="C1599" t="str">
            <v>BENZIFLEX LIS 125MG+5MG 15COM.REV.-E</v>
          </cell>
          <cell r="D1599" t="str">
            <v>1 BL X 15 COMP.</v>
          </cell>
          <cell r="E1599" t="str">
            <v>RS</v>
          </cell>
          <cell r="F1599">
            <v>0.5</v>
          </cell>
          <cell r="G1599">
            <v>0</v>
          </cell>
          <cell r="H1599">
            <v>0.5</v>
          </cell>
        </row>
        <row r="1600">
          <cell r="A1600" t="str">
            <v>2292RS</v>
          </cell>
          <cell r="B1600">
            <v>2292</v>
          </cell>
          <cell r="C1600" t="str">
            <v>BENZIFLEX LIS 125MG+5MG 2BL15 COM.REV.-E</v>
          </cell>
          <cell r="D1600" t="str">
            <v>2 BL X 15 COMP.</v>
          </cell>
          <cell r="E1600" t="str">
            <v>RS</v>
          </cell>
          <cell r="F1600">
            <v>0.53</v>
          </cell>
          <cell r="G1600">
            <v>0</v>
          </cell>
          <cell r="H1600">
            <v>0.53</v>
          </cell>
        </row>
        <row r="1601">
          <cell r="A1601" t="str">
            <v>1155RS</v>
          </cell>
          <cell r="B1601">
            <v>1155</v>
          </cell>
          <cell r="C1601" t="str">
            <v>BIOFLADEX AEROSSOL 60G- E</v>
          </cell>
          <cell r="D1601" t="str">
            <v>FRASCO 60 G</v>
          </cell>
          <cell r="E1601" t="str">
            <v>RS</v>
          </cell>
          <cell r="F1601">
            <v>0.66</v>
          </cell>
          <cell r="G1601">
            <v>0</v>
          </cell>
          <cell r="H1601">
            <v>0.66</v>
          </cell>
        </row>
        <row r="1602">
          <cell r="A1602" t="str">
            <v>1072RS</v>
          </cell>
          <cell r="B1602">
            <v>1072</v>
          </cell>
          <cell r="C1602" t="str">
            <v>BISURAN 4MG/5ML XPE INF 120ML-E</v>
          </cell>
          <cell r="D1602" t="str">
            <v>FR X 120 ML</v>
          </cell>
          <cell r="E1602" t="str">
            <v>RS</v>
          </cell>
          <cell r="F1602">
            <v>0.53</v>
          </cell>
          <cell r="G1602">
            <v>0</v>
          </cell>
          <cell r="H1602">
            <v>0.53</v>
          </cell>
        </row>
        <row r="1603">
          <cell r="A1603" t="str">
            <v>1318RS</v>
          </cell>
          <cell r="B1603">
            <v>1318</v>
          </cell>
          <cell r="C1603" t="str">
            <v>BISURAN 8MG/5ML XPE AD. 120ML-E</v>
          </cell>
          <cell r="D1603" t="str">
            <v>FR X 120 ML</v>
          </cell>
          <cell r="E1603" t="str">
            <v>RS</v>
          </cell>
          <cell r="F1603">
            <v>0.61999999999999988</v>
          </cell>
          <cell r="G1603">
            <v>0</v>
          </cell>
          <cell r="H1603">
            <v>0.61999999999999988</v>
          </cell>
        </row>
        <row r="1604">
          <cell r="A1604" t="str">
            <v>2141RS</v>
          </cell>
          <cell r="B1604">
            <v>2141</v>
          </cell>
          <cell r="C1604" t="str">
            <v>CELERGIN 20 COMP-E</v>
          </cell>
          <cell r="D1604" t="str">
            <v>CX. C/20 COMP.</v>
          </cell>
          <cell r="E1604" t="str">
            <v>RS</v>
          </cell>
          <cell r="F1604">
            <v>0.65649999999999986</v>
          </cell>
          <cell r="G1604">
            <v>0</v>
          </cell>
          <cell r="H1604">
            <v>0.65649999999999986</v>
          </cell>
        </row>
        <row r="1605">
          <cell r="A1605" t="str">
            <v>1066RJ</v>
          </cell>
          <cell r="B1605">
            <v>1066</v>
          </cell>
          <cell r="C1605" t="str">
            <v>CELERGIN XPE 120ML-E</v>
          </cell>
          <cell r="D1605" t="str">
            <v>FR X 120 ML</v>
          </cell>
          <cell r="E1605" t="str">
            <v>RJ</v>
          </cell>
          <cell r="F1605">
            <v>0.75</v>
          </cell>
          <cell r="G1605">
            <v>0</v>
          </cell>
          <cell r="H1605">
            <v>0.75</v>
          </cell>
        </row>
        <row r="1606">
          <cell r="A1606" t="str">
            <v>2322RS</v>
          </cell>
          <cell r="B1606">
            <v>2322</v>
          </cell>
          <cell r="C1606" t="str">
            <v>CLOPE 3,54MG/ML XPE 120ML FR PLAS-E</v>
          </cell>
          <cell r="D1606" t="str">
            <v>FR X 120 ML</v>
          </cell>
          <cell r="E1606" t="str">
            <v>RS</v>
          </cell>
          <cell r="F1606">
            <v>0.53</v>
          </cell>
          <cell r="G1606">
            <v>0</v>
          </cell>
          <cell r="H1606">
            <v>0.53</v>
          </cell>
        </row>
        <row r="1607">
          <cell r="A1607" t="str">
            <v>2383RS</v>
          </cell>
          <cell r="B1607">
            <v>2383</v>
          </cell>
          <cell r="C1607" t="str">
            <v>COMPLEXO B 12 XPE FR C/120ML E</v>
          </cell>
          <cell r="D1607" t="str">
            <v>FR X 120 ML</v>
          </cell>
          <cell r="E1607" t="str">
            <v>RS</v>
          </cell>
          <cell r="F1607">
            <v>0.67000000000000015</v>
          </cell>
          <cell r="G1607">
            <v>0</v>
          </cell>
          <cell r="H1607">
            <v>0.67000000000000015</v>
          </cell>
        </row>
        <row r="1608">
          <cell r="A1608" t="str">
            <v>2384RS</v>
          </cell>
          <cell r="B1608">
            <v>2384</v>
          </cell>
          <cell r="C1608" t="str">
            <v>COMPLEXO B CPR REVEST x 20</v>
          </cell>
          <cell r="D1608" t="str">
            <v xml:space="preserve">FR X 20 </v>
          </cell>
          <cell r="E1608" t="str">
            <v>RS</v>
          </cell>
          <cell r="F1608">
            <v>0.66000000000000014</v>
          </cell>
          <cell r="G1608">
            <v>0</v>
          </cell>
          <cell r="H1608">
            <v>0.66000000000000014</v>
          </cell>
        </row>
        <row r="1609">
          <cell r="A1609" t="str">
            <v>2382RS</v>
          </cell>
          <cell r="B1609">
            <v>2382</v>
          </cell>
          <cell r="C1609" t="str">
            <v>COMPLEXO B FR C/100 COM REV  E</v>
          </cell>
          <cell r="D1609" t="str">
            <v>FR X 100</v>
          </cell>
          <cell r="E1609" t="str">
            <v>RS</v>
          </cell>
          <cell r="F1609">
            <v>0.64000000000000012</v>
          </cell>
          <cell r="G1609">
            <v>0</v>
          </cell>
          <cell r="H1609">
            <v>0.64000000000000012</v>
          </cell>
        </row>
        <row r="1610">
          <cell r="A1610" t="str">
            <v>2011RS</v>
          </cell>
          <cell r="B1610">
            <v>2011</v>
          </cell>
          <cell r="C1610" t="str">
            <v>CYSTEX FR C/24 DRG</v>
          </cell>
          <cell r="D1610" t="str">
            <v xml:space="preserve">FR X 24 </v>
          </cell>
          <cell r="E1610" t="str">
            <v>RS</v>
          </cell>
          <cell r="F1610">
            <v>0.36070000000000002</v>
          </cell>
          <cell r="G1610">
            <v>0</v>
          </cell>
          <cell r="H1610">
            <v>0.36070000000000002</v>
          </cell>
        </row>
        <row r="1611">
          <cell r="A1611" t="str">
            <v>1837RS</v>
          </cell>
          <cell r="B1611">
            <v>1837</v>
          </cell>
          <cell r="C1611" t="str">
            <v>DIOVASES 450+50MG C/30 COM.REV. - E</v>
          </cell>
          <cell r="D1611" t="str">
            <v>2 BL X 15 COMP.</v>
          </cell>
          <cell r="E1611" t="str">
            <v>RS</v>
          </cell>
          <cell r="F1611">
            <v>0.68</v>
          </cell>
          <cell r="G1611">
            <v>0</v>
          </cell>
          <cell r="H1611">
            <v>0.68</v>
          </cell>
        </row>
        <row r="1612">
          <cell r="A1612" t="str">
            <v>1838RS</v>
          </cell>
          <cell r="B1612">
            <v>1838</v>
          </cell>
          <cell r="C1612" t="str">
            <v>DIOVASES 450+50MG C/60 COM.REV. - E</v>
          </cell>
          <cell r="D1612" t="str">
            <v>4 BL X 15 COMP.</v>
          </cell>
          <cell r="E1612" t="str">
            <v>RS</v>
          </cell>
          <cell r="F1612">
            <v>0.72</v>
          </cell>
          <cell r="G1612">
            <v>0</v>
          </cell>
          <cell r="H1612">
            <v>0.72</v>
          </cell>
        </row>
        <row r="1613">
          <cell r="A1613" t="str">
            <v>2261RS</v>
          </cell>
          <cell r="B1613">
            <v>2261</v>
          </cell>
          <cell r="C1613" t="str">
            <v>DORICIN CPR x 24</v>
          </cell>
          <cell r="D1613" t="str">
            <v>2BL C/12 COMPRIMIDOS -E</v>
          </cell>
          <cell r="E1613" t="str">
            <v>RS</v>
          </cell>
          <cell r="F1613">
            <v>0.74099999999999999</v>
          </cell>
          <cell r="G1613">
            <v>0</v>
          </cell>
          <cell r="H1613">
            <v>0.74099999999999999</v>
          </cell>
        </row>
        <row r="1614">
          <cell r="A1614" t="str">
            <v>2264RS</v>
          </cell>
          <cell r="B1614">
            <v>2264</v>
          </cell>
          <cell r="C1614" t="str">
            <v>DORICIN CPR x 300</v>
          </cell>
          <cell r="D1614" t="str">
            <v>30BL C/10 COMPRIMIDOS -E</v>
          </cell>
          <cell r="E1614" t="str">
            <v>RS</v>
          </cell>
          <cell r="F1614">
            <v>0.74099999999999999</v>
          </cell>
          <cell r="G1614">
            <v>0</v>
          </cell>
          <cell r="H1614">
            <v>0.74099999999999999</v>
          </cell>
        </row>
        <row r="1615">
          <cell r="A1615" t="str">
            <v>2262RS</v>
          </cell>
          <cell r="B1615">
            <v>2262</v>
          </cell>
          <cell r="C1615" t="str">
            <v>DORICIN CPR X 36</v>
          </cell>
          <cell r="D1615" t="str">
            <v>3BL C/12 COMPRIMIDOS -E</v>
          </cell>
          <cell r="E1615" t="str">
            <v>RS</v>
          </cell>
          <cell r="F1615">
            <v>0.75139999999999996</v>
          </cell>
          <cell r="G1615">
            <v>0</v>
          </cell>
          <cell r="H1615">
            <v>0.75139999999999996</v>
          </cell>
        </row>
        <row r="1616">
          <cell r="A1616" t="str">
            <v>2263RS</v>
          </cell>
          <cell r="B1616">
            <v>2263</v>
          </cell>
          <cell r="C1616" t="str">
            <v>DORICIN CPR X 50</v>
          </cell>
          <cell r="D1616" t="str">
            <v>5BL C/10 COMPRIMIDOS - E</v>
          </cell>
          <cell r="E1616" t="str">
            <v>RS</v>
          </cell>
          <cell r="F1616">
            <v>0.66100000000000003</v>
          </cell>
          <cell r="G1616">
            <v>0</v>
          </cell>
          <cell r="H1616">
            <v>0.66100000000000003</v>
          </cell>
        </row>
        <row r="1617">
          <cell r="A1617" t="str">
            <v>1173RS</v>
          </cell>
          <cell r="B1617">
            <v>1173</v>
          </cell>
          <cell r="C1617" t="str">
            <v>DORICIN GOTAS 20ML x 1</v>
          </cell>
          <cell r="D1617" t="str">
            <v>FR X 20 ML</v>
          </cell>
          <cell r="E1617" t="str">
            <v>RS</v>
          </cell>
          <cell r="F1617">
            <v>0.65</v>
          </cell>
          <cell r="G1617">
            <v>0</v>
          </cell>
          <cell r="H1617">
            <v>0.65</v>
          </cell>
        </row>
        <row r="1618">
          <cell r="A1618" t="str">
            <v>2018RS</v>
          </cell>
          <cell r="B1618">
            <v>2018</v>
          </cell>
          <cell r="C1618" t="str">
            <v>EMISTIN BLT 1X20=20COMP</v>
          </cell>
          <cell r="D1618" t="str">
            <v>1 BL X 20</v>
          </cell>
          <cell r="E1618" t="str">
            <v>RS</v>
          </cell>
          <cell r="F1618">
            <v>0.67</v>
          </cell>
          <cell r="G1618">
            <v>0</v>
          </cell>
          <cell r="H1618">
            <v>0.67</v>
          </cell>
        </row>
        <row r="1619">
          <cell r="A1619" t="str">
            <v>3008RS</v>
          </cell>
          <cell r="B1619">
            <v>3008</v>
          </cell>
          <cell r="C1619" t="str">
            <v>EMISTIN CR BG C/20G</v>
          </cell>
          <cell r="D1619" t="str">
            <v>BISN X 20 G</v>
          </cell>
          <cell r="E1619" t="str">
            <v>RS</v>
          </cell>
          <cell r="F1619">
            <v>0.77</v>
          </cell>
          <cell r="G1619">
            <v>0</v>
          </cell>
          <cell r="H1619">
            <v>0.77</v>
          </cell>
        </row>
        <row r="1620">
          <cell r="A1620" t="str">
            <v>3020RS</v>
          </cell>
          <cell r="B1620">
            <v>3020</v>
          </cell>
          <cell r="C1620" t="str">
            <v>EMSCORT CR BG C/30G</v>
          </cell>
          <cell r="D1620" t="str">
            <v>BISN X 30 G</v>
          </cell>
          <cell r="E1620" t="str">
            <v>RS</v>
          </cell>
          <cell r="F1620">
            <v>0.77000000000000013</v>
          </cell>
          <cell r="G1620">
            <v>0</v>
          </cell>
          <cell r="H1620">
            <v>0.77000000000000013</v>
          </cell>
        </row>
        <row r="1621">
          <cell r="A1621" t="str">
            <v>6023RS</v>
          </cell>
          <cell r="B1621">
            <v>6023</v>
          </cell>
          <cell r="C1621" t="str">
            <v>EMSCORT POM BISN 30G-E</v>
          </cell>
          <cell r="D1621" t="str">
            <v>BISN X 30 G</v>
          </cell>
          <cell r="E1621" t="str">
            <v>RS</v>
          </cell>
          <cell r="F1621">
            <v>0.7639999999999999</v>
          </cell>
          <cell r="G1621">
            <v>0</v>
          </cell>
          <cell r="H1621">
            <v>0.7639999999999999</v>
          </cell>
        </row>
        <row r="1622">
          <cell r="A1622" t="str">
            <v>1190RS</v>
          </cell>
          <cell r="B1622">
            <v>1190</v>
          </cell>
          <cell r="C1622" t="str">
            <v>EMSEXPECTOR XAROPE FR C/120ML - E</v>
          </cell>
          <cell r="D1622" t="str">
            <v>FR X 120 ML</v>
          </cell>
          <cell r="E1622" t="str">
            <v>RS</v>
          </cell>
          <cell r="F1622">
            <v>0.48</v>
          </cell>
          <cell r="G1622">
            <v>0</v>
          </cell>
          <cell r="H1622">
            <v>0.48</v>
          </cell>
        </row>
        <row r="1623">
          <cell r="A1623" t="str">
            <v>2111RS</v>
          </cell>
          <cell r="B1623">
            <v>2111</v>
          </cell>
          <cell r="C1623" t="str">
            <v>ENDCOFF PAST MEL ELIMAO C/12UN</v>
          </cell>
          <cell r="D1623" t="str">
            <v>3 STP X 4</v>
          </cell>
          <cell r="E1623" t="str">
            <v>RS</v>
          </cell>
          <cell r="F1623">
            <v>0.48</v>
          </cell>
          <cell r="G1623">
            <v>0</v>
          </cell>
          <cell r="H1623">
            <v>0.48</v>
          </cell>
        </row>
        <row r="1624">
          <cell r="A1624" t="str">
            <v>2092RS</v>
          </cell>
          <cell r="B1624">
            <v>2092</v>
          </cell>
          <cell r="C1624" t="str">
            <v>ENDCOFF PAST STP MENTA C/12 UN</v>
          </cell>
          <cell r="D1624" t="str">
            <v>3 STP X 4</v>
          </cell>
          <cell r="E1624" t="str">
            <v>RS</v>
          </cell>
          <cell r="F1624">
            <v>0.48</v>
          </cell>
          <cell r="G1624">
            <v>0</v>
          </cell>
          <cell r="H1624">
            <v>0.48</v>
          </cell>
        </row>
        <row r="1625">
          <cell r="A1625" t="str">
            <v>1905RS</v>
          </cell>
          <cell r="B1625">
            <v>1905</v>
          </cell>
          <cell r="C1625" t="str">
            <v>ESMOG 20MG 4BLTC/7 COM REV LIB RETARD- E</v>
          </cell>
          <cell r="D1625" t="str">
            <v>4 BLT C/7</v>
          </cell>
          <cell r="E1625" t="str">
            <v>RS</v>
          </cell>
          <cell r="F1625">
            <v>0.77800000000000002</v>
          </cell>
          <cell r="G1625">
            <v>0</v>
          </cell>
          <cell r="H1625">
            <v>0.77800000000000002</v>
          </cell>
        </row>
        <row r="1626">
          <cell r="A1626" t="str">
            <v>1906RS</v>
          </cell>
          <cell r="B1626">
            <v>1906</v>
          </cell>
          <cell r="C1626" t="str">
            <v>ESMOG 40MG 4BLTC/7 COM REV LIB RETARD- E</v>
          </cell>
          <cell r="D1626" t="str">
            <v>4 BLT C/7</v>
          </cell>
          <cell r="E1626" t="str">
            <v>RS</v>
          </cell>
          <cell r="F1626">
            <v>0.8</v>
          </cell>
          <cell r="G1626">
            <v>0</v>
          </cell>
          <cell r="H1626">
            <v>0.8</v>
          </cell>
        </row>
        <row r="1627">
          <cell r="A1627" t="str">
            <v>1016RS</v>
          </cell>
          <cell r="B1627">
            <v>1016</v>
          </cell>
          <cell r="C1627" t="str">
            <v>EXPECTUSS XPE ADULTO FR C/100ML</v>
          </cell>
          <cell r="D1627" t="str">
            <v>FR X 100 ML</v>
          </cell>
          <cell r="E1627" t="str">
            <v>RS</v>
          </cell>
          <cell r="F1627">
            <v>0.55000000000000016</v>
          </cell>
          <cell r="G1627">
            <v>0</v>
          </cell>
          <cell r="H1627">
            <v>0.55000000000000016</v>
          </cell>
        </row>
        <row r="1628">
          <cell r="A1628" t="str">
            <v>1015RS</v>
          </cell>
          <cell r="B1628">
            <v>1015</v>
          </cell>
          <cell r="C1628" t="str">
            <v>EXPECTUSS XPE INF FR C/100ML</v>
          </cell>
          <cell r="D1628" t="str">
            <v>FR X 100 ML</v>
          </cell>
          <cell r="E1628" t="str">
            <v>RS</v>
          </cell>
          <cell r="F1628">
            <v>0.5099999999999999</v>
          </cell>
          <cell r="G1628">
            <v>0</v>
          </cell>
          <cell r="H1628">
            <v>0.5099999999999999</v>
          </cell>
        </row>
        <row r="1629">
          <cell r="A1629" t="str">
            <v>1363RS</v>
          </cell>
          <cell r="B1629">
            <v>1363</v>
          </cell>
          <cell r="C1629" t="str">
            <v>FLUITEINA 600MG GRAN 16ENV 5G-E</v>
          </cell>
          <cell r="D1629" t="str">
            <v>CX. C/16 ENV X 5GR</v>
          </cell>
          <cell r="E1629" t="str">
            <v>RS</v>
          </cell>
          <cell r="F1629">
            <v>0.42999999999999994</v>
          </cell>
          <cell r="G1629">
            <v>0</v>
          </cell>
          <cell r="H1629">
            <v>0.42999999999999994</v>
          </cell>
        </row>
        <row r="1630">
          <cell r="A1630" t="str">
            <v>1364RS</v>
          </cell>
          <cell r="B1630">
            <v>1364</v>
          </cell>
          <cell r="C1630" t="str">
            <v>FLUITEINA XPE AD 40MG/ML120ML-E</v>
          </cell>
          <cell r="D1630" t="str">
            <v>FR X 120 ML</v>
          </cell>
          <cell r="E1630" t="str">
            <v>RS</v>
          </cell>
          <cell r="F1630">
            <v>0.56999999999999973</v>
          </cell>
          <cell r="G1630">
            <v>0</v>
          </cell>
          <cell r="H1630">
            <v>0.56999999999999973</v>
          </cell>
        </row>
        <row r="1631">
          <cell r="A1631" t="str">
            <v>1163RS</v>
          </cell>
          <cell r="B1631">
            <v>1163</v>
          </cell>
          <cell r="C1631" t="str">
            <v>FLUITEINA XPE INF 20MG/ML 120ML-E</v>
          </cell>
          <cell r="D1631" t="str">
            <v>FR X 120 ML</v>
          </cell>
          <cell r="E1631" t="str">
            <v>RS</v>
          </cell>
          <cell r="F1631">
            <v>0.51900000000000002</v>
          </cell>
          <cell r="G1631">
            <v>0</v>
          </cell>
          <cell r="H1631">
            <v>0.51900000000000002</v>
          </cell>
        </row>
        <row r="1632">
          <cell r="A1632" t="str">
            <v>1168RS</v>
          </cell>
          <cell r="B1632">
            <v>1168</v>
          </cell>
          <cell r="C1632" t="str">
            <v>FOLIFOLIN 5MG 2BLTX15COMP - E</v>
          </cell>
          <cell r="D1632" t="str">
            <v>2 BLT X 15 COMP.</v>
          </cell>
          <cell r="E1632" t="str">
            <v>RS</v>
          </cell>
          <cell r="F1632">
            <v>0.66</v>
          </cell>
          <cell r="G1632">
            <v>0</v>
          </cell>
          <cell r="H1632">
            <v>0.66</v>
          </cell>
        </row>
        <row r="1633">
          <cell r="A1633" t="str">
            <v>2318RS</v>
          </cell>
          <cell r="B1633">
            <v>2318</v>
          </cell>
          <cell r="C1633" t="str">
            <v>GEROVITAL  2BLT15 CAP MOLE-E</v>
          </cell>
          <cell r="D1633" t="str">
            <v>3 BL X 10</v>
          </cell>
          <cell r="E1633" t="str">
            <v>RS</v>
          </cell>
          <cell r="F1633">
            <v>0.57899999999999996</v>
          </cell>
          <cell r="G1633">
            <v>0</v>
          </cell>
          <cell r="H1633">
            <v>0.57899999999999996</v>
          </cell>
        </row>
        <row r="1634">
          <cell r="A1634" t="str">
            <v>2062RS</v>
          </cell>
          <cell r="B1634">
            <v>2062</v>
          </cell>
          <cell r="C1634" t="str">
            <v>GEROVITAL 3BLT C/20 CAP</v>
          </cell>
          <cell r="D1634" t="str">
            <v>6 BL X 10</v>
          </cell>
          <cell r="E1634" t="str">
            <v>RS</v>
          </cell>
          <cell r="F1634">
            <v>0.48100000000000004</v>
          </cell>
          <cell r="G1634">
            <v>0</v>
          </cell>
          <cell r="H1634">
            <v>0.48100000000000004</v>
          </cell>
        </row>
        <row r="1635">
          <cell r="A1635" t="str">
            <v>1230RS</v>
          </cell>
          <cell r="B1635">
            <v>1230</v>
          </cell>
          <cell r="C1635" t="str">
            <v>IBULIV 100MG/ML SUP ORAL C/ 20 ML-E</v>
          </cell>
          <cell r="D1635" t="str">
            <v>FR X 20 ML</v>
          </cell>
          <cell r="E1635" t="str">
            <v>RS</v>
          </cell>
          <cell r="F1635">
            <v>0.68000000000000016</v>
          </cell>
          <cell r="G1635">
            <v>0</v>
          </cell>
          <cell r="H1635">
            <v>0.68000000000000016</v>
          </cell>
        </row>
        <row r="1636">
          <cell r="A1636" t="str">
            <v>1472RS</v>
          </cell>
          <cell r="B1636">
            <v>1472</v>
          </cell>
          <cell r="C1636" t="str">
            <v>IBULIV 400MG 10 BLT C/ 4CAPS GEL.MOLES-E</v>
          </cell>
          <cell r="D1636" t="str">
            <v>10 BLT X 4 CÁPS</v>
          </cell>
          <cell r="E1636" t="str">
            <v>RS</v>
          </cell>
          <cell r="F1636">
            <v>0.71000000000000019</v>
          </cell>
          <cell r="G1636">
            <v>0</v>
          </cell>
          <cell r="H1636">
            <v>0.71000000000000019</v>
          </cell>
        </row>
        <row r="1637">
          <cell r="A1637" t="str">
            <v>2469RS</v>
          </cell>
          <cell r="B1637">
            <v>2469</v>
          </cell>
          <cell r="C1637" t="str">
            <v>IBULIV 400MG 2 BLT C/ 10CAPS GEL.MOLES-E</v>
          </cell>
          <cell r="D1637" t="str">
            <v>20 CÁPS.</v>
          </cell>
          <cell r="E1637" t="str">
            <v>RS</v>
          </cell>
          <cell r="F1637">
            <v>0.71</v>
          </cell>
          <cell r="G1637">
            <v>0</v>
          </cell>
          <cell r="H1637">
            <v>0.71</v>
          </cell>
        </row>
        <row r="1638">
          <cell r="A1638" t="str">
            <v>1471RS</v>
          </cell>
          <cell r="B1638">
            <v>1471</v>
          </cell>
          <cell r="C1638" t="str">
            <v>IBULIV 400MG 2 BLT C/ 4CAPS GEL.MOLES-E</v>
          </cell>
          <cell r="D1638" t="str">
            <v>2 BLT X 4 CÁPS.</v>
          </cell>
          <cell r="E1638" t="str">
            <v>RS</v>
          </cell>
          <cell r="F1638">
            <v>0.71</v>
          </cell>
          <cell r="G1638">
            <v>0</v>
          </cell>
          <cell r="H1638">
            <v>0.71</v>
          </cell>
        </row>
        <row r="1639">
          <cell r="A1639" t="str">
            <v>1175RS</v>
          </cell>
          <cell r="B1639">
            <v>1175</v>
          </cell>
          <cell r="C1639" t="str">
            <v>INFRALAX 1BLT C/15COMP - EMS</v>
          </cell>
          <cell r="D1639" t="str">
            <v>1 BLT C/ 15</v>
          </cell>
          <cell r="E1639" t="str">
            <v>RS</v>
          </cell>
          <cell r="F1639">
            <v>0.74280000000000002</v>
          </cell>
          <cell r="G1639">
            <v>0</v>
          </cell>
          <cell r="H1639">
            <v>0.74280000000000002</v>
          </cell>
        </row>
        <row r="1640">
          <cell r="A1640" t="str">
            <v>1821RS</v>
          </cell>
          <cell r="B1640">
            <v>1821</v>
          </cell>
          <cell r="C1640" t="str">
            <v>INFRALAX 20BLTX10COMP - E</v>
          </cell>
          <cell r="D1640" t="str">
            <v>20 BLT X 10</v>
          </cell>
          <cell r="E1640" t="str">
            <v>RS</v>
          </cell>
          <cell r="F1640">
            <v>0.81</v>
          </cell>
          <cell r="G1640">
            <v>0</v>
          </cell>
          <cell r="H1640">
            <v>0.81</v>
          </cell>
        </row>
        <row r="1641">
          <cell r="A1641" t="str">
            <v>2138RS</v>
          </cell>
          <cell r="B1641">
            <v>2138</v>
          </cell>
          <cell r="C1641" t="str">
            <v>INFRALAX 2BLT C/15COMP - EMS</v>
          </cell>
          <cell r="D1641" t="str">
            <v>2 BL X 15</v>
          </cell>
          <cell r="E1641" t="str">
            <v>RS</v>
          </cell>
          <cell r="F1641">
            <v>0.74650000000000005</v>
          </cell>
          <cell r="G1641">
            <v>0</v>
          </cell>
          <cell r="H1641">
            <v>0.74650000000000005</v>
          </cell>
        </row>
        <row r="1642">
          <cell r="A1642" t="str">
            <v>6011RS</v>
          </cell>
          <cell r="B1642">
            <v>6011</v>
          </cell>
          <cell r="C1642" t="str">
            <v>NARIDRIN 12HS GOTAS FR C/30ML</v>
          </cell>
          <cell r="D1642" t="str">
            <v>FR X 30 ML</v>
          </cell>
          <cell r="E1642" t="str">
            <v>RS</v>
          </cell>
          <cell r="F1642">
            <v>0.74</v>
          </cell>
          <cell r="G1642">
            <v>0</v>
          </cell>
          <cell r="H1642">
            <v>0.74</v>
          </cell>
        </row>
        <row r="1643">
          <cell r="A1643" t="str">
            <v>2604RS</v>
          </cell>
          <cell r="B1643">
            <v>2604</v>
          </cell>
          <cell r="C1643" t="str">
            <v>NARIDRIN ALTO VOL 30ENVX2,16G+FR240ML</v>
          </cell>
          <cell r="D1643" t="str">
            <v>30ENVX2,16G+FR240ML</v>
          </cell>
          <cell r="E1643" t="str">
            <v>RS</v>
          </cell>
          <cell r="F1643">
            <v>0.64</v>
          </cell>
          <cell r="G1643">
            <v>0</v>
          </cell>
          <cell r="H1643">
            <v>0.64</v>
          </cell>
        </row>
        <row r="1644">
          <cell r="A1644" t="str">
            <v>2605RS</v>
          </cell>
          <cell r="B1644">
            <v>2605</v>
          </cell>
          <cell r="C1644" t="str">
            <v>NARIDRIN ALTO VOL REFIL</v>
          </cell>
          <cell r="D1644" t="str">
            <v>30 ENV X 2,16G</v>
          </cell>
          <cell r="E1644" t="str">
            <v>RS</v>
          </cell>
          <cell r="F1644">
            <v>0.59999999999999987</v>
          </cell>
          <cell r="G1644">
            <v>0</v>
          </cell>
          <cell r="H1644">
            <v>0.59999999999999987</v>
          </cell>
        </row>
        <row r="1645">
          <cell r="A1645" t="str">
            <v>1433RS</v>
          </cell>
          <cell r="B1645">
            <v>1433</v>
          </cell>
          <cell r="C1645" t="str">
            <v>NARIDRIN AQUA 9MG/ML FRASCO C/50ML-E</v>
          </cell>
          <cell r="D1645" t="str">
            <v>FR X 50 ML SPRAY</v>
          </cell>
          <cell r="E1645" t="str">
            <v>RS</v>
          </cell>
          <cell r="F1645">
            <v>0.71</v>
          </cell>
          <cell r="G1645">
            <v>0</v>
          </cell>
          <cell r="H1645">
            <v>0.71</v>
          </cell>
        </row>
        <row r="1646">
          <cell r="A1646" t="str">
            <v>6005RS</v>
          </cell>
          <cell r="B1646">
            <v>6005</v>
          </cell>
          <cell r="C1646" t="str">
            <v>NARIDRIN GOTAS AD FR C/15ML</v>
          </cell>
          <cell r="D1646" t="str">
            <v>FR X 15 ML</v>
          </cell>
          <cell r="E1646" t="str">
            <v>RS</v>
          </cell>
          <cell r="F1646">
            <v>0.74</v>
          </cell>
          <cell r="G1646">
            <v>0</v>
          </cell>
          <cell r="H1646">
            <v>0.74</v>
          </cell>
        </row>
        <row r="1647">
          <cell r="A1647" t="str">
            <v>6006RS</v>
          </cell>
          <cell r="B1647">
            <v>6006</v>
          </cell>
          <cell r="C1647" t="str">
            <v>NARIDRIN GOTAS INF FR C/15ML</v>
          </cell>
          <cell r="D1647" t="str">
            <v>FR X 15 ML</v>
          </cell>
          <cell r="E1647" t="str">
            <v>RS</v>
          </cell>
          <cell r="F1647">
            <v>0.72999999999999987</v>
          </cell>
          <cell r="G1647">
            <v>0</v>
          </cell>
          <cell r="H1647">
            <v>0.72999999999999987</v>
          </cell>
        </row>
        <row r="1648">
          <cell r="A1648" t="str">
            <v>1079RS</v>
          </cell>
          <cell r="B1648">
            <v>1079</v>
          </cell>
          <cell r="C1648" t="str">
            <v>NARIDRIN H 30MG/ML SOL.NAS SPRAY 60ML-E</v>
          </cell>
          <cell r="D1648" t="str">
            <v>FRASCO X 60ML</v>
          </cell>
          <cell r="E1648" t="str">
            <v>RS</v>
          </cell>
          <cell r="F1648">
            <v>0.7</v>
          </cell>
          <cell r="G1648">
            <v>0</v>
          </cell>
          <cell r="H1648">
            <v>0.7</v>
          </cell>
        </row>
        <row r="1649">
          <cell r="A1649" t="str">
            <v>1368RS</v>
          </cell>
          <cell r="B1649">
            <v>1368</v>
          </cell>
          <cell r="C1649" t="str">
            <v>NIMESILAM BLT 1X12= 12 COM - E</v>
          </cell>
          <cell r="D1649" t="str">
            <v>1 BLT X 12</v>
          </cell>
          <cell r="E1649" t="str">
            <v>RS</v>
          </cell>
          <cell r="F1649">
            <v>0.89999999999999991</v>
          </cell>
          <cell r="G1649">
            <v>0</v>
          </cell>
          <cell r="H1649">
            <v>0.89999999999999991</v>
          </cell>
        </row>
        <row r="1650">
          <cell r="A1650" t="str">
            <v>1367RS</v>
          </cell>
          <cell r="B1650">
            <v>1367</v>
          </cell>
          <cell r="C1650" t="str">
            <v>NIMESILAM GOTAS FRC/15ML  - E</v>
          </cell>
          <cell r="D1650" t="str">
            <v>FR 15 ML</v>
          </cell>
          <cell r="E1650" t="str">
            <v>RS</v>
          </cell>
          <cell r="F1650">
            <v>0.73</v>
          </cell>
          <cell r="G1650">
            <v>0</v>
          </cell>
          <cell r="H1650">
            <v>0.73</v>
          </cell>
        </row>
        <row r="1651">
          <cell r="A1651" t="str">
            <v>2058RS</v>
          </cell>
          <cell r="B1651">
            <v>2058</v>
          </cell>
          <cell r="C1651" t="str">
            <v>NOCICLIN 1BLT C/21COM-EMS</v>
          </cell>
          <cell r="D1651" t="str">
            <v>1 BL X 21</v>
          </cell>
          <cell r="E1651" t="str">
            <v>RS</v>
          </cell>
          <cell r="F1651">
            <v>0.68</v>
          </cell>
          <cell r="G1651">
            <v>0</v>
          </cell>
          <cell r="H1651">
            <v>0.68</v>
          </cell>
        </row>
        <row r="1652">
          <cell r="A1652" t="str">
            <v>2391RS</v>
          </cell>
          <cell r="B1652">
            <v>2391</v>
          </cell>
          <cell r="C1652" t="str">
            <v>RUDITE 20MG/ML PO SUS 100ML-E</v>
          </cell>
          <cell r="D1652" t="str">
            <v>FR X 100 ML</v>
          </cell>
          <cell r="E1652" t="str">
            <v>RS</v>
          </cell>
          <cell r="F1652">
            <v>0.59899999999999998</v>
          </cell>
          <cell r="G1652">
            <v>0</v>
          </cell>
          <cell r="H1652">
            <v>0.59899999999999998</v>
          </cell>
        </row>
        <row r="1653">
          <cell r="A1653" t="str">
            <v>2392RS</v>
          </cell>
          <cell r="B1653">
            <v>2392</v>
          </cell>
          <cell r="C1653" t="str">
            <v>RUDITE 20MG/ML PO SUS 45ML-E</v>
          </cell>
          <cell r="D1653" t="str">
            <v>FR X 45 ML</v>
          </cell>
          <cell r="E1653" t="str">
            <v>RS</v>
          </cell>
          <cell r="F1653">
            <v>0.58999999999999986</v>
          </cell>
          <cell r="G1653">
            <v>0</v>
          </cell>
          <cell r="H1653">
            <v>0.58999999999999986</v>
          </cell>
        </row>
        <row r="1654">
          <cell r="A1654" t="str">
            <v>2390RS</v>
          </cell>
          <cell r="B1654">
            <v>2390</v>
          </cell>
          <cell r="C1654" t="str">
            <v>RUDITE(C1)500MG C/6 COM REV-E</v>
          </cell>
          <cell r="D1654" t="str">
            <v>1 BLT X 6</v>
          </cell>
          <cell r="E1654" t="str">
            <v>RS</v>
          </cell>
          <cell r="F1654">
            <v>0.7</v>
          </cell>
          <cell r="G1654">
            <v>0</v>
          </cell>
          <cell r="H1654">
            <v>0.7</v>
          </cell>
        </row>
        <row r="1655">
          <cell r="A1655" t="str">
            <v>2398RS</v>
          </cell>
          <cell r="B1655">
            <v>2398</v>
          </cell>
          <cell r="C1655" t="str">
            <v>SOMINEX COMPOS OTC CPR REVEST x 20</v>
          </cell>
          <cell r="D1655" t="str">
            <v>2 BL X 10</v>
          </cell>
          <cell r="E1655" t="str">
            <v>RS</v>
          </cell>
          <cell r="F1655">
            <v>0.68899999999999995</v>
          </cell>
          <cell r="G1655">
            <v>0</v>
          </cell>
          <cell r="H1655">
            <v>0.68899999999999995</v>
          </cell>
        </row>
        <row r="1656">
          <cell r="A1656" t="str">
            <v>1818RS</v>
          </cell>
          <cell r="B1656">
            <v>1818</v>
          </cell>
          <cell r="C1656" t="str">
            <v>SUPLEVIT MULHER VIT. 2BLT C/15 CAP.GEL-E</v>
          </cell>
          <cell r="D1656" t="str">
            <v>2 BLT C/15</v>
          </cell>
          <cell r="E1656" t="str">
            <v>RS</v>
          </cell>
          <cell r="F1656">
            <v>0.82</v>
          </cell>
          <cell r="G1656">
            <v>0</v>
          </cell>
          <cell r="H1656">
            <v>0.82</v>
          </cell>
        </row>
        <row r="1657">
          <cell r="A1657" t="str">
            <v>1819RS</v>
          </cell>
          <cell r="B1657">
            <v>1819</v>
          </cell>
          <cell r="C1657" t="str">
            <v>SUPLEVIT MULHER VIT. 4BLT C/15 CAP.GEL-E</v>
          </cell>
          <cell r="D1657" t="str">
            <v>4 BLT C/15</v>
          </cell>
          <cell r="E1657" t="str">
            <v>RS</v>
          </cell>
          <cell r="F1657">
            <v>0.81999999999999984</v>
          </cell>
          <cell r="G1657">
            <v>0</v>
          </cell>
          <cell r="H1657">
            <v>0.81999999999999984</v>
          </cell>
        </row>
        <row r="1658">
          <cell r="A1658" t="str">
            <v>2036RS</v>
          </cell>
          <cell r="B1658">
            <v>2036</v>
          </cell>
          <cell r="C1658" t="str">
            <v>VITAFER FR C/50 COMP-E</v>
          </cell>
          <cell r="D1658" t="str">
            <v>FR X 50</v>
          </cell>
          <cell r="E1658" t="str">
            <v>RS</v>
          </cell>
          <cell r="F1658">
            <v>0.52999999999999992</v>
          </cell>
          <cell r="G1658">
            <v>0</v>
          </cell>
          <cell r="H1658">
            <v>0.52999999999999992</v>
          </cell>
        </row>
        <row r="1659">
          <cell r="A1659" t="str">
            <v>60000SC</v>
          </cell>
          <cell r="B1659">
            <v>60000</v>
          </cell>
          <cell r="C1659" t="str">
            <v>A SAUDE DA MULHER 150ML SOLUCAO</v>
          </cell>
          <cell r="D1659" t="str">
            <v>FR X 150 ML</v>
          </cell>
          <cell r="E1659" t="str">
            <v>SC</v>
          </cell>
          <cell r="F1659">
            <v>0.26999999999999996</v>
          </cell>
          <cell r="G1659">
            <v>0</v>
          </cell>
          <cell r="H1659">
            <v>0.26999999999999996</v>
          </cell>
        </row>
        <row r="1660">
          <cell r="A1660" t="str">
            <v>2256SC</v>
          </cell>
          <cell r="B1660">
            <v>2256</v>
          </cell>
          <cell r="C1660" t="str">
            <v>ALLEXOFEDRIN 120MG 1BLTC/10 COM REV-E</v>
          </cell>
          <cell r="D1660" t="str">
            <v>1 BL X 10 COMP REVEST</v>
          </cell>
          <cell r="E1660" t="str">
            <v>SC</v>
          </cell>
          <cell r="F1660">
            <v>0.75</v>
          </cell>
          <cell r="G1660">
            <v>0</v>
          </cell>
          <cell r="H1660">
            <v>0.75</v>
          </cell>
        </row>
        <row r="1661">
          <cell r="A1661" t="str">
            <v>2255SC</v>
          </cell>
          <cell r="B1661">
            <v>2255</v>
          </cell>
          <cell r="C1661" t="str">
            <v>ALLEXOFEDRIN 180MG 1BLTC/10 COM REV-E</v>
          </cell>
          <cell r="D1661" t="str">
            <v>1 BL X 10 COMP REVEST</v>
          </cell>
          <cell r="E1661" t="str">
            <v>SC</v>
          </cell>
          <cell r="F1661">
            <v>0.74999999999999989</v>
          </cell>
          <cell r="G1661">
            <v>0</v>
          </cell>
          <cell r="H1661">
            <v>0.74999999999999989</v>
          </cell>
        </row>
        <row r="1662">
          <cell r="A1662" t="str">
            <v>2133SC</v>
          </cell>
          <cell r="B1662">
            <v>2133</v>
          </cell>
          <cell r="C1662" t="str">
            <v>ALLEXOFEDRIN D 60+120MG 1BLT C/10C.REV</v>
          </cell>
          <cell r="D1662" t="str">
            <v>1 BL X 10 COMP REVEST</v>
          </cell>
          <cell r="E1662" t="str">
            <v>SC</v>
          </cell>
          <cell r="F1662">
            <v>0.26</v>
          </cell>
          <cell r="G1662">
            <v>0</v>
          </cell>
          <cell r="H1662">
            <v>0.26</v>
          </cell>
        </row>
        <row r="1663">
          <cell r="A1663" t="str">
            <v>1066RN</v>
          </cell>
          <cell r="B1663">
            <v>1066</v>
          </cell>
          <cell r="C1663" t="str">
            <v>CELERGIN XPE 120ML-E</v>
          </cell>
          <cell r="D1663" t="str">
            <v>FR X 120 ML</v>
          </cell>
          <cell r="E1663" t="str">
            <v>RN</v>
          </cell>
          <cell r="F1663">
            <v>0.72049999999999992</v>
          </cell>
          <cell r="G1663">
            <v>0</v>
          </cell>
          <cell r="H1663">
            <v>0.72049999999999992</v>
          </cell>
        </row>
        <row r="1664">
          <cell r="A1664" t="str">
            <v>2347SC</v>
          </cell>
          <cell r="B1664">
            <v>2347</v>
          </cell>
          <cell r="C1664" t="str">
            <v>ALLEXOFEDRIN PEDIATRICO6MG/MLSUS150 ML-E</v>
          </cell>
          <cell r="D1664" t="str">
            <v>6MG/MLSUS150 ML-E</v>
          </cell>
          <cell r="E1664" t="str">
            <v>SC</v>
          </cell>
          <cell r="F1664">
            <v>0.60909999999999997</v>
          </cell>
          <cell r="G1664">
            <v>0</v>
          </cell>
          <cell r="H1664">
            <v>0.60909999999999997</v>
          </cell>
        </row>
        <row r="1665">
          <cell r="A1665" t="str">
            <v>2190SC</v>
          </cell>
          <cell r="B1665">
            <v>2190</v>
          </cell>
          <cell r="C1665" t="str">
            <v>ANTIVIRAX 400MG 2BLTX15 COM - E</v>
          </cell>
          <cell r="D1665" t="str">
            <v>2 BL X 15</v>
          </cell>
          <cell r="E1665" t="str">
            <v>SC</v>
          </cell>
          <cell r="F1665">
            <v>0.68</v>
          </cell>
          <cell r="G1665">
            <v>0</v>
          </cell>
          <cell r="H1665">
            <v>0.68</v>
          </cell>
        </row>
        <row r="1666">
          <cell r="A1666" t="str">
            <v>3009SC</v>
          </cell>
          <cell r="B1666">
            <v>3009</v>
          </cell>
          <cell r="C1666" t="str">
            <v>ANTIVIRAX CR BG C/10 G</v>
          </cell>
          <cell r="D1666" t="str">
            <v>BISN X 10 G</v>
          </cell>
          <cell r="E1666" t="str">
            <v>SC</v>
          </cell>
          <cell r="F1666">
            <v>0.74999999999999989</v>
          </cell>
          <cell r="G1666">
            <v>0</v>
          </cell>
          <cell r="H1666">
            <v>0.74999999999999989</v>
          </cell>
        </row>
        <row r="1667">
          <cell r="A1667" t="str">
            <v>1001SC</v>
          </cell>
          <cell r="B1667">
            <v>1001</v>
          </cell>
          <cell r="C1667" t="str">
            <v>APEVITIN BC XPE FRC/240ML</v>
          </cell>
          <cell r="D1667" t="str">
            <v>FR X 240 ML</v>
          </cell>
          <cell r="E1667" t="str">
            <v>SC</v>
          </cell>
          <cell r="F1667">
            <v>0.76910000000000001</v>
          </cell>
          <cell r="G1667">
            <v>0</v>
          </cell>
          <cell r="H1667">
            <v>0.76910000000000001</v>
          </cell>
        </row>
        <row r="1668">
          <cell r="A1668" t="str">
            <v>1226SC</v>
          </cell>
          <cell r="B1668">
            <v>1226</v>
          </cell>
          <cell r="C1668" t="str">
            <v>BENZIFLEX 10MG 1BLX15COMP.REV-E</v>
          </cell>
          <cell r="D1668" t="str">
            <v>1 BL X 15 COMP.</v>
          </cell>
          <cell r="E1668" t="str">
            <v>SC</v>
          </cell>
          <cell r="F1668">
            <v>0.71</v>
          </cell>
          <cell r="G1668">
            <v>0</v>
          </cell>
          <cell r="H1668">
            <v>0.71</v>
          </cell>
        </row>
        <row r="1669">
          <cell r="A1669" t="str">
            <v>1227SC</v>
          </cell>
          <cell r="B1669">
            <v>1227</v>
          </cell>
          <cell r="C1669" t="str">
            <v>BENZIFLEX 10MG 2BLX15COMP.REV-E</v>
          </cell>
          <cell r="D1669" t="str">
            <v>2 BL X 15 COMP.</v>
          </cell>
          <cell r="E1669" t="str">
            <v>SC</v>
          </cell>
          <cell r="F1669">
            <v>0.71</v>
          </cell>
          <cell r="G1669">
            <v>0</v>
          </cell>
          <cell r="H1669">
            <v>0.71</v>
          </cell>
        </row>
        <row r="1670">
          <cell r="A1670" t="str">
            <v>1233SC</v>
          </cell>
          <cell r="B1670">
            <v>1233</v>
          </cell>
          <cell r="C1670" t="str">
            <v>BENZIFLEX 5MG 2BLX15COMP.REV-E</v>
          </cell>
          <cell r="D1670" t="str">
            <v>2 BL X 15 COMP.</v>
          </cell>
          <cell r="E1670" t="str">
            <v>SC</v>
          </cell>
          <cell r="F1670">
            <v>0.71</v>
          </cell>
          <cell r="G1670">
            <v>0</v>
          </cell>
          <cell r="H1670">
            <v>0.71</v>
          </cell>
        </row>
        <row r="1671">
          <cell r="A1671" t="str">
            <v>1574SC</v>
          </cell>
          <cell r="B1671">
            <v>1574</v>
          </cell>
          <cell r="C1671" t="str">
            <v>BENZIFLEX LIS 125MG+5MG 15COM.REV.-E</v>
          </cell>
          <cell r="D1671" t="str">
            <v>1 BL X 15 COMP.</v>
          </cell>
          <cell r="E1671" t="str">
            <v>SC</v>
          </cell>
          <cell r="F1671">
            <v>0.5</v>
          </cell>
          <cell r="G1671">
            <v>0</v>
          </cell>
          <cell r="H1671">
            <v>0.5</v>
          </cell>
        </row>
        <row r="1672">
          <cell r="A1672" t="str">
            <v>2292SC</v>
          </cell>
          <cell r="B1672">
            <v>2292</v>
          </cell>
          <cell r="C1672" t="str">
            <v>BENZIFLEX LIS 125MG+5MG 2BL15 COM.REV.-E</v>
          </cell>
          <cell r="D1672" t="str">
            <v>2 BL X 15 COMP.</v>
          </cell>
          <cell r="E1672" t="str">
            <v>SC</v>
          </cell>
          <cell r="F1672">
            <v>0.53</v>
          </cell>
          <cell r="G1672">
            <v>0</v>
          </cell>
          <cell r="H1672">
            <v>0.53</v>
          </cell>
        </row>
        <row r="1673">
          <cell r="A1673" t="str">
            <v>1155SC</v>
          </cell>
          <cell r="B1673">
            <v>1155</v>
          </cell>
          <cell r="C1673" t="str">
            <v>BIOFLADEX AEROSSOL 60G- E</v>
          </cell>
          <cell r="D1673" t="str">
            <v>FRASCO 60 G</v>
          </cell>
          <cell r="E1673" t="str">
            <v>SC</v>
          </cell>
          <cell r="F1673">
            <v>0.66</v>
          </cell>
          <cell r="G1673">
            <v>0</v>
          </cell>
          <cell r="H1673">
            <v>0.66</v>
          </cell>
        </row>
        <row r="1674">
          <cell r="A1674" t="str">
            <v>1072SC</v>
          </cell>
          <cell r="B1674">
            <v>1072</v>
          </cell>
          <cell r="C1674" t="str">
            <v>BISURAN 4MG/5ML XPE INF 120ML-E</v>
          </cell>
          <cell r="D1674" t="str">
            <v>FR X 120 ML</v>
          </cell>
          <cell r="E1674" t="str">
            <v>SC</v>
          </cell>
          <cell r="F1674">
            <v>0.53</v>
          </cell>
          <cell r="G1674">
            <v>0</v>
          </cell>
          <cell r="H1674">
            <v>0.53</v>
          </cell>
        </row>
        <row r="1675">
          <cell r="A1675" t="str">
            <v>1318SC</v>
          </cell>
          <cell r="B1675">
            <v>1318</v>
          </cell>
          <cell r="C1675" t="str">
            <v>BISURAN 8MG/5ML XPE AD. 120ML-E</v>
          </cell>
          <cell r="D1675" t="str">
            <v>FR X 120 ML</v>
          </cell>
          <cell r="E1675" t="str">
            <v>SC</v>
          </cell>
          <cell r="F1675">
            <v>0.61999999999999988</v>
          </cell>
          <cell r="G1675">
            <v>0</v>
          </cell>
          <cell r="H1675">
            <v>0.61999999999999988</v>
          </cell>
        </row>
        <row r="1676">
          <cell r="A1676" t="str">
            <v>2141SC</v>
          </cell>
          <cell r="B1676">
            <v>2141</v>
          </cell>
          <cell r="C1676" t="str">
            <v>CELERGIN 20 COMP-E</v>
          </cell>
          <cell r="D1676" t="str">
            <v>CX. C/20 COMP.</v>
          </cell>
          <cell r="E1676" t="str">
            <v>SC</v>
          </cell>
          <cell r="F1676">
            <v>0.65649999999999986</v>
          </cell>
          <cell r="G1676">
            <v>0</v>
          </cell>
          <cell r="H1676">
            <v>0.65649999999999986</v>
          </cell>
        </row>
        <row r="1677">
          <cell r="A1677" t="str">
            <v>1066RO</v>
          </cell>
          <cell r="B1677">
            <v>1066</v>
          </cell>
          <cell r="C1677" t="str">
            <v>CELERGIN XPE 120ML-E</v>
          </cell>
          <cell r="D1677" t="str">
            <v>FR X 120 ML</v>
          </cell>
          <cell r="E1677" t="str">
            <v>RO</v>
          </cell>
          <cell r="F1677">
            <v>0.73099999999999998</v>
          </cell>
          <cell r="G1677">
            <v>0</v>
          </cell>
          <cell r="H1677">
            <v>0.73099999999999998</v>
          </cell>
        </row>
        <row r="1678">
          <cell r="A1678" t="str">
            <v>2322SC</v>
          </cell>
          <cell r="B1678">
            <v>2322</v>
          </cell>
          <cell r="C1678" t="str">
            <v>CLOPE 3,54MG/ML XPE 120ML FR PLAS-E</v>
          </cell>
          <cell r="D1678" t="str">
            <v>FR X 120 ML</v>
          </cell>
          <cell r="E1678" t="str">
            <v>SC</v>
          </cell>
          <cell r="F1678">
            <v>0.53</v>
          </cell>
          <cell r="G1678">
            <v>0</v>
          </cell>
          <cell r="H1678">
            <v>0.53</v>
          </cell>
        </row>
        <row r="1679">
          <cell r="A1679" t="str">
            <v>2383SC</v>
          </cell>
          <cell r="B1679">
            <v>2383</v>
          </cell>
          <cell r="C1679" t="str">
            <v>COMPLEXO B 12 XPE FR C/120ML E</v>
          </cell>
          <cell r="D1679" t="str">
            <v>FR X 120 ML</v>
          </cell>
          <cell r="E1679" t="str">
            <v>SC</v>
          </cell>
          <cell r="F1679">
            <v>0.67000000000000015</v>
          </cell>
          <cell r="G1679">
            <v>0</v>
          </cell>
          <cell r="H1679">
            <v>0.67000000000000015</v>
          </cell>
        </row>
        <row r="1680">
          <cell r="A1680" t="str">
            <v>2384SC</v>
          </cell>
          <cell r="B1680">
            <v>2384</v>
          </cell>
          <cell r="C1680" t="str">
            <v>COMPLEXO B CPR REVEST x 20</v>
          </cell>
          <cell r="D1680" t="str">
            <v xml:space="preserve">FR X 20 </v>
          </cell>
          <cell r="E1680" t="str">
            <v>SC</v>
          </cell>
          <cell r="F1680">
            <v>0.66000000000000014</v>
          </cell>
          <cell r="G1680">
            <v>0</v>
          </cell>
          <cell r="H1680">
            <v>0.66000000000000014</v>
          </cell>
        </row>
        <row r="1681">
          <cell r="A1681" t="str">
            <v>2382SC</v>
          </cell>
          <cell r="B1681">
            <v>2382</v>
          </cell>
          <cell r="C1681" t="str">
            <v>COMPLEXO B FR C/100 COM REV  E</v>
          </cell>
          <cell r="D1681" t="str">
            <v>FR X 100</v>
          </cell>
          <cell r="E1681" t="str">
            <v>SC</v>
          </cell>
          <cell r="F1681">
            <v>0.64000000000000012</v>
          </cell>
          <cell r="G1681">
            <v>0</v>
          </cell>
          <cell r="H1681">
            <v>0.64000000000000012</v>
          </cell>
        </row>
        <row r="1682">
          <cell r="A1682" t="str">
            <v>2011SC</v>
          </cell>
          <cell r="B1682">
            <v>2011</v>
          </cell>
          <cell r="C1682" t="str">
            <v>CYSTEX FR C/24 DRG</v>
          </cell>
          <cell r="D1682" t="str">
            <v xml:space="preserve">FR X 24 </v>
          </cell>
          <cell r="E1682" t="str">
            <v>SC</v>
          </cell>
          <cell r="F1682">
            <v>0.36070000000000002</v>
          </cell>
          <cell r="G1682">
            <v>0</v>
          </cell>
          <cell r="H1682">
            <v>0.36070000000000002</v>
          </cell>
        </row>
        <row r="1683">
          <cell r="A1683" t="str">
            <v>1837SC</v>
          </cell>
          <cell r="B1683">
            <v>1837</v>
          </cell>
          <cell r="C1683" t="str">
            <v>DIOVASES 450+50MG C/30 COM.REV. - E</v>
          </cell>
          <cell r="D1683" t="str">
            <v>2 BL X 15 COMP.</v>
          </cell>
          <cell r="E1683" t="str">
            <v>SC</v>
          </cell>
          <cell r="F1683">
            <v>0.68</v>
          </cell>
          <cell r="G1683">
            <v>0</v>
          </cell>
          <cell r="H1683">
            <v>0.68</v>
          </cell>
        </row>
        <row r="1684">
          <cell r="A1684" t="str">
            <v>1838SC</v>
          </cell>
          <cell r="B1684">
            <v>1838</v>
          </cell>
          <cell r="C1684" t="str">
            <v>DIOVASES 450+50MG C/60 COM.REV. - E</v>
          </cell>
          <cell r="D1684" t="str">
            <v>4 BL X 15 COMP.</v>
          </cell>
          <cell r="E1684" t="str">
            <v>SC</v>
          </cell>
          <cell r="F1684">
            <v>0.72</v>
          </cell>
          <cell r="G1684">
            <v>0</v>
          </cell>
          <cell r="H1684">
            <v>0.72</v>
          </cell>
        </row>
        <row r="1685">
          <cell r="A1685" t="str">
            <v>2261SC</v>
          </cell>
          <cell r="B1685">
            <v>2261</v>
          </cell>
          <cell r="C1685" t="str">
            <v>DORICIN CPR x 24</v>
          </cell>
          <cell r="D1685" t="str">
            <v>2BL C/12 COMPRIMIDOS -E</v>
          </cell>
          <cell r="E1685" t="str">
            <v>SC</v>
          </cell>
          <cell r="F1685">
            <v>0.74099999999999999</v>
          </cell>
          <cell r="G1685">
            <v>0</v>
          </cell>
          <cell r="H1685">
            <v>0.74099999999999999</v>
          </cell>
        </row>
        <row r="1686">
          <cell r="A1686" t="str">
            <v>2264SC</v>
          </cell>
          <cell r="B1686">
            <v>2264</v>
          </cell>
          <cell r="C1686" t="str">
            <v>DORICIN CPR x 300</v>
          </cell>
          <cell r="D1686" t="str">
            <v>30BL C/10 COMPRIMIDOS -E</v>
          </cell>
          <cell r="E1686" t="str">
            <v>SC</v>
          </cell>
          <cell r="F1686">
            <v>0.74099999999999999</v>
          </cell>
          <cell r="G1686">
            <v>0</v>
          </cell>
          <cell r="H1686">
            <v>0.74099999999999999</v>
          </cell>
        </row>
        <row r="1687">
          <cell r="A1687" t="str">
            <v>2262SC</v>
          </cell>
          <cell r="B1687">
            <v>2262</v>
          </cell>
          <cell r="C1687" t="str">
            <v>DORICIN CPR X 36</v>
          </cell>
          <cell r="D1687" t="str">
            <v>3BL C/12 COMPRIMIDOS -E</v>
          </cell>
          <cell r="E1687" t="str">
            <v>SC</v>
          </cell>
          <cell r="F1687">
            <v>0.75139999999999996</v>
          </cell>
          <cell r="G1687">
            <v>0</v>
          </cell>
          <cell r="H1687">
            <v>0.75139999999999996</v>
          </cell>
        </row>
        <row r="1688">
          <cell r="A1688" t="str">
            <v>2263SC</v>
          </cell>
          <cell r="B1688">
            <v>2263</v>
          </cell>
          <cell r="C1688" t="str">
            <v>DORICIN CPR X 50</v>
          </cell>
          <cell r="D1688" t="str">
            <v>5BL C/10 COMPRIMIDOS - E</v>
          </cell>
          <cell r="E1688" t="str">
            <v>SC</v>
          </cell>
          <cell r="F1688">
            <v>0.66100000000000003</v>
          </cell>
          <cell r="G1688">
            <v>0</v>
          </cell>
          <cell r="H1688">
            <v>0.66100000000000003</v>
          </cell>
        </row>
        <row r="1689">
          <cell r="A1689" t="str">
            <v>1173SC</v>
          </cell>
          <cell r="B1689">
            <v>1173</v>
          </cell>
          <cell r="C1689" t="str">
            <v>DORICIN GOTAS 20ML x 1</v>
          </cell>
          <cell r="D1689" t="str">
            <v>FR X 20 ML</v>
          </cell>
          <cell r="E1689" t="str">
            <v>SC</v>
          </cell>
          <cell r="F1689">
            <v>0.65</v>
          </cell>
          <cell r="G1689">
            <v>0</v>
          </cell>
          <cell r="H1689">
            <v>0.65</v>
          </cell>
        </row>
        <row r="1690">
          <cell r="A1690" t="str">
            <v>2018SC</v>
          </cell>
          <cell r="B1690">
            <v>2018</v>
          </cell>
          <cell r="C1690" t="str">
            <v>EMISTIN BLT 1X20=20COMP</v>
          </cell>
          <cell r="D1690" t="str">
            <v>1 BL X 20</v>
          </cell>
          <cell r="E1690" t="str">
            <v>SC</v>
          </cell>
          <cell r="F1690">
            <v>0.67</v>
          </cell>
          <cell r="G1690">
            <v>0</v>
          </cell>
          <cell r="H1690">
            <v>0.67</v>
          </cell>
        </row>
        <row r="1691">
          <cell r="A1691" t="str">
            <v>3008SC</v>
          </cell>
          <cell r="B1691">
            <v>3008</v>
          </cell>
          <cell r="C1691" t="str">
            <v>EMISTIN CR BG C/20G</v>
          </cell>
          <cell r="D1691" t="str">
            <v>BISN X 20 G</v>
          </cell>
          <cell r="E1691" t="str">
            <v>SC</v>
          </cell>
          <cell r="F1691">
            <v>0.77</v>
          </cell>
          <cell r="G1691">
            <v>0</v>
          </cell>
          <cell r="H1691">
            <v>0.77</v>
          </cell>
        </row>
        <row r="1692">
          <cell r="A1692" t="str">
            <v>3020SC</v>
          </cell>
          <cell r="B1692">
            <v>3020</v>
          </cell>
          <cell r="C1692" t="str">
            <v>EMSCORT CR BG C/30G</v>
          </cell>
          <cell r="D1692" t="str">
            <v>BISN X 30 G</v>
          </cell>
          <cell r="E1692" t="str">
            <v>SC</v>
          </cell>
          <cell r="F1692">
            <v>0.77000000000000013</v>
          </cell>
          <cell r="G1692">
            <v>0</v>
          </cell>
          <cell r="H1692">
            <v>0.77000000000000013</v>
          </cell>
        </row>
        <row r="1693">
          <cell r="A1693" t="str">
            <v>6023SC</v>
          </cell>
          <cell r="B1693">
            <v>6023</v>
          </cell>
          <cell r="C1693" t="str">
            <v>EMSCORT POM BISN 30G-E</v>
          </cell>
          <cell r="D1693" t="str">
            <v>BISN X 30 G</v>
          </cell>
          <cell r="E1693" t="str">
            <v>SC</v>
          </cell>
          <cell r="F1693">
            <v>0.7639999999999999</v>
          </cell>
          <cell r="G1693">
            <v>0</v>
          </cell>
          <cell r="H1693">
            <v>0.7639999999999999</v>
          </cell>
        </row>
        <row r="1694">
          <cell r="A1694" t="str">
            <v>1190SC</v>
          </cell>
          <cell r="B1694">
            <v>1190</v>
          </cell>
          <cell r="C1694" t="str">
            <v>EMSEXPECTOR XAROPE FR C/120ML - E</v>
          </cell>
          <cell r="D1694" t="str">
            <v>FR X 120 ML</v>
          </cell>
          <cell r="E1694" t="str">
            <v>SC</v>
          </cell>
          <cell r="F1694">
            <v>0.48</v>
          </cell>
          <cell r="G1694">
            <v>0</v>
          </cell>
          <cell r="H1694">
            <v>0.48</v>
          </cell>
        </row>
        <row r="1695">
          <cell r="A1695" t="str">
            <v>2111SC</v>
          </cell>
          <cell r="B1695">
            <v>2111</v>
          </cell>
          <cell r="C1695" t="str">
            <v>ENDCOFF PAST MEL ELIMAO C/12UN</v>
          </cell>
          <cell r="D1695" t="str">
            <v>3 STP X 4</v>
          </cell>
          <cell r="E1695" t="str">
            <v>SC</v>
          </cell>
          <cell r="F1695">
            <v>0.48</v>
          </cell>
          <cell r="G1695">
            <v>0</v>
          </cell>
          <cell r="H1695">
            <v>0.48</v>
          </cell>
        </row>
        <row r="1696">
          <cell r="A1696" t="str">
            <v>2092SC</v>
          </cell>
          <cell r="B1696">
            <v>2092</v>
          </cell>
          <cell r="C1696" t="str">
            <v>ENDCOFF PAST STP MENTA C/12 UN</v>
          </cell>
          <cell r="D1696" t="str">
            <v>3 STP X 4</v>
          </cell>
          <cell r="E1696" t="str">
            <v>SC</v>
          </cell>
          <cell r="F1696">
            <v>0.48</v>
          </cell>
          <cell r="G1696">
            <v>0</v>
          </cell>
          <cell r="H1696">
            <v>0.48</v>
          </cell>
        </row>
        <row r="1697">
          <cell r="A1697" t="str">
            <v>1905SC</v>
          </cell>
          <cell r="B1697">
            <v>1905</v>
          </cell>
          <cell r="C1697" t="str">
            <v>ESMOG 20MG 4BLTC/7 COM REV LIB RETARD- E</v>
          </cell>
          <cell r="D1697" t="str">
            <v>4 BLT C/7</v>
          </cell>
          <cell r="E1697" t="str">
            <v>SC</v>
          </cell>
          <cell r="F1697">
            <v>0.77800000000000002</v>
          </cell>
          <cell r="G1697">
            <v>0</v>
          </cell>
          <cell r="H1697">
            <v>0.77800000000000002</v>
          </cell>
        </row>
        <row r="1698">
          <cell r="A1698" t="str">
            <v>1906SC</v>
          </cell>
          <cell r="B1698">
            <v>1906</v>
          </cell>
          <cell r="C1698" t="str">
            <v>ESMOG 40MG 4BLTC/7 COM REV LIB RETARD- E</v>
          </cell>
          <cell r="D1698" t="str">
            <v>4 BLT C/7</v>
          </cell>
          <cell r="E1698" t="str">
            <v>SC</v>
          </cell>
          <cell r="F1698">
            <v>0.8</v>
          </cell>
          <cell r="G1698">
            <v>0</v>
          </cell>
          <cell r="H1698">
            <v>0.8</v>
          </cell>
        </row>
        <row r="1699">
          <cell r="A1699" t="str">
            <v>1016SC</v>
          </cell>
          <cell r="B1699">
            <v>1016</v>
          </cell>
          <cell r="C1699" t="str">
            <v>EXPECTUSS XPE ADULTO FR C/100ML</v>
          </cell>
          <cell r="D1699" t="str">
            <v>FR X 100 ML</v>
          </cell>
          <cell r="E1699" t="str">
            <v>SC</v>
          </cell>
          <cell r="F1699">
            <v>0.55000000000000016</v>
          </cell>
          <cell r="G1699">
            <v>0</v>
          </cell>
          <cell r="H1699">
            <v>0.55000000000000016</v>
          </cell>
        </row>
        <row r="1700">
          <cell r="A1700" t="str">
            <v>1015SC</v>
          </cell>
          <cell r="B1700">
            <v>1015</v>
          </cell>
          <cell r="C1700" t="str">
            <v>EXPECTUSS XPE INF FR C/100ML</v>
          </cell>
          <cell r="D1700" t="str">
            <v>FR X 100 ML</v>
          </cell>
          <cell r="E1700" t="str">
            <v>SC</v>
          </cell>
          <cell r="F1700">
            <v>0.5099999999999999</v>
          </cell>
          <cell r="G1700">
            <v>0</v>
          </cell>
          <cell r="H1700">
            <v>0.5099999999999999</v>
          </cell>
        </row>
        <row r="1701">
          <cell r="A1701" t="str">
            <v>1363SC</v>
          </cell>
          <cell r="B1701">
            <v>1363</v>
          </cell>
          <cell r="C1701" t="str">
            <v>FLUITEINA 600MG GRAN 16ENV 5G-E</v>
          </cell>
          <cell r="D1701" t="str">
            <v>CX. C/16 ENV X 5GR</v>
          </cell>
          <cell r="E1701" t="str">
            <v>SC</v>
          </cell>
          <cell r="F1701">
            <v>0.42999999999999994</v>
          </cell>
          <cell r="G1701">
            <v>0</v>
          </cell>
          <cell r="H1701">
            <v>0.42999999999999994</v>
          </cell>
        </row>
        <row r="1702">
          <cell r="A1702" t="str">
            <v>1364SC</v>
          </cell>
          <cell r="B1702">
            <v>1364</v>
          </cell>
          <cell r="C1702" t="str">
            <v>FLUITEINA XPE AD 40MG/ML120ML-E</v>
          </cell>
          <cell r="D1702" t="str">
            <v>FR X 120 ML</v>
          </cell>
          <cell r="E1702" t="str">
            <v>SC</v>
          </cell>
          <cell r="F1702">
            <v>0.56999999999999973</v>
          </cell>
          <cell r="G1702">
            <v>0</v>
          </cell>
          <cell r="H1702">
            <v>0.56999999999999973</v>
          </cell>
        </row>
        <row r="1703">
          <cell r="A1703" t="str">
            <v>1163SC</v>
          </cell>
          <cell r="B1703">
            <v>1163</v>
          </cell>
          <cell r="C1703" t="str">
            <v>FLUITEINA XPE INF 20MG/ML 120ML-E</v>
          </cell>
          <cell r="D1703" t="str">
            <v>FR X 120 ML</v>
          </cell>
          <cell r="E1703" t="str">
            <v>SC</v>
          </cell>
          <cell r="F1703">
            <v>0.51900000000000002</v>
          </cell>
          <cell r="G1703">
            <v>0</v>
          </cell>
          <cell r="H1703">
            <v>0.51900000000000002</v>
          </cell>
        </row>
        <row r="1704">
          <cell r="A1704" t="str">
            <v>1168SC</v>
          </cell>
          <cell r="B1704">
            <v>1168</v>
          </cell>
          <cell r="C1704" t="str">
            <v>FOLIFOLIN 5MG 2BLTX15COMP - E</v>
          </cell>
          <cell r="D1704" t="str">
            <v>2 BLT X 15 COMP.</v>
          </cell>
          <cell r="E1704" t="str">
            <v>SC</v>
          </cell>
          <cell r="F1704">
            <v>0.66</v>
          </cell>
          <cell r="G1704">
            <v>0</v>
          </cell>
          <cell r="H1704">
            <v>0.66</v>
          </cell>
        </row>
        <row r="1705">
          <cell r="A1705" t="str">
            <v>2318SC</v>
          </cell>
          <cell r="B1705">
            <v>2318</v>
          </cell>
          <cell r="C1705" t="str">
            <v>GEROVITAL  2BLT15 CAP MOLE-E</v>
          </cell>
          <cell r="D1705" t="str">
            <v>3 BL X 10</v>
          </cell>
          <cell r="E1705" t="str">
            <v>SC</v>
          </cell>
          <cell r="F1705">
            <v>0.57899999999999996</v>
          </cell>
          <cell r="G1705">
            <v>0</v>
          </cell>
          <cell r="H1705">
            <v>0.57899999999999996</v>
          </cell>
        </row>
        <row r="1706">
          <cell r="A1706" t="str">
            <v>2062SC</v>
          </cell>
          <cell r="B1706">
            <v>2062</v>
          </cell>
          <cell r="C1706" t="str">
            <v>GEROVITAL 3BLT C/20 CAP</v>
          </cell>
          <cell r="D1706" t="str">
            <v>6 BL X 10</v>
          </cell>
          <cell r="E1706" t="str">
            <v>SC</v>
          </cell>
          <cell r="F1706">
            <v>0.48100000000000004</v>
          </cell>
          <cell r="G1706">
            <v>0</v>
          </cell>
          <cell r="H1706">
            <v>0.48100000000000004</v>
          </cell>
        </row>
        <row r="1707">
          <cell r="A1707" t="str">
            <v>1230SC</v>
          </cell>
          <cell r="B1707">
            <v>1230</v>
          </cell>
          <cell r="C1707" t="str">
            <v>IBULIV 100MG/ML SUP ORAL C/ 20 ML-E</v>
          </cell>
          <cell r="D1707" t="str">
            <v>FR X 20 ML</v>
          </cell>
          <cell r="E1707" t="str">
            <v>SC</v>
          </cell>
          <cell r="F1707">
            <v>0.68000000000000016</v>
          </cell>
          <cell r="G1707">
            <v>0</v>
          </cell>
          <cell r="H1707">
            <v>0.68000000000000016</v>
          </cell>
        </row>
        <row r="1708">
          <cell r="A1708" t="str">
            <v>1472SC</v>
          </cell>
          <cell r="B1708">
            <v>1472</v>
          </cell>
          <cell r="C1708" t="str">
            <v>IBULIV 400MG 10 BLT C/ 4CAPS GEL.MOLES-E</v>
          </cell>
          <cell r="D1708" t="str">
            <v>10 BLT X 4 CÁPS</v>
          </cell>
          <cell r="E1708" t="str">
            <v>SC</v>
          </cell>
          <cell r="F1708">
            <v>0.71000000000000019</v>
          </cell>
          <cell r="G1708">
            <v>0</v>
          </cell>
          <cell r="H1708">
            <v>0.71000000000000019</v>
          </cell>
        </row>
        <row r="1709">
          <cell r="A1709" t="str">
            <v>2469SC</v>
          </cell>
          <cell r="B1709">
            <v>2469</v>
          </cell>
          <cell r="C1709" t="str">
            <v>IBULIV 400MG 2 BLT C/ 10CAPS GEL.MOLES-E</v>
          </cell>
          <cell r="D1709" t="str">
            <v>20 CÁPS.</v>
          </cell>
          <cell r="E1709" t="str">
            <v>SC</v>
          </cell>
          <cell r="F1709">
            <v>0.71</v>
          </cell>
          <cell r="G1709">
            <v>0</v>
          </cell>
          <cell r="H1709">
            <v>0.71</v>
          </cell>
        </row>
        <row r="1710">
          <cell r="A1710" t="str">
            <v>1471SC</v>
          </cell>
          <cell r="B1710">
            <v>1471</v>
          </cell>
          <cell r="C1710" t="str">
            <v>IBULIV 400MG 2 BLT C/ 4CAPS GEL.MOLES-E</v>
          </cell>
          <cell r="D1710" t="str">
            <v>2 BLT X 4 CÁPS.</v>
          </cell>
          <cell r="E1710" t="str">
            <v>SC</v>
          </cell>
          <cell r="F1710">
            <v>0.71</v>
          </cell>
          <cell r="G1710">
            <v>0</v>
          </cell>
          <cell r="H1710">
            <v>0.71</v>
          </cell>
        </row>
        <row r="1711">
          <cell r="A1711" t="str">
            <v>1175SC</v>
          </cell>
          <cell r="B1711">
            <v>1175</v>
          </cell>
          <cell r="C1711" t="str">
            <v>INFRALAX 1BLT C/15COMP - EMS</v>
          </cell>
          <cell r="D1711" t="str">
            <v>1 BLT C/ 15</v>
          </cell>
          <cell r="E1711" t="str">
            <v>SC</v>
          </cell>
          <cell r="F1711">
            <v>0.74280000000000002</v>
          </cell>
          <cell r="G1711">
            <v>0</v>
          </cell>
          <cell r="H1711">
            <v>0.74280000000000002</v>
          </cell>
        </row>
        <row r="1712">
          <cell r="A1712" t="str">
            <v>1821SC</v>
          </cell>
          <cell r="B1712">
            <v>1821</v>
          </cell>
          <cell r="C1712" t="str">
            <v>INFRALAX 20BLTX10COMP - E</v>
          </cell>
          <cell r="D1712" t="str">
            <v>20 BLT X 10</v>
          </cell>
          <cell r="E1712" t="str">
            <v>SC</v>
          </cell>
          <cell r="F1712">
            <v>0.81</v>
          </cell>
          <cell r="G1712">
            <v>0</v>
          </cell>
          <cell r="H1712">
            <v>0.81</v>
          </cell>
        </row>
        <row r="1713">
          <cell r="A1713" t="str">
            <v>2138SC</v>
          </cell>
          <cell r="B1713">
            <v>2138</v>
          </cell>
          <cell r="C1713" t="str">
            <v>INFRALAX 2BLT C/15COMP - EMS</v>
          </cell>
          <cell r="D1713" t="str">
            <v>2 BL X 15</v>
          </cell>
          <cell r="E1713" t="str">
            <v>SC</v>
          </cell>
          <cell r="F1713">
            <v>0.74650000000000005</v>
          </cell>
          <cell r="G1713">
            <v>0</v>
          </cell>
          <cell r="H1713">
            <v>0.74650000000000005</v>
          </cell>
        </row>
        <row r="1714">
          <cell r="A1714" t="str">
            <v>6011SC</v>
          </cell>
          <cell r="B1714">
            <v>6011</v>
          </cell>
          <cell r="C1714" t="str">
            <v>NARIDRIN 12HS GOTAS FR C/30ML</v>
          </cell>
          <cell r="D1714" t="str">
            <v>FR X 30 ML</v>
          </cell>
          <cell r="E1714" t="str">
            <v>SC</v>
          </cell>
          <cell r="F1714">
            <v>0.74</v>
          </cell>
          <cell r="G1714">
            <v>0</v>
          </cell>
          <cell r="H1714">
            <v>0.74</v>
          </cell>
        </row>
        <row r="1715">
          <cell r="A1715" t="str">
            <v>2604SC</v>
          </cell>
          <cell r="B1715">
            <v>2604</v>
          </cell>
          <cell r="C1715" t="str">
            <v>NARIDRIN ALTO VOL 30ENVX2,16G+FR240ML</v>
          </cell>
          <cell r="D1715" t="str">
            <v>30ENVX2,16G+FR240ML</v>
          </cell>
          <cell r="E1715" t="str">
            <v>SC</v>
          </cell>
          <cell r="F1715">
            <v>0.64</v>
          </cell>
          <cell r="G1715">
            <v>0</v>
          </cell>
          <cell r="H1715">
            <v>0.64</v>
          </cell>
        </row>
        <row r="1716">
          <cell r="A1716" t="str">
            <v>2605SC</v>
          </cell>
          <cell r="B1716">
            <v>2605</v>
          </cell>
          <cell r="C1716" t="str">
            <v>NARIDRIN ALTO VOL REFIL</v>
          </cell>
          <cell r="D1716" t="str">
            <v>30 ENV X 2,16G</v>
          </cell>
          <cell r="E1716" t="str">
            <v>SC</v>
          </cell>
          <cell r="F1716">
            <v>0.59999999999999987</v>
          </cell>
          <cell r="G1716">
            <v>0</v>
          </cell>
          <cell r="H1716">
            <v>0.59999999999999987</v>
          </cell>
        </row>
        <row r="1717">
          <cell r="A1717" t="str">
            <v>1433SC</v>
          </cell>
          <cell r="B1717">
            <v>1433</v>
          </cell>
          <cell r="C1717" t="str">
            <v>NARIDRIN AQUA 9MG/ML FRASCO C/50ML-E</v>
          </cell>
          <cell r="D1717" t="str">
            <v>FR X 50 ML SPRAY</v>
          </cell>
          <cell r="E1717" t="str">
            <v>SC</v>
          </cell>
          <cell r="F1717">
            <v>0.71</v>
          </cell>
          <cell r="G1717">
            <v>0</v>
          </cell>
          <cell r="H1717">
            <v>0.71</v>
          </cell>
        </row>
        <row r="1718">
          <cell r="A1718" t="str">
            <v>6005SC</v>
          </cell>
          <cell r="B1718">
            <v>6005</v>
          </cell>
          <cell r="C1718" t="str">
            <v>NARIDRIN GOTAS AD FR C/15ML</v>
          </cell>
          <cell r="D1718" t="str">
            <v>FR X 15 ML</v>
          </cell>
          <cell r="E1718" t="str">
            <v>SC</v>
          </cell>
          <cell r="F1718">
            <v>0.74</v>
          </cell>
          <cell r="G1718">
            <v>0</v>
          </cell>
          <cell r="H1718">
            <v>0.74</v>
          </cell>
        </row>
        <row r="1719">
          <cell r="A1719" t="str">
            <v>6006SC</v>
          </cell>
          <cell r="B1719">
            <v>6006</v>
          </cell>
          <cell r="C1719" t="str">
            <v>NARIDRIN GOTAS INF FR C/15ML</v>
          </cell>
          <cell r="D1719" t="str">
            <v>FR X 15 ML</v>
          </cell>
          <cell r="E1719" t="str">
            <v>SC</v>
          </cell>
          <cell r="F1719">
            <v>0.72999999999999987</v>
          </cell>
          <cell r="G1719">
            <v>0</v>
          </cell>
          <cell r="H1719">
            <v>0.72999999999999987</v>
          </cell>
        </row>
        <row r="1720">
          <cell r="A1720" t="str">
            <v>1079SC</v>
          </cell>
          <cell r="B1720">
            <v>1079</v>
          </cell>
          <cell r="C1720" t="str">
            <v>NARIDRIN H 30MG/ML SOL.NAS SPRAY 60ML-E</v>
          </cell>
          <cell r="D1720" t="str">
            <v>FRASCO X 60ML</v>
          </cell>
          <cell r="E1720" t="str">
            <v>SC</v>
          </cell>
          <cell r="F1720">
            <v>0.7</v>
          </cell>
          <cell r="G1720">
            <v>0</v>
          </cell>
          <cell r="H1720">
            <v>0.7</v>
          </cell>
        </row>
        <row r="1721">
          <cell r="A1721" t="str">
            <v>1368SC</v>
          </cell>
          <cell r="B1721">
            <v>1368</v>
          </cell>
          <cell r="C1721" t="str">
            <v>NIMESILAM BLT 1X12= 12 COM - E</v>
          </cell>
          <cell r="D1721" t="str">
            <v>1 BLT X 12</v>
          </cell>
          <cell r="E1721" t="str">
            <v>SC</v>
          </cell>
          <cell r="F1721">
            <v>0.89999999999999991</v>
          </cell>
          <cell r="G1721">
            <v>0</v>
          </cell>
          <cell r="H1721">
            <v>0.89999999999999991</v>
          </cell>
        </row>
        <row r="1722">
          <cell r="A1722" t="str">
            <v>1367SC</v>
          </cell>
          <cell r="B1722">
            <v>1367</v>
          </cell>
          <cell r="C1722" t="str">
            <v>NIMESILAM GOTAS FRC/15ML  - E</v>
          </cell>
          <cell r="D1722" t="str">
            <v>FR 15 ML</v>
          </cell>
          <cell r="E1722" t="str">
            <v>SC</v>
          </cell>
          <cell r="F1722">
            <v>0.73</v>
          </cell>
          <cell r="G1722">
            <v>0</v>
          </cell>
          <cell r="H1722">
            <v>0.73</v>
          </cell>
        </row>
        <row r="1723">
          <cell r="A1723" t="str">
            <v>2058SC</v>
          </cell>
          <cell r="B1723">
            <v>2058</v>
          </cell>
          <cell r="C1723" t="str">
            <v>NOCICLIN 1BLT C/21COM-EMS</v>
          </cell>
          <cell r="D1723" t="str">
            <v>1 BL X 21</v>
          </cell>
          <cell r="E1723" t="str">
            <v>SC</v>
          </cell>
          <cell r="F1723">
            <v>0.68</v>
          </cell>
          <cell r="G1723">
            <v>0</v>
          </cell>
          <cell r="H1723">
            <v>0.68</v>
          </cell>
        </row>
        <row r="1724">
          <cell r="A1724" t="str">
            <v>2391SC</v>
          </cell>
          <cell r="B1724">
            <v>2391</v>
          </cell>
          <cell r="C1724" t="str">
            <v>RUDITE 20MG/ML PO SUS 100ML-E</v>
          </cell>
          <cell r="D1724" t="str">
            <v>FR X 100 ML</v>
          </cell>
          <cell r="E1724" t="str">
            <v>SC</v>
          </cell>
          <cell r="F1724">
            <v>0.59899999999999998</v>
          </cell>
          <cell r="G1724">
            <v>0</v>
          </cell>
          <cell r="H1724">
            <v>0.59899999999999998</v>
          </cell>
        </row>
        <row r="1725">
          <cell r="A1725" t="str">
            <v>2392SC</v>
          </cell>
          <cell r="B1725">
            <v>2392</v>
          </cell>
          <cell r="C1725" t="str">
            <v>RUDITE 20MG/ML PO SUS 45ML-E</v>
          </cell>
          <cell r="D1725" t="str">
            <v>FR X 45 ML</v>
          </cell>
          <cell r="E1725" t="str">
            <v>SC</v>
          </cell>
          <cell r="F1725">
            <v>0.58999999999999986</v>
          </cell>
          <cell r="G1725">
            <v>0</v>
          </cell>
          <cell r="H1725">
            <v>0.58999999999999986</v>
          </cell>
        </row>
        <row r="1726">
          <cell r="A1726" t="str">
            <v>2390SC</v>
          </cell>
          <cell r="B1726">
            <v>2390</v>
          </cell>
          <cell r="C1726" t="str">
            <v>RUDITE(C1)500MG C/6 COM REV-E</v>
          </cell>
          <cell r="D1726" t="str">
            <v>1 BLT X 6</v>
          </cell>
          <cell r="E1726" t="str">
            <v>SC</v>
          </cell>
          <cell r="F1726">
            <v>0.7</v>
          </cell>
          <cell r="G1726">
            <v>0</v>
          </cell>
          <cell r="H1726">
            <v>0.7</v>
          </cell>
        </row>
        <row r="1727">
          <cell r="A1727" t="str">
            <v>2398SC</v>
          </cell>
          <cell r="B1727">
            <v>2398</v>
          </cell>
          <cell r="C1727" t="str">
            <v>SOMINEX COMPOS OTC CPR REVEST x 20</v>
          </cell>
          <cell r="D1727" t="str">
            <v>2 BL X 10</v>
          </cell>
          <cell r="E1727" t="str">
            <v>SC</v>
          </cell>
          <cell r="F1727">
            <v>0.68899999999999995</v>
          </cell>
          <cell r="G1727">
            <v>0</v>
          </cell>
          <cell r="H1727">
            <v>0.68899999999999995</v>
          </cell>
        </row>
        <row r="1728">
          <cell r="A1728" t="str">
            <v>1818SC</v>
          </cell>
          <cell r="B1728">
            <v>1818</v>
          </cell>
          <cell r="C1728" t="str">
            <v>SUPLEVIT MULHER VIT. 2BLT C/15 CAP.GEL-E</v>
          </cell>
          <cell r="D1728" t="str">
            <v>2 BLT C/15</v>
          </cell>
          <cell r="E1728" t="str">
            <v>SC</v>
          </cell>
          <cell r="F1728">
            <v>0.82</v>
          </cell>
          <cell r="G1728">
            <v>0</v>
          </cell>
          <cell r="H1728">
            <v>0.82</v>
          </cell>
        </row>
        <row r="1729">
          <cell r="A1729" t="str">
            <v>1819SC</v>
          </cell>
          <cell r="B1729">
            <v>1819</v>
          </cell>
          <cell r="C1729" t="str">
            <v>SUPLEVIT MULHER VIT. 4BLT C/15 CAP.GEL-E</v>
          </cell>
          <cell r="D1729" t="str">
            <v>4 BLT C/15</v>
          </cell>
          <cell r="E1729" t="str">
            <v>SC</v>
          </cell>
          <cell r="F1729">
            <v>0.81999999999999984</v>
          </cell>
          <cell r="G1729">
            <v>0</v>
          </cell>
          <cell r="H1729">
            <v>0.81999999999999984</v>
          </cell>
        </row>
        <row r="1730">
          <cell r="A1730" t="str">
            <v>2036SC</v>
          </cell>
          <cell r="B1730">
            <v>2036</v>
          </cell>
          <cell r="C1730" t="str">
            <v>VITAFER FR C/50 COMP-E</v>
          </cell>
          <cell r="D1730" t="str">
            <v>FR X 50</v>
          </cell>
          <cell r="E1730" t="str">
            <v>SC</v>
          </cell>
          <cell r="F1730">
            <v>0.52999999999999992</v>
          </cell>
          <cell r="G1730">
            <v>0</v>
          </cell>
          <cell r="H1730">
            <v>0.52999999999999992</v>
          </cell>
        </row>
        <row r="1731">
          <cell r="A1731" t="str">
            <v>60000SE</v>
          </cell>
          <cell r="B1731">
            <v>60000</v>
          </cell>
          <cell r="C1731" t="str">
            <v>A SAUDE DA MULHER 150ML SOLUCAO</v>
          </cell>
          <cell r="D1731" t="str">
            <v>FR X 150 ML</v>
          </cell>
          <cell r="E1731" t="str">
            <v>SE</v>
          </cell>
          <cell r="F1731">
            <v>0.26999999999999996</v>
          </cell>
          <cell r="G1731">
            <v>0</v>
          </cell>
          <cell r="H1731">
            <v>0.26999999999999996</v>
          </cell>
        </row>
        <row r="1732">
          <cell r="A1732" t="str">
            <v>2256SE</v>
          </cell>
          <cell r="B1732">
            <v>2256</v>
          </cell>
          <cell r="C1732" t="str">
            <v>ALLEXOFEDRIN 120MG 1BLTC/10 COM REV-E</v>
          </cell>
          <cell r="D1732" t="str">
            <v>1 BL X 10 COMP REVEST</v>
          </cell>
          <cell r="E1732" t="str">
            <v>SE</v>
          </cell>
          <cell r="F1732">
            <v>0.75</v>
          </cell>
          <cell r="G1732">
            <v>0</v>
          </cell>
          <cell r="H1732">
            <v>0.75</v>
          </cell>
        </row>
        <row r="1733">
          <cell r="A1733" t="str">
            <v>2255SE</v>
          </cell>
          <cell r="B1733">
            <v>2255</v>
          </cell>
          <cell r="C1733" t="str">
            <v>ALLEXOFEDRIN 180MG 1BLTC/10 COM REV-E</v>
          </cell>
          <cell r="D1733" t="str">
            <v>1 BL X 10 COMP REVEST</v>
          </cell>
          <cell r="E1733" t="str">
            <v>SE</v>
          </cell>
          <cell r="F1733">
            <v>0.74999999999999989</v>
          </cell>
          <cell r="G1733">
            <v>0</v>
          </cell>
          <cell r="H1733">
            <v>0.74999999999999989</v>
          </cell>
        </row>
        <row r="1734">
          <cell r="A1734" t="str">
            <v>2133SE</v>
          </cell>
          <cell r="B1734">
            <v>2133</v>
          </cell>
          <cell r="C1734" t="str">
            <v>ALLEXOFEDRIN D 60+120MG 1BLT C/10C.REV</v>
          </cell>
          <cell r="D1734" t="str">
            <v>1 BL X 10 COMP REVEST</v>
          </cell>
          <cell r="E1734" t="str">
            <v>SE</v>
          </cell>
          <cell r="F1734">
            <v>0.26</v>
          </cell>
          <cell r="G1734">
            <v>0</v>
          </cell>
          <cell r="H1734">
            <v>0.26</v>
          </cell>
        </row>
        <row r="1735">
          <cell r="A1735" t="str">
            <v>1066RR</v>
          </cell>
          <cell r="B1735">
            <v>1066</v>
          </cell>
          <cell r="C1735" t="str">
            <v>CELERGIN XPE 120ML-E</v>
          </cell>
          <cell r="D1735" t="str">
            <v>FR X 120 ML</v>
          </cell>
          <cell r="E1735" t="str">
            <v>RR</v>
          </cell>
          <cell r="F1735">
            <v>0.71700000000000008</v>
          </cell>
          <cell r="G1735">
            <v>0</v>
          </cell>
          <cell r="H1735">
            <v>0.71700000000000008</v>
          </cell>
        </row>
        <row r="1736">
          <cell r="A1736" t="str">
            <v>2347SE</v>
          </cell>
          <cell r="B1736">
            <v>2347</v>
          </cell>
          <cell r="C1736" t="str">
            <v>ALLEXOFEDRIN PEDIATRICO6MG/MLSUS150 ML-E</v>
          </cell>
          <cell r="D1736" t="str">
            <v>6MG/MLSUS150 ML-E</v>
          </cell>
          <cell r="E1736" t="str">
            <v>SE</v>
          </cell>
          <cell r="F1736">
            <v>0.60909999999999997</v>
          </cell>
          <cell r="G1736">
            <v>0</v>
          </cell>
          <cell r="H1736">
            <v>0.60909999999999997</v>
          </cell>
        </row>
        <row r="1737">
          <cell r="A1737" t="str">
            <v>2190SE</v>
          </cell>
          <cell r="B1737">
            <v>2190</v>
          </cell>
          <cell r="C1737" t="str">
            <v>ANTIVIRAX 400MG 2BLTX15 COM - E</v>
          </cell>
          <cell r="D1737" t="str">
            <v>2 BL X 15</v>
          </cell>
          <cell r="E1737" t="str">
            <v>SE</v>
          </cell>
          <cell r="F1737">
            <v>0.68</v>
          </cell>
          <cell r="G1737">
            <v>0</v>
          </cell>
          <cell r="H1737">
            <v>0.68</v>
          </cell>
        </row>
        <row r="1738">
          <cell r="A1738" t="str">
            <v>3009SE</v>
          </cell>
          <cell r="B1738">
            <v>3009</v>
          </cell>
          <cell r="C1738" t="str">
            <v>ANTIVIRAX CR BG C/10 G</v>
          </cell>
          <cell r="D1738" t="str">
            <v>BISN X 10 G</v>
          </cell>
          <cell r="E1738" t="str">
            <v>SE</v>
          </cell>
          <cell r="F1738">
            <v>0.74999999999999989</v>
          </cell>
          <cell r="G1738">
            <v>0</v>
          </cell>
          <cell r="H1738">
            <v>0.74999999999999989</v>
          </cell>
        </row>
        <row r="1739">
          <cell r="A1739" t="str">
            <v>1001SE</v>
          </cell>
          <cell r="B1739">
            <v>1001</v>
          </cell>
          <cell r="C1739" t="str">
            <v>APEVITIN BC XPE FRC/240ML</v>
          </cell>
          <cell r="D1739" t="str">
            <v>FR X 240 ML</v>
          </cell>
          <cell r="E1739" t="str">
            <v>SE</v>
          </cell>
          <cell r="F1739">
            <v>0.80710000000000004</v>
          </cell>
          <cell r="G1739">
            <v>0</v>
          </cell>
          <cell r="H1739">
            <v>0.80710000000000004</v>
          </cell>
        </row>
        <row r="1740">
          <cell r="A1740" t="str">
            <v>1226SE</v>
          </cell>
          <cell r="B1740">
            <v>1226</v>
          </cell>
          <cell r="C1740" t="str">
            <v>BENZIFLEX 10MG 1BLX15COMP.REV-E</v>
          </cell>
          <cell r="D1740" t="str">
            <v>1 BL X 15 COMP.</v>
          </cell>
          <cell r="E1740" t="str">
            <v>SE</v>
          </cell>
          <cell r="F1740">
            <v>0.71</v>
          </cell>
          <cell r="G1740">
            <v>0</v>
          </cell>
          <cell r="H1740">
            <v>0.71</v>
          </cell>
        </row>
        <row r="1741">
          <cell r="A1741" t="str">
            <v>1227SE</v>
          </cell>
          <cell r="B1741">
            <v>1227</v>
          </cell>
          <cell r="C1741" t="str">
            <v>BENZIFLEX 10MG 2BLX15COMP.REV-E</v>
          </cell>
          <cell r="D1741" t="str">
            <v>2 BL X 15 COMP.</v>
          </cell>
          <cell r="E1741" t="str">
            <v>SE</v>
          </cell>
          <cell r="F1741">
            <v>0.71</v>
          </cell>
          <cell r="G1741">
            <v>0</v>
          </cell>
          <cell r="H1741">
            <v>0.71</v>
          </cell>
        </row>
        <row r="1742">
          <cell r="A1742" t="str">
            <v>1233SE</v>
          </cell>
          <cell r="B1742">
            <v>1233</v>
          </cell>
          <cell r="C1742" t="str">
            <v>BENZIFLEX 5MG 2BLX15COMP.REV-E</v>
          </cell>
          <cell r="D1742" t="str">
            <v>2 BL X 15 COMP.</v>
          </cell>
          <cell r="E1742" t="str">
            <v>SE</v>
          </cell>
          <cell r="F1742">
            <v>0.71</v>
          </cell>
          <cell r="G1742">
            <v>0</v>
          </cell>
          <cell r="H1742">
            <v>0.71</v>
          </cell>
        </row>
        <row r="1743">
          <cell r="A1743" t="str">
            <v>1574SE</v>
          </cell>
          <cell r="B1743">
            <v>1574</v>
          </cell>
          <cell r="C1743" t="str">
            <v>BENZIFLEX LIS 125MG+5MG 15COM.REV.-E</v>
          </cell>
          <cell r="D1743" t="str">
            <v>1 BL X 15 COMP.</v>
          </cell>
          <cell r="E1743" t="str">
            <v>SE</v>
          </cell>
          <cell r="F1743">
            <v>0.5</v>
          </cell>
          <cell r="G1743">
            <v>0</v>
          </cell>
          <cell r="H1743">
            <v>0.5</v>
          </cell>
        </row>
        <row r="1744">
          <cell r="A1744" t="str">
            <v>2292SE</v>
          </cell>
          <cell r="B1744">
            <v>2292</v>
          </cell>
          <cell r="C1744" t="str">
            <v>BENZIFLEX LIS 125MG+5MG 2BL15 COM.REV.-E</v>
          </cell>
          <cell r="D1744" t="str">
            <v>2 BL X 15 COMP.</v>
          </cell>
          <cell r="E1744" t="str">
            <v>SE</v>
          </cell>
          <cell r="F1744">
            <v>0.53</v>
          </cell>
          <cell r="G1744">
            <v>0</v>
          </cell>
          <cell r="H1744">
            <v>0.53</v>
          </cell>
        </row>
        <row r="1745">
          <cell r="A1745" t="str">
            <v>1155SE</v>
          </cell>
          <cell r="B1745">
            <v>1155</v>
          </cell>
          <cell r="C1745" t="str">
            <v>BIOFLADEX AEROSSOL 60G- E</v>
          </cell>
          <cell r="D1745" t="str">
            <v>FRASCO 60 G</v>
          </cell>
          <cell r="E1745" t="str">
            <v>SE</v>
          </cell>
          <cell r="F1745">
            <v>0.66</v>
          </cell>
          <cell r="G1745">
            <v>0</v>
          </cell>
          <cell r="H1745">
            <v>0.66</v>
          </cell>
        </row>
        <row r="1746">
          <cell r="A1746" t="str">
            <v>1072SE</v>
          </cell>
          <cell r="B1746">
            <v>1072</v>
          </cell>
          <cell r="C1746" t="str">
            <v>BISURAN 4MG/5ML XPE INF 120ML-E</v>
          </cell>
          <cell r="D1746" t="str">
            <v>FR X 120 ML</v>
          </cell>
          <cell r="E1746" t="str">
            <v>SE</v>
          </cell>
          <cell r="F1746">
            <v>0.53</v>
          </cell>
          <cell r="G1746">
            <v>0</v>
          </cell>
          <cell r="H1746">
            <v>0.53</v>
          </cell>
        </row>
        <row r="1747">
          <cell r="A1747" t="str">
            <v>1318SE</v>
          </cell>
          <cell r="B1747">
            <v>1318</v>
          </cell>
          <cell r="C1747" t="str">
            <v>BISURAN 8MG/5ML XPE AD. 120ML-E</v>
          </cell>
          <cell r="D1747" t="str">
            <v>FR X 120 ML</v>
          </cell>
          <cell r="E1747" t="str">
            <v>SE</v>
          </cell>
          <cell r="F1747">
            <v>0.61999999999999988</v>
          </cell>
          <cell r="G1747">
            <v>0</v>
          </cell>
          <cell r="H1747">
            <v>0.61999999999999988</v>
          </cell>
        </row>
        <row r="1748">
          <cell r="A1748" t="str">
            <v>2141SE</v>
          </cell>
          <cell r="B1748">
            <v>2141</v>
          </cell>
          <cell r="C1748" t="str">
            <v>CELERGIN 20 COMP-E</v>
          </cell>
          <cell r="D1748" t="str">
            <v>CX. C/20 COMP.</v>
          </cell>
          <cell r="E1748" t="str">
            <v>SE</v>
          </cell>
          <cell r="F1748">
            <v>0.65649999999999986</v>
          </cell>
          <cell r="G1748">
            <v>0</v>
          </cell>
          <cell r="H1748">
            <v>0.65649999999999986</v>
          </cell>
        </row>
        <row r="1749">
          <cell r="A1749" t="str">
            <v>1066RS</v>
          </cell>
          <cell r="B1749">
            <v>1066</v>
          </cell>
          <cell r="C1749" t="str">
            <v>CELERGIN XPE 120ML-E</v>
          </cell>
          <cell r="D1749" t="str">
            <v>FR X 120 ML</v>
          </cell>
          <cell r="E1749" t="str">
            <v>RS</v>
          </cell>
          <cell r="F1749">
            <v>0.73429999999999995</v>
          </cell>
          <cell r="G1749">
            <v>0</v>
          </cell>
          <cell r="H1749">
            <v>0.73429999999999995</v>
          </cell>
        </row>
        <row r="1750">
          <cell r="A1750" t="str">
            <v>2322SE</v>
          </cell>
          <cell r="B1750">
            <v>2322</v>
          </cell>
          <cell r="C1750" t="str">
            <v>CLOPE 3,54MG/ML XPE 120ML FR PLAS-E</v>
          </cell>
          <cell r="D1750" t="str">
            <v>FR X 120 ML</v>
          </cell>
          <cell r="E1750" t="str">
            <v>SE</v>
          </cell>
          <cell r="F1750">
            <v>0.53</v>
          </cell>
          <cell r="G1750">
            <v>0</v>
          </cell>
          <cell r="H1750">
            <v>0.53</v>
          </cell>
        </row>
        <row r="1751">
          <cell r="A1751" t="str">
            <v>2383SE</v>
          </cell>
          <cell r="B1751">
            <v>2383</v>
          </cell>
          <cell r="C1751" t="str">
            <v>COMPLEXO B 12 XPE FR C/120ML E</v>
          </cell>
          <cell r="D1751" t="str">
            <v>FR X 120 ML</v>
          </cell>
          <cell r="E1751" t="str">
            <v>SE</v>
          </cell>
          <cell r="F1751">
            <v>0.67000000000000015</v>
          </cell>
          <cell r="G1751">
            <v>0</v>
          </cell>
          <cell r="H1751">
            <v>0.67000000000000015</v>
          </cell>
        </row>
        <row r="1752">
          <cell r="A1752" t="str">
            <v>2384SE</v>
          </cell>
          <cell r="B1752">
            <v>2384</v>
          </cell>
          <cell r="C1752" t="str">
            <v>COMPLEXO B CPR REVEST x 20</v>
          </cell>
          <cell r="D1752" t="str">
            <v xml:space="preserve">FR X 20 </v>
          </cell>
          <cell r="E1752" t="str">
            <v>SE</v>
          </cell>
          <cell r="F1752">
            <v>0.66000000000000014</v>
          </cell>
          <cell r="G1752">
            <v>0</v>
          </cell>
          <cell r="H1752">
            <v>0.66000000000000014</v>
          </cell>
        </row>
        <row r="1753">
          <cell r="A1753" t="str">
            <v>2382SE</v>
          </cell>
          <cell r="B1753">
            <v>2382</v>
          </cell>
          <cell r="C1753" t="str">
            <v>COMPLEXO B FR C/100 COM REV  E</v>
          </cell>
          <cell r="D1753" t="str">
            <v>FR X 100</v>
          </cell>
          <cell r="E1753" t="str">
            <v>SE</v>
          </cell>
          <cell r="F1753">
            <v>0.64000000000000012</v>
          </cell>
          <cell r="G1753">
            <v>0</v>
          </cell>
          <cell r="H1753">
            <v>0.64000000000000012</v>
          </cell>
        </row>
        <row r="1754">
          <cell r="A1754" t="str">
            <v>2011SE</v>
          </cell>
          <cell r="B1754">
            <v>2011</v>
          </cell>
          <cell r="C1754" t="str">
            <v>CYSTEX FR C/24 DRG</v>
          </cell>
          <cell r="D1754" t="str">
            <v xml:space="preserve">FR X 24 </v>
          </cell>
          <cell r="E1754" t="str">
            <v>SE</v>
          </cell>
          <cell r="F1754">
            <v>0.36070000000000002</v>
          </cell>
          <cell r="G1754">
            <v>0</v>
          </cell>
          <cell r="H1754">
            <v>0.36070000000000002</v>
          </cell>
        </row>
        <row r="1755">
          <cell r="A1755" t="str">
            <v>1837SE</v>
          </cell>
          <cell r="B1755">
            <v>1837</v>
          </cell>
          <cell r="C1755" t="str">
            <v>DIOVASES 450+50MG C/30 COM.REV. - E</v>
          </cell>
          <cell r="D1755" t="str">
            <v>2 BL X 15 COMP.</v>
          </cell>
          <cell r="E1755" t="str">
            <v>SE</v>
          </cell>
          <cell r="F1755">
            <v>0.68</v>
          </cell>
          <cell r="G1755">
            <v>0</v>
          </cell>
          <cell r="H1755">
            <v>0.68</v>
          </cell>
        </row>
        <row r="1756">
          <cell r="A1756" t="str">
            <v>1838SE</v>
          </cell>
          <cell r="B1756">
            <v>1838</v>
          </cell>
          <cell r="C1756" t="str">
            <v>DIOVASES 450+50MG C/60 COM.REV. - E</v>
          </cell>
          <cell r="D1756" t="str">
            <v>4 BL X 15 COMP.</v>
          </cell>
          <cell r="E1756" t="str">
            <v>SE</v>
          </cell>
          <cell r="F1756">
            <v>0.72</v>
          </cell>
          <cell r="G1756">
            <v>0</v>
          </cell>
          <cell r="H1756">
            <v>0.72</v>
          </cell>
        </row>
        <row r="1757">
          <cell r="A1757" t="str">
            <v>2261SE</v>
          </cell>
          <cell r="B1757">
            <v>2261</v>
          </cell>
          <cell r="C1757" t="str">
            <v>DORICIN CPR x 24</v>
          </cell>
          <cell r="D1757" t="str">
            <v>2BL C/12 COMPRIMIDOS -E</v>
          </cell>
          <cell r="E1757" t="str">
            <v>SE</v>
          </cell>
          <cell r="F1757">
            <v>0.74099999999999999</v>
          </cell>
          <cell r="G1757">
            <v>0</v>
          </cell>
          <cell r="H1757">
            <v>0.74099999999999999</v>
          </cell>
        </row>
        <row r="1758">
          <cell r="A1758" t="str">
            <v>2264SE</v>
          </cell>
          <cell r="B1758">
            <v>2264</v>
          </cell>
          <cell r="C1758" t="str">
            <v>DORICIN CPR x 300</v>
          </cell>
          <cell r="D1758" t="str">
            <v>30BL C/10 COMPRIMIDOS -E</v>
          </cell>
          <cell r="E1758" t="str">
            <v>SE</v>
          </cell>
          <cell r="F1758">
            <v>0.74099999999999999</v>
          </cell>
          <cell r="G1758">
            <v>0</v>
          </cell>
          <cell r="H1758">
            <v>0.74099999999999999</v>
          </cell>
        </row>
        <row r="1759">
          <cell r="A1759" t="str">
            <v>2262SE</v>
          </cell>
          <cell r="B1759">
            <v>2262</v>
          </cell>
          <cell r="C1759" t="str">
            <v>DORICIN CPR X 36</v>
          </cell>
          <cell r="D1759" t="str">
            <v>3BL C/12 COMPRIMIDOS -E</v>
          </cell>
          <cell r="E1759" t="str">
            <v>SE</v>
          </cell>
          <cell r="F1759">
            <v>0.75139999999999996</v>
          </cell>
          <cell r="G1759">
            <v>0</v>
          </cell>
          <cell r="H1759">
            <v>0.75139999999999996</v>
          </cell>
        </row>
        <row r="1760">
          <cell r="A1760" t="str">
            <v>2263SE</v>
          </cell>
          <cell r="B1760">
            <v>2263</v>
          </cell>
          <cell r="C1760" t="str">
            <v>DORICIN CPR X 50</v>
          </cell>
          <cell r="D1760" t="str">
            <v>5BL C/10 COMPRIMIDOS - E</v>
          </cell>
          <cell r="E1760" t="str">
            <v>SE</v>
          </cell>
          <cell r="F1760">
            <v>0.66100000000000003</v>
          </cell>
          <cell r="G1760">
            <v>0</v>
          </cell>
          <cell r="H1760">
            <v>0.66100000000000003</v>
          </cell>
        </row>
        <row r="1761">
          <cell r="A1761" t="str">
            <v>1173SE</v>
          </cell>
          <cell r="B1761">
            <v>1173</v>
          </cell>
          <cell r="C1761" t="str">
            <v>DORICIN GOTAS 20ML x 1</v>
          </cell>
          <cell r="D1761" t="str">
            <v>FR X 20 ML</v>
          </cell>
          <cell r="E1761" t="str">
            <v>SE</v>
          </cell>
          <cell r="F1761">
            <v>0.65</v>
          </cell>
          <cell r="G1761">
            <v>0</v>
          </cell>
          <cell r="H1761">
            <v>0.65</v>
          </cell>
        </row>
        <row r="1762">
          <cell r="A1762" t="str">
            <v>2018SE</v>
          </cell>
          <cell r="B1762">
            <v>2018</v>
          </cell>
          <cell r="C1762" t="str">
            <v>EMISTIN BLT 1X20=20COMP</v>
          </cell>
          <cell r="D1762" t="str">
            <v>1 BL X 20</v>
          </cell>
          <cell r="E1762" t="str">
            <v>SE</v>
          </cell>
          <cell r="F1762">
            <v>0.67</v>
          </cell>
          <cell r="G1762">
            <v>0</v>
          </cell>
          <cell r="H1762">
            <v>0.67</v>
          </cell>
        </row>
        <row r="1763">
          <cell r="A1763" t="str">
            <v>3008SE</v>
          </cell>
          <cell r="B1763">
            <v>3008</v>
          </cell>
          <cell r="C1763" t="str">
            <v>EMISTIN CR BG C/20G</v>
          </cell>
          <cell r="D1763" t="str">
            <v>BISN X 20 G</v>
          </cell>
          <cell r="E1763" t="str">
            <v>SE</v>
          </cell>
          <cell r="F1763">
            <v>0.77</v>
          </cell>
          <cell r="G1763">
            <v>0</v>
          </cell>
          <cell r="H1763">
            <v>0.77</v>
          </cell>
        </row>
        <row r="1764">
          <cell r="A1764" t="str">
            <v>3020SE</v>
          </cell>
          <cell r="B1764">
            <v>3020</v>
          </cell>
          <cell r="C1764" t="str">
            <v>EMSCORT CR BG C/30G</v>
          </cell>
          <cell r="D1764" t="str">
            <v>BISN X 30 G</v>
          </cell>
          <cell r="E1764" t="str">
            <v>SE</v>
          </cell>
          <cell r="F1764">
            <v>0.77000000000000013</v>
          </cell>
          <cell r="G1764">
            <v>0</v>
          </cell>
          <cell r="H1764">
            <v>0.77000000000000013</v>
          </cell>
        </row>
        <row r="1765">
          <cell r="A1765" t="str">
            <v>6023SE</v>
          </cell>
          <cell r="B1765">
            <v>6023</v>
          </cell>
          <cell r="C1765" t="str">
            <v>EMSCORT POM BISN 30G-E</v>
          </cell>
          <cell r="D1765" t="str">
            <v>BISN X 30 G</v>
          </cell>
          <cell r="E1765" t="str">
            <v>SE</v>
          </cell>
          <cell r="F1765">
            <v>0.7639999999999999</v>
          </cell>
          <cell r="G1765">
            <v>0</v>
          </cell>
          <cell r="H1765">
            <v>0.7639999999999999</v>
          </cell>
        </row>
        <row r="1766">
          <cell r="A1766" t="str">
            <v>1190SE</v>
          </cell>
          <cell r="B1766">
            <v>1190</v>
          </cell>
          <cell r="C1766" t="str">
            <v>EMSEXPECTOR XAROPE FR C/120ML - E</v>
          </cell>
          <cell r="D1766" t="str">
            <v>FR X 120 ML</v>
          </cell>
          <cell r="E1766" t="str">
            <v>SE</v>
          </cell>
          <cell r="F1766">
            <v>0.48</v>
          </cell>
          <cell r="G1766">
            <v>0</v>
          </cell>
          <cell r="H1766">
            <v>0.48</v>
          </cell>
        </row>
        <row r="1767">
          <cell r="A1767" t="str">
            <v>2111SE</v>
          </cell>
          <cell r="B1767">
            <v>2111</v>
          </cell>
          <cell r="C1767" t="str">
            <v>ENDCOFF PAST MEL ELIMAO C/12UN</v>
          </cell>
          <cell r="D1767" t="str">
            <v>3 STP X 4</v>
          </cell>
          <cell r="E1767" t="str">
            <v>SE</v>
          </cell>
          <cell r="F1767">
            <v>0.48</v>
          </cell>
          <cell r="G1767">
            <v>0</v>
          </cell>
          <cell r="H1767">
            <v>0.48</v>
          </cell>
        </row>
        <row r="1768">
          <cell r="A1768" t="str">
            <v>2092SE</v>
          </cell>
          <cell r="B1768">
            <v>2092</v>
          </cell>
          <cell r="C1768" t="str">
            <v>ENDCOFF PAST STP MENTA C/12 UN</v>
          </cell>
          <cell r="D1768" t="str">
            <v>3 STP X 4</v>
          </cell>
          <cell r="E1768" t="str">
            <v>SE</v>
          </cell>
          <cell r="F1768">
            <v>0.48</v>
          </cell>
          <cell r="G1768">
            <v>0</v>
          </cell>
          <cell r="H1768">
            <v>0.48</v>
          </cell>
        </row>
        <row r="1769">
          <cell r="A1769" t="str">
            <v>1905SE</v>
          </cell>
          <cell r="B1769">
            <v>1905</v>
          </cell>
          <cell r="C1769" t="str">
            <v>ESMOG 20MG 4BLTC/7 COM REV LIB RETARD- E</v>
          </cell>
          <cell r="D1769" t="str">
            <v>4 BLT C/7</v>
          </cell>
          <cell r="E1769" t="str">
            <v>SE</v>
          </cell>
          <cell r="F1769">
            <v>0.77800000000000002</v>
          </cell>
          <cell r="G1769">
            <v>0</v>
          </cell>
          <cell r="H1769">
            <v>0.77800000000000002</v>
          </cell>
        </row>
        <row r="1770">
          <cell r="A1770" t="str">
            <v>1906SE</v>
          </cell>
          <cell r="B1770">
            <v>1906</v>
          </cell>
          <cell r="C1770" t="str">
            <v>ESMOG 40MG 4BLTC/7 COM REV LIB RETARD- E</v>
          </cell>
          <cell r="D1770" t="str">
            <v>4 BLT C/7</v>
          </cell>
          <cell r="E1770" t="str">
            <v>SE</v>
          </cell>
          <cell r="F1770">
            <v>0.8</v>
          </cell>
          <cell r="G1770">
            <v>0</v>
          </cell>
          <cell r="H1770">
            <v>0.8</v>
          </cell>
        </row>
        <row r="1771">
          <cell r="A1771" t="str">
            <v>1016SE</v>
          </cell>
          <cell r="B1771">
            <v>1016</v>
          </cell>
          <cell r="C1771" t="str">
            <v>EXPECTUSS XPE ADULTO FR C/100ML</v>
          </cell>
          <cell r="D1771" t="str">
            <v>FR X 100 ML</v>
          </cell>
          <cell r="E1771" t="str">
            <v>SE</v>
          </cell>
          <cell r="F1771">
            <v>0.55000000000000016</v>
          </cell>
          <cell r="G1771">
            <v>0</v>
          </cell>
          <cell r="H1771">
            <v>0.55000000000000016</v>
          </cell>
        </row>
        <row r="1772">
          <cell r="A1772" t="str">
            <v>1015SE</v>
          </cell>
          <cell r="B1772">
            <v>1015</v>
          </cell>
          <cell r="C1772" t="str">
            <v>EXPECTUSS XPE INF FR C/100ML</v>
          </cell>
          <cell r="D1772" t="str">
            <v>FR X 100 ML</v>
          </cell>
          <cell r="E1772" t="str">
            <v>SE</v>
          </cell>
          <cell r="F1772">
            <v>0.5099999999999999</v>
          </cell>
          <cell r="G1772">
            <v>0</v>
          </cell>
          <cell r="H1772">
            <v>0.5099999999999999</v>
          </cell>
        </row>
        <row r="1773">
          <cell r="A1773" t="str">
            <v>1363SE</v>
          </cell>
          <cell r="B1773">
            <v>1363</v>
          </cell>
          <cell r="C1773" t="str">
            <v>FLUITEINA 600MG GRAN 16ENV 5G-E</v>
          </cell>
          <cell r="D1773" t="str">
            <v>CX. C/16 ENV X 5GR</v>
          </cell>
          <cell r="E1773" t="str">
            <v>SE</v>
          </cell>
          <cell r="F1773">
            <v>0.42999999999999994</v>
          </cell>
          <cell r="G1773">
            <v>0</v>
          </cell>
          <cell r="H1773">
            <v>0.42999999999999994</v>
          </cell>
        </row>
        <row r="1774">
          <cell r="A1774" t="str">
            <v>1364SE</v>
          </cell>
          <cell r="B1774">
            <v>1364</v>
          </cell>
          <cell r="C1774" t="str">
            <v>FLUITEINA XPE AD 40MG/ML120ML-E</v>
          </cell>
          <cell r="D1774" t="str">
            <v>FR X 120 ML</v>
          </cell>
          <cell r="E1774" t="str">
            <v>SE</v>
          </cell>
          <cell r="F1774">
            <v>0.56999999999999973</v>
          </cell>
          <cell r="G1774">
            <v>0</v>
          </cell>
          <cell r="H1774">
            <v>0.56999999999999973</v>
          </cell>
        </row>
        <row r="1775">
          <cell r="A1775" t="str">
            <v>1163SE</v>
          </cell>
          <cell r="B1775">
            <v>1163</v>
          </cell>
          <cell r="C1775" t="str">
            <v>FLUITEINA XPE INF 20MG/ML 120ML-E</v>
          </cell>
          <cell r="D1775" t="str">
            <v>FR X 120 ML</v>
          </cell>
          <cell r="E1775" t="str">
            <v>SE</v>
          </cell>
          <cell r="F1775">
            <v>0.51900000000000002</v>
          </cell>
          <cell r="G1775">
            <v>0</v>
          </cell>
          <cell r="H1775">
            <v>0.51900000000000002</v>
          </cell>
        </row>
        <row r="1776">
          <cell r="A1776" t="str">
            <v>1168SE</v>
          </cell>
          <cell r="B1776">
            <v>1168</v>
          </cell>
          <cell r="C1776" t="str">
            <v>FOLIFOLIN 5MG 2BLTX15COMP - E</v>
          </cell>
          <cell r="D1776" t="str">
            <v>2 BLT X 15 COMP.</v>
          </cell>
          <cell r="E1776" t="str">
            <v>SE</v>
          </cell>
          <cell r="F1776">
            <v>0.66</v>
          </cell>
          <cell r="G1776">
            <v>0</v>
          </cell>
          <cell r="H1776">
            <v>0.66</v>
          </cell>
        </row>
        <row r="1777">
          <cell r="A1777" t="str">
            <v>2318SE</v>
          </cell>
          <cell r="B1777">
            <v>2318</v>
          </cell>
          <cell r="C1777" t="str">
            <v>GEROVITAL  2BLT15 CAP MOLE-E</v>
          </cell>
          <cell r="D1777" t="str">
            <v>3 BL X 10</v>
          </cell>
          <cell r="E1777" t="str">
            <v>SE</v>
          </cell>
          <cell r="F1777">
            <v>0.57899999999999996</v>
          </cell>
          <cell r="G1777">
            <v>0</v>
          </cell>
          <cell r="H1777">
            <v>0.57899999999999996</v>
          </cell>
        </row>
        <row r="1778">
          <cell r="A1778" t="str">
            <v>2062SE</v>
          </cell>
          <cell r="B1778">
            <v>2062</v>
          </cell>
          <cell r="C1778" t="str">
            <v>GEROVITAL 3BLT C/20 CAP</v>
          </cell>
          <cell r="D1778" t="str">
            <v>6 BL X 10</v>
          </cell>
          <cell r="E1778" t="str">
            <v>SE</v>
          </cell>
          <cell r="F1778">
            <v>0.48100000000000004</v>
          </cell>
          <cell r="G1778">
            <v>0</v>
          </cell>
          <cell r="H1778">
            <v>0.48100000000000004</v>
          </cell>
        </row>
        <row r="1779">
          <cell r="A1779" t="str">
            <v>1230SE</v>
          </cell>
          <cell r="B1779">
            <v>1230</v>
          </cell>
          <cell r="C1779" t="str">
            <v>IBULIV 100MG/ML SUP ORAL C/ 20 ML-E</v>
          </cell>
          <cell r="D1779" t="str">
            <v>FR X 20 ML</v>
          </cell>
          <cell r="E1779" t="str">
            <v>SE</v>
          </cell>
          <cell r="F1779">
            <v>0.68000000000000016</v>
          </cell>
          <cell r="G1779">
            <v>0</v>
          </cell>
          <cell r="H1779">
            <v>0.68000000000000016</v>
          </cell>
        </row>
        <row r="1780">
          <cell r="A1780" t="str">
            <v>1472SE</v>
          </cell>
          <cell r="B1780">
            <v>1472</v>
          </cell>
          <cell r="C1780" t="str">
            <v>IBULIV 400MG 10 BLT C/ 4CAPS GEL.MOLES-E</v>
          </cell>
          <cell r="D1780" t="str">
            <v>10 BLT X 4 CÁPS</v>
          </cell>
          <cell r="E1780" t="str">
            <v>SE</v>
          </cell>
          <cell r="F1780">
            <v>0.71000000000000019</v>
          </cell>
          <cell r="G1780">
            <v>0</v>
          </cell>
          <cell r="H1780">
            <v>0.71000000000000019</v>
          </cell>
        </row>
        <row r="1781">
          <cell r="A1781" t="str">
            <v>2469SE</v>
          </cell>
          <cell r="B1781">
            <v>2469</v>
          </cell>
          <cell r="C1781" t="str">
            <v>IBULIV 400MG 2 BLT C/ 10CAPS GEL.MOLES-E</v>
          </cell>
          <cell r="D1781" t="str">
            <v>20 CÁPS.</v>
          </cell>
          <cell r="E1781" t="str">
            <v>SE</v>
          </cell>
          <cell r="F1781">
            <v>0.71</v>
          </cell>
          <cell r="G1781">
            <v>0</v>
          </cell>
          <cell r="H1781">
            <v>0.71</v>
          </cell>
        </row>
        <row r="1782">
          <cell r="A1782" t="str">
            <v>1471SE</v>
          </cell>
          <cell r="B1782">
            <v>1471</v>
          </cell>
          <cell r="C1782" t="str">
            <v>IBULIV 400MG 2 BLT C/ 4CAPS GEL.MOLES-E</v>
          </cell>
          <cell r="D1782" t="str">
            <v>2 BLT X 4 CÁPS.</v>
          </cell>
          <cell r="E1782" t="str">
            <v>SE</v>
          </cell>
          <cell r="F1782">
            <v>0.71</v>
          </cell>
          <cell r="G1782">
            <v>0</v>
          </cell>
          <cell r="H1782">
            <v>0.71</v>
          </cell>
        </row>
        <row r="1783">
          <cell r="A1783" t="str">
            <v>1175SE</v>
          </cell>
          <cell r="B1783">
            <v>1175</v>
          </cell>
          <cell r="C1783" t="str">
            <v>INFRALAX 1BLT C/15COMP - EMS</v>
          </cell>
          <cell r="D1783" t="str">
            <v>1 BLT C/ 15</v>
          </cell>
          <cell r="E1783" t="str">
            <v>SE</v>
          </cell>
          <cell r="F1783">
            <v>0.74280000000000002</v>
          </cell>
          <cell r="G1783">
            <v>0</v>
          </cell>
          <cell r="H1783">
            <v>0.74280000000000002</v>
          </cell>
        </row>
        <row r="1784">
          <cell r="A1784" t="str">
            <v>1821SE</v>
          </cell>
          <cell r="B1784">
            <v>1821</v>
          </cell>
          <cell r="C1784" t="str">
            <v>INFRALAX 20BLTX10COMP - E</v>
          </cell>
          <cell r="D1784" t="str">
            <v>20 BLT X 10</v>
          </cell>
          <cell r="E1784" t="str">
            <v>SE</v>
          </cell>
          <cell r="F1784">
            <v>0.81</v>
          </cell>
          <cell r="G1784">
            <v>0</v>
          </cell>
          <cell r="H1784">
            <v>0.81</v>
          </cell>
        </row>
        <row r="1785">
          <cell r="A1785" t="str">
            <v>2138SE</v>
          </cell>
          <cell r="B1785">
            <v>2138</v>
          </cell>
          <cell r="C1785" t="str">
            <v>INFRALAX 2BLT C/15COMP - EMS</v>
          </cell>
          <cell r="D1785" t="str">
            <v>2 BL X 15</v>
          </cell>
          <cell r="E1785" t="str">
            <v>SE</v>
          </cell>
          <cell r="F1785">
            <v>0.74650000000000005</v>
          </cell>
          <cell r="G1785">
            <v>0</v>
          </cell>
          <cell r="H1785">
            <v>0.74650000000000005</v>
          </cell>
        </row>
        <row r="1786">
          <cell r="A1786" t="str">
            <v>6011SE</v>
          </cell>
          <cell r="B1786">
            <v>6011</v>
          </cell>
          <cell r="C1786" t="str">
            <v>NARIDRIN 12HS GOTAS FR C/30ML</v>
          </cell>
          <cell r="D1786" t="str">
            <v>FR X 30 ML</v>
          </cell>
          <cell r="E1786" t="str">
            <v>SE</v>
          </cell>
          <cell r="F1786">
            <v>0.74</v>
          </cell>
          <cell r="G1786">
            <v>0</v>
          </cell>
          <cell r="H1786">
            <v>0.74</v>
          </cell>
        </row>
        <row r="1787">
          <cell r="A1787" t="str">
            <v>2604SE</v>
          </cell>
          <cell r="B1787">
            <v>2604</v>
          </cell>
          <cell r="C1787" t="str">
            <v>NARIDRIN ALTO VOL 30ENVX2,16G+FR240ML</v>
          </cell>
          <cell r="D1787" t="str">
            <v>30ENVX2,16G+FR240ML</v>
          </cell>
          <cell r="E1787" t="str">
            <v>SE</v>
          </cell>
          <cell r="F1787">
            <v>0.64</v>
          </cell>
          <cell r="G1787">
            <v>0</v>
          </cell>
          <cell r="H1787">
            <v>0.64</v>
          </cell>
        </row>
        <row r="1788">
          <cell r="A1788" t="str">
            <v>2605SE</v>
          </cell>
          <cell r="B1788">
            <v>2605</v>
          </cell>
          <cell r="C1788" t="str">
            <v>NARIDRIN ALTO VOL REFIL</v>
          </cell>
          <cell r="D1788" t="str">
            <v>30 ENV X 2,16G</v>
          </cell>
          <cell r="E1788" t="str">
            <v>SE</v>
          </cell>
          <cell r="F1788">
            <v>0.59999999999999987</v>
          </cell>
          <cell r="G1788">
            <v>0</v>
          </cell>
          <cell r="H1788">
            <v>0.59999999999999987</v>
          </cell>
        </row>
        <row r="1789">
          <cell r="A1789" t="str">
            <v>1433SE</v>
          </cell>
          <cell r="B1789">
            <v>1433</v>
          </cell>
          <cell r="C1789" t="str">
            <v>NARIDRIN AQUA 9MG/ML FRASCO C/50ML-E</v>
          </cell>
          <cell r="D1789" t="str">
            <v>FR X 50 ML SPRAY</v>
          </cell>
          <cell r="E1789" t="str">
            <v>SE</v>
          </cell>
          <cell r="F1789">
            <v>0.71</v>
          </cell>
          <cell r="G1789">
            <v>0</v>
          </cell>
          <cell r="H1789">
            <v>0.71</v>
          </cell>
        </row>
        <row r="1790">
          <cell r="A1790" t="str">
            <v>6005SE</v>
          </cell>
          <cell r="B1790">
            <v>6005</v>
          </cell>
          <cell r="C1790" t="str">
            <v>NARIDRIN GOTAS AD FR C/15ML</v>
          </cell>
          <cell r="D1790" t="str">
            <v>FR X 15 ML</v>
          </cell>
          <cell r="E1790" t="str">
            <v>SE</v>
          </cell>
          <cell r="F1790">
            <v>0.74</v>
          </cell>
          <cell r="G1790">
            <v>0</v>
          </cell>
          <cell r="H1790">
            <v>0.74</v>
          </cell>
        </row>
        <row r="1791">
          <cell r="A1791" t="str">
            <v>6006SE</v>
          </cell>
          <cell r="B1791">
            <v>6006</v>
          </cell>
          <cell r="C1791" t="str">
            <v>NARIDRIN GOTAS INF FR C/15ML</v>
          </cell>
          <cell r="D1791" t="str">
            <v>FR X 15 ML</v>
          </cell>
          <cell r="E1791" t="str">
            <v>SE</v>
          </cell>
          <cell r="F1791">
            <v>0.72999999999999987</v>
          </cell>
          <cell r="G1791">
            <v>0</v>
          </cell>
          <cell r="H1791">
            <v>0.72999999999999987</v>
          </cell>
        </row>
        <row r="1792">
          <cell r="A1792" t="str">
            <v>1079SE</v>
          </cell>
          <cell r="B1792">
            <v>1079</v>
          </cell>
          <cell r="C1792" t="str">
            <v>NARIDRIN H 30MG/ML SOL.NAS SPRAY 60ML-E</v>
          </cell>
          <cell r="D1792" t="str">
            <v>FRASCO X 60ML</v>
          </cell>
          <cell r="E1792" t="str">
            <v>SE</v>
          </cell>
          <cell r="F1792">
            <v>0.7</v>
          </cell>
          <cell r="G1792">
            <v>0</v>
          </cell>
          <cell r="H1792">
            <v>0.7</v>
          </cell>
        </row>
        <row r="1793">
          <cell r="A1793" t="str">
            <v>1368SE</v>
          </cell>
          <cell r="B1793">
            <v>1368</v>
          </cell>
          <cell r="C1793" t="str">
            <v>NIMESILAM BLT 1X12= 12 COM - E</v>
          </cell>
          <cell r="D1793" t="str">
            <v>1 BLT X 12</v>
          </cell>
          <cell r="E1793" t="str">
            <v>SE</v>
          </cell>
          <cell r="F1793">
            <v>0.89999999999999991</v>
          </cell>
          <cell r="G1793">
            <v>0</v>
          </cell>
          <cell r="H1793">
            <v>0.89999999999999991</v>
          </cell>
        </row>
        <row r="1794">
          <cell r="A1794" t="str">
            <v>1367SE</v>
          </cell>
          <cell r="B1794">
            <v>1367</v>
          </cell>
          <cell r="C1794" t="str">
            <v>NIMESILAM GOTAS FRC/15ML  - E</v>
          </cell>
          <cell r="D1794" t="str">
            <v>FR 15 ML</v>
          </cell>
          <cell r="E1794" t="str">
            <v>SE</v>
          </cell>
          <cell r="F1794">
            <v>0.73</v>
          </cell>
          <cell r="G1794">
            <v>0</v>
          </cell>
          <cell r="H1794">
            <v>0.73</v>
          </cell>
        </row>
        <row r="1795">
          <cell r="A1795" t="str">
            <v>2058SE</v>
          </cell>
          <cell r="B1795">
            <v>2058</v>
          </cell>
          <cell r="C1795" t="str">
            <v>NOCICLIN 1BLT C/21COM-EMS</v>
          </cell>
          <cell r="D1795" t="str">
            <v>1 BL X 21</v>
          </cell>
          <cell r="E1795" t="str">
            <v>SE</v>
          </cell>
          <cell r="F1795">
            <v>0.68</v>
          </cell>
          <cell r="G1795">
            <v>0</v>
          </cell>
          <cell r="H1795">
            <v>0.68</v>
          </cell>
        </row>
        <row r="1796">
          <cell r="A1796" t="str">
            <v>2391SE</v>
          </cell>
          <cell r="B1796">
            <v>2391</v>
          </cell>
          <cell r="C1796" t="str">
            <v>RUDITE 20MG/ML PO SUS 100ML-E</v>
          </cell>
          <cell r="D1796" t="str">
            <v>FR X 100 ML</v>
          </cell>
          <cell r="E1796" t="str">
            <v>SE</v>
          </cell>
          <cell r="F1796">
            <v>0.59899999999999998</v>
          </cell>
          <cell r="G1796">
            <v>0</v>
          </cell>
          <cell r="H1796">
            <v>0.59899999999999998</v>
          </cell>
        </row>
        <row r="1797">
          <cell r="A1797" t="str">
            <v>2392SE</v>
          </cell>
          <cell r="B1797">
            <v>2392</v>
          </cell>
          <cell r="C1797" t="str">
            <v>RUDITE 20MG/ML PO SUS 45ML-E</v>
          </cell>
          <cell r="D1797" t="str">
            <v>FR X 45 ML</v>
          </cell>
          <cell r="E1797" t="str">
            <v>SE</v>
          </cell>
          <cell r="F1797">
            <v>0.58999999999999986</v>
          </cell>
          <cell r="G1797">
            <v>0</v>
          </cell>
          <cell r="H1797">
            <v>0.58999999999999986</v>
          </cell>
        </row>
        <row r="1798">
          <cell r="A1798" t="str">
            <v>2390SE</v>
          </cell>
          <cell r="B1798">
            <v>2390</v>
          </cell>
          <cell r="C1798" t="str">
            <v>RUDITE(C1)500MG C/6 COM REV-E</v>
          </cell>
          <cell r="D1798" t="str">
            <v>1 BLT X 6</v>
          </cell>
          <cell r="E1798" t="str">
            <v>SE</v>
          </cell>
          <cell r="F1798">
            <v>0.7</v>
          </cell>
          <cell r="G1798">
            <v>0</v>
          </cell>
          <cell r="H1798">
            <v>0.7</v>
          </cell>
        </row>
        <row r="1799">
          <cell r="A1799" t="str">
            <v>2398SE</v>
          </cell>
          <cell r="B1799">
            <v>2398</v>
          </cell>
          <cell r="C1799" t="str">
            <v>SOMINEX COMPOS OTC CPR REVEST x 20</v>
          </cell>
          <cell r="D1799" t="str">
            <v>2 BL X 10</v>
          </cell>
          <cell r="E1799" t="str">
            <v>SE</v>
          </cell>
          <cell r="F1799">
            <v>0.68899999999999995</v>
          </cell>
          <cell r="G1799">
            <v>0</v>
          </cell>
          <cell r="H1799">
            <v>0.68899999999999995</v>
          </cell>
        </row>
        <row r="1800">
          <cell r="A1800" t="str">
            <v>1818SE</v>
          </cell>
          <cell r="B1800">
            <v>1818</v>
          </cell>
          <cell r="C1800" t="str">
            <v>SUPLEVIT MULHER VIT. 2BLT C/15 CAP.GEL-E</v>
          </cell>
          <cell r="D1800" t="str">
            <v>2 BLT C/15</v>
          </cell>
          <cell r="E1800" t="str">
            <v>SE</v>
          </cell>
          <cell r="F1800">
            <v>0.82</v>
          </cell>
          <cell r="G1800">
            <v>0</v>
          </cell>
          <cell r="H1800">
            <v>0.82</v>
          </cell>
        </row>
        <row r="1801">
          <cell r="A1801" t="str">
            <v>1819SE</v>
          </cell>
          <cell r="B1801">
            <v>1819</v>
          </cell>
          <cell r="C1801" t="str">
            <v>SUPLEVIT MULHER VIT. 4BLT C/15 CAP.GEL-E</v>
          </cell>
          <cell r="D1801" t="str">
            <v>4 BLT C/15</v>
          </cell>
          <cell r="E1801" t="str">
            <v>SE</v>
          </cell>
          <cell r="F1801">
            <v>0.81999999999999984</v>
          </cell>
          <cell r="G1801">
            <v>0</v>
          </cell>
          <cell r="H1801">
            <v>0.81999999999999984</v>
          </cell>
        </row>
        <row r="1802">
          <cell r="A1802" t="str">
            <v>2036SE</v>
          </cell>
          <cell r="B1802">
            <v>2036</v>
          </cell>
          <cell r="C1802" t="str">
            <v>VITAFER FR C/50 COMP-E</v>
          </cell>
          <cell r="D1802" t="str">
            <v>FR X 50</v>
          </cell>
          <cell r="E1802" t="str">
            <v>SE</v>
          </cell>
          <cell r="F1802">
            <v>0.52999999999999992</v>
          </cell>
          <cell r="G1802">
            <v>0</v>
          </cell>
          <cell r="H1802">
            <v>0.52999999999999992</v>
          </cell>
        </row>
        <row r="1803">
          <cell r="A1803" t="str">
            <v>2256SP</v>
          </cell>
          <cell r="B1803">
            <v>2256</v>
          </cell>
          <cell r="C1803" t="str">
            <v>ALLEXOFEDRIN 120MG 1BLTC/10 COM REV-E</v>
          </cell>
          <cell r="D1803" t="str">
            <v>1 BL X 10 COMP REVEST</v>
          </cell>
          <cell r="E1803" t="str">
            <v>SP</v>
          </cell>
          <cell r="F1803">
            <v>0.75</v>
          </cell>
          <cell r="G1803">
            <v>0</v>
          </cell>
          <cell r="H1803">
            <v>0.75</v>
          </cell>
        </row>
        <row r="1804">
          <cell r="A1804" t="str">
            <v>2255SP</v>
          </cell>
          <cell r="B1804">
            <v>2255</v>
          </cell>
          <cell r="C1804" t="str">
            <v>ALLEXOFEDRIN 180MG 1BLTC/10 COM REV-E</v>
          </cell>
          <cell r="D1804" t="str">
            <v>1 BL X 10 COMP REVEST</v>
          </cell>
          <cell r="E1804" t="str">
            <v>SP</v>
          </cell>
          <cell r="F1804">
            <v>0.74999999999999989</v>
          </cell>
          <cell r="G1804">
            <v>0</v>
          </cell>
          <cell r="H1804">
            <v>0.74999999999999989</v>
          </cell>
        </row>
        <row r="1805">
          <cell r="A1805" t="str">
            <v>2133SP</v>
          </cell>
          <cell r="B1805">
            <v>2133</v>
          </cell>
          <cell r="C1805" t="str">
            <v>ALLEXOFEDRIN D 60+120MG 1BLT C/10C.REV</v>
          </cell>
          <cell r="D1805" t="str">
            <v>1 BL X 10 COMP REVEST</v>
          </cell>
          <cell r="E1805" t="str">
            <v>SP</v>
          </cell>
          <cell r="F1805">
            <v>0.26</v>
          </cell>
          <cell r="G1805">
            <v>0</v>
          </cell>
          <cell r="H1805">
            <v>0.26</v>
          </cell>
        </row>
        <row r="1806">
          <cell r="A1806" t="str">
            <v>2346SP</v>
          </cell>
          <cell r="B1806">
            <v>2346</v>
          </cell>
          <cell r="C1806" t="str">
            <v>ALLEXOFEDRIN PEDIATRICO6MG/MLSUS 60ML-E</v>
          </cell>
          <cell r="D1806" t="str">
            <v>6MG/MLSUS 60ML-E</v>
          </cell>
          <cell r="E1806" t="str">
            <v>SP</v>
          </cell>
          <cell r="F1806">
            <v>0.5514</v>
          </cell>
          <cell r="G1806">
            <v>0</v>
          </cell>
          <cell r="H1806">
            <v>0.5514</v>
          </cell>
        </row>
        <row r="1807">
          <cell r="A1807" t="str">
            <v>2347SP</v>
          </cell>
          <cell r="B1807">
            <v>2347</v>
          </cell>
          <cell r="C1807" t="str">
            <v>ALLEXOFEDRIN PEDIATRICO6MG/MLSUS150 ML-E</v>
          </cell>
          <cell r="D1807" t="str">
            <v>6MG/MLSUS150 ML-E</v>
          </cell>
          <cell r="E1807" t="str">
            <v>SP</v>
          </cell>
          <cell r="F1807">
            <v>0.60909999999999997</v>
          </cell>
          <cell r="G1807">
            <v>0</v>
          </cell>
          <cell r="H1807">
            <v>0.60909999999999997</v>
          </cell>
        </row>
        <row r="1808">
          <cell r="A1808" t="str">
            <v>2190SP</v>
          </cell>
          <cell r="B1808">
            <v>2190</v>
          </cell>
          <cell r="C1808" t="str">
            <v>ANTIVIRAX 400MG 2BLTX15 COM - E</v>
          </cell>
          <cell r="D1808" t="str">
            <v>2 BL X 15</v>
          </cell>
          <cell r="E1808" t="str">
            <v>SP</v>
          </cell>
          <cell r="F1808">
            <v>0.68</v>
          </cell>
          <cell r="G1808">
            <v>0</v>
          </cell>
          <cell r="H1808">
            <v>0.68</v>
          </cell>
        </row>
        <row r="1809">
          <cell r="A1809" t="str">
            <v>3009SP</v>
          </cell>
          <cell r="B1809">
            <v>3009</v>
          </cell>
          <cell r="C1809" t="str">
            <v>ANTIVIRAX CR BG C/10 G</v>
          </cell>
          <cell r="D1809" t="str">
            <v>BISN X 10 G</v>
          </cell>
          <cell r="E1809" t="str">
            <v>SP</v>
          </cell>
          <cell r="F1809">
            <v>0.74999999999999989</v>
          </cell>
          <cell r="G1809">
            <v>0</v>
          </cell>
          <cell r="H1809">
            <v>0.74999999999999989</v>
          </cell>
        </row>
        <row r="1810">
          <cell r="A1810" t="str">
            <v>1001SP</v>
          </cell>
          <cell r="B1810">
            <v>1001</v>
          </cell>
          <cell r="C1810" t="str">
            <v>APEVITIN BC XPE FRC/240ML</v>
          </cell>
          <cell r="D1810" t="str">
            <v>FR X 240 ML</v>
          </cell>
          <cell r="E1810" t="str">
            <v>SP</v>
          </cell>
          <cell r="F1810">
            <v>0.78909999999999991</v>
          </cell>
          <cell r="G1810">
            <v>0</v>
          </cell>
          <cell r="H1810">
            <v>0.78909999999999991</v>
          </cell>
        </row>
        <row r="1811">
          <cell r="A1811" t="str">
            <v>1226SP</v>
          </cell>
          <cell r="B1811">
            <v>1226</v>
          </cell>
          <cell r="C1811" t="str">
            <v>BENZIFLEX 10MG 1BLX15COMP.REV-E</v>
          </cell>
          <cell r="D1811" t="str">
            <v>1 BL X 15 COMP.</v>
          </cell>
          <cell r="E1811" t="str">
            <v>SP</v>
          </cell>
          <cell r="F1811">
            <v>0.71</v>
          </cell>
          <cell r="G1811">
            <v>0</v>
          </cell>
          <cell r="H1811">
            <v>0.71</v>
          </cell>
        </row>
        <row r="1812">
          <cell r="A1812" t="str">
            <v>1227SP</v>
          </cell>
          <cell r="B1812">
            <v>1227</v>
          </cell>
          <cell r="C1812" t="str">
            <v>BENZIFLEX 10MG 2BLX15COMP.REV-E</v>
          </cell>
          <cell r="D1812" t="str">
            <v>2 BL X 15 COMP.</v>
          </cell>
          <cell r="E1812" t="str">
            <v>SP</v>
          </cell>
          <cell r="F1812">
            <v>0.71</v>
          </cell>
          <cell r="G1812">
            <v>0</v>
          </cell>
          <cell r="H1812">
            <v>0.71</v>
          </cell>
        </row>
        <row r="1813">
          <cell r="A1813" t="str">
            <v>1233SP</v>
          </cell>
          <cell r="B1813">
            <v>1233</v>
          </cell>
          <cell r="C1813" t="str">
            <v>BENZIFLEX 5MG 2BLX15COMP.REV-E</v>
          </cell>
          <cell r="D1813" t="str">
            <v>2 BL X 15 COMP.</v>
          </cell>
          <cell r="E1813" t="str">
            <v>SP</v>
          </cell>
          <cell r="F1813">
            <v>0.71</v>
          </cell>
          <cell r="G1813">
            <v>0</v>
          </cell>
          <cell r="H1813">
            <v>0.71</v>
          </cell>
        </row>
        <row r="1814">
          <cell r="A1814" t="str">
            <v>1574SP</v>
          </cell>
          <cell r="B1814">
            <v>1574</v>
          </cell>
          <cell r="C1814" t="str">
            <v>BENZIFLEX LIS 125MG+5MG 15COM.REV.-E</v>
          </cell>
          <cell r="D1814" t="str">
            <v>1 BL X 15 COMP.</v>
          </cell>
          <cell r="E1814" t="str">
            <v>SP</v>
          </cell>
          <cell r="F1814">
            <v>0.5</v>
          </cell>
          <cell r="G1814">
            <v>0</v>
          </cell>
          <cell r="H1814">
            <v>0.5</v>
          </cell>
        </row>
        <row r="1815">
          <cell r="A1815" t="str">
            <v>2292SP</v>
          </cell>
          <cell r="B1815">
            <v>2292</v>
          </cell>
          <cell r="C1815" t="str">
            <v>BENZIFLEX LIS 125MG+5MG 2BL15 COM.REV.-E</v>
          </cell>
          <cell r="D1815" t="str">
            <v>2 BL X 15 COMP.</v>
          </cell>
          <cell r="E1815" t="str">
            <v>SP</v>
          </cell>
          <cell r="F1815">
            <v>0.53</v>
          </cell>
          <cell r="G1815">
            <v>0</v>
          </cell>
          <cell r="H1815">
            <v>0.53</v>
          </cell>
        </row>
        <row r="1816">
          <cell r="A1816" t="str">
            <v>1155SP</v>
          </cell>
          <cell r="B1816">
            <v>1155</v>
          </cell>
          <cell r="C1816" t="str">
            <v>BIOFLADEX AEROSSOL 60G- E</v>
          </cell>
          <cell r="D1816" t="str">
            <v>FRASCO 60 G</v>
          </cell>
          <cell r="E1816" t="str">
            <v>SP</v>
          </cell>
          <cell r="F1816">
            <v>0.66</v>
          </cell>
          <cell r="G1816">
            <v>0</v>
          </cell>
          <cell r="H1816">
            <v>0.66</v>
          </cell>
        </row>
        <row r="1817">
          <cell r="A1817" t="str">
            <v>1072SP</v>
          </cell>
          <cell r="B1817">
            <v>1072</v>
          </cell>
          <cell r="C1817" t="str">
            <v>BISURAN 4MG/5ML XPE INF 120ML-E</v>
          </cell>
          <cell r="D1817" t="str">
            <v>FR X 120 ML</v>
          </cell>
          <cell r="E1817" t="str">
            <v>SP</v>
          </cell>
          <cell r="F1817">
            <v>0.53</v>
          </cell>
          <cell r="G1817">
            <v>0</v>
          </cell>
          <cell r="H1817">
            <v>0.53</v>
          </cell>
        </row>
        <row r="1818">
          <cell r="A1818" t="str">
            <v>1318SP</v>
          </cell>
          <cell r="B1818">
            <v>1318</v>
          </cell>
          <cell r="C1818" t="str">
            <v>BISURAN 8MG/5ML XPE AD. 120ML-E</v>
          </cell>
          <cell r="D1818" t="str">
            <v>FR X 120 ML</v>
          </cell>
          <cell r="E1818" t="str">
            <v>SP</v>
          </cell>
          <cell r="F1818">
            <v>0.61999999999999988</v>
          </cell>
          <cell r="G1818">
            <v>0</v>
          </cell>
          <cell r="H1818">
            <v>0.61999999999999988</v>
          </cell>
        </row>
        <row r="1819">
          <cell r="A1819" t="str">
            <v>2141SP</v>
          </cell>
          <cell r="B1819">
            <v>2141</v>
          </cell>
          <cell r="C1819" t="str">
            <v>CELERGIN 20 COMP-E</v>
          </cell>
          <cell r="D1819" t="str">
            <v>CX. C/20 COMP.</v>
          </cell>
          <cell r="E1819" t="str">
            <v>SP</v>
          </cell>
          <cell r="F1819">
            <v>0.65649999999999986</v>
          </cell>
          <cell r="G1819">
            <v>0</v>
          </cell>
          <cell r="H1819">
            <v>0.65649999999999986</v>
          </cell>
        </row>
        <row r="1820">
          <cell r="A1820" t="str">
            <v>1066SC</v>
          </cell>
          <cell r="B1820">
            <v>1066</v>
          </cell>
          <cell r="C1820" t="str">
            <v>CELERGIN XPE 120ML-E</v>
          </cell>
          <cell r="D1820" t="str">
            <v>FR X 120 ML</v>
          </cell>
          <cell r="E1820" t="str">
            <v>SC</v>
          </cell>
          <cell r="F1820">
            <v>0.73450000000000004</v>
          </cell>
          <cell r="G1820">
            <v>0</v>
          </cell>
          <cell r="H1820">
            <v>0.73450000000000004</v>
          </cell>
        </row>
        <row r="1821">
          <cell r="A1821" t="str">
            <v>1066SP</v>
          </cell>
          <cell r="B1821">
            <v>1066</v>
          </cell>
          <cell r="C1821" t="str">
            <v>CELERGIN XPE 120ML-E</v>
          </cell>
          <cell r="D1821" t="str">
            <v>FR X 120 ML</v>
          </cell>
          <cell r="E1821" t="str">
            <v>SP</v>
          </cell>
          <cell r="F1821">
            <v>0.75</v>
          </cell>
          <cell r="G1821">
            <v>0</v>
          </cell>
          <cell r="H1821">
            <v>0.75</v>
          </cell>
        </row>
        <row r="1822">
          <cell r="A1822" t="str">
            <v>2322SP</v>
          </cell>
          <cell r="B1822">
            <v>2322</v>
          </cell>
          <cell r="C1822" t="str">
            <v>CLOPE 3,54MG/ML XPE 120ML FR PLAS-E</v>
          </cell>
          <cell r="D1822" t="str">
            <v>FR X 120 ML</v>
          </cell>
          <cell r="E1822" t="str">
            <v>SP</v>
          </cell>
          <cell r="F1822">
            <v>0.53</v>
          </cell>
          <cell r="G1822">
            <v>0</v>
          </cell>
          <cell r="H1822">
            <v>0.53</v>
          </cell>
        </row>
        <row r="1823">
          <cell r="A1823" t="str">
            <v>2383SP</v>
          </cell>
          <cell r="B1823">
            <v>2383</v>
          </cell>
          <cell r="C1823" t="str">
            <v>COMPLEXO B 12 XPE FR C/120ML E</v>
          </cell>
          <cell r="D1823" t="str">
            <v>FR X 120 ML</v>
          </cell>
          <cell r="E1823" t="str">
            <v>SP</v>
          </cell>
          <cell r="F1823">
            <v>0.67000000000000015</v>
          </cell>
          <cell r="G1823">
            <v>0</v>
          </cell>
          <cell r="H1823">
            <v>0.67000000000000015</v>
          </cell>
        </row>
        <row r="1824">
          <cell r="A1824" t="str">
            <v>2384SP</v>
          </cell>
          <cell r="B1824">
            <v>2384</v>
          </cell>
          <cell r="C1824" t="str">
            <v>COMPLEXO B CPR REVEST x 20</v>
          </cell>
          <cell r="D1824" t="str">
            <v xml:space="preserve">FR X 20 </v>
          </cell>
          <cell r="E1824" t="str">
            <v>SP</v>
          </cell>
          <cell r="F1824">
            <v>0.66000000000000014</v>
          </cell>
          <cell r="G1824">
            <v>0</v>
          </cell>
          <cell r="H1824">
            <v>0.66000000000000014</v>
          </cell>
        </row>
        <row r="1825">
          <cell r="A1825" t="str">
            <v>2382SP</v>
          </cell>
          <cell r="B1825">
            <v>2382</v>
          </cell>
          <cell r="C1825" t="str">
            <v>COMPLEXO B FR C/100 COM REV  E</v>
          </cell>
          <cell r="D1825" t="str">
            <v>FR X 100</v>
          </cell>
          <cell r="E1825" t="str">
            <v>SP</v>
          </cell>
          <cell r="F1825">
            <v>0.64000000000000012</v>
          </cell>
          <cell r="G1825">
            <v>0</v>
          </cell>
          <cell r="H1825">
            <v>0.64000000000000012</v>
          </cell>
        </row>
        <row r="1826">
          <cell r="A1826" t="str">
            <v>2011SP</v>
          </cell>
          <cell r="B1826">
            <v>2011</v>
          </cell>
          <cell r="C1826" t="str">
            <v>CYSTEX FR C/24 DRG</v>
          </cell>
          <cell r="D1826" t="str">
            <v xml:space="preserve">FR X 24 </v>
          </cell>
          <cell r="E1826" t="str">
            <v>SP</v>
          </cell>
          <cell r="F1826">
            <v>0.36070000000000002</v>
          </cell>
          <cell r="G1826">
            <v>0</v>
          </cell>
          <cell r="H1826">
            <v>0.36070000000000002</v>
          </cell>
        </row>
        <row r="1827">
          <cell r="A1827" t="str">
            <v>1837SP</v>
          </cell>
          <cell r="B1827">
            <v>1837</v>
          </cell>
          <cell r="C1827" t="str">
            <v>DIOVASES 450+50MG C/30 COM.REV. - E</v>
          </cell>
          <cell r="D1827" t="str">
            <v>2 BL X 15 COMP.</v>
          </cell>
          <cell r="E1827" t="str">
            <v>SP</v>
          </cell>
          <cell r="F1827">
            <v>0.68</v>
          </cell>
          <cell r="G1827">
            <v>0</v>
          </cell>
          <cell r="H1827">
            <v>0.68</v>
          </cell>
        </row>
        <row r="1828">
          <cell r="A1828" t="str">
            <v>1838SP</v>
          </cell>
          <cell r="B1828">
            <v>1838</v>
          </cell>
          <cell r="C1828" t="str">
            <v>DIOVASES 450+50MG C/60 COM.REV. - E</v>
          </cell>
          <cell r="D1828" t="str">
            <v>4 BL X 15 COMP.</v>
          </cell>
          <cell r="E1828" t="str">
            <v>SP</v>
          </cell>
          <cell r="F1828">
            <v>0.72</v>
          </cell>
          <cell r="G1828">
            <v>0</v>
          </cell>
          <cell r="H1828">
            <v>0.72</v>
          </cell>
        </row>
        <row r="1829">
          <cell r="A1829" t="str">
            <v>2261SP</v>
          </cell>
          <cell r="B1829">
            <v>2261</v>
          </cell>
          <cell r="C1829" t="str">
            <v>DORICIN CPR x 24</v>
          </cell>
          <cell r="D1829" t="str">
            <v>2BL C/12 COMPRIMIDOS -E</v>
          </cell>
          <cell r="E1829" t="str">
            <v>SP</v>
          </cell>
          <cell r="F1829">
            <v>0.74099999999999999</v>
          </cell>
          <cell r="G1829">
            <v>0</v>
          </cell>
          <cell r="H1829">
            <v>0.74099999999999999</v>
          </cell>
        </row>
        <row r="1830">
          <cell r="A1830" t="str">
            <v>2264SP</v>
          </cell>
          <cell r="B1830">
            <v>2264</v>
          </cell>
          <cell r="C1830" t="str">
            <v>DORICIN CPR x 300</v>
          </cell>
          <cell r="D1830" t="str">
            <v>30BL C/10 COMPRIMIDOS -E</v>
          </cell>
          <cell r="E1830" t="str">
            <v>SP</v>
          </cell>
          <cell r="F1830">
            <v>0.74099999999999999</v>
          </cell>
          <cell r="G1830">
            <v>0</v>
          </cell>
          <cell r="H1830">
            <v>0.74099999999999999</v>
          </cell>
        </row>
        <row r="1831">
          <cell r="A1831" t="str">
            <v>2262SP</v>
          </cell>
          <cell r="B1831">
            <v>2262</v>
          </cell>
          <cell r="C1831" t="str">
            <v>DORICIN CPR X 36</v>
          </cell>
          <cell r="D1831" t="str">
            <v>3BL C/12 COMPRIMIDOS -E</v>
          </cell>
          <cell r="E1831" t="str">
            <v>SP</v>
          </cell>
          <cell r="F1831">
            <v>0.75139999999999996</v>
          </cell>
          <cell r="G1831">
            <v>0</v>
          </cell>
          <cell r="H1831">
            <v>0.75139999999999996</v>
          </cell>
        </row>
        <row r="1832">
          <cell r="A1832" t="str">
            <v>2263SP</v>
          </cell>
          <cell r="B1832">
            <v>2263</v>
          </cell>
          <cell r="C1832" t="str">
            <v>DORICIN CPR X 50</v>
          </cell>
          <cell r="D1832" t="str">
            <v>5BL C/10 COMPRIMIDOS - E</v>
          </cell>
          <cell r="E1832" t="str">
            <v>SP</v>
          </cell>
          <cell r="F1832">
            <v>0.66100000000000003</v>
          </cell>
          <cell r="G1832">
            <v>0</v>
          </cell>
          <cell r="H1832">
            <v>0.66100000000000003</v>
          </cell>
        </row>
        <row r="1833">
          <cell r="A1833" t="str">
            <v>1173SP</v>
          </cell>
          <cell r="B1833">
            <v>1173</v>
          </cell>
          <cell r="C1833" t="str">
            <v>DORICIN GOTAS 20ML x 1</v>
          </cell>
          <cell r="D1833" t="str">
            <v>FR X 20 ML</v>
          </cell>
          <cell r="E1833" t="str">
            <v>SP</v>
          </cell>
          <cell r="F1833">
            <v>0.65</v>
          </cell>
          <cell r="G1833">
            <v>0</v>
          </cell>
          <cell r="H1833">
            <v>0.65</v>
          </cell>
        </row>
        <row r="1834">
          <cell r="A1834" t="str">
            <v>2018SP</v>
          </cell>
          <cell r="B1834">
            <v>2018</v>
          </cell>
          <cell r="C1834" t="str">
            <v>EMISTIN BLT 1X20=20COMP</v>
          </cell>
          <cell r="D1834" t="str">
            <v>1 BL X 20</v>
          </cell>
          <cell r="E1834" t="str">
            <v>SP</v>
          </cell>
          <cell r="F1834">
            <v>0.67</v>
          </cell>
          <cell r="G1834">
            <v>0</v>
          </cell>
          <cell r="H1834">
            <v>0.67</v>
          </cell>
        </row>
        <row r="1835">
          <cell r="A1835" t="str">
            <v>3008SP</v>
          </cell>
          <cell r="B1835">
            <v>3008</v>
          </cell>
          <cell r="C1835" t="str">
            <v>EMISTIN CR BG C/20G</v>
          </cell>
          <cell r="D1835" t="str">
            <v>BISN X 20 G</v>
          </cell>
          <cell r="E1835" t="str">
            <v>SP</v>
          </cell>
          <cell r="F1835">
            <v>0.77</v>
          </cell>
          <cell r="G1835">
            <v>0</v>
          </cell>
          <cell r="H1835">
            <v>0.77</v>
          </cell>
        </row>
        <row r="1836">
          <cell r="A1836" t="str">
            <v>3020SP</v>
          </cell>
          <cell r="B1836">
            <v>3020</v>
          </cell>
          <cell r="C1836" t="str">
            <v>EMSCORT CR BG C/30G</v>
          </cell>
          <cell r="D1836" t="str">
            <v>BISN X 30 G</v>
          </cell>
          <cell r="E1836" t="str">
            <v>SP</v>
          </cell>
          <cell r="F1836">
            <v>0.77000000000000013</v>
          </cell>
          <cell r="G1836">
            <v>0</v>
          </cell>
          <cell r="H1836">
            <v>0.77000000000000013</v>
          </cell>
        </row>
        <row r="1837">
          <cell r="A1837" t="str">
            <v>6023SP</v>
          </cell>
          <cell r="B1837">
            <v>6023</v>
          </cell>
          <cell r="C1837" t="str">
            <v>EMSCORT POM BISN 30G-E</v>
          </cell>
          <cell r="D1837" t="str">
            <v>BISN X 30 G</v>
          </cell>
          <cell r="E1837" t="str">
            <v>SP</v>
          </cell>
          <cell r="F1837">
            <v>0.7639999999999999</v>
          </cell>
          <cell r="G1837">
            <v>0</v>
          </cell>
          <cell r="H1837">
            <v>0.7639999999999999</v>
          </cell>
        </row>
        <row r="1838">
          <cell r="A1838" t="str">
            <v>1190SP</v>
          </cell>
          <cell r="B1838">
            <v>1190</v>
          </cell>
          <cell r="C1838" t="str">
            <v>EMSEXPECTOR XAROPE FR C/120ML - E</v>
          </cell>
          <cell r="D1838" t="str">
            <v>FR X 120 ML</v>
          </cell>
          <cell r="E1838" t="str">
            <v>SP</v>
          </cell>
          <cell r="F1838">
            <v>0.48</v>
          </cell>
          <cell r="G1838">
            <v>0</v>
          </cell>
          <cell r="H1838">
            <v>0.48</v>
          </cell>
        </row>
        <row r="1839">
          <cell r="A1839" t="str">
            <v>2111SP</v>
          </cell>
          <cell r="B1839">
            <v>2111</v>
          </cell>
          <cell r="C1839" t="str">
            <v>ENDCOFF PAST MEL ELIMAO C/12UN</v>
          </cell>
          <cell r="D1839" t="str">
            <v>3 STP X 4</v>
          </cell>
          <cell r="E1839" t="str">
            <v>SP</v>
          </cell>
          <cell r="F1839">
            <v>0.48</v>
          </cell>
          <cell r="G1839">
            <v>0</v>
          </cell>
          <cell r="H1839">
            <v>0.48</v>
          </cell>
        </row>
        <row r="1840">
          <cell r="A1840" t="str">
            <v>2092SP</v>
          </cell>
          <cell r="B1840">
            <v>2092</v>
          </cell>
          <cell r="C1840" t="str">
            <v>ENDCOFF PAST STP MENTA C/12 UN</v>
          </cell>
          <cell r="D1840" t="str">
            <v>3 STP X 4</v>
          </cell>
          <cell r="E1840" t="str">
            <v>SP</v>
          </cell>
          <cell r="F1840">
            <v>0.48</v>
          </cell>
          <cell r="G1840">
            <v>0</v>
          </cell>
          <cell r="H1840">
            <v>0.48</v>
          </cell>
        </row>
        <row r="1841">
          <cell r="A1841" t="str">
            <v>1905SP</v>
          </cell>
          <cell r="B1841">
            <v>1905</v>
          </cell>
          <cell r="C1841" t="str">
            <v>ESMOG 20MG 4BLTC/7 COM REV LIB RETARD- E</v>
          </cell>
          <cell r="D1841" t="str">
            <v>4 BLT C/7</v>
          </cell>
          <cell r="E1841" t="str">
            <v>SP</v>
          </cell>
          <cell r="F1841">
            <v>0.77800000000000002</v>
          </cell>
          <cell r="G1841">
            <v>0</v>
          </cell>
          <cell r="H1841">
            <v>0.77800000000000002</v>
          </cell>
        </row>
        <row r="1842">
          <cell r="A1842" t="str">
            <v>1906SP</v>
          </cell>
          <cell r="B1842">
            <v>1906</v>
          </cell>
          <cell r="C1842" t="str">
            <v>ESMOG 40MG 4BLTC/7 COM REV LIB RETARD- E</v>
          </cell>
          <cell r="D1842" t="str">
            <v>4 BLT C/7</v>
          </cell>
          <cell r="E1842" t="str">
            <v>SP</v>
          </cell>
          <cell r="F1842">
            <v>0.8</v>
          </cell>
          <cell r="G1842">
            <v>0</v>
          </cell>
          <cell r="H1842">
            <v>0.8</v>
          </cell>
        </row>
        <row r="1843">
          <cell r="A1843" t="str">
            <v>1016SP</v>
          </cell>
          <cell r="B1843">
            <v>1016</v>
          </cell>
          <cell r="C1843" t="str">
            <v>EXPECTUSS XPE ADULTO FR C/100ML</v>
          </cell>
          <cell r="D1843" t="str">
            <v>FR X 100 ML</v>
          </cell>
          <cell r="E1843" t="str">
            <v>SP</v>
          </cell>
          <cell r="F1843">
            <v>0.55000000000000016</v>
          </cell>
          <cell r="G1843">
            <v>0</v>
          </cell>
          <cell r="H1843">
            <v>0.55000000000000016</v>
          </cell>
        </row>
        <row r="1844">
          <cell r="A1844" t="str">
            <v>1015SP</v>
          </cell>
          <cell r="B1844">
            <v>1015</v>
          </cell>
          <cell r="C1844" t="str">
            <v>EXPECTUSS XPE INF FR C/100ML</v>
          </cell>
          <cell r="D1844" t="str">
            <v>FR X 100 ML</v>
          </cell>
          <cell r="E1844" t="str">
            <v>SP</v>
          </cell>
          <cell r="F1844">
            <v>0.5099999999999999</v>
          </cell>
          <cell r="G1844">
            <v>0</v>
          </cell>
          <cell r="H1844">
            <v>0.5099999999999999</v>
          </cell>
        </row>
        <row r="1845">
          <cell r="A1845" t="str">
            <v>1363SP</v>
          </cell>
          <cell r="B1845">
            <v>1363</v>
          </cell>
          <cell r="C1845" t="str">
            <v>FLUITEINA 600MG GRAN 16ENV 5G-E</v>
          </cell>
          <cell r="D1845" t="str">
            <v>CX. C/16 ENV X 5GR</v>
          </cell>
          <cell r="E1845" t="str">
            <v>SP</v>
          </cell>
          <cell r="F1845">
            <v>0.42999999999999994</v>
          </cell>
          <cell r="G1845">
            <v>0</v>
          </cell>
          <cell r="H1845">
            <v>0.42999999999999994</v>
          </cell>
        </row>
        <row r="1846">
          <cell r="A1846" t="str">
            <v>1364SP</v>
          </cell>
          <cell r="B1846">
            <v>1364</v>
          </cell>
          <cell r="C1846" t="str">
            <v>FLUITEINA XPE AD 40MG/ML120ML-E</v>
          </cell>
          <cell r="D1846" t="str">
            <v>FR X 120 ML</v>
          </cell>
          <cell r="E1846" t="str">
            <v>SP</v>
          </cell>
          <cell r="F1846">
            <v>0.56999999999999973</v>
          </cell>
          <cell r="G1846">
            <v>0</v>
          </cell>
          <cell r="H1846">
            <v>0.56999999999999973</v>
          </cell>
        </row>
        <row r="1847">
          <cell r="A1847" t="str">
            <v>1066SE</v>
          </cell>
          <cell r="B1847">
            <v>1066</v>
          </cell>
          <cell r="C1847" t="str">
            <v>CELERGIN XPE 120ML-E</v>
          </cell>
          <cell r="D1847" t="str">
            <v>FR X 120 ML</v>
          </cell>
          <cell r="E1847" t="str">
            <v>SE</v>
          </cell>
          <cell r="F1847">
            <v>0.73460000000000003</v>
          </cell>
          <cell r="G1847">
            <v>0</v>
          </cell>
          <cell r="H1847">
            <v>0.73460000000000003</v>
          </cell>
        </row>
        <row r="1848">
          <cell r="A1848" t="str">
            <v>1163SP</v>
          </cell>
          <cell r="B1848">
            <v>1163</v>
          </cell>
          <cell r="C1848" t="str">
            <v>FLUITEINA XPE INF 20MG/ML 120ML-E</v>
          </cell>
          <cell r="D1848" t="str">
            <v>FR X 120 ML</v>
          </cell>
          <cell r="E1848" t="str">
            <v>SP</v>
          </cell>
          <cell r="F1848">
            <v>0.51900000000000002</v>
          </cell>
          <cell r="G1848">
            <v>0</v>
          </cell>
          <cell r="H1848">
            <v>0.51900000000000002</v>
          </cell>
        </row>
        <row r="1849">
          <cell r="A1849" t="str">
            <v>1168SP</v>
          </cell>
          <cell r="B1849">
            <v>1168</v>
          </cell>
          <cell r="C1849" t="str">
            <v>FOLIFOLIN 5MG 2BLTX15COMP - E</v>
          </cell>
          <cell r="D1849" t="str">
            <v>2 BLT X 15 COMP.</v>
          </cell>
          <cell r="E1849" t="str">
            <v>SP</v>
          </cell>
          <cell r="F1849">
            <v>0.66</v>
          </cell>
          <cell r="G1849">
            <v>0</v>
          </cell>
          <cell r="H1849">
            <v>0.66</v>
          </cell>
        </row>
        <row r="1850">
          <cell r="A1850" t="str">
            <v>2318SP</v>
          </cell>
          <cell r="B1850">
            <v>2318</v>
          </cell>
          <cell r="C1850" t="str">
            <v>GEROVITAL  2BLT15 CAP MOLE-E</v>
          </cell>
          <cell r="D1850" t="str">
            <v>3 BL X 10</v>
          </cell>
          <cell r="E1850" t="str">
            <v>SP</v>
          </cell>
          <cell r="F1850">
            <v>0.57899999999999996</v>
          </cell>
          <cell r="G1850">
            <v>0</v>
          </cell>
          <cell r="H1850">
            <v>0.57899999999999996</v>
          </cell>
        </row>
        <row r="1851">
          <cell r="A1851" t="str">
            <v>2062SP</v>
          </cell>
          <cell r="B1851">
            <v>2062</v>
          </cell>
          <cell r="C1851" t="str">
            <v>GEROVITAL 3BLT C/20 CAP</v>
          </cell>
          <cell r="D1851" t="str">
            <v>6 BL X 10</v>
          </cell>
          <cell r="E1851" t="str">
            <v>SP</v>
          </cell>
          <cell r="F1851">
            <v>0.48100000000000004</v>
          </cell>
          <cell r="G1851">
            <v>0</v>
          </cell>
          <cell r="H1851">
            <v>0.48100000000000004</v>
          </cell>
        </row>
        <row r="1852">
          <cell r="A1852" t="str">
            <v>1230SP</v>
          </cell>
          <cell r="B1852">
            <v>1230</v>
          </cell>
          <cell r="C1852" t="str">
            <v>IBULIV 100MG/ML SUP ORAL C/ 20 ML-E</v>
          </cell>
          <cell r="D1852" t="str">
            <v>FR X 20 ML</v>
          </cell>
          <cell r="E1852" t="str">
            <v>SP</v>
          </cell>
          <cell r="F1852">
            <v>0.68000000000000016</v>
          </cell>
          <cell r="G1852">
            <v>0</v>
          </cell>
          <cell r="H1852">
            <v>0.68000000000000016</v>
          </cell>
        </row>
        <row r="1853">
          <cell r="A1853" t="str">
            <v>1472SP</v>
          </cell>
          <cell r="B1853">
            <v>1472</v>
          </cell>
          <cell r="C1853" t="str">
            <v>IBULIV 400MG 10 BLT C/ 4CAPS GEL.MOLES-E</v>
          </cell>
          <cell r="D1853" t="str">
            <v>10 BLT X 4 CÁPS</v>
          </cell>
          <cell r="E1853" t="str">
            <v>SP</v>
          </cell>
          <cell r="F1853">
            <v>0.71000000000000019</v>
          </cell>
          <cell r="G1853">
            <v>0</v>
          </cell>
          <cell r="H1853">
            <v>0.71000000000000019</v>
          </cell>
        </row>
        <row r="1854">
          <cell r="A1854" t="str">
            <v>2469SP</v>
          </cell>
          <cell r="B1854">
            <v>2469</v>
          </cell>
          <cell r="C1854" t="str">
            <v>IBULIV 400MG 2 BLT C/ 10CAPS GEL.MOLES-E</v>
          </cell>
          <cell r="D1854" t="str">
            <v>20 CÁPS.</v>
          </cell>
          <cell r="E1854" t="str">
            <v>SP</v>
          </cell>
          <cell r="F1854">
            <v>0.71</v>
          </cell>
          <cell r="G1854">
            <v>0</v>
          </cell>
          <cell r="H1854">
            <v>0.71</v>
          </cell>
        </row>
        <row r="1855">
          <cell r="A1855" t="str">
            <v>1471SP</v>
          </cell>
          <cell r="B1855">
            <v>1471</v>
          </cell>
          <cell r="C1855" t="str">
            <v>IBULIV 400MG 2 BLT C/ 4CAPS GEL.MOLES-E</v>
          </cell>
          <cell r="D1855" t="str">
            <v>2 BLT X 4 CÁPS.</v>
          </cell>
          <cell r="E1855" t="str">
            <v>SP</v>
          </cell>
          <cell r="F1855">
            <v>0.71</v>
          </cell>
          <cell r="G1855">
            <v>0</v>
          </cell>
          <cell r="H1855">
            <v>0.71</v>
          </cell>
        </row>
        <row r="1856">
          <cell r="A1856" t="str">
            <v>1175SP</v>
          </cell>
          <cell r="B1856">
            <v>1175</v>
          </cell>
          <cell r="C1856" t="str">
            <v>INFRALAX 1BLT C/15COMP - EMS</v>
          </cell>
          <cell r="D1856" t="str">
            <v>1 BLT C/ 15</v>
          </cell>
          <cell r="E1856" t="str">
            <v>SP</v>
          </cell>
          <cell r="F1856">
            <v>0.74280000000000002</v>
          </cell>
          <cell r="G1856">
            <v>0</v>
          </cell>
          <cell r="H1856">
            <v>0.74280000000000002</v>
          </cell>
        </row>
        <row r="1857">
          <cell r="A1857" t="str">
            <v>1821SP</v>
          </cell>
          <cell r="B1857">
            <v>1821</v>
          </cell>
          <cell r="C1857" t="str">
            <v>INFRALAX 20BLTX10COMP - E</v>
          </cell>
          <cell r="D1857" t="str">
            <v>20 BLT X 10</v>
          </cell>
          <cell r="E1857" t="str">
            <v>SP</v>
          </cell>
          <cell r="F1857">
            <v>0.81</v>
          </cell>
          <cell r="G1857">
            <v>0</v>
          </cell>
          <cell r="H1857">
            <v>0.81</v>
          </cell>
        </row>
        <row r="1858">
          <cell r="A1858" t="str">
            <v>2138SP</v>
          </cell>
          <cell r="B1858">
            <v>2138</v>
          </cell>
          <cell r="C1858" t="str">
            <v>INFRALAX 2BLT C/15COMP - EMS</v>
          </cell>
          <cell r="D1858" t="str">
            <v>2 BL X 15</v>
          </cell>
          <cell r="E1858" t="str">
            <v>SP</v>
          </cell>
          <cell r="F1858">
            <v>0.74650000000000005</v>
          </cell>
          <cell r="G1858">
            <v>0</v>
          </cell>
          <cell r="H1858">
            <v>0.74650000000000005</v>
          </cell>
        </row>
        <row r="1859">
          <cell r="A1859" t="str">
            <v>6011SP</v>
          </cell>
          <cell r="B1859">
            <v>6011</v>
          </cell>
          <cell r="C1859" t="str">
            <v>NARIDRIN 12HS GOTAS FR C/30ML</v>
          </cell>
          <cell r="D1859" t="str">
            <v>FR X 30 ML</v>
          </cell>
          <cell r="E1859" t="str">
            <v>SP</v>
          </cell>
          <cell r="F1859">
            <v>0.74</v>
          </cell>
          <cell r="G1859">
            <v>0</v>
          </cell>
          <cell r="H1859">
            <v>0.74</v>
          </cell>
        </row>
        <row r="1860">
          <cell r="A1860" t="str">
            <v>2604SP</v>
          </cell>
          <cell r="B1860">
            <v>2604</v>
          </cell>
          <cell r="C1860" t="str">
            <v>NARIDRIN ALTO VOL 30ENVX2,16G+FR240ML</v>
          </cell>
          <cell r="D1860" t="str">
            <v>30ENVX2,16G+FR240ML</v>
          </cell>
          <cell r="E1860" t="str">
            <v>SP</v>
          </cell>
          <cell r="F1860">
            <v>0.64</v>
          </cell>
          <cell r="G1860">
            <v>0</v>
          </cell>
          <cell r="H1860">
            <v>0.64</v>
          </cell>
        </row>
        <row r="1861">
          <cell r="A1861" t="str">
            <v>2605SP</v>
          </cell>
          <cell r="B1861">
            <v>2605</v>
          </cell>
          <cell r="C1861" t="str">
            <v>NARIDRIN ALTO VOL REFIL</v>
          </cell>
          <cell r="D1861" t="str">
            <v>30 ENV X 2,16G</v>
          </cell>
          <cell r="E1861" t="str">
            <v>SP</v>
          </cell>
          <cell r="F1861">
            <v>0.59999999999999987</v>
          </cell>
          <cell r="G1861">
            <v>0</v>
          </cell>
          <cell r="H1861">
            <v>0.59999999999999987</v>
          </cell>
        </row>
        <row r="1862">
          <cell r="A1862" t="str">
            <v>1433SP</v>
          </cell>
          <cell r="B1862">
            <v>1433</v>
          </cell>
          <cell r="C1862" t="str">
            <v>NARIDRIN AQUA 9MG/ML FRASCO C/50ML-E</v>
          </cell>
          <cell r="D1862" t="str">
            <v>FR X 50 ML SPRAY</v>
          </cell>
          <cell r="E1862" t="str">
            <v>SP</v>
          </cell>
          <cell r="F1862">
            <v>0.71</v>
          </cell>
          <cell r="G1862">
            <v>0</v>
          </cell>
          <cell r="H1862">
            <v>0.71</v>
          </cell>
        </row>
        <row r="1863">
          <cell r="A1863" t="str">
            <v>6005SP</v>
          </cell>
          <cell r="B1863">
            <v>6005</v>
          </cell>
          <cell r="C1863" t="str">
            <v>NARIDRIN GOTAS AD FR C/15ML</v>
          </cell>
          <cell r="D1863" t="str">
            <v>FR X 15 ML</v>
          </cell>
          <cell r="E1863" t="str">
            <v>SP</v>
          </cell>
          <cell r="F1863">
            <v>0.74</v>
          </cell>
          <cell r="G1863">
            <v>0</v>
          </cell>
          <cell r="H1863">
            <v>0.74</v>
          </cell>
        </row>
        <row r="1864">
          <cell r="A1864" t="str">
            <v>6006SP</v>
          </cell>
          <cell r="B1864">
            <v>6006</v>
          </cell>
          <cell r="C1864" t="str">
            <v>NARIDRIN GOTAS INF FR C/15ML</v>
          </cell>
          <cell r="D1864" t="str">
            <v>FR X 15 ML</v>
          </cell>
          <cell r="E1864" t="str">
            <v>SP</v>
          </cell>
          <cell r="F1864">
            <v>0.72999999999999987</v>
          </cell>
          <cell r="G1864">
            <v>0</v>
          </cell>
          <cell r="H1864">
            <v>0.72999999999999987</v>
          </cell>
        </row>
        <row r="1865">
          <cell r="A1865" t="str">
            <v>1079SP</v>
          </cell>
          <cell r="B1865">
            <v>1079</v>
          </cell>
          <cell r="C1865" t="str">
            <v>NARIDRIN H 30MG/ML SOL.NAS SPRAY 60ML-E</v>
          </cell>
          <cell r="D1865" t="str">
            <v>FRASCO X 60ML</v>
          </cell>
          <cell r="E1865" t="str">
            <v>SP</v>
          </cell>
          <cell r="F1865">
            <v>0.7</v>
          </cell>
          <cell r="G1865">
            <v>0</v>
          </cell>
          <cell r="H1865">
            <v>0.7</v>
          </cell>
        </row>
        <row r="1866">
          <cell r="A1866" t="str">
            <v>1368SP</v>
          </cell>
          <cell r="B1866">
            <v>1368</v>
          </cell>
          <cell r="C1866" t="str">
            <v>NIMESILAM BLT 1X12= 12 COM - E</v>
          </cell>
          <cell r="D1866" t="str">
            <v>1 BLT X 12</v>
          </cell>
          <cell r="E1866" t="str">
            <v>SP</v>
          </cell>
          <cell r="F1866">
            <v>0.89999999999999991</v>
          </cell>
          <cell r="G1866">
            <v>0</v>
          </cell>
          <cell r="H1866">
            <v>0.89999999999999991</v>
          </cell>
        </row>
        <row r="1867">
          <cell r="A1867" t="str">
            <v>1367SP</v>
          </cell>
          <cell r="B1867">
            <v>1367</v>
          </cell>
          <cell r="C1867" t="str">
            <v>NIMESILAM GOTAS FRC/15ML  - E</v>
          </cell>
          <cell r="D1867" t="str">
            <v>FR 15 ML</v>
          </cell>
          <cell r="E1867" t="str">
            <v>SP</v>
          </cell>
          <cell r="F1867">
            <v>0.73</v>
          </cell>
          <cell r="G1867">
            <v>0</v>
          </cell>
          <cell r="H1867">
            <v>0.73</v>
          </cell>
        </row>
        <row r="1868">
          <cell r="A1868" t="str">
            <v>2058SP</v>
          </cell>
          <cell r="B1868">
            <v>2058</v>
          </cell>
          <cell r="C1868" t="str">
            <v>NOCICLIN 1BLT C/21COM-EMS</v>
          </cell>
          <cell r="D1868" t="str">
            <v>1 BL X 21</v>
          </cell>
          <cell r="E1868" t="str">
            <v>SP</v>
          </cell>
          <cell r="F1868">
            <v>0.68</v>
          </cell>
          <cell r="G1868">
            <v>0</v>
          </cell>
          <cell r="H1868">
            <v>0.68</v>
          </cell>
        </row>
        <row r="1869">
          <cell r="A1869" t="str">
            <v>2391SP</v>
          </cell>
          <cell r="B1869">
            <v>2391</v>
          </cell>
          <cell r="C1869" t="str">
            <v>RUDITE 20MG/ML PO SUS 100ML-E</v>
          </cell>
          <cell r="D1869" t="str">
            <v>FR X 100 ML</v>
          </cell>
          <cell r="E1869" t="str">
            <v>SP</v>
          </cell>
          <cell r="F1869">
            <v>0.59899999999999998</v>
          </cell>
          <cell r="G1869">
            <v>0</v>
          </cell>
          <cell r="H1869">
            <v>0.59899999999999998</v>
          </cell>
        </row>
        <row r="1870">
          <cell r="A1870" t="str">
            <v>2392SP</v>
          </cell>
          <cell r="B1870">
            <v>2392</v>
          </cell>
          <cell r="C1870" t="str">
            <v>RUDITE 20MG/ML PO SUS 45ML-E</v>
          </cell>
          <cell r="D1870" t="str">
            <v>FR X 45 ML</v>
          </cell>
          <cell r="E1870" t="str">
            <v>SP</v>
          </cell>
          <cell r="F1870">
            <v>0.58999999999999986</v>
          </cell>
          <cell r="G1870">
            <v>0</v>
          </cell>
          <cell r="H1870">
            <v>0.58999999999999986</v>
          </cell>
        </row>
        <row r="1871">
          <cell r="A1871" t="str">
            <v>2390SP</v>
          </cell>
          <cell r="B1871">
            <v>2390</v>
          </cell>
          <cell r="C1871" t="str">
            <v>RUDITE(C1)500MG C/6 COM REV-E</v>
          </cell>
          <cell r="D1871" t="str">
            <v>1 BLT X 6</v>
          </cell>
          <cell r="E1871" t="str">
            <v>SP</v>
          </cell>
          <cell r="F1871">
            <v>0.7</v>
          </cell>
          <cell r="G1871">
            <v>0</v>
          </cell>
          <cell r="H1871">
            <v>0.7</v>
          </cell>
        </row>
        <row r="1872">
          <cell r="A1872" t="str">
            <v>2398SP</v>
          </cell>
          <cell r="B1872">
            <v>2398</v>
          </cell>
          <cell r="C1872" t="str">
            <v>SOMINEX COMPOS OTC CPR REVEST x 20</v>
          </cell>
          <cell r="D1872" t="str">
            <v>2 BL X 10</v>
          </cell>
          <cell r="E1872" t="str">
            <v>SP</v>
          </cell>
          <cell r="F1872">
            <v>0.68899999999999995</v>
          </cell>
          <cell r="G1872">
            <v>0</v>
          </cell>
          <cell r="H1872">
            <v>0.68899999999999995</v>
          </cell>
        </row>
        <row r="1873">
          <cell r="A1873" t="str">
            <v>1818SP</v>
          </cell>
          <cell r="B1873">
            <v>1818</v>
          </cell>
          <cell r="C1873" t="str">
            <v>SUPLEVIT MULHER VIT. 2BLT C/15 CAP.GEL-E</v>
          </cell>
          <cell r="D1873" t="str">
            <v>2 BLT C/15</v>
          </cell>
          <cell r="E1873" t="str">
            <v>SP</v>
          </cell>
          <cell r="F1873">
            <v>0.82</v>
          </cell>
          <cell r="G1873">
            <v>0</v>
          </cell>
          <cell r="H1873">
            <v>0.82</v>
          </cell>
        </row>
        <row r="1874">
          <cell r="A1874" t="str">
            <v>1819SP</v>
          </cell>
          <cell r="B1874">
            <v>1819</v>
          </cell>
          <cell r="C1874" t="str">
            <v>SUPLEVIT MULHER VIT. 4BLT C/15 CAP.GEL-E</v>
          </cell>
          <cell r="D1874" t="str">
            <v>4 BLT C/15</v>
          </cell>
          <cell r="E1874" t="str">
            <v>SP</v>
          </cell>
          <cell r="F1874">
            <v>0.81999999999999984</v>
          </cell>
          <cell r="G1874">
            <v>0</v>
          </cell>
          <cell r="H1874">
            <v>0.81999999999999984</v>
          </cell>
        </row>
        <row r="1875">
          <cell r="A1875" t="str">
            <v>60000TO</v>
          </cell>
          <cell r="B1875">
            <v>60000</v>
          </cell>
          <cell r="C1875" t="str">
            <v>A SAUDE DA MULHER 150ML SOLUCAO</v>
          </cell>
          <cell r="D1875" t="str">
            <v>FR X 150 ML</v>
          </cell>
          <cell r="E1875" t="str">
            <v>TO</v>
          </cell>
          <cell r="F1875">
            <v>0.26999999999999996</v>
          </cell>
          <cell r="G1875">
            <v>0</v>
          </cell>
          <cell r="H1875">
            <v>0.26999999999999996</v>
          </cell>
        </row>
        <row r="1876">
          <cell r="A1876" t="str">
            <v>2256TO</v>
          </cell>
          <cell r="B1876">
            <v>2256</v>
          </cell>
          <cell r="C1876" t="str">
            <v>ALLEXOFEDRIN 120MG 1BLTC/10 COM REV-E</v>
          </cell>
          <cell r="D1876" t="str">
            <v>1 BL X 10 COMP REVEST</v>
          </cell>
          <cell r="E1876" t="str">
            <v>TO</v>
          </cell>
          <cell r="F1876">
            <v>0.75</v>
          </cell>
          <cell r="G1876">
            <v>0</v>
          </cell>
          <cell r="H1876">
            <v>0.75</v>
          </cell>
        </row>
        <row r="1877">
          <cell r="A1877" t="str">
            <v>2255TO</v>
          </cell>
          <cell r="B1877">
            <v>2255</v>
          </cell>
          <cell r="C1877" t="str">
            <v>ALLEXOFEDRIN 180MG 1BLTC/10 COM REV-E</v>
          </cell>
          <cell r="D1877" t="str">
            <v>1 BL X 10 COMP REVEST</v>
          </cell>
          <cell r="E1877" t="str">
            <v>TO</v>
          </cell>
          <cell r="F1877">
            <v>0.74999999999999989</v>
          </cell>
          <cell r="G1877">
            <v>0</v>
          </cell>
          <cell r="H1877">
            <v>0.74999999999999989</v>
          </cell>
        </row>
        <row r="1878">
          <cell r="A1878" t="str">
            <v>2133TO</v>
          </cell>
          <cell r="B1878">
            <v>2133</v>
          </cell>
          <cell r="C1878" t="str">
            <v>ALLEXOFEDRIN D 60+120MG 1BLT C/10C.REV</v>
          </cell>
          <cell r="D1878" t="str">
            <v>1 BL X 10 COMP REVEST</v>
          </cell>
          <cell r="E1878" t="str">
            <v>TO</v>
          </cell>
          <cell r="F1878">
            <v>0.26</v>
          </cell>
          <cell r="G1878">
            <v>0</v>
          </cell>
          <cell r="H1878">
            <v>0.26</v>
          </cell>
        </row>
        <row r="1879">
          <cell r="A1879" t="str">
            <v>2036SP</v>
          </cell>
          <cell r="B1879">
            <v>2036</v>
          </cell>
          <cell r="C1879" t="str">
            <v>VITAFER FR C/50 COMP-E</v>
          </cell>
          <cell r="D1879" t="str">
            <v>FR X 50</v>
          </cell>
          <cell r="E1879" t="str">
            <v>SP</v>
          </cell>
          <cell r="F1879">
            <v>0.52999999999999992</v>
          </cell>
          <cell r="G1879">
            <v>0</v>
          </cell>
          <cell r="H1879">
            <v>0.52999999999999992</v>
          </cell>
        </row>
        <row r="1880">
          <cell r="A1880" t="str">
            <v>2347TO</v>
          </cell>
          <cell r="B1880">
            <v>2347</v>
          </cell>
          <cell r="C1880" t="str">
            <v>ALLEXOFEDRIN PEDIATRICO6MG/MLSUS150 ML-E</v>
          </cell>
          <cell r="D1880" t="str">
            <v>6MG/MLSUS150 ML-E</v>
          </cell>
          <cell r="E1880" t="str">
            <v>TO</v>
          </cell>
          <cell r="F1880">
            <v>0.60909999999999997</v>
          </cell>
          <cell r="G1880">
            <v>0</v>
          </cell>
          <cell r="H1880">
            <v>0.60909999999999997</v>
          </cell>
        </row>
        <row r="1881">
          <cell r="A1881" t="str">
            <v>2190TO</v>
          </cell>
          <cell r="B1881">
            <v>2190</v>
          </cell>
          <cell r="C1881" t="str">
            <v>ANTIVIRAX 400MG 2BLTX15 COM - E</v>
          </cell>
          <cell r="D1881" t="str">
            <v>2 BL X 15</v>
          </cell>
          <cell r="E1881" t="str">
            <v>TO</v>
          </cell>
          <cell r="F1881">
            <v>0.68</v>
          </cell>
          <cell r="G1881">
            <v>0</v>
          </cell>
          <cell r="H1881">
            <v>0.68</v>
          </cell>
        </row>
        <row r="1882">
          <cell r="A1882" t="str">
            <v>3009TO</v>
          </cell>
          <cell r="B1882">
            <v>3009</v>
          </cell>
          <cell r="C1882" t="str">
            <v>ANTIVIRAX CR BG C/10 G</v>
          </cell>
          <cell r="D1882" t="str">
            <v>BISN X 10 G</v>
          </cell>
          <cell r="E1882" t="str">
            <v>TO</v>
          </cell>
          <cell r="F1882">
            <v>0.74999999999999989</v>
          </cell>
          <cell r="G1882">
            <v>0</v>
          </cell>
          <cell r="H1882">
            <v>0.74999999999999989</v>
          </cell>
        </row>
        <row r="1883">
          <cell r="A1883" t="str">
            <v>1001TO</v>
          </cell>
          <cell r="B1883">
            <v>1001</v>
          </cell>
          <cell r="C1883" t="str">
            <v>APEVITIN BC XPE FRC/240ML</v>
          </cell>
          <cell r="D1883" t="str">
            <v>FR X 240 ML</v>
          </cell>
          <cell r="E1883" t="str">
            <v>TO</v>
          </cell>
          <cell r="F1883">
            <v>0.80710000000000004</v>
          </cell>
          <cell r="G1883">
            <v>0</v>
          </cell>
          <cell r="H1883">
            <v>0.80710000000000004</v>
          </cell>
        </row>
        <row r="1884">
          <cell r="A1884" t="str">
            <v>1226TO</v>
          </cell>
          <cell r="B1884">
            <v>1226</v>
          </cell>
          <cell r="C1884" t="str">
            <v>BENZIFLEX 10MG 1BLX15COMP.REV-E</v>
          </cell>
          <cell r="D1884" t="str">
            <v>1 BL X 15 COMP.</v>
          </cell>
          <cell r="E1884" t="str">
            <v>TO</v>
          </cell>
          <cell r="F1884">
            <v>0.71</v>
          </cell>
          <cell r="G1884">
            <v>0</v>
          </cell>
          <cell r="H1884">
            <v>0.71</v>
          </cell>
        </row>
        <row r="1885">
          <cell r="A1885" t="str">
            <v>1227TO</v>
          </cell>
          <cell r="B1885">
            <v>1227</v>
          </cell>
          <cell r="C1885" t="str">
            <v>BENZIFLEX 10MG 2BLX15COMP.REV-E</v>
          </cell>
          <cell r="D1885" t="str">
            <v>2 BL X 15 COMP.</v>
          </cell>
          <cell r="E1885" t="str">
            <v>TO</v>
          </cell>
          <cell r="F1885">
            <v>0.71</v>
          </cell>
          <cell r="G1885">
            <v>0</v>
          </cell>
          <cell r="H1885">
            <v>0.71</v>
          </cell>
        </row>
        <row r="1886">
          <cell r="A1886" t="str">
            <v>1233TO</v>
          </cell>
          <cell r="B1886">
            <v>1233</v>
          </cell>
          <cell r="C1886" t="str">
            <v>BENZIFLEX 5MG 2BLX15COMP.REV-E</v>
          </cell>
          <cell r="D1886" t="str">
            <v>2 BL X 15 COMP.</v>
          </cell>
          <cell r="E1886" t="str">
            <v>TO</v>
          </cell>
          <cell r="F1886">
            <v>0.71</v>
          </cell>
          <cell r="G1886">
            <v>0</v>
          </cell>
          <cell r="H1886">
            <v>0.71</v>
          </cell>
        </row>
        <row r="1887">
          <cell r="A1887" t="str">
            <v>1574TO</v>
          </cell>
          <cell r="B1887">
            <v>1574</v>
          </cell>
          <cell r="C1887" t="str">
            <v>BENZIFLEX LIS 125MG+5MG 15COM.REV.-E</v>
          </cell>
          <cell r="D1887" t="str">
            <v>1 BL X 15 COMP.</v>
          </cell>
          <cell r="E1887" t="str">
            <v>TO</v>
          </cell>
          <cell r="F1887">
            <v>0.5</v>
          </cell>
          <cell r="G1887">
            <v>0</v>
          </cell>
          <cell r="H1887">
            <v>0.5</v>
          </cell>
        </row>
        <row r="1888">
          <cell r="A1888" t="str">
            <v>2292TO</v>
          </cell>
          <cell r="B1888">
            <v>2292</v>
          </cell>
          <cell r="C1888" t="str">
            <v>BENZIFLEX LIS 125MG+5MG 2BL15 COM.REV.-E</v>
          </cell>
          <cell r="D1888" t="str">
            <v>2 BL X 15 COMP.</v>
          </cell>
          <cell r="E1888" t="str">
            <v>TO</v>
          </cell>
          <cell r="F1888">
            <v>0.53</v>
          </cell>
          <cell r="G1888">
            <v>0</v>
          </cell>
          <cell r="H1888">
            <v>0.53</v>
          </cell>
        </row>
        <row r="1889">
          <cell r="A1889" t="str">
            <v>1155TO</v>
          </cell>
          <cell r="B1889">
            <v>1155</v>
          </cell>
          <cell r="C1889" t="str">
            <v>BIOFLADEX AEROSSOL 60G- E</v>
          </cell>
          <cell r="D1889" t="str">
            <v>FRASCO 60 G</v>
          </cell>
          <cell r="E1889" t="str">
            <v>TO</v>
          </cell>
          <cell r="F1889">
            <v>0.66</v>
          </cell>
          <cell r="G1889">
            <v>0</v>
          </cell>
          <cell r="H1889">
            <v>0.66</v>
          </cell>
        </row>
        <row r="1890">
          <cell r="A1890" t="str">
            <v>1072TO</v>
          </cell>
          <cell r="B1890">
            <v>1072</v>
          </cell>
          <cell r="C1890" t="str">
            <v>BISURAN 4MG/5ML XPE INF 120ML-E</v>
          </cell>
          <cell r="D1890" t="str">
            <v>FR X 120 ML</v>
          </cell>
          <cell r="E1890" t="str">
            <v>TO</v>
          </cell>
          <cell r="F1890">
            <v>0.53</v>
          </cell>
          <cell r="G1890">
            <v>0</v>
          </cell>
          <cell r="H1890">
            <v>0.53</v>
          </cell>
        </row>
        <row r="1891">
          <cell r="A1891" t="str">
            <v>1318TO</v>
          </cell>
          <cell r="B1891">
            <v>1318</v>
          </cell>
          <cell r="C1891" t="str">
            <v>BISURAN 8MG/5ML XPE AD. 120ML-E</v>
          </cell>
          <cell r="D1891" t="str">
            <v>FR X 120 ML</v>
          </cell>
          <cell r="E1891" t="str">
            <v>TO</v>
          </cell>
          <cell r="F1891">
            <v>0.61999999999999988</v>
          </cell>
          <cell r="G1891">
            <v>0</v>
          </cell>
          <cell r="H1891">
            <v>0.61999999999999988</v>
          </cell>
        </row>
        <row r="1892">
          <cell r="A1892" t="str">
            <v>2141TO</v>
          </cell>
          <cell r="B1892">
            <v>2141</v>
          </cell>
          <cell r="C1892" t="str">
            <v>CELERGIN 20 COMP-E</v>
          </cell>
          <cell r="D1892" t="str">
            <v>CX. C/20 COMP.</v>
          </cell>
          <cell r="E1892" t="str">
            <v>TO</v>
          </cell>
          <cell r="F1892">
            <v>0.65649999999999986</v>
          </cell>
          <cell r="G1892">
            <v>0</v>
          </cell>
          <cell r="H1892">
            <v>0.65649999999999986</v>
          </cell>
        </row>
        <row r="1893">
          <cell r="A1893" t="str">
            <v>1066TO</v>
          </cell>
          <cell r="B1893">
            <v>1066</v>
          </cell>
          <cell r="C1893" t="str">
            <v>CELERGIN XPE 120ML-E</v>
          </cell>
          <cell r="D1893" t="str">
            <v>FR X 120 ML</v>
          </cell>
          <cell r="E1893" t="str">
            <v>TO</v>
          </cell>
          <cell r="F1893">
            <v>0.73470000000000002</v>
          </cell>
          <cell r="G1893">
            <v>0</v>
          </cell>
          <cell r="H1893">
            <v>0.73470000000000002</v>
          </cell>
        </row>
        <row r="1894">
          <cell r="A1894" t="str">
            <v>2322TO</v>
          </cell>
          <cell r="B1894">
            <v>2322</v>
          </cell>
          <cell r="C1894" t="str">
            <v>CLOPE 3,54MG/ML XPE 120ML FR PLAS-E</v>
          </cell>
          <cell r="D1894" t="str">
            <v>FR X 120 ML</v>
          </cell>
          <cell r="E1894" t="str">
            <v>TO</v>
          </cell>
          <cell r="F1894">
            <v>0.53</v>
          </cell>
          <cell r="G1894">
            <v>0</v>
          </cell>
          <cell r="H1894">
            <v>0.53</v>
          </cell>
        </row>
        <row r="1895">
          <cell r="A1895" t="str">
            <v>2383TO</v>
          </cell>
          <cell r="B1895">
            <v>2383</v>
          </cell>
          <cell r="C1895" t="str">
            <v>COMPLEXO B 12 XPE FR C/120ML E</v>
          </cell>
          <cell r="D1895" t="str">
            <v>FR X 120 ML</v>
          </cell>
          <cell r="E1895" t="str">
            <v>TO</v>
          </cell>
          <cell r="F1895">
            <v>0.67000000000000015</v>
          </cell>
          <cell r="G1895">
            <v>0</v>
          </cell>
          <cell r="H1895">
            <v>0.67000000000000015</v>
          </cell>
        </row>
        <row r="1896">
          <cell r="A1896" t="str">
            <v>2384TO</v>
          </cell>
          <cell r="B1896">
            <v>2384</v>
          </cell>
          <cell r="C1896" t="str">
            <v>COMPLEXO B CPR REVEST x 20</v>
          </cell>
          <cell r="D1896" t="str">
            <v xml:space="preserve">FR X 20 </v>
          </cell>
          <cell r="E1896" t="str">
            <v>TO</v>
          </cell>
          <cell r="F1896">
            <v>0.66000000000000014</v>
          </cell>
          <cell r="G1896">
            <v>0</v>
          </cell>
          <cell r="H1896">
            <v>0.66000000000000014</v>
          </cell>
        </row>
        <row r="1897">
          <cell r="A1897" t="str">
            <v>2382TO</v>
          </cell>
          <cell r="B1897">
            <v>2382</v>
          </cell>
          <cell r="C1897" t="str">
            <v>COMPLEXO B FR C/100 COM REV  E</v>
          </cell>
          <cell r="D1897" t="str">
            <v>FR X 100</v>
          </cell>
          <cell r="E1897" t="str">
            <v>TO</v>
          </cell>
          <cell r="F1897">
            <v>0.64000000000000012</v>
          </cell>
          <cell r="G1897">
            <v>0</v>
          </cell>
          <cell r="H1897">
            <v>0.64000000000000012</v>
          </cell>
        </row>
        <row r="1898">
          <cell r="A1898" t="str">
            <v>2011TO</v>
          </cell>
          <cell r="B1898">
            <v>2011</v>
          </cell>
          <cell r="C1898" t="str">
            <v>CYSTEX FR C/24 DRG</v>
          </cell>
          <cell r="D1898" t="str">
            <v xml:space="preserve">FR X 24 </v>
          </cell>
          <cell r="E1898" t="str">
            <v>TO</v>
          </cell>
          <cell r="F1898">
            <v>0.36070000000000002</v>
          </cell>
          <cell r="G1898">
            <v>0</v>
          </cell>
          <cell r="H1898">
            <v>0.36070000000000002</v>
          </cell>
        </row>
        <row r="1899">
          <cell r="A1899" t="str">
            <v>1837TO</v>
          </cell>
          <cell r="B1899">
            <v>1837</v>
          </cell>
          <cell r="C1899" t="str">
            <v>DIOVASES 450+50MG C/30 COM.REV. - E</v>
          </cell>
          <cell r="D1899" t="str">
            <v>2 BL X 15 COMP.</v>
          </cell>
          <cell r="E1899" t="str">
            <v>TO</v>
          </cell>
          <cell r="F1899">
            <v>0.68</v>
          </cell>
          <cell r="G1899">
            <v>0</v>
          </cell>
          <cell r="H1899">
            <v>0.68</v>
          </cell>
        </row>
        <row r="1900">
          <cell r="A1900" t="str">
            <v>1838TO</v>
          </cell>
          <cell r="B1900">
            <v>1838</v>
          </cell>
          <cell r="C1900" t="str">
            <v>DIOVASES 450+50MG C/60 COM.REV. - E</v>
          </cell>
          <cell r="D1900" t="str">
            <v>4 BL X 15 COMP.</v>
          </cell>
          <cell r="E1900" t="str">
            <v>TO</v>
          </cell>
          <cell r="F1900">
            <v>0.72</v>
          </cell>
          <cell r="G1900">
            <v>0</v>
          </cell>
          <cell r="H1900">
            <v>0.72</v>
          </cell>
        </row>
        <row r="1901">
          <cell r="A1901" t="str">
            <v>2261TO</v>
          </cell>
          <cell r="B1901">
            <v>2261</v>
          </cell>
          <cell r="C1901" t="str">
            <v>DORICIN CPR x 24</v>
          </cell>
          <cell r="D1901" t="str">
            <v>2BL C/12 COMPRIMIDOS -E</v>
          </cell>
          <cell r="E1901" t="str">
            <v>TO</v>
          </cell>
          <cell r="F1901">
            <v>0.74099999999999999</v>
          </cell>
          <cell r="G1901">
            <v>0</v>
          </cell>
          <cell r="H1901">
            <v>0.74099999999999999</v>
          </cell>
        </row>
        <row r="1902">
          <cell r="A1902" t="str">
            <v>2264TO</v>
          </cell>
          <cell r="B1902">
            <v>2264</v>
          </cell>
          <cell r="C1902" t="str">
            <v>DORICIN CPR x 300</v>
          </cell>
          <cell r="D1902" t="str">
            <v>30BL C/10 COMPRIMIDOS -E</v>
          </cell>
          <cell r="E1902" t="str">
            <v>TO</v>
          </cell>
          <cell r="F1902">
            <v>0.74099999999999999</v>
          </cell>
          <cell r="G1902">
            <v>0</v>
          </cell>
          <cell r="H1902">
            <v>0.74099999999999999</v>
          </cell>
        </row>
        <row r="1903">
          <cell r="A1903" t="str">
            <v>2262TO</v>
          </cell>
          <cell r="B1903">
            <v>2262</v>
          </cell>
          <cell r="C1903" t="str">
            <v>DORICIN CPR X 36</v>
          </cell>
          <cell r="D1903" t="str">
            <v>3BL C/12 COMPRIMIDOS -E</v>
          </cell>
          <cell r="E1903" t="str">
            <v>TO</v>
          </cell>
          <cell r="F1903">
            <v>0.75139999999999996</v>
          </cell>
          <cell r="G1903">
            <v>0</v>
          </cell>
          <cell r="H1903">
            <v>0.75139999999999996</v>
          </cell>
        </row>
        <row r="1904">
          <cell r="A1904" t="str">
            <v>2263TO</v>
          </cell>
          <cell r="B1904">
            <v>2263</v>
          </cell>
          <cell r="C1904" t="str">
            <v>DORICIN CPR X 50</v>
          </cell>
          <cell r="D1904" t="str">
            <v>5BL C/10 COMPRIMIDOS - E</v>
          </cell>
          <cell r="E1904" t="str">
            <v>TO</v>
          </cell>
          <cell r="F1904">
            <v>0.66100000000000003</v>
          </cell>
          <cell r="G1904">
            <v>0</v>
          </cell>
          <cell r="H1904">
            <v>0.66100000000000003</v>
          </cell>
        </row>
        <row r="1905">
          <cell r="A1905" t="str">
            <v>1173TO</v>
          </cell>
          <cell r="B1905">
            <v>1173</v>
          </cell>
          <cell r="C1905" t="str">
            <v>DORICIN GOTAS 20ML x 1</v>
          </cell>
          <cell r="D1905" t="str">
            <v>FR X 20 ML</v>
          </cell>
          <cell r="E1905" t="str">
            <v>TO</v>
          </cell>
          <cell r="F1905">
            <v>0.65</v>
          </cell>
          <cell r="G1905">
            <v>0</v>
          </cell>
          <cell r="H1905">
            <v>0.65</v>
          </cell>
        </row>
        <row r="1906">
          <cell r="A1906" t="str">
            <v>2018TO</v>
          </cell>
          <cell r="B1906">
            <v>2018</v>
          </cell>
          <cell r="C1906" t="str">
            <v>EMISTIN BLT 1X20=20COMP</v>
          </cell>
          <cell r="D1906" t="str">
            <v>1 BL X 20</v>
          </cell>
          <cell r="E1906" t="str">
            <v>TO</v>
          </cell>
          <cell r="F1906">
            <v>0.67</v>
          </cell>
          <cell r="G1906">
            <v>0</v>
          </cell>
          <cell r="H1906">
            <v>0.67</v>
          </cell>
        </row>
        <row r="1907">
          <cell r="A1907" t="str">
            <v>3008TO</v>
          </cell>
          <cell r="B1907">
            <v>3008</v>
          </cell>
          <cell r="C1907" t="str">
            <v>EMISTIN CR BG C/20G</v>
          </cell>
          <cell r="D1907" t="str">
            <v>BISN X 20 G</v>
          </cell>
          <cell r="E1907" t="str">
            <v>TO</v>
          </cell>
          <cell r="F1907">
            <v>0.77</v>
          </cell>
          <cell r="G1907">
            <v>0</v>
          </cell>
          <cell r="H1907">
            <v>0.77</v>
          </cell>
        </row>
        <row r="1908">
          <cell r="A1908" t="str">
            <v>3020TO</v>
          </cell>
          <cell r="B1908">
            <v>3020</v>
          </cell>
          <cell r="C1908" t="str">
            <v>EMSCORT CR BG C/30G</v>
          </cell>
          <cell r="D1908" t="str">
            <v>BISN X 30 G</v>
          </cell>
          <cell r="E1908" t="str">
            <v>TO</v>
          </cell>
          <cell r="F1908">
            <v>0.77000000000000013</v>
          </cell>
          <cell r="G1908">
            <v>0</v>
          </cell>
          <cell r="H1908">
            <v>0.77000000000000013</v>
          </cell>
        </row>
        <row r="1909">
          <cell r="A1909" t="str">
            <v>6023TO</v>
          </cell>
          <cell r="B1909">
            <v>6023</v>
          </cell>
          <cell r="C1909" t="str">
            <v>EMSCORT POM BISN 30G-E</v>
          </cell>
          <cell r="D1909" t="str">
            <v>BISN X 30 G</v>
          </cell>
          <cell r="E1909" t="str">
            <v>TO</v>
          </cell>
          <cell r="F1909">
            <v>0.7639999999999999</v>
          </cell>
          <cell r="G1909">
            <v>0</v>
          </cell>
          <cell r="H1909">
            <v>0.7639999999999999</v>
          </cell>
        </row>
        <row r="1910">
          <cell r="A1910" t="str">
            <v>1190TO</v>
          </cell>
          <cell r="B1910">
            <v>1190</v>
          </cell>
          <cell r="C1910" t="str">
            <v>EMSEXPECTOR XAROPE FR C/120ML - E</v>
          </cell>
          <cell r="D1910" t="str">
            <v>FR X 120 ML</v>
          </cell>
          <cell r="E1910" t="str">
            <v>TO</v>
          </cell>
          <cell r="F1910">
            <v>0.48</v>
          </cell>
          <cell r="G1910">
            <v>0</v>
          </cell>
          <cell r="H1910">
            <v>0.48</v>
          </cell>
        </row>
        <row r="1911">
          <cell r="A1911" t="str">
            <v>2111TO</v>
          </cell>
          <cell r="B1911">
            <v>2111</v>
          </cell>
          <cell r="C1911" t="str">
            <v>ENDCOFF PAST MEL ELIMAO C/12UN</v>
          </cell>
          <cell r="D1911" t="str">
            <v>3 STP X 4</v>
          </cell>
          <cell r="E1911" t="str">
            <v>TO</v>
          </cell>
          <cell r="F1911">
            <v>0.48</v>
          </cell>
          <cell r="G1911">
            <v>0</v>
          </cell>
          <cell r="H1911">
            <v>0.48</v>
          </cell>
        </row>
        <row r="1912">
          <cell r="A1912" t="str">
            <v>2092TO</v>
          </cell>
          <cell r="B1912">
            <v>2092</v>
          </cell>
          <cell r="C1912" t="str">
            <v>ENDCOFF PAST STP MENTA C/12 UN</v>
          </cell>
          <cell r="D1912" t="str">
            <v>3 STP X 4</v>
          </cell>
          <cell r="E1912" t="str">
            <v>TO</v>
          </cell>
          <cell r="F1912">
            <v>0.48</v>
          </cell>
          <cell r="G1912">
            <v>0</v>
          </cell>
          <cell r="H1912">
            <v>0.48</v>
          </cell>
        </row>
        <row r="1913">
          <cell r="A1913" t="str">
            <v>1905TO</v>
          </cell>
          <cell r="B1913">
            <v>1905</v>
          </cell>
          <cell r="C1913" t="str">
            <v>ESMOG 20MG 4BLTC/7 COM REV LIB RETARD- E</v>
          </cell>
          <cell r="D1913" t="str">
            <v>4 BLT C/7</v>
          </cell>
          <cell r="E1913" t="str">
            <v>TO</v>
          </cell>
          <cell r="F1913">
            <v>0.77800000000000002</v>
          </cell>
          <cell r="G1913">
            <v>0</v>
          </cell>
          <cell r="H1913">
            <v>0.77800000000000002</v>
          </cell>
        </row>
        <row r="1914">
          <cell r="A1914" t="str">
            <v>1906TO</v>
          </cell>
          <cell r="B1914">
            <v>1906</v>
          </cell>
          <cell r="C1914" t="str">
            <v>ESMOG 40MG 4BLTC/7 COM REV LIB RETARD- E</v>
          </cell>
          <cell r="D1914" t="str">
            <v>4 BLT C/7</v>
          </cell>
          <cell r="E1914" t="str">
            <v>TO</v>
          </cell>
          <cell r="F1914">
            <v>0.8</v>
          </cell>
          <cell r="G1914">
            <v>0</v>
          </cell>
          <cell r="H1914">
            <v>0.8</v>
          </cell>
        </row>
        <row r="1915">
          <cell r="A1915" t="str">
            <v>1016TO</v>
          </cell>
          <cell r="B1915">
            <v>1016</v>
          </cell>
          <cell r="C1915" t="str">
            <v>EXPECTUSS XPE ADULTO FR C/100ML</v>
          </cell>
          <cell r="D1915" t="str">
            <v>FR X 100 ML</v>
          </cell>
          <cell r="E1915" t="str">
            <v>TO</v>
          </cell>
          <cell r="F1915">
            <v>0.55000000000000016</v>
          </cell>
          <cell r="G1915">
            <v>0</v>
          </cell>
          <cell r="H1915">
            <v>0.55000000000000016</v>
          </cell>
        </row>
        <row r="1916">
          <cell r="A1916" t="str">
            <v>1015TO</v>
          </cell>
          <cell r="B1916">
            <v>1015</v>
          </cell>
          <cell r="C1916" t="str">
            <v>EXPECTUSS XPE INF FR C/100ML</v>
          </cell>
          <cell r="D1916" t="str">
            <v>FR X 100 ML</v>
          </cell>
          <cell r="E1916" t="str">
            <v>TO</v>
          </cell>
          <cell r="F1916">
            <v>0.5099999999999999</v>
          </cell>
          <cell r="G1916">
            <v>0</v>
          </cell>
          <cell r="H1916">
            <v>0.5099999999999999</v>
          </cell>
        </row>
        <row r="1917">
          <cell r="A1917" t="str">
            <v>1363TO</v>
          </cell>
          <cell r="B1917">
            <v>1363</v>
          </cell>
          <cell r="C1917" t="str">
            <v>FLUITEINA 600MG GRAN 16ENV 5G-E</v>
          </cell>
          <cell r="D1917" t="str">
            <v>CX. C/16 ENV X 5GR</v>
          </cell>
          <cell r="E1917" t="str">
            <v>TO</v>
          </cell>
          <cell r="F1917">
            <v>0.42999999999999994</v>
          </cell>
          <cell r="G1917">
            <v>0</v>
          </cell>
          <cell r="H1917">
            <v>0.42999999999999994</v>
          </cell>
        </row>
        <row r="1918">
          <cell r="A1918" t="str">
            <v>1364TO</v>
          </cell>
          <cell r="B1918">
            <v>1364</v>
          </cell>
          <cell r="C1918" t="str">
            <v>FLUITEINA XPE AD 40MG/ML120ML-E</v>
          </cell>
          <cell r="D1918" t="str">
            <v>FR X 120 ML</v>
          </cell>
          <cell r="E1918" t="str">
            <v>TO</v>
          </cell>
          <cell r="F1918">
            <v>0.56999999999999973</v>
          </cell>
          <cell r="G1918">
            <v>0</v>
          </cell>
          <cell r="H1918">
            <v>0.56999999999999973</v>
          </cell>
        </row>
        <row r="1919">
          <cell r="A1919" t="str">
            <v>1163TO</v>
          </cell>
          <cell r="B1919">
            <v>1163</v>
          </cell>
          <cell r="C1919" t="str">
            <v>FLUITEINA XPE INF 20MG/ML 120ML-E</v>
          </cell>
          <cell r="D1919" t="str">
            <v>FR X 120 ML</v>
          </cell>
          <cell r="E1919" t="str">
            <v>TO</v>
          </cell>
          <cell r="F1919">
            <v>0.51900000000000002</v>
          </cell>
          <cell r="G1919">
            <v>0</v>
          </cell>
          <cell r="H1919">
            <v>0.51900000000000002</v>
          </cell>
        </row>
        <row r="1920">
          <cell r="A1920" t="str">
            <v>1168TO</v>
          </cell>
          <cell r="B1920">
            <v>1168</v>
          </cell>
          <cell r="C1920" t="str">
            <v>FOLIFOLIN 5MG 2BLTX15COMP - E</v>
          </cell>
          <cell r="D1920" t="str">
            <v>2 BLT X 15 COMP.</v>
          </cell>
          <cell r="E1920" t="str">
            <v>TO</v>
          </cell>
          <cell r="F1920">
            <v>0.66</v>
          </cell>
          <cell r="G1920">
            <v>0</v>
          </cell>
          <cell r="H1920">
            <v>0.66</v>
          </cell>
        </row>
        <row r="1921">
          <cell r="A1921" t="str">
            <v>2318TO</v>
          </cell>
          <cell r="B1921">
            <v>2318</v>
          </cell>
          <cell r="C1921" t="str">
            <v>GEROVITAL  2BLT15 CAP MOLE-E</v>
          </cell>
          <cell r="D1921" t="str">
            <v>3 BL X 10</v>
          </cell>
          <cell r="E1921" t="str">
            <v>TO</v>
          </cell>
          <cell r="F1921">
            <v>0.57899999999999996</v>
          </cell>
          <cell r="G1921">
            <v>0</v>
          </cell>
          <cell r="H1921">
            <v>0.57899999999999996</v>
          </cell>
        </row>
        <row r="1922">
          <cell r="A1922" t="str">
            <v>2062TO</v>
          </cell>
          <cell r="B1922">
            <v>2062</v>
          </cell>
          <cell r="C1922" t="str">
            <v>GEROVITAL 3BLT C/20 CAP</v>
          </cell>
          <cell r="D1922" t="str">
            <v>6 BL X 10</v>
          </cell>
          <cell r="E1922" t="str">
            <v>TO</v>
          </cell>
          <cell r="F1922">
            <v>0.48100000000000004</v>
          </cell>
          <cell r="G1922">
            <v>0</v>
          </cell>
          <cell r="H1922">
            <v>0.48100000000000004</v>
          </cell>
        </row>
        <row r="1923">
          <cell r="A1923" t="str">
            <v>1230TO</v>
          </cell>
          <cell r="B1923">
            <v>1230</v>
          </cell>
          <cell r="C1923" t="str">
            <v>IBULIV 100MG/ML SUP ORAL C/ 20 ML-E</v>
          </cell>
          <cell r="D1923" t="str">
            <v>FR X 20 ML</v>
          </cell>
          <cell r="E1923" t="str">
            <v>TO</v>
          </cell>
          <cell r="F1923">
            <v>0.68000000000000016</v>
          </cell>
          <cell r="G1923">
            <v>0</v>
          </cell>
          <cell r="H1923">
            <v>0.68000000000000016</v>
          </cell>
        </row>
        <row r="1924">
          <cell r="A1924" t="str">
            <v>1472TO</v>
          </cell>
          <cell r="B1924">
            <v>1472</v>
          </cell>
          <cell r="C1924" t="str">
            <v>IBULIV 400MG 10 BLT C/ 4CAPS GEL.MOLES-E</v>
          </cell>
          <cell r="D1924" t="str">
            <v>10 BLT X 4 CÁPS</v>
          </cell>
          <cell r="E1924" t="str">
            <v>TO</v>
          </cell>
          <cell r="F1924">
            <v>0.71000000000000019</v>
          </cell>
          <cell r="G1924">
            <v>0</v>
          </cell>
          <cell r="H1924">
            <v>0.71000000000000019</v>
          </cell>
        </row>
        <row r="1925">
          <cell r="A1925" t="str">
            <v>2469TO</v>
          </cell>
          <cell r="B1925">
            <v>2469</v>
          </cell>
          <cell r="C1925" t="str">
            <v>IBULIV 400MG 2 BLT C/ 10CAPS GEL.MOLES-E</v>
          </cell>
          <cell r="D1925" t="str">
            <v>20 CÁPS.</v>
          </cell>
          <cell r="E1925" t="str">
            <v>TO</v>
          </cell>
          <cell r="F1925">
            <v>0.71</v>
          </cell>
          <cell r="G1925">
            <v>0</v>
          </cell>
          <cell r="H1925">
            <v>0.71</v>
          </cell>
        </row>
        <row r="1926">
          <cell r="A1926" t="str">
            <v>1471TO</v>
          </cell>
          <cell r="B1926">
            <v>1471</v>
          </cell>
          <cell r="C1926" t="str">
            <v>IBULIV 400MG 2 BLT C/ 4CAPS GEL.MOLES-E</v>
          </cell>
          <cell r="D1926" t="str">
            <v>2 BLT X 4 CÁPS.</v>
          </cell>
          <cell r="E1926" t="str">
            <v>TO</v>
          </cell>
          <cell r="F1926">
            <v>0.71</v>
          </cell>
          <cell r="G1926">
            <v>0</v>
          </cell>
          <cell r="H1926">
            <v>0.71</v>
          </cell>
        </row>
        <row r="1927">
          <cell r="A1927" t="str">
            <v>1175TO</v>
          </cell>
          <cell r="B1927">
            <v>1175</v>
          </cell>
          <cell r="C1927" t="str">
            <v>INFRALAX 1BLT C/15COMP - EMS</v>
          </cell>
          <cell r="D1927" t="str">
            <v>1 BLT C/ 15</v>
          </cell>
          <cell r="E1927" t="str">
            <v>TO</v>
          </cell>
          <cell r="F1927">
            <v>0.74280000000000002</v>
          </cell>
          <cell r="G1927">
            <v>0</v>
          </cell>
          <cell r="H1927">
            <v>0.74280000000000002</v>
          </cell>
        </row>
        <row r="1928">
          <cell r="A1928" t="str">
            <v>1821TO</v>
          </cell>
          <cell r="B1928">
            <v>1821</v>
          </cell>
          <cell r="C1928" t="str">
            <v>INFRALAX 20BLTX10COMP - E</v>
          </cell>
          <cell r="D1928" t="str">
            <v>20 BLT X 10</v>
          </cell>
          <cell r="E1928" t="str">
            <v>TO</v>
          </cell>
          <cell r="F1928">
            <v>0.81</v>
          </cell>
          <cell r="G1928">
            <v>0</v>
          </cell>
          <cell r="H1928">
            <v>0.81</v>
          </cell>
        </row>
        <row r="1929">
          <cell r="A1929" t="str">
            <v>2138TO</v>
          </cell>
          <cell r="B1929">
            <v>2138</v>
          </cell>
          <cell r="C1929" t="str">
            <v>INFRALAX 2BLT C/15COMP - EMS</v>
          </cell>
          <cell r="D1929" t="str">
            <v>2 BL X 15</v>
          </cell>
          <cell r="E1929" t="str">
            <v>TO</v>
          </cell>
          <cell r="F1929">
            <v>0.74650000000000005</v>
          </cell>
          <cell r="G1929">
            <v>0</v>
          </cell>
          <cell r="H1929">
            <v>0.74650000000000005</v>
          </cell>
        </row>
        <row r="1930">
          <cell r="A1930" t="str">
            <v>6011TO</v>
          </cell>
          <cell r="B1930">
            <v>6011</v>
          </cell>
          <cell r="C1930" t="str">
            <v>NARIDRIN 12HS GOTAS FR C/30ML</v>
          </cell>
          <cell r="D1930" t="str">
            <v>FR X 30 ML</v>
          </cell>
          <cell r="E1930" t="str">
            <v>TO</v>
          </cell>
          <cell r="F1930">
            <v>0.74</v>
          </cell>
          <cell r="G1930">
            <v>0</v>
          </cell>
          <cell r="H1930">
            <v>0.74</v>
          </cell>
        </row>
        <row r="1931">
          <cell r="A1931" t="str">
            <v>2604TO</v>
          </cell>
          <cell r="B1931">
            <v>2604</v>
          </cell>
          <cell r="C1931" t="str">
            <v>NARIDRIN ALTO VOL 30ENVX2,16G+FR240ML</v>
          </cell>
          <cell r="D1931" t="str">
            <v>30ENVX2,16G+FR240ML</v>
          </cell>
          <cell r="E1931" t="str">
            <v>TO</v>
          </cell>
          <cell r="F1931">
            <v>0.64</v>
          </cell>
          <cell r="G1931">
            <v>0</v>
          </cell>
          <cell r="H1931">
            <v>0.64</v>
          </cell>
        </row>
        <row r="1932">
          <cell r="A1932" t="str">
            <v>2605TO</v>
          </cell>
          <cell r="B1932">
            <v>2605</v>
          </cell>
          <cell r="C1932" t="str">
            <v>NARIDRIN ALTO VOL REFIL</v>
          </cell>
          <cell r="D1932" t="str">
            <v>30 ENV X 2,16G</v>
          </cell>
          <cell r="E1932" t="str">
            <v>TO</v>
          </cell>
          <cell r="F1932">
            <v>0.59999999999999987</v>
          </cell>
          <cell r="G1932">
            <v>0</v>
          </cell>
          <cell r="H1932">
            <v>0.59999999999999987</v>
          </cell>
        </row>
        <row r="1933">
          <cell r="A1933" t="str">
            <v>1433TO</v>
          </cell>
          <cell r="B1933">
            <v>1433</v>
          </cell>
          <cell r="C1933" t="str">
            <v>NARIDRIN AQUA 9MG/ML FRASCO C/50ML-E</v>
          </cell>
          <cell r="D1933" t="str">
            <v>FR X 50 ML SPRAY</v>
          </cell>
          <cell r="E1933" t="str">
            <v>TO</v>
          </cell>
          <cell r="F1933">
            <v>0.71</v>
          </cell>
          <cell r="G1933">
            <v>0</v>
          </cell>
          <cell r="H1933">
            <v>0.71</v>
          </cell>
        </row>
        <row r="1934">
          <cell r="A1934" t="str">
            <v>6005TO</v>
          </cell>
          <cell r="B1934">
            <v>6005</v>
          </cell>
          <cell r="C1934" t="str">
            <v>NARIDRIN GOTAS AD FR C/15ML</v>
          </cell>
          <cell r="D1934" t="str">
            <v>FR X 15 ML</v>
          </cell>
          <cell r="E1934" t="str">
            <v>TO</v>
          </cell>
          <cell r="F1934">
            <v>0.74</v>
          </cell>
          <cell r="G1934">
            <v>0</v>
          </cell>
          <cell r="H1934">
            <v>0.74</v>
          </cell>
        </row>
        <row r="1935">
          <cell r="A1935" t="str">
            <v>6006TO</v>
          </cell>
          <cell r="B1935">
            <v>6006</v>
          </cell>
          <cell r="C1935" t="str">
            <v>NARIDRIN GOTAS INF FR C/15ML</v>
          </cell>
          <cell r="D1935" t="str">
            <v>FR X 15 ML</v>
          </cell>
          <cell r="E1935" t="str">
            <v>TO</v>
          </cell>
          <cell r="F1935">
            <v>0.72999999999999987</v>
          </cell>
          <cell r="G1935">
            <v>0</v>
          </cell>
          <cell r="H1935">
            <v>0.72999999999999987</v>
          </cell>
        </row>
        <row r="1936">
          <cell r="A1936" t="str">
            <v>1079TO</v>
          </cell>
          <cell r="B1936">
            <v>1079</v>
          </cell>
          <cell r="C1936" t="str">
            <v>NARIDRIN H 30MG/ML SOL.NAS SPRAY 60ML-E</v>
          </cell>
          <cell r="D1936" t="str">
            <v>FRASCO X 60ML</v>
          </cell>
          <cell r="E1936" t="str">
            <v>TO</v>
          </cell>
          <cell r="F1936">
            <v>0.7</v>
          </cell>
          <cell r="G1936">
            <v>0</v>
          </cell>
          <cell r="H1936">
            <v>0.7</v>
          </cell>
        </row>
        <row r="1937">
          <cell r="A1937" t="str">
            <v>1368TO</v>
          </cell>
          <cell r="B1937">
            <v>1368</v>
          </cell>
          <cell r="C1937" t="str">
            <v>NIMESILAM BLT 1X12= 12 COM - E</v>
          </cell>
          <cell r="D1937" t="str">
            <v>1 BLT X 12</v>
          </cell>
          <cell r="E1937" t="str">
            <v>TO</v>
          </cell>
          <cell r="F1937">
            <v>0.89999999999999991</v>
          </cell>
          <cell r="G1937">
            <v>0</v>
          </cell>
          <cell r="H1937">
            <v>0.89999999999999991</v>
          </cell>
        </row>
        <row r="1938">
          <cell r="A1938" t="str">
            <v>1367TO</v>
          </cell>
          <cell r="B1938">
            <v>1367</v>
          </cell>
          <cell r="C1938" t="str">
            <v>NIMESILAM GOTAS FRC/15ML  - E</v>
          </cell>
          <cell r="D1938" t="str">
            <v>FR 15 ML</v>
          </cell>
          <cell r="E1938" t="str">
            <v>TO</v>
          </cell>
          <cell r="F1938">
            <v>0.73</v>
          </cell>
          <cell r="G1938">
            <v>0</v>
          </cell>
          <cell r="H1938">
            <v>0.73</v>
          </cell>
        </row>
        <row r="1939">
          <cell r="A1939" t="str">
            <v>2058TO</v>
          </cell>
          <cell r="B1939">
            <v>2058</v>
          </cell>
          <cell r="C1939" t="str">
            <v>NOCICLIN 1BLT C/21COM-EMS</v>
          </cell>
          <cell r="D1939" t="str">
            <v>1 BL X 21</v>
          </cell>
          <cell r="E1939" t="str">
            <v>TO</v>
          </cell>
          <cell r="F1939">
            <v>0.68</v>
          </cell>
          <cell r="G1939">
            <v>0</v>
          </cell>
          <cell r="H1939">
            <v>0.68</v>
          </cell>
        </row>
        <row r="1940">
          <cell r="A1940" t="str">
            <v>2391TO</v>
          </cell>
          <cell r="B1940">
            <v>2391</v>
          </cell>
          <cell r="C1940" t="str">
            <v>RUDITE 20MG/ML PO SUS 100ML-E</v>
          </cell>
          <cell r="D1940" t="str">
            <v>FR X 100 ML</v>
          </cell>
          <cell r="E1940" t="str">
            <v>TO</v>
          </cell>
          <cell r="F1940">
            <v>0.59899999999999998</v>
          </cell>
          <cell r="G1940">
            <v>0</v>
          </cell>
          <cell r="H1940">
            <v>0.59899999999999998</v>
          </cell>
        </row>
        <row r="1941">
          <cell r="A1941" t="str">
            <v>2392TO</v>
          </cell>
          <cell r="B1941">
            <v>2392</v>
          </cell>
          <cell r="C1941" t="str">
            <v>RUDITE 20MG/ML PO SUS 45ML-E</v>
          </cell>
          <cell r="D1941" t="str">
            <v>FR X 45 ML</v>
          </cell>
          <cell r="E1941" t="str">
            <v>TO</v>
          </cell>
          <cell r="F1941">
            <v>0.58999999999999986</v>
          </cell>
          <cell r="G1941">
            <v>0</v>
          </cell>
          <cell r="H1941">
            <v>0.58999999999999986</v>
          </cell>
        </row>
        <row r="1942">
          <cell r="A1942" t="str">
            <v>2390TO</v>
          </cell>
          <cell r="B1942">
            <v>2390</v>
          </cell>
          <cell r="C1942" t="str">
            <v>RUDITE(C1)500MG C/6 COM REV-E</v>
          </cell>
          <cell r="D1942" t="str">
            <v>1 BLT X 6</v>
          </cell>
          <cell r="E1942" t="str">
            <v>TO</v>
          </cell>
          <cell r="F1942">
            <v>0.7</v>
          </cell>
          <cell r="G1942">
            <v>0</v>
          </cell>
          <cell r="H1942">
            <v>0.7</v>
          </cell>
        </row>
        <row r="1943">
          <cell r="A1943" t="str">
            <v>2398TO</v>
          </cell>
          <cell r="B1943">
            <v>2398</v>
          </cell>
          <cell r="C1943" t="str">
            <v>SOMINEX COMPOS OTC CPR REVEST x 20</v>
          </cell>
          <cell r="D1943" t="str">
            <v>2 BL X 10</v>
          </cell>
          <cell r="E1943" t="str">
            <v>TO</v>
          </cell>
          <cell r="F1943">
            <v>0.68899999999999995</v>
          </cell>
          <cell r="G1943">
            <v>0</v>
          </cell>
          <cell r="H1943">
            <v>0.68899999999999995</v>
          </cell>
        </row>
        <row r="1944">
          <cell r="A1944" t="str">
            <v>1818TO</v>
          </cell>
          <cell r="B1944">
            <v>1818</v>
          </cell>
          <cell r="C1944" t="str">
            <v>SUPLEVIT MULHER VIT. 2BLT C/15 CAP.GEL-E</v>
          </cell>
          <cell r="D1944" t="str">
            <v>2 BLT C/15</v>
          </cell>
          <cell r="E1944" t="str">
            <v>TO</v>
          </cell>
          <cell r="F1944">
            <v>0.82</v>
          </cell>
          <cell r="G1944">
            <v>0</v>
          </cell>
          <cell r="H1944">
            <v>0.82</v>
          </cell>
        </row>
        <row r="1945">
          <cell r="A1945" t="str">
            <v>1819TO</v>
          </cell>
          <cell r="B1945">
            <v>1819</v>
          </cell>
          <cell r="C1945" t="str">
            <v>SUPLEVIT MULHER VIT. 4BLT C/15 CAP.GEL-E</v>
          </cell>
          <cell r="D1945" t="str">
            <v>4 BLT C/15</v>
          </cell>
          <cell r="E1945" t="str">
            <v>TO</v>
          </cell>
          <cell r="F1945">
            <v>0.81999999999999984</v>
          </cell>
          <cell r="G1945">
            <v>0</v>
          </cell>
          <cell r="H1945">
            <v>0.81999999999999984</v>
          </cell>
        </row>
        <row r="1946">
          <cell r="A1946" t="str">
            <v>2036TO</v>
          </cell>
          <cell r="B1946">
            <v>2036</v>
          </cell>
          <cell r="C1946" t="str">
            <v>VITAFER FR C/50 COMP-E</v>
          </cell>
          <cell r="D1946" t="str">
            <v>FR X 50</v>
          </cell>
          <cell r="E1946" t="str">
            <v>TO</v>
          </cell>
          <cell r="F1946">
            <v>0.52999999999999992</v>
          </cell>
          <cell r="G1946">
            <v>0</v>
          </cell>
          <cell r="H1946">
            <v>0.52999999999999992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 t="str">
            <v>8</v>
          </cell>
          <cell r="I1">
            <v>9</v>
          </cell>
          <cell r="J1" t="str">
            <v>10</v>
          </cell>
          <cell r="K1">
            <v>11</v>
          </cell>
          <cell r="L1" t="str">
            <v>12</v>
          </cell>
          <cell r="M1">
            <v>13</v>
          </cell>
          <cell r="N1" t="str">
            <v>14</v>
          </cell>
          <cell r="O1" t="str">
            <v>15</v>
          </cell>
          <cell r="P1" t="str">
            <v>16</v>
          </cell>
          <cell r="Q1">
            <v>17</v>
          </cell>
          <cell r="R1" t="str">
            <v>18</v>
          </cell>
          <cell r="S1">
            <v>19</v>
          </cell>
          <cell r="T1"/>
        </row>
        <row r="2">
          <cell r="A2" t="str">
            <v>CÓDIGO</v>
          </cell>
          <cell r="B2" t="str">
            <v>PRODUTO</v>
          </cell>
          <cell r="C2" t="str">
            <v>APRESENTAÇÃO</v>
          </cell>
          <cell r="D2" t="str">
            <v>PREÇO</v>
          </cell>
          <cell r="E2" t="str">
            <v>PREÇO</v>
          </cell>
          <cell r="F2" t="str">
            <v>PREÇO</v>
          </cell>
          <cell r="G2" t="str">
            <v>PREÇO</v>
          </cell>
          <cell r="H2" t="str">
            <v>PREÇO</v>
          </cell>
          <cell r="I2" t="str">
            <v>PREÇO</v>
          </cell>
          <cell r="J2" t="str">
            <v>PREÇO</v>
          </cell>
          <cell r="K2" t="str">
            <v>PREÇO</v>
          </cell>
          <cell r="L2" t="str">
            <v>PREÇO</v>
          </cell>
          <cell r="M2" t="str">
            <v>PREÇO</v>
          </cell>
          <cell r="N2" t="str">
            <v>PREÇO</v>
          </cell>
          <cell r="O2" t="str">
            <v>PREÇO</v>
          </cell>
          <cell r="P2" t="str">
            <v>PREÇO</v>
          </cell>
          <cell r="Q2"/>
          <cell r="R2"/>
          <cell r="S2"/>
          <cell r="T2" t="str">
            <v>CX</v>
          </cell>
        </row>
        <row r="3">
          <cell r="A3"/>
          <cell r="B3"/>
          <cell r="C3"/>
          <cell r="D3" t="str">
            <v>INFORMADO</v>
          </cell>
          <cell r="E3" t="str">
            <v>FABR.</v>
          </cell>
          <cell r="F3" t="str">
            <v>FABR.</v>
          </cell>
          <cell r="G3" t="str">
            <v>FÁBR.</v>
          </cell>
          <cell r="H3" t="str">
            <v>FÁBR.</v>
          </cell>
          <cell r="I3" t="str">
            <v>FABR.</v>
          </cell>
          <cell r="J3" t="str">
            <v>FÁBR.</v>
          </cell>
          <cell r="K3" t="str">
            <v>FÁBR.</v>
          </cell>
          <cell r="L3" t="str">
            <v>FÁBR.</v>
          </cell>
          <cell r="M3" t="str">
            <v>FÁBR.</v>
          </cell>
          <cell r="N3" t="str">
            <v>FÁBR.</v>
          </cell>
          <cell r="O3" t="str">
            <v>FÁBR.</v>
          </cell>
          <cell r="P3" t="str">
            <v>FÁBR.</v>
          </cell>
          <cell r="Q3" t="str">
            <v>PADRÃO</v>
          </cell>
          <cell r="R3">
            <v>1</v>
          </cell>
          <cell r="S3" t="str">
            <v>EMS</v>
          </cell>
          <cell r="T3" t="str">
            <v>PALET</v>
          </cell>
        </row>
        <row r="4">
          <cell r="A4"/>
          <cell r="B4"/>
          <cell r="C4"/>
          <cell r="D4"/>
          <cell r="E4">
            <v>0.22</v>
          </cell>
          <cell r="F4">
            <v>0.21</v>
          </cell>
          <cell r="G4">
            <v>0.20499999999999999</v>
          </cell>
          <cell r="H4">
            <v>0.2</v>
          </cell>
          <cell r="I4">
            <v>0.19500000000000001</v>
          </cell>
          <cell r="J4">
            <v>0.19</v>
          </cell>
          <cell r="K4">
            <v>0.18</v>
          </cell>
          <cell r="L4">
            <v>0.17499999999999999</v>
          </cell>
          <cell r="M4">
            <v>0.17</v>
          </cell>
          <cell r="N4">
            <v>0.12</v>
          </cell>
          <cell r="O4">
            <v>0.23</v>
          </cell>
          <cell r="P4">
            <v>0.22500000000000001</v>
          </cell>
          <cell r="Q4"/>
          <cell r="R4"/>
          <cell r="S4"/>
          <cell r="T4"/>
        </row>
        <row r="5">
          <cell r="B5" t="str">
            <v>EMS</v>
          </cell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S5" t="str">
            <v>lista</v>
          </cell>
        </row>
        <row r="6">
          <cell r="A6">
            <v>1001</v>
          </cell>
          <cell r="B6" t="str">
            <v xml:space="preserve">APEVITIN BC XPE </v>
          </cell>
          <cell r="C6" t="str">
            <v>FR X 240 ML</v>
          </cell>
          <cell r="D6"/>
          <cell r="E6">
            <v>46.05</v>
          </cell>
          <cell r="F6">
            <v>45.47</v>
          </cell>
          <cell r="G6">
            <v>45.18</v>
          </cell>
          <cell r="H6">
            <v>44.9</v>
          </cell>
          <cell r="I6">
            <v>44.62</v>
          </cell>
          <cell r="J6">
            <v>44.35</v>
          </cell>
          <cell r="K6">
            <v>43.8</v>
          </cell>
          <cell r="L6">
            <v>43.54</v>
          </cell>
          <cell r="M6">
            <v>43.28</v>
          </cell>
          <cell r="N6">
            <v>40.82</v>
          </cell>
          <cell r="O6">
            <v>46.65</v>
          </cell>
          <cell r="P6">
            <v>46.35</v>
          </cell>
          <cell r="Q6">
            <v>35</v>
          </cell>
          <cell r="R6">
            <v>1</v>
          </cell>
          <cell r="S6" t="str">
            <v xml:space="preserve"> N</v>
          </cell>
          <cell r="T6">
            <v>5760</v>
          </cell>
        </row>
        <row r="7">
          <cell r="A7">
            <v>1015</v>
          </cell>
          <cell r="B7" t="str">
            <v xml:space="preserve">EXPECTUSS XPE INF </v>
          </cell>
          <cell r="C7" t="str">
            <v>FR X 100 ML</v>
          </cell>
          <cell r="D7"/>
          <cell r="E7">
            <v>18.170000000000002</v>
          </cell>
          <cell r="F7">
            <v>17.940000000000001</v>
          </cell>
          <cell r="G7">
            <v>17.82</v>
          </cell>
          <cell r="H7">
            <v>17.71</v>
          </cell>
          <cell r="I7">
            <v>17.600000000000001</v>
          </cell>
          <cell r="J7">
            <v>17.489999999999998</v>
          </cell>
          <cell r="K7">
            <v>17.28</v>
          </cell>
          <cell r="L7">
            <v>17.18</v>
          </cell>
          <cell r="M7">
            <v>17.07</v>
          </cell>
          <cell r="N7">
            <v>16.100000000000001</v>
          </cell>
          <cell r="O7">
            <v>18.399999999999999</v>
          </cell>
          <cell r="P7">
            <v>18.28</v>
          </cell>
          <cell r="Q7">
            <v>60</v>
          </cell>
          <cell r="R7">
            <v>1</v>
          </cell>
          <cell r="S7" t="str">
            <v xml:space="preserve"> N</v>
          </cell>
          <cell r="T7">
            <v>5760</v>
          </cell>
        </row>
        <row r="8">
          <cell r="A8">
            <v>1016</v>
          </cell>
          <cell r="B8" t="str">
            <v xml:space="preserve">EXPECTUSS XPE ADU </v>
          </cell>
          <cell r="C8" t="str">
            <v>FR X 100 ML</v>
          </cell>
          <cell r="D8"/>
          <cell r="E8">
            <v>26.41</v>
          </cell>
          <cell r="F8">
            <v>26.08</v>
          </cell>
          <cell r="G8">
            <v>25.91</v>
          </cell>
          <cell r="H8">
            <v>25.75</v>
          </cell>
          <cell r="I8">
            <v>25.59</v>
          </cell>
          <cell r="J8">
            <v>25.43</v>
          </cell>
          <cell r="K8">
            <v>25.12</v>
          </cell>
          <cell r="L8">
            <v>24.97</v>
          </cell>
          <cell r="M8">
            <v>24.82</v>
          </cell>
          <cell r="N8">
            <v>23.41</v>
          </cell>
          <cell r="O8">
            <v>26.75</v>
          </cell>
          <cell r="P8">
            <v>26.58</v>
          </cell>
          <cell r="Q8">
            <v>60</v>
          </cell>
          <cell r="R8">
            <v>1</v>
          </cell>
          <cell r="S8" t="str">
            <v xml:space="preserve"> N</v>
          </cell>
          <cell r="T8">
            <v>768</v>
          </cell>
        </row>
        <row r="9">
          <cell r="A9">
            <v>1066</v>
          </cell>
          <cell r="B9" t="str">
            <v>CELERGIN XPE</v>
          </cell>
          <cell r="C9" t="str">
            <v>FR X 120 ML</v>
          </cell>
          <cell r="D9"/>
          <cell r="E9">
            <v>29.58</v>
          </cell>
          <cell r="F9">
            <v>29.2</v>
          </cell>
          <cell r="G9">
            <v>29.02</v>
          </cell>
          <cell r="H9">
            <v>28.84</v>
          </cell>
          <cell r="I9">
            <v>28.66</v>
          </cell>
          <cell r="J9">
            <v>28.48</v>
          </cell>
          <cell r="K9">
            <v>28.13</v>
          </cell>
          <cell r="L9">
            <v>27.96</v>
          </cell>
          <cell r="M9">
            <v>27.8</v>
          </cell>
          <cell r="N9">
            <v>26.22</v>
          </cell>
          <cell r="O9">
            <v>29.96</v>
          </cell>
          <cell r="P9">
            <v>29.77</v>
          </cell>
          <cell r="Q9">
            <v>60</v>
          </cell>
          <cell r="R9">
            <v>1</v>
          </cell>
          <cell r="S9" t="str">
            <v xml:space="preserve"> N</v>
          </cell>
          <cell r="T9"/>
        </row>
        <row r="10">
          <cell r="A10">
            <v>1072</v>
          </cell>
          <cell r="B10" t="str">
            <v>BISURAN XPE. INF.</v>
          </cell>
          <cell r="C10" t="str">
            <v>FR X 120 ML</v>
          </cell>
          <cell r="D10"/>
          <cell r="E10">
            <v>13.99</v>
          </cell>
          <cell r="F10">
            <v>13.81</v>
          </cell>
          <cell r="G10">
            <v>13.72</v>
          </cell>
          <cell r="H10">
            <v>13.64</v>
          </cell>
          <cell r="I10">
            <v>13.55</v>
          </cell>
          <cell r="J10">
            <v>13.47</v>
          </cell>
          <cell r="K10">
            <v>13.3</v>
          </cell>
          <cell r="L10">
            <v>13.22</v>
          </cell>
          <cell r="M10">
            <v>13.14</v>
          </cell>
          <cell r="N10">
            <v>12.4</v>
          </cell>
          <cell r="O10">
            <v>14.17</v>
          </cell>
          <cell r="P10">
            <v>14.08</v>
          </cell>
          <cell r="Q10">
            <v>60</v>
          </cell>
          <cell r="R10">
            <v>1</v>
          </cell>
          <cell r="S10" t="str">
            <v xml:space="preserve"> N</v>
          </cell>
          <cell r="T10"/>
        </row>
        <row r="11">
          <cell r="A11">
            <v>1079</v>
          </cell>
          <cell r="B11" t="str">
            <v xml:space="preserve">NARIDRIN H SOL. SPRAY </v>
          </cell>
          <cell r="C11" t="str">
            <v>FRASCO X 60ML</v>
          </cell>
          <cell r="D11"/>
          <cell r="E11">
            <v>27.49</v>
          </cell>
          <cell r="F11">
            <v>27.14</v>
          </cell>
          <cell r="G11">
            <v>26.97</v>
          </cell>
          <cell r="H11">
            <v>26.8</v>
          </cell>
          <cell r="I11">
            <v>26.63</v>
          </cell>
          <cell r="J11">
            <v>26.47</v>
          </cell>
          <cell r="K11">
            <v>26.15</v>
          </cell>
          <cell r="L11">
            <v>25.99</v>
          </cell>
          <cell r="M11">
            <v>25.83</v>
          </cell>
          <cell r="N11">
            <v>24.36</v>
          </cell>
          <cell r="O11">
            <v>27.84</v>
          </cell>
          <cell r="P11">
            <v>27.66</v>
          </cell>
          <cell r="Q11">
            <v>25</v>
          </cell>
          <cell r="R11">
            <v>1</v>
          </cell>
          <cell r="S11" t="str">
            <v xml:space="preserve"> N</v>
          </cell>
          <cell r="T11">
            <v>9000</v>
          </cell>
        </row>
        <row r="12">
          <cell r="A12">
            <v>1155</v>
          </cell>
          <cell r="B12" t="str">
            <v xml:space="preserve">BIOFLADEX AEROSSOL </v>
          </cell>
          <cell r="C12" t="str">
            <v>FRASCO 60 G</v>
          </cell>
          <cell r="D12"/>
          <cell r="E12">
            <v>42.24</v>
          </cell>
          <cell r="F12">
            <v>41.71</v>
          </cell>
          <cell r="G12">
            <v>41.45</v>
          </cell>
          <cell r="H12">
            <v>41.19</v>
          </cell>
          <cell r="I12">
            <v>40.93</v>
          </cell>
          <cell r="J12">
            <v>40.68</v>
          </cell>
          <cell r="K12">
            <v>40.18</v>
          </cell>
          <cell r="L12">
            <v>39.94</v>
          </cell>
          <cell r="M12">
            <v>39.700000000000003</v>
          </cell>
          <cell r="N12">
            <v>37.44</v>
          </cell>
          <cell r="O12">
            <v>42.79</v>
          </cell>
          <cell r="P12">
            <v>42.52</v>
          </cell>
          <cell r="Q12">
            <v>48</v>
          </cell>
          <cell r="R12">
            <v>1</v>
          </cell>
          <cell r="S12" t="str">
            <v xml:space="preserve"> N</v>
          </cell>
          <cell r="T12">
            <v>2640</v>
          </cell>
        </row>
        <row r="13">
          <cell r="A13">
            <v>1163</v>
          </cell>
          <cell r="B13" t="str">
            <v>FLUITEÍNA 20 MG XPE.</v>
          </cell>
          <cell r="C13" t="str">
            <v>FR X 120 ML</v>
          </cell>
          <cell r="D13"/>
          <cell r="E13">
            <v>32.049999999999997</v>
          </cell>
          <cell r="F13">
            <v>31.65</v>
          </cell>
          <cell r="G13">
            <v>31.45</v>
          </cell>
          <cell r="H13">
            <v>31.25</v>
          </cell>
          <cell r="I13">
            <v>31.06</v>
          </cell>
          <cell r="J13">
            <v>30.86</v>
          </cell>
          <cell r="K13">
            <v>30.49</v>
          </cell>
          <cell r="L13">
            <v>30.3</v>
          </cell>
          <cell r="M13">
            <v>30.12</v>
          </cell>
          <cell r="N13">
            <v>28.41</v>
          </cell>
          <cell r="O13">
            <v>32.47</v>
          </cell>
          <cell r="P13">
            <v>32.26</v>
          </cell>
          <cell r="Q13">
            <v>60</v>
          </cell>
          <cell r="R13">
            <v>1</v>
          </cell>
          <cell r="S13" t="str">
            <v xml:space="preserve"> N</v>
          </cell>
          <cell r="T13">
            <v>2160</v>
          </cell>
        </row>
        <row r="14">
          <cell r="A14">
            <v>1168</v>
          </cell>
          <cell r="B14" t="str">
            <v>FOLIFOLIN COMPRIMIDOS</v>
          </cell>
          <cell r="C14" t="str">
            <v>2 BLT X 15 COMP.</v>
          </cell>
          <cell r="D14"/>
          <cell r="E14">
            <v>15.64</v>
          </cell>
          <cell r="F14">
            <v>15.44</v>
          </cell>
          <cell r="G14">
            <v>15.35</v>
          </cell>
          <cell r="H14">
            <v>15.25</v>
          </cell>
          <cell r="I14">
            <v>15.16</v>
          </cell>
          <cell r="J14">
            <v>15.06</v>
          </cell>
          <cell r="K14">
            <v>14.88</v>
          </cell>
          <cell r="L14">
            <v>14.79</v>
          </cell>
          <cell r="M14">
            <v>14.7</v>
          </cell>
          <cell r="N14">
            <v>13.86</v>
          </cell>
          <cell r="O14">
            <v>15.84</v>
          </cell>
          <cell r="P14">
            <v>15.74</v>
          </cell>
          <cell r="Q14">
            <v>60</v>
          </cell>
          <cell r="R14">
            <v>1</v>
          </cell>
          <cell r="S14" t="str">
            <v xml:space="preserve"> N</v>
          </cell>
          <cell r="T14"/>
        </row>
        <row r="15">
          <cell r="A15">
            <v>1173</v>
          </cell>
          <cell r="B15" t="str">
            <v>DORICIN GTS 20 ml</v>
          </cell>
          <cell r="C15" t="str">
            <v>FR X 20 ML</v>
          </cell>
          <cell r="D15"/>
          <cell r="E15">
            <v>16.559999999999999</v>
          </cell>
          <cell r="F15">
            <v>16.350000000000001</v>
          </cell>
          <cell r="G15">
            <v>16.25</v>
          </cell>
          <cell r="H15">
            <v>16.149999999999999</v>
          </cell>
          <cell r="I15">
            <v>16.05</v>
          </cell>
          <cell r="J15">
            <v>15.95</v>
          </cell>
          <cell r="K15">
            <v>15.76</v>
          </cell>
          <cell r="L15">
            <v>15.66</v>
          </cell>
          <cell r="M15">
            <v>15.57</v>
          </cell>
          <cell r="N15">
            <v>14.68</v>
          </cell>
          <cell r="O15">
            <v>16.78</v>
          </cell>
          <cell r="P15">
            <v>16.670000000000002</v>
          </cell>
          <cell r="Q15">
            <v>120</v>
          </cell>
          <cell r="R15">
            <v>1</v>
          </cell>
          <cell r="S15" t="str">
            <v xml:space="preserve"> N</v>
          </cell>
          <cell r="T15">
            <v>4608</v>
          </cell>
        </row>
        <row r="16">
          <cell r="A16">
            <v>1175</v>
          </cell>
          <cell r="B16" t="str">
            <v>INFRALAX COMPRIMIDOS</v>
          </cell>
          <cell r="C16" t="str">
            <v>1 BLT C/ 15</v>
          </cell>
          <cell r="D16"/>
          <cell r="E16">
            <v>14.01</v>
          </cell>
          <cell r="F16">
            <v>13.84</v>
          </cell>
          <cell r="G16">
            <v>13.75</v>
          </cell>
          <cell r="H16">
            <v>13.66</v>
          </cell>
          <cell r="I16">
            <v>13.58</v>
          </cell>
          <cell r="J16">
            <v>13.49</v>
          </cell>
          <cell r="K16">
            <v>13.33</v>
          </cell>
          <cell r="L16">
            <v>13.25</v>
          </cell>
          <cell r="M16">
            <v>13.17</v>
          </cell>
          <cell r="N16">
            <v>12.42</v>
          </cell>
          <cell r="O16">
            <v>14.19</v>
          </cell>
          <cell r="P16">
            <v>14.1</v>
          </cell>
          <cell r="Q16">
            <v>48</v>
          </cell>
          <cell r="R16">
            <v>1</v>
          </cell>
          <cell r="S16" t="str">
            <v xml:space="preserve"> N</v>
          </cell>
          <cell r="T16"/>
        </row>
        <row r="17">
          <cell r="A17">
            <v>1190</v>
          </cell>
          <cell r="B17" t="str">
            <v xml:space="preserve">EMS EXPECTOR XAROPE    </v>
          </cell>
          <cell r="C17" t="str">
            <v>FR X 120 ML</v>
          </cell>
          <cell r="D17"/>
          <cell r="E17">
            <v>24.9</v>
          </cell>
          <cell r="F17">
            <v>24.58</v>
          </cell>
          <cell r="G17">
            <v>24.43</v>
          </cell>
          <cell r="H17">
            <v>24.28</v>
          </cell>
          <cell r="I17">
            <v>24.12</v>
          </cell>
          <cell r="J17">
            <v>23.98</v>
          </cell>
          <cell r="K17">
            <v>23.68</v>
          </cell>
          <cell r="L17">
            <v>23.54</v>
          </cell>
          <cell r="M17">
            <v>23.4</v>
          </cell>
          <cell r="N17">
            <v>22.07</v>
          </cell>
          <cell r="O17">
            <v>25.22</v>
          </cell>
          <cell r="P17">
            <v>25.06</v>
          </cell>
          <cell r="Q17">
            <v>60</v>
          </cell>
          <cell r="R17">
            <v>1</v>
          </cell>
          <cell r="S17" t="str">
            <v xml:space="preserve"> N</v>
          </cell>
          <cell r="T17">
            <v>675</v>
          </cell>
        </row>
        <row r="18">
          <cell r="A18">
            <v>1226</v>
          </cell>
          <cell r="B18" t="str">
            <v>BENZIFLEX 10 MG COMPRIMIDOS</v>
          </cell>
          <cell r="C18" t="str">
            <v>1 BL X 15 COMP.</v>
          </cell>
          <cell r="D18"/>
          <cell r="E18">
            <v>19.87</v>
          </cell>
          <cell r="F18">
            <v>19.62</v>
          </cell>
          <cell r="G18">
            <v>19.5</v>
          </cell>
          <cell r="H18">
            <v>19.38</v>
          </cell>
          <cell r="I18">
            <v>19.25</v>
          </cell>
          <cell r="J18">
            <v>19.14</v>
          </cell>
          <cell r="K18">
            <v>18.899999999999999</v>
          </cell>
          <cell r="L18">
            <v>18.79</v>
          </cell>
          <cell r="M18">
            <v>18.670000000000002</v>
          </cell>
          <cell r="N18">
            <v>17.61</v>
          </cell>
          <cell r="O18">
            <v>20.13</v>
          </cell>
          <cell r="P18">
            <v>20</v>
          </cell>
          <cell r="Q18">
            <v>48</v>
          </cell>
          <cell r="R18">
            <v>1</v>
          </cell>
          <cell r="S18" t="str">
            <v xml:space="preserve"> N</v>
          </cell>
          <cell r="T18">
            <v>4608</v>
          </cell>
        </row>
        <row r="19">
          <cell r="A19">
            <v>1227</v>
          </cell>
          <cell r="B19" t="str">
            <v>BENZIFLEX 10 MG COMPRIMIDOS</v>
          </cell>
          <cell r="C19" t="str">
            <v>2 BL X 15 COMP.</v>
          </cell>
          <cell r="D19"/>
          <cell r="E19">
            <v>39.74</v>
          </cell>
          <cell r="F19">
            <v>39.24</v>
          </cell>
          <cell r="G19">
            <v>38.99</v>
          </cell>
          <cell r="H19">
            <v>38.75</v>
          </cell>
          <cell r="I19">
            <v>38.51</v>
          </cell>
          <cell r="J19">
            <v>38.270000000000003</v>
          </cell>
          <cell r="K19">
            <v>37.799999999999997</v>
          </cell>
          <cell r="L19">
            <v>37.58</v>
          </cell>
          <cell r="M19">
            <v>37.35</v>
          </cell>
          <cell r="N19">
            <v>35.229999999999997</v>
          </cell>
          <cell r="O19">
            <v>40.26</v>
          </cell>
          <cell r="P19">
            <v>40</v>
          </cell>
          <cell r="Q19">
            <v>84</v>
          </cell>
          <cell r="R19">
            <v>1</v>
          </cell>
          <cell r="S19" t="str">
            <v xml:space="preserve"> N</v>
          </cell>
          <cell r="T19">
            <v>4608</v>
          </cell>
        </row>
        <row r="20">
          <cell r="A20">
            <v>1230</v>
          </cell>
          <cell r="B20" t="str">
            <v>IBULIV SUSP 100 MG GTS</v>
          </cell>
          <cell r="C20" t="str">
            <v>FR X 20 ML</v>
          </cell>
          <cell r="D20"/>
          <cell r="E20">
            <v>23.4</v>
          </cell>
          <cell r="F20">
            <v>23.1</v>
          </cell>
          <cell r="G20">
            <v>22.96</v>
          </cell>
          <cell r="H20">
            <v>22.81</v>
          </cell>
          <cell r="I20">
            <v>22.67</v>
          </cell>
          <cell r="J20">
            <v>22.53</v>
          </cell>
          <cell r="K20">
            <v>22.26</v>
          </cell>
          <cell r="L20">
            <v>22.12</v>
          </cell>
          <cell r="M20">
            <v>21.99</v>
          </cell>
          <cell r="N20">
            <v>20.74</v>
          </cell>
          <cell r="O20">
            <v>23.7</v>
          </cell>
          <cell r="P20">
            <v>23.55</v>
          </cell>
          <cell r="Q20">
            <v>120</v>
          </cell>
          <cell r="R20">
            <v>1</v>
          </cell>
          <cell r="S20" t="str">
            <v xml:space="preserve"> N</v>
          </cell>
          <cell r="T20">
            <v>768</v>
          </cell>
        </row>
        <row r="21">
          <cell r="A21">
            <v>1233</v>
          </cell>
          <cell r="B21" t="str">
            <v>BENZIFLEX 5 MG COMPRIMIDOS</v>
          </cell>
          <cell r="C21" t="str">
            <v>2 BL X 15 COMP.</v>
          </cell>
          <cell r="D21"/>
          <cell r="E21">
            <v>32.21</v>
          </cell>
          <cell r="F21">
            <v>31.8</v>
          </cell>
          <cell r="G21">
            <v>31.6</v>
          </cell>
          <cell r="H21">
            <v>31.4</v>
          </cell>
          <cell r="I21">
            <v>31.2</v>
          </cell>
          <cell r="J21">
            <v>31.01</v>
          </cell>
          <cell r="K21">
            <v>30.63</v>
          </cell>
          <cell r="L21">
            <v>30.45</v>
          </cell>
          <cell r="M21">
            <v>30.27</v>
          </cell>
          <cell r="N21">
            <v>28.55</v>
          </cell>
          <cell r="O21">
            <v>32.619999999999997</v>
          </cell>
          <cell r="P21">
            <v>32.409999999999997</v>
          </cell>
          <cell r="Q21">
            <v>60</v>
          </cell>
          <cell r="R21">
            <v>1</v>
          </cell>
          <cell r="S21" t="str">
            <v xml:space="preserve"> N</v>
          </cell>
          <cell r="T21"/>
        </row>
        <row r="22">
          <cell r="A22">
            <v>1318</v>
          </cell>
          <cell r="B22" t="str">
            <v>BISURAN XPE. AD.</v>
          </cell>
          <cell r="C22" t="str">
            <v>FR X 120 ML</v>
          </cell>
          <cell r="D22"/>
          <cell r="E22">
            <v>19.37</v>
          </cell>
          <cell r="F22">
            <v>19.13</v>
          </cell>
          <cell r="G22">
            <v>19.010000000000002</v>
          </cell>
          <cell r="H22">
            <v>18.89</v>
          </cell>
          <cell r="I22">
            <v>18.77</v>
          </cell>
          <cell r="J22">
            <v>18.649999999999999</v>
          </cell>
          <cell r="K22">
            <v>18.43</v>
          </cell>
          <cell r="L22">
            <v>18.32</v>
          </cell>
          <cell r="M22">
            <v>18.2</v>
          </cell>
          <cell r="N22">
            <v>17.170000000000002</v>
          </cell>
          <cell r="O22">
            <v>19.62</v>
          </cell>
          <cell r="P22">
            <v>19.5</v>
          </cell>
          <cell r="Q22">
            <v>60</v>
          </cell>
          <cell r="R22">
            <v>1</v>
          </cell>
          <cell r="S22" t="str">
            <v xml:space="preserve"> N</v>
          </cell>
          <cell r="T22">
            <v>2640</v>
          </cell>
        </row>
        <row r="23">
          <cell r="A23">
            <v>1363</v>
          </cell>
          <cell r="B23" t="str">
            <v>FLUITEÍNA 600 MG SACHES</v>
          </cell>
          <cell r="C23" t="str">
            <v>CX. C/16 ENV X 5GR</v>
          </cell>
          <cell r="D23"/>
          <cell r="E23">
            <v>58.55</v>
          </cell>
          <cell r="F23">
            <v>57.81</v>
          </cell>
          <cell r="G23">
            <v>57.45</v>
          </cell>
          <cell r="H23">
            <v>57.09</v>
          </cell>
          <cell r="I23">
            <v>56.73</v>
          </cell>
          <cell r="J23">
            <v>56.38</v>
          </cell>
          <cell r="K23">
            <v>55.7</v>
          </cell>
          <cell r="L23">
            <v>55.36</v>
          </cell>
          <cell r="M23">
            <v>55.02</v>
          </cell>
          <cell r="N23">
            <v>51.9</v>
          </cell>
          <cell r="O23">
            <v>59.31</v>
          </cell>
          <cell r="P23">
            <v>58.93</v>
          </cell>
          <cell r="Q23">
            <v>36</v>
          </cell>
          <cell r="R23">
            <v>1</v>
          </cell>
          <cell r="S23" t="str">
            <v xml:space="preserve"> N</v>
          </cell>
          <cell r="T23">
            <v>1800</v>
          </cell>
        </row>
        <row r="24">
          <cell r="A24">
            <v>1364</v>
          </cell>
          <cell r="B24" t="str">
            <v>FLUITEÍNA 40 MG XPE ADULTO</v>
          </cell>
          <cell r="C24" t="str">
            <v>FR X 120 ML</v>
          </cell>
          <cell r="D24"/>
          <cell r="E24">
            <v>41.91</v>
          </cell>
          <cell r="F24">
            <v>41.38</v>
          </cell>
          <cell r="G24">
            <v>41.12</v>
          </cell>
          <cell r="H24">
            <v>40.86</v>
          </cell>
          <cell r="I24">
            <v>40.61</v>
          </cell>
          <cell r="J24">
            <v>40.36</v>
          </cell>
          <cell r="K24">
            <v>39.869999999999997</v>
          </cell>
          <cell r="L24">
            <v>39.619999999999997</v>
          </cell>
          <cell r="M24">
            <v>39.39</v>
          </cell>
          <cell r="N24">
            <v>37.15</v>
          </cell>
          <cell r="O24">
            <v>42.45</v>
          </cell>
          <cell r="P24">
            <v>42.18</v>
          </cell>
          <cell r="Q24">
            <v>60</v>
          </cell>
          <cell r="R24">
            <v>1</v>
          </cell>
          <cell r="S24" t="str">
            <v xml:space="preserve"> N</v>
          </cell>
          <cell r="T24">
            <v>1800</v>
          </cell>
        </row>
        <row r="25">
          <cell r="A25">
            <v>1367</v>
          </cell>
          <cell r="B25" t="str">
            <v>NIMESILAM GOTAS</v>
          </cell>
          <cell r="C25" t="str">
            <v>FR 15 ML</v>
          </cell>
          <cell r="D25"/>
          <cell r="E25">
            <v>20.73</v>
          </cell>
          <cell r="F25">
            <v>20.47</v>
          </cell>
          <cell r="G25">
            <v>20.34</v>
          </cell>
          <cell r="H25">
            <v>20.21</v>
          </cell>
          <cell r="I25">
            <v>20.09</v>
          </cell>
          <cell r="J25">
            <v>19.96</v>
          </cell>
          <cell r="K25">
            <v>19.72</v>
          </cell>
          <cell r="L25">
            <v>19.600000000000001</v>
          </cell>
          <cell r="M25">
            <v>19.48</v>
          </cell>
          <cell r="N25">
            <v>18.38</v>
          </cell>
          <cell r="O25">
            <v>21</v>
          </cell>
          <cell r="P25">
            <v>20.86</v>
          </cell>
          <cell r="Q25">
            <v>120</v>
          </cell>
          <cell r="R25">
            <v>1</v>
          </cell>
          <cell r="S25" t="str">
            <v xml:space="preserve"> P</v>
          </cell>
          <cell r="T25"/>
        </row>
        <row r="26">
          <cell r="A26">
            <v>1368</v>
          </cell>
          <cell r="B26" t="str">
            <v>NIMESILAM COMPRIMIDOS</v>
          </cell>
          <cell r="C26" t="str">
            <v>1 BLT X 12</v>
          </cell>
          <cell r="D26"/>
          <cell r="E26">
            <v>13.56</v>
          </cell>
          <cell r="F26">
            <v>13.39</v>
          </cell>
          <cell r="G26">
            <v>13.31</v>
          </cell>
          <cell r="H26">
            <v>13.23</v>
          </cell>
          <cell r="I26">
            <v>13.14</v>
          </cell>
          <cell r="J26">
            <v>13.06</v>
          </cell>
          <cell r="K26">
            <v>12.9</v>
          </cell>
          <cell r="L26">
            <v>12.82</v>
          </cell>
          <cell r="M26">
            <v>12.75</v>
          </cell>
          <cell r="N26">
            <v>12.02</v>
          </cell>
          <cell r="O26">
            <v>13.74</v>
          </cell>
          <cell r="P26">
            <v>13.65</v>
          </cell>
          <cell r="Q26">
            <v>96</v>
          </cell>
          <cell r="R26">
            <v>1</v>
          </cell>
          <cell r="S26" t="str">
            <v xml:space="preserve"> P</v>
          </cell>
          <cell r="T26">
            <v>2640</v>
          </cell>
        </row>
        <row r="27">
          <cell r="A27">
            <v>1433</v>
          </cell>
          <cell r="B27" t="str">
            <v xml:space="preserve">NARIDRIN AQUA SOL. NASAL 9MG     </v>
          </cell>
          <cell r="C27" t="str">
            <v>FR X 50 ML SPRAY</v>
          </cell>
          <cell r="D27"/>
          <cell r="E27">
            <v>30.28</v>
          </cell>
          <cell r="F27">
            <v>29.9</v>
          </cell>
          <cell r="G27">
            <v>29.71</v>
          </cell>
          <cell r="H27">
            <v>29.53</v>
          </cell>
          <cell r="I27">
            <v>29.34</v>
          </cell>
          <cell r="J27">
            <v>29.16</v>
          </cell>
          <cell r="K27">
            <v>28.8</v>
          </cell>
          <cell r="L27">
            <v>28.63</v>
          </cell>
          <cell r="M27">
            <v>28.46</v>
          </cell>
          <cell r="N27">
            <v>26.84</v>
          </cell>
          <cell r="O27">
            <v>30.68</v>
          </cell>
          <cell r="P27">
            <v>30.48</v>
          </cell>
          <cell r="Q27">
            <v>25</v>
          </cell>
          <cell r="R27">
            <v>26.56</v>
          </cell>
          <cell r="S27" t="str">
            <v>N</v>
          </cell>
          <cell r="T27"/>
        </row>
        <row r="28">
          <cell r="A28">
            <v>1471</v>
          </cell>
          <cell r="B28" t="str">
            <v>IBULIV 400 MG CÁPS GEL C/8</v>
          </cell>
          <cell r="C28" t="str">
            <v>2 BLT X 4 CÁPS.</v>
          </cell>
          <cell r="D28"/>
          <cell r="E28">
            <v>24.06</v>
          </cell>
          <cell r="F28">
            <v>23.76</v>
          </cell>
          <cell r="G28">
            <v>23.61</v>
          </cell>
          <cell r="H28">
            <v>23.46</v>
          </cell>
          <cell r="I28">
            <v>23.32</v>
          </cell>
          <cell r="J28">
            <v>23.17</v>
          </cell>
          <cell r="K28">
            <v>22.89</v>
          </cell>
          <cell r="L28">
            <v>22.75</v>
          </cell>
          <cell r="M28">
            <v>22.61</v>
          </cell>
          <cell r="N28">
            <v>21.33</v>
          </cell>
          <cell r="O28">
            <v>24.38</v>
          </cell>
          <cell r="P28">
            <v>24.22</v>
          </cell>
          <cell r="Q28">
            <v>60</v>
          </cell>
          <cell r="R28">
            <v>1</v>
          </cell>
          <cell r="S28" t="str">
            <v xml:space="preserve"> N</v>
          </cell>
          <cell r="T28">
            <v>4608</v>
          </cell>
        </row>
        <row r="29">
          <cell r="A29">
            <v>1472</v>
          </cell>
          <cell r="B29" t="str">
            <v>IBULIV 400 MG CÁPS GEL C/40</v>
          </cell>
          <cell r="C29" t="str">
            <v>10 BLT X 4 CÁPS</v>
          </cell>
          <cell r="D29"/>
          <cell r="E29">
            <v>113.45</v>
          </cell>
          <cell r="F29">
            <v>112.01</v>
          </cell>
          <cell r="G29">
            <v>111.31</v>
          </cell>
          <cell r="H29">
            <v>110.61</v>
          </cell>
          <cell r="I29">
            <v>109.93</v>
          </cell>
          <cell r="J29">
            <v>109.25</v>
          </cell>
          <cell r="K29">
            <v>107.91</v>
          </cell>
          <cell r="L29">
            <v>107.26</v>
          </cell>
          <cell r="M29">
            <v>106.61</v>
          </cell>
          <cell r="N29">
            <v>100.56</v>
          </cell>
          <cell r="O29">
            <v>114.92</v>
          </cell>
          <cell r="P29">
            <v>114.18</v>
          </cell>
          <cell r="Q29">
            <v>48</v>
          </cell>
          <cell r="R29">
            <v>1</v>
          </cell>
          <cell r="S29" t="str">
            <v xml:space="preserve"> N</v>
          </cell>
          <cell r="T29">
            <v>4608</v>
          </cell>
        </row>
        <row r="30">
          <cell r="A30">
            <v>1574</v>
          </cell>
          <cell r="B30" t="str">
            <v>BENZIFLEX LIS 125MG+5MG 15COMP.</v>
          </cell>
          <cell r="C30" t="str">
            <v>1 BL X 15 COMP.</v>
          </cell>
          <cell r="D30"/>
          <cell r="E30">
            <v>29.77</v>
          </cell>
          <cell r="F30">
            <v>29.39</v>
          </cell>
          <cell r="G30">
            <v>29.21</v>
          </cell>
          <cell r="H30">
            <v>29.03</v>
          </cell>
          <cell r="I30">
            <v>28.84</v>
          </cell>
          <cell r="J30">
            <v>28.67</v>
          </cell>
          <cell r="K30">
            <v>28.32</v>
          </cell>
          <cell r="L30">
            <v>28.15</v>
          </cell>
          <cell r="M30">
            <v>27.98</v>
          </cell>
          <cell r="N30">
            <v>26.39</v>
          </cell>
          <cell r="O30">
            <v>30.16</v>
          </cell>
          <cell r="P30">
            <v>29.96</v>
          </cell>
          <cell r="Q30">
            <v>48</v>
          </cell>
          <cell r="R30">
            <v>1</v>
          </cell>
          <cell r="S30" t="str">
            <v xml:space="preserve"> N</v>
          </cell>
          <cell r="T30"/>
        </row>
        <row r="31">
          <cell r="A31">
            <v>1818</v>
          </cell>
          <cell r="B31" t="str">
            <v>SUPLEVIT MULHER VIT. CAP. GEL</v>
          </cell>
          <cell r="C31" t="str">
            <v>2 BLT C/15</v>
          </cell>
          <cell r="D31"/>
          <cell r="E31">
            <v>95.84</v>
          </cell>
          <cell r="F31">
            <v>95.84</v>
          </cell>
          <cell r="G31">
            <v>95.84</v>
          </cell>
          <cell r="H31">
            <v>95.84</v>
          </cell>
          <cell r="I31">
            <v>95.84</v>
          </cell>
          <cell r="J31">
            <v>95.84</v>
          </cell>
          <cell r="K31">
            <v>95.84</v>
          </cell>
          <cell r="L31">
            <v>95.84</v>
          </cell>
          <cell r="M31">
            <v>95.84</v>
          </cell>
          <cell r="N31">
            <v>95.84</v>
          </cell>
          <cell r="O31">
            <v>95.84</v>
          </cell>
          <cell r="P31">
            <v>95.84</v>
          </cell>
          <cell r="Q31">
            <v>60</v>
          </cell>
          <cell r="R31">
            <v>83.37</v>
          </cell>
          <cell r="S31" t="str">
            <v>NEUT</v>
          </cell>
          <cell r="T31"/>
        </row>
        <row r="32">
          <cell r="A32">
            <v>1819</v>
          </cell>
          <cell r="B32" t="str">
            <v>SUPLEVIT MULHER VIT. CAP. GEL</v>
          </cell>
          <cell r="C32" t="str">
            <v>4 BLT C/15</v>
          </cell>
          <cell r="D32"/>
          <cell r="E32">
            <v>165.91</v>
          </cell>
          <cell r="F32">
            <v>165.91</v>
          </cell>
          <cell r="G32">
            <v>165.91</v>
          </cell>
          <cell r="H32">
            <v>165.91</v>
          </cell>
          <cell r="I32">
            <v>165.91</v>
          </cell>
          <cell r="J32">
            <v>165.91</v>
          </cell>
          <cell r="K32">
            <v>165.91</v>
          </cell>
          <cell r="L32">
            <v>165.91</v>
          </cell>
          <cell r="M32">
            <v>165.91</v>
          </cell>
          <cell r="N32">
            <v>165.91</v>
          </cell>
          <cell r="O32">
            <v>165.91</v>
          </cell>
          <cell r="P32">
            <v>165.91</v>
          </cell>
          <cell r="Q32">
            <v>25</v>
          </cell>
          <cell r="R32">
            <v>144.34</v>
          </cell>
          <cell r="S32" t="str">
            <v>NEUT</v>
          </cell>
          <cell r="T32">
            <v>9856</v>
          </cell>
        </row>
        <row r="33">
          <cell r="A33">
            <v>1821</v>
          </cell>
          <cell r="B33" t="str">
            <v>INFRALAX COMPRIMIDOS FRACIONADO</v>
          </cell>
          <cell r="C33" t="str">
            <v>20 BLT X 10</v>
          </cell>
          <cell r="D33"/>
          <cell r="E33">
            <v>216.35</v>
          </cell>
          <cell r="F33">
            <v>213.61</v>
          </cell>
          <cell r="G33">
            <v>212.26</v>
          </cell>
          <cell r="H33">
            <v>210.94</v>
          </cell>
          <cell r="I33">
            <v>209.63</v>
          </cell>
          <cell r="J33">
            <v>208.33</v>
          </cell>
          <cell r="K33">
            <v>205.79</v>
          </cell>
          <cell r="L33">
            <v>204.55</v>
          </cell>
          <cell r="M33">
            <v>203.31</v>
          </cell>
          <cell r="N33">
            <v>191.76</v>
          </cell>
          <cell r="O33">
            <v>219.16</v>
          </cell>
          <cell r="P33">
            <v>217.74</v>
          </cell>
          <cell r="Q33">
            <v>24</v>
          </cell>
          <cell r="R33">
            <v>1</v>
          </cell>
          <cell r="S33" t="str">
            <v xml:space="preserve"> N</v>
          </cell>
          <cell r="T33">
            <v>3360</v>
          </cell>
        </row>
        <row r="34">
          <cell r="A34">
            <v>1837</v>
          </cell>
          <cell r="B34" t="str">
            <v>DIOVASES 450+50MG C/30 COMP.</v>
          </cell>
          <cell r="C34" t="str">
            <v>2 BL X 15 COMP.</v>
          </cell>
          <cell r="D34"/>
          <cell r="E34">
            <v>43.44</v>
          </cell>
          <cell r="F34">
            <v>42.89</v>
          </cell>
          <cell r="G34">
            <v>42.62</v>
          </cell>
          <cell r="H34">
            <v>42.35</v>
          </cell>
          <cell r="I34">
            <v>42.09</v>
          </cell>
          <cell r="J34">
            <v>41.83</v>
          </cell>
          <cell r="K34">
            <v>41.32</v>
          </cell>
          <cell r="L34">
            <v>41.07</v>
          </cell>
          <cell r="M34">
            <v>40.82</v>
          </cell>
          <cell r="N34">
            <v>38.5</v>
          </cell>
          <cell r="O34">
            <v>44</v>
          </cell>
          <cell r="P34">
            <v>43.72</v>
          </cell>
          <cell r="Q34">
            <v>27</v>
          </cell>
          <cell r="R34">
            <v>1</v>
          </cell>
          <cell r="S34" t="str">
            <v>N</v>
          </cell>
          <cell r="T34">
            <v>6300</v>
          </cell>
        </row>
        <row r="35">
          <cell r="A35">
            <v>1838</v>
          </cell>
          <cell r="B35" t="str">
            <v>DIOVASES 450+50MG C/60 COMP.</v>
          </cell>
          <cell r="C35" t="str">
            <v>4 BL X 15 COMP.</v>
          </cell>
          <cell r="D35"/>
          <cell r="E35">
            <v>86.81</v>
          </cell>
          <cell r="F35">
            <v>85.71</v>
          </cell>
          <cell r="G35">
            <v>85.17</v>
          </cell>
          <cell r="H35">
            <v>84.64</v>
          </cell>
          <cell r="I35">
            <v>84.11</v>
          </cell>
          <cell r="J35">
            <v>83.59</v>
          </cell>
          <cell r="K35">
            <v>82.57</v>
          </cell>
          <cell r="L35">
            <v>82.07</v>
          </cell>
          <cell r="M35">
            <v>81.58</v>
          </cell>
          <cell r="N35">
            <v>76.94</v>
          </cell>
          <cell r="O35">
            <v>87.94</v>
          </cell>
          <cell r="P35">
            <v>87.37</v>
          </cell>
          <cell r="Q35">
            <v>18</v>
          </cell>
          <cell r="R35">
            <v>1</v>
          </cell>
          <cell r="S35" t="str">
            <v>N</v>
          </cell>
          <cell r="T35">
            <v>9000</v>
          </cell>
        </row>
        <row r="36">
          <cell r="A36">
            <v>1905</v>
          </cell>
          <cell r="B36" t="str">
            <v>ESMOG 20MG COMP.</v>
          </cell>
          <cell r="C36" t="str">
            <v>4 BLT C/7</v>
          </cell>
          <cell r="D36"/>
          <cell r="E36">
            <v>101.4</v>
          </cell>
          <cell r="F36">
            <v>100.11</v>
          </cell>
          <cell r="G36">
            <v>99.48</v>
          </cell>
          <cell r="H36">
            <v>98.86</v>
          </cell>
          <cell r="I36">
            <v>98.25</v>
          </cell>
          <cell r="J36">
            <v>97.64</v>
          </cell>
          <cell r="K36">
            <v>96.45</v>
          </cell>
          <cell r="L36">
            <v>95.87</v>
          </cell>
          <cell r="M36">
            <v>95.29</v>
          </cell>
          <cell r="N36">
            <v>89.88</v>
          </cell>
          <cell r="O36">
            <v>102.71</v>
          </cell>
          <cell r="P36">
            <v>102.05</v>
          </cell>
          <cell r="Q36">
            <v>56</v>
          </cell>
          <cell r="R36">
            <v>1</v>
          </cell>
          <cell r="S36" t="str">
            <v xml:space="preserve"> P</v>
          </cell>
          <cell r="T36">
            <v>2640</v>
          </cell>
        </row>
        <row r="37">
          <cell r="A37">
            <v>1906</v>
          </cell>
          <cell r="B37" t="str">
            <v>ESMOG 40MG COMP.</v>
          </cell>
          <cell r="C37" t="str">
            <v>4 BLT C/7</v>
          </cell>
          <cell r="D37"/>
          <cell r="E37">
            <v>211.94</v>
          </cell>
          <cell r="F37">
            <v>209.25</v>
          </cell>
          <cell r="G37">
            <v>207.94</v>
          </cell>
          <cell r="H37">
            <v>206.64</v>
          </cell>
          <cell r="I37">
            <v>205.35</v>
          </cell>
          <cell r="J37">
            <v>204.09</v>
          </cell>
          <cell r="K37">
            <v>201.6</v>
          </cell>
          <cell r="L37">
            <v>200.38</v>
          </cell>
          <cell r="M37">
            <v>199.17</v>
          </cell>
          <cell r="N37">
            <v>187.85</v>
          </cell>
          <cell r="O37">
            <v>214.69</v>
          </cell>
          <cell r="P37">
            <v>213.3</v>
          </cell>
          <cell r="Q37">
            <v>56</v>
          </cell>
          <cell r="R37">
            <v>1</v>
          </cell>
          <cell r="S37" t="str">
            <v xml:space="preserve"> P</v>
          </cell>
          <cell r="T37">
            <v>2640</v>
          </cell>
        </row>
        <row r="38">
          <cell r="A38">
            <v>2011</v>
          </cell>
          <cell r="B38" t="str">
            <v>CYSTEX DRG</v>
          </cell>
          <cell r="C38" t="str">
            <v xml:space="preserve">FR X 24 </v>
          </cell>
          <cell r="D38"/>
          <cell r="E38">
            <v>38.64</v>
          </cell>
          <cell r="F38">
            <v>38.15</v>
          </cell>
          <cell r="G38">
            <v>37.909999999999997</v>
          </cell>
          <cell r="H38">
            <v>37.68</v>
          </cell>
          <cell r="I38">
            <v>37.44</v>
          </cell>
          <cell r="J38">
            <v>37.21</v>
          </cell>
          <cell r="K38">
            <v>36.76</v>
          </cell>
          <cell r="L38">
            <v>36.53</v>
          </cell>
          <cell r="M38">
            <v>36.31</v>
          </cell>
          <cell r="N38">
            <v>34.25</v>
          </cell>
          <cell r="O38">
            <v>39.14</v>
          </cell>
          <cell r="P38">
            <v>38.89</v>
          </cell>
          <cell r="Q38">
            <v>100</v>
          </cell>
          <cell r="R38">
            <v>1</v>
          </cell>
          <cell r="S38" t="str">
            <v xml:space="preserve"> N</v>
          </cell>
          <cell r="T38">
            <v>3150</v>
          </cell>
        </row>
        <row r="39">
          <cell r="A39">
            <v>2018</v>
          </cell>
          <cell r="B39" t="str">
            <v>EMISTIN COMP</v>
          </cell>
          <cell r="C39" t="str">
            <v>1 BL X 20</v>
          </cell>
          <cell r="D39"/>
          <cell r="E39">
            <v>43.79</v>
          </cell>
          <cell r="F39">
            <v>43.24</v>
          </cell>
          <cell r="G39">
            <v>42.97</v>
          </cell>
          <cell r="H39">
            <v>42.7</v>
          </cell>
          <cell r="I39">
            <v>42.43</v>
          </cell>
          <cell r="J39">
            <v>42.17</v>
          </cell>
          <cell r="K39">
            <v>41.66</v>
          </cell>
          <cell r="L39">
            <v>41.41</v>
          </cell>
          <cell r="M39">
            <v>41.16</v>
          </cell>
          <cell r="N39">
            <v>38.82</v>
          </cell>
          <cell r="O39">
            <v>44.36</v>
          </cell>
          <cell r="P39">
            <v>44.08</v>
          </cell>
          <cell r="Q39">
            <v>48</v>
          </cell>
          <cell r="R39">
            <v>1</v>
          </cell>
          <cell r="S39" t="str">
            <v xml:space="preserve"> N</v>
          </cell>
          <cell r="T39">
            <v>3150</v>
          </cell>
        </row>
        <row r="40">
          <cell r="A40">
            <v>2036</v>
          </cell>
          <cell r="B40" t="str">
            <v>VITAFER COMP REV</v>
          </cell>
          <cell r="C40" t="str">
            <v>FR X 50</v>
          </cell>
          <cell r="D40"/>
          <cell r="E40">
            <v>20.78</v>
          </cell>
          <cell r="F40">
            <v>20.52</v>
          </cell>
          <cell r="G40">
            <v>20.39</v>
          </cell>
          <cell r="H40">
            <v>20.260000000000002</v>
          </cell>
          <cell r="I40">
            <v>20.14</v>
          </cell>
          <cell r="J40">
            <v>20.010000000000002</v>
          </cell>
          <cell r="K40">
            <v>19.77</v>
          </cell>
          <cell r="L40">
            <v>19.649999999999999</v>
          </cell>
          <cell r="M40">
            <v>19.53</v>
          </cell>
          <cell r="N40">
            <v>18.420000000000002</v>
          </cell>
          <cell r="O40">
            <v>21.05</v>
          </cell>
          <cell r="P40">
            <v>20.92</v>
          </cell>
          <cell r="Q40">
            <v>120</v>
          </cell>
          <cell r="R40">
            <v>18.22</v>
          </cell>
          <cell r="S40" t="str">
            <v>N</v>
          </cell>
          <cell r="T40"/>
        </row>
        <row r="41">
          <cell r="A41">
            <v>2058</v>
          </cell>
          <cell r="B41" t="str">
            <v>NOCICLIN COMP</v>
          </cell>
          <cell r="C41" t="str">
            <v>1 BL X 21</v>
          </cell>
          <cell r="D41"/>
          <cell r="E41">
            <v>9.8800000000000008</v>
          </cell>
          <cell r="F41">
            <v>9.76</v>
          </cell>
          <cell r="G41">
            <v>9.6999999999999993</v>
          </cell>
          <cell r="H41">
            <v>9.64</v>
          </cell>
          <cell r="I41">
            <v>9.58</v>
          </cell>
          <cell r="J41">
            <v>9.52</v>
          </cell>
          <cell r="K41">
            <v>9.4</v>
          </cell>
          <cell r="L41">
            <v>9.35</v>
          </cell>
          <cell r="M41">
            <v>9.2899999999999991</v>
          </cell>
          <cell r="N41">
            <v>8.76</v>
          </cell>
          <cell r="O41">
            <v>10.01</v>
          </cell>
          <cell r="P41">
            <v>9.9499999999999993</v>
          </cell>
          <cell r="Q41">
            <v>48</v>
          </cell>
          <cell r="R41">
            <v>1</v>
          </cell>
          <cell r="S41" t="str">
            <v xml:space="preserve"> P</v>
          </cell>
          <cell r="T41"/>
        </row>
        <row r="42">
          <cell r="A42">
            <v>2062</v>
          </cell>
          <cell r="B42" t="str">
            <v>GEROVITAL CAPS</v>
          </cell>
          <cell r="C42" t="str">
            <v>6 BL X 10</v>
          </cell>
          <cell r="D42"/>
          <cell r="E42">
            <v>104.17</v>
          </cell>
          <cell r="F42">
            <v>102.85</v>
          </cell>
          <cell r="G42">
            <v>102.2</v>
          </cell>
          <cell r="H42">
            <v>101.56</v>
          </cell>
          <cell r="I42">
            <v>100.93</v>
          </cell>
          <cell r="J42">
            <v>100.31</v>
          </cell>
          <cell r="K42">
            <v>99.09</v>
          </cell>
          <cell r="L42">
            <v>98.48</v>
          </cell>
          <cell r="M42">
            <v>97.89</v>
          </cell>
          <cell r="N42">
            <v>92.33</v>
          </cell>
          <cell r="O42">
            <v>105.52</v>
          </cell>
          <cell r="P42">
            <v>104.84</v>
          </cell>
          <cell r="Q42">
            <v>50</v>
          </cell>
          <cell r="R42">
            <v>89.4</v>
          </cell>
          <cell r="S42" t="str">
            <v>N</v>
          </cell>
          <cell r="T42">
            <v>4608</v>
          </cell>
        </row>
        <row r="43">
          <cell r="A43">
            <v>2092</v>
          </cell>
          <cell r="B43" t="str">
            <v>ENDCOFF MENTA PAST</v>
          </cell>
          <cell r="C43" t="str">
            <v>3 STP X 4</v>
          </cell>
          <cell r="D43"/>
          <cell r="E43">
            <v>21.37</v>
          </cell>
          <cell r="F43">
            <v>21.1</v>
          </cell>
          <cell r="G43">
            <v>20.97</v>
          </cell>
          <cell r="H43">
            <v>20.84</v>
          </cell>
          <cell r="I43">
            <v>20.71</v>
          </cell>
          <cell r="J43">
            <v>20.58</v>
          </cell>
          <cell r="K43">
            <v>20.329999999999998</v>
          </cell>
          <cell r="L43">
            <v>20.21</v>
          </cell>
          <cell r="M43">
            <v>20.079999999999998</v>
          </cell>
          <cell r="N43">
            <v>18.940000000000001</v>
          </cell>
          <cell r="O43">
            <v>21.65</v>
          </cell>
          <cell r="P43">
            <v>21.51</v>
          </cell>
          <cell r="Q43">
            <v>50</v>
          </cell>
          <cell r="R43">
            <v>1</v>
          </cell>
          <cell r="S43" t="str">
            <v xml:space="preserve"> N</v>
          </cell>
          <cell r="T43">
            <v>9000</v>
          </cell>
        </row>
        <row r="44">
          <cell r="A44">
            <v>2111</v>
          </cell>
          <cell r="B44" t="str">
            <v>ENDCOFF MEL E LIMÃO PAST</v>
          </cell>
          <cell r="C44" t="str">
            <v>3 STP X 4</v>
          </cell>
          <cell r="D44"/>
          <cell r="E44">
            <v>21.37</v>
          </cell>
          <cell r="F44">
            <v>21.1</v>
          </cell>
          <cell r="G44">
            <v>20.97</v>
          </cell>
          <cell r="H44">
            <v>20.84</v>
          </cell>
          <cell r="I44">
            <v>20.71</v>
          </cell>
          <cell r="J44">
            <v>20.58</v>
          </cell>
          <cell r="K44">
            <v>20.329999999999998</v>
          </cell>
          <cell r="L44">
            <v>20.21</v>
          </cell>
          <cell r="M44">
            <v>20.079999999999998</v>
          </cell>
          <cell r="N44">
            <v>18.940000000000001</v>
          </cell>
          <cell r="O44">
            <v>21.65</v>
          </cell>
          <cell r="P44">
            <v>21.51</v>
          </cell>
          <cell r="Q44">
            <v>50</v>
          </cell>
          <cell r="R44">
            <v>1</v>
          </cell>
          <cell r="S44" t="str">
            <v xml:space="preserve"> N</v>
          </cell>
          <cell r="T44"/>
        </row>
        <row r="45">
          <cell r="A45">
            <v>2133</v>
          </cell>
          <cell r="B45" t="str">
            <v>ALLEXOFEDRIN D 60 MG + 120 MG</v>
          </cell>
          <cell r="C45" t="str">
            <v>1 BL X 10 COMP REVEST</v>
          </cell>
          <cell r="D45"/>
          <cell r="E45">
            <v>49.05</v>
          </cell>
          <cell r="F45">
            <v>48.43</v>
          </cell>
          <cell r="G45">
            <v>48.13</v>
          </cell>
          <cell r="H45">
            <v>47.83</v>
          </cell>
          <cell r="I45">
            <v>47.53</v>
          </cell>
          <cell r="J45">
            <v>47.23</v>
          </cell>
          <cell r="K45">
            <v>46.66</v>
          </cell>
          <cell r="L45">
            <v>46.38</v>
          </cell>
          <cell r="M45">
            <v>46.1</v>
          </cell>
          <cell r="N45">
            <v>43.48</v>
          </cell>
          <cell r="O45">
            <v>49.69</v>
          </cell>
          <cell r="P45">
            <v>49.37</v>
          </cell>
          <cell r="Q45">
            <v>48</v>
          </cell>
          <cell r="R45">
            <v>1</v>
          </cell>
          <cell r="S45" t="str">
            <v xml:space="preserve"> N</v>
          </cell>
          <cell r="T45"/>
        </row>
        <row r="46">
          <cell r="A46">
            <v>2138</v>
          </cell>
          <cell r="B46" t="str">
            <v>INFRALAX 300/30/125/50 MG COMP</v>
          </cell>
          <cell r="C46" t="str">
            <v>2 BL X 15</v>
          </cell>
          <cell r="D46"/>
          <cell r="E46">
            <v>28.28</v>
          </cell>
          <cell r="F46">
            <v>27.92</v>
          </cell>
          <cell r="G46">
            <v>27.75</v>
          </cell>
          <cell r="H46">
            <v>27.58</v>
          </cell>
          <cell r="I46">
            <v>27.4</v>
          </cell>
          <cell r="J46">
            <v>27.23</v>
          </cell>
          <cell r="K46">
            <v>26.9</v>
          </cell>
          <cell r="L46">
            <v>26.74</v>
          </cell>
          <cell r="M46">
            <v>26.58</v>
          </cell>
          <cell r="N46">
            <v>25.07</v>
          </cell>
          <cell r="O46">
            <v>28.65</v>
          </cell>
          <cell r="P46">
            <v>28.46</v>
          </cell>
          <cell r="Q46">
            <v>48</v>
          </cell>
          <cell r="R46">
            <v>1</v>
          </cell>
          <cell r="S46" t="str">
            <v xml:space="preserve"> N</v>
          </cell>
          <cell r="T46"/>
        </row>
        <row r="47">
          <cell r="A47">
            <v>2141</v>
          </cell>
          <cell r="B47" t="str">
            <v>CELERGIN COMP</v>
          </cell>
          <cell r="C47" t="str">
            <v>CX. C/20 COMP.</v>
          </cell>
          <cell r="D47"/>
          <cell r="E47">
            <v>21.88</v>
          </cell>
          <cell r="F47">
            <v>21.61</v>
          </cell>
          <cell r="G47">
            <v>21.47</v>
          </cell>
          <cell r="H47">
            <v>21.34</v>
          </cell>
          <cell r="I47">
            <v>21.2</v>
          </cell>
          <cell r="J47">
            <v>21.07</v>
          </cell>
          <cell r="K47">
            <v>20.82</v>
          </cell>
          <cell r="L47">
            <v>20.69</v>
          </cell>
          <cell r="M47">
            <v>20.57</v>
          </cell>
          <cell r="N47">
            <v>19.399999999999999</v>
          </cell>
          <cell r="O47">
            <v>22.17</v>
          </cell>
          <cell r="P47">
            <v>22.03</v>
          </cell>
          <cell r="Q47">
            <v>60</v>
          </cell>
          <cell r="R47">
            <v>1</v>
          </cell>
          <cell r="S47" t="str">
            <v xml:space="preserve"> N</v>
          </cell>
          <cell r="T47"/>
        </row>
        <row r="48">
          <cell r="A48">
            <v>2190</v>
          </cell>
          <cell r="B48" t="str">
            <v>ANTIVIRAX 400MG COMP</v>
          </cell>
          <cell r="C48" t="str">
            <v>2 BL X 15</v>
          </cell>
          <cell r="D48"/>
          <cell r="E48">
            <v>121.56</v>
          </cell>
          <cell r="F48">
            <v>120.03</v>
          </cell>
          <cell r="G48">
            <v>119.27</v>
          </cell>
          <cell r="H48">
            <v>118.53</v>
          </cell>
          <cell r="I48">
            <v>117.79</v>
          </cell>
          <cell r="J48">
            <v>117.06</v>
          </cell>
          <cell r="K48">
            <v>115.63</v>
          </cell>
          <cell r="L48">
            <v>114.93</v>
          </cell>
          <cell r="M48">
            <v>114.24</v>
          </cell>
          <cell r="N48">
            <v>107.75</v>
          </cell>
          <cell r="O48">
            <v>123.14</v>
          </cell>
          <cell r="P48">
            <v>122.35</v>
          </cell>
          <cell r="Q48">
            <v>48</v>
          </cell>
          <cell r="R48">
            <v>1</v>
          </cell>
          <cell r="S48" t="str">
            <v>P</v>
          </cell>
          <cell r="T48"/>
        </row>
        <row r="49">
          <cell r="A49">
            <v>2255</v>
          </cell>
          <cell r="B49" t="str">
            <v>ALLEXOFEDRIN 180MG</v>
          </cell>
          <cell r="C49" t="str">
            <v>1 BL X 10 COMP REVEST</v>
          </cell>
          <cell r="D49"/>
          <cell r="E49">
            <v>72.53</v>
          </cell>
          <cell r="F49">
            <v>71.61</v>
          </cell>
          <cell r="G49">
            <v>71.16</v>
          </cell>
          <cell r="H49">
            <v>70.709999999999994</v>
          </cell>
          <cell r="I49">
            <v>70.27</v>
          </cell>
          <cell r="J49">
            <v>69.84</v>
          </cell>
          <cell r="K49">
            <v>68.989999999999995</v>
          </cell>
          <cell r="L49">
            <v>68.569999999999993</v>
          </cell>
          <cell r="M49">
            <v>68.16</v>
          </cell>
          <cell r="N49">
            <v>64.28</v>
          </cell>
          <cell r="O49">
            <v>73.47</v>
          </cell>
          <cell r="P49">
            <v>72.989999999999995</v>
          </cell>
          <cell r="Q49">
            <v>48</v>
          </cell>
          <cell r="R49">
            <v>1</v>
          </cell>
          <cell r="S49" t="str">
            <v>N</v>
          </cell>
          <cell r="T49">
            <v>4608</v>
          </cell>
        </row>
        <row r="50">
          <cell r="A50">
            <v>2256</v>
          </cell>
          <cell r="B50" t="str">
            <v>ALLEXOFEDRIN 120MG</v>
          </cell>
          <cell r="C50" t="str">
            <v>1 BL X 10 COMP REVEST</v>
          </cell>
          <cell r="D50"/>
          <cell r="E50">
            <v>49.91</v>
          </cell>
          <cell r="F50">
            <v>49.28</v>
          </cell>
          <cell r="G50">
            <v>48.97</v>
          </cell>
          <cell r="H50">
            <v>48.66</v>
          </cell>
          <cell r="I50">
            <v>48.36</v>
          </cell>
          <cell r="J50">
            <v>48.06</v>
          </cell>
          <cell r="K50">
            <v>47.48</v>
          </cell>
          <cell r="L50">
            <v>47.19</v>
          </cell>
          <cell r="M50">
            <v>46.9</v>
          </cell>
          <cell r="N50">
            <v>44.24</v>
          </cell>
          <cell r="O50">
            <v>50.56</v>
          </cell>
          <cell r="P50">
            <v>50.23</v>
          </cell>
          <cell r="Q50">
            <v>48</v>
          </cell>
          <cell r="R50">
            <v>1</v>
          </cell>
          <cell r="S50" t="str">
            <v>N</v>
          </cell>
          <cell r="T50">
            <v>5760</v>
          </cell>
        </row>
        <row r="51">
          <cell r="A51">
            <v>2261</v>
          </cell>
          <cell r="B51" t="str">
            <v>DORICIN COMPRIMIDOS C/24</v>
          </cell>
          <cell r="C51" t="str">
            <v>2BL C/12 COMPRIMIDOS -E</v>
          </cell>
          <cell r="D51"/>
          <cell r="E51">
            <v>14.72</v>
          </cell>
          <cell r="F51">
            <v>14.53</v>
          </cell>
          <cell r="G51">
            <v>14.44</v>
          </cell>
          <cell r="H51">
            <v>14.35</v>
          </cell>
          <cell r="I51">
            <v>14.26</v>
          </cell>
          <cell r="J51">
            <v>14.17</v>
          </cell>
          <cell r="K51">
            <v>14</v>
          </cell>
          <cell r="L51">
            <v>13.92</v>
          </cell>
          <cell r="M51">
            <v>13.83</v>
          </cell>
          <cell r="N51">
            <v>13.05</v>
          </cell>
          <cell r="O51">
            <v>14.91</v>
          </cell>
          <cell r="P51">
            <v>14.81</v>
          </cell>
          <cell r="Q51">
            <v>56</v>
          </cell>
          <cell r="R51">
            <v>1</v>
          </cell>
          <cell r="S51" t="str">
            <v>N</v>
          </cell>
          <cell r="T51"/>
        </row>
        <row r="52">
          <cell r="A52">
            <v>2262</v>
          </cell>
          <cell r="B52" t="str">
            <v>DORICIN COMPRIMIDOS C/36</v>
          </cell>
          <cell r="C52" t="str">
            <v>3BL C/12 COMPRIMIDOS -E</v>
          </cell>
          <cell r="D52"/>
          <cell r="E52">
            <v>22.35</v>
          </cell>
          <cell r="F52">
            <v>22.06</v>
          </cell>
          <cell r="G52">
            <v>21.92</v>
          </cell>
          <cell r="H52">
            <v>21.79</v>
          </cell>
          <cell r="I52">
            <v>21.65</v>
          </cell>
          <cell r="J52">
            <v>21.52</v>
          </cell>
          <cell r="K52">
            <v>21.26</v>
          </cell>
          <cell r="L52">
            <v>21.13</v>
          </cell>
          <cell r="M52">
            <v>21</v>
          </cell>
          <cell r="N52">
            <v>19.809999999999999</v>
          </cell>
          <cell r="O52">
            <v>22.64</v>
          </cell>
          <cell r="P52">
            <v>22.49</v>
          </cell>
          <cell r="Q52">
            <v>56</v>
          </cell>
          <cell r="R52">
            <v>1</v>
          </cell>
          <cell r="S52" t="str">
            <v>N</v>
          </cell>
          <cell r="T52">
            <v>9000</v>
          </cell>
        </row>
        <row r="53">
          <cell r="A53">
            <v>2263</v>
          </cell>
          <cell r="B53" t="str">
            <v>DORICIN COMPRIMIDOS C/50</v>
          </cell>
          <cell r="C53" t="str">
            <v>5BL C/10 COMPRIMIDOS - E</v>
          </cell>
          <cell r="D53"/>
          <cell r="E53">
            <v>30.56</v>
          </cell>
          <cell r="F53">
            <v>30.18</v>
          </cell>
          <cell r="G53">
            <v>29.99</v>
          </cell>
          <cell r="H53">
            <v>29.8</v>
          </cell>
          <cell r="I53">
            <v>29.61</v>
          </cell>
          <cell r="J53">
            <v>29.43</v>
          </cell>
          <cell r="K53">
            <v>29.07</v>
          </cell>
          <cell r="L53">
            <v>28.9</v>
          </cell>
          <cell r="M53">
            <v>28.72</v>
          </cell>
          <cell r="N53">
            <v>27.09</v>
          </cell>
          <cell r="O53">
            <v>30.96</v>
          </cell>
          <cell r="P53">
            <v>30.76</v>
          </cell>
          <cell r="Q53">
            <v>56</v>
          </cell>
          <cell r="R53">
            <v>1</v>
          </cell>
          <cell r="S53" t="str">
            <v>N</v>
          </cell>
          <cell r="T53">
            <v>4608</v>
          </cell>
        </row>
        <row r="54">
          <cell r="A54">
            <v>2264</v>
          </cell>
          <cell r="B54" t="str">
            <v>DORICIN COMPRIMIDOS C/300</v>
          </cell>
          <cell r="C54" t="str">
            <v>30BL C/10 COMPRIMIDOS -E</v>
          </cell>
          <cell r="D54"/>
          <cell r="E54">
            <v>184.12</v>
          </cell>
          <cell r="F54">
            <v>181.78</v>
          </cell>
          <cell r="G54">
            <v>180.64</v>
          </cell>
          <cell r="H54">
            <v>179.51</v>
          </cell>
          <cell r="I54">
            <v>178.4</v>
          </cell>
          <cell r="J54">
            <v>177.3</v>
          </cell>
          <cell r="K54">
            <v>175.13</v>
          </cell>
          <cell r="L54">
            <v>174.07</v>
          </cell>
          <cell r="M54">
            <v>173.02</v>
          </cell>
          <cell r="N54">
            <v>163.19</v>
          </cell>
          <cell r="O54">
            <v>186.51</v>
          </cell>
          <cell r="P54">
            <v>185.3</v>
          </cell>
          <cell r="Q54">
            <v>24</v>
          </cell>
          <cell r="R54">
            <v>1</v>
          </cell>
          <cell r="S54" t="str">
            <v>N</v>
          </cell>
          <cell r="T54"/>
        </row>
        <row r="55">
          <cell r="A55">
            <v>2292</v>
          </cell>
          <cell r="B55" t="str">
            <v>BENZIFLEX LIS 125MG+5MG 30COMP.</v>
          </cell>
          <cell r="C55" t="str">
            <v>2 BL X 15 COMP.</v>
          </cell>
          <cell r="D55"/>
          <cell r="E55">
            <v>56.77</v>
          </cell>
          <cell r="F55">
            <v>56.05</v>
          </cell>
          <cell r="G55">
            <v>55.7</v>
          </cell>
          <cell r="H55">
            <v>55.35</v>
          </cell>
          <cell r="I55">
            <v>55.01</v>
          </cell>
          <cell r="J55">
            <v>54.67</v>
          </cell>
          <cell r="K55">
            <v>54</v>
          </cell>
          <cell r="L55">
            <v>53.67</v>
          </cell>
          <cell r="M55">
            <v>53.35</v>
          </cell>
          <cell r="N55">
            <v>50.32</v>
          </cell>
          <cell r="O55">
            <v>57.51</v>
          </cell>
          <cell r="P55">
            <v>57.14</v>
          </cell>
          <cell r="Q55">
            <v>48</v>
          </cell>
          <cell r="R55">
            <v>1</v>
          </cell>
          <cell r="S55" t="str">
            <v>N</v>
          </cell>
          <cell r="T55">
            <v>3600</v>
          </cell>
        </row>
        <row r="56">
          <cell r="A56">
            <v>2318</v>
          </cell>
          <cell r="B56" t="str">
            <v>GEROVITAL CAPS C/30</v>
          </cell>
          <cell r="C56" t="str">
            <v>3 BL X 10</v>
          </cell>
          <cell r="D56"/>
          <cell r="E56">
            <v>78.09</v>
          </cell>
          <cell r="F56">
            <v>77.099999999999994</v>
          </cell>
          <cell r="G56">
            <v>76.62</v>
          </cell>
          <cell r="H56">
            <v>76.14</v>
          </cell>
          <cell r="I56">
            <v>75.66</v>
          </cell>
          <cell r="J56">
            <v>75.2</v>
          </cell>
          <cell r="K56">
            <v>74.28</v>
          </cell>
          <cell r="L56">
            <v>73.83</v>
          </cell>
          <cell r="M56">
            <v>73.39</v>
          </cell>
          <cell r="N56">
            <v>69.22</v>
          </cell>
          <cell r="O56">
            <v>79.099999999999994</v>
          </cell>
          <cell r="P56">
            <v>78.59</v>
          </cell>
          <cell r="Q56">
            <v>54</v>
          </cell>
          <cell r="R56">
            <v>67.03</v>
          </cell>
          <cell r="S56" t="str">
            <v>N</v>
          </cell>
          <cell r="T56">
            <v>4608</v>
          </cell>
        </row>
        <row r="57">
          <cell r="A57">
            <v>2322</v>
          </cell>
          <cell r="B57" t="str">
            <v>CLOPE 3,54MG/ML XPE 120ML FR PLAS</v>
          </cell>
          <cell r="C57" t="str">
            <v>FR X 120 ML</v>
          </cell>
          <cell r="D57"/>
          <cell r="E57">
            <v>34.29</v>
          </cell>
          <cell r="F57">
            <v>33.86</v>
          </cell>
          <cell r="G57">
            <v>33.65</v>
          </cell>
          <cell r="H57">
            <v>33.44</v>
          </cell>
          <cell r="I57">
            <v>33.229999999999997</v>
          </cell>
          <cell r="J57">
            <v>33.020000000000003</v>
          </cell>
          <cell r="K57">
            <v>32.619999999999997</v>
          </cell>
          <cell r="L57">
            <v>32.42</v>
          </cell>
          <cell r="M57">
            <v>32.229999999999997</v>
          </cell>
          <cell r="N57">
            <v>30.4</v>
          </cell>
          <cell r="O57">
            <v>34.74</v>
          </cell>
          <cell r="P57">
            <v>34.520000000000003</v>
          </cell>
          <cell r="Q57">
            <v>60</v>
          </cell>
          <cell r="R57">
            <v>1</v>
          </cell>
          <cell r="S57" t="str">
            <v>N</v>
          </cell>
          <cell r="T57"/>
        </row>
        <row r="58">
          <cell r="A58">
            <v>2346</v>
          </cell>
          <cell r="B58" t="str">
            <v>ALLEXOFEDRIN PEDIATRICO</v>
          </cell>
          <cell r="C58" t="str">
            <v>6MG/MLSUS 60ML-E</v>
          </cell>
          <cell r="D58"/>
          <cell r="E58">
            <v>32.6</v>
          </cell>
          <cell r="F58">
            <v>32.19</v>
          </cell>
          <cell r="G58">
            <v>31.99</v>
          </cell>
          <cell r="H58">
            <v>31.79</v>
          </cell>
          <cell r="I58">
            <v>31.59</v>
          </cell>
          <cell r="J58">
            <v>31.4</v>
          </cell>
          <cell r="K58">
            <v>31.01</v>
          </cell>
          <cell r="L58">
            <v>30.82</v>
          </cell>
          <cell r="M58">
            <v>30.64</v>
          </cell>
          <cell r="N58">
            <v>28.9</v>
          </cell>
          <cell r="O58">
            <v>33.03</v>
          </cell>
          <cell r="P58">
            <v>32.81</v>
          </cell>
          <cell r="Q58">
            <v>25</v>
          </cell>
          <cell r="R58">
            <v>1</v>
          </cell>
          <cell r="S58" t="str">
            <v>N</v>
          </cell>
          <cell r="T58"/>
        </row>
        <row r="59">
          <cell r="A59">
            <v>2347</v>
          </cell>
          <cell r="B59" t="str">
            <v>ALLEXOFEDRIN PEDIATRICO</v>
          </cell>
          <cell r="C59" t="str">
            <v>6MG/MLSUS150 ML-E</v>
          </cell>
          <cell r="D59"/>
          <cell r="E59">
            <v>81.599999999999994</v>
          </cell>
          <cell r="F59">
            <v>80.569999999999993</v>
          </cell>
          <cell r="G59">
            <v>80.06</v>
          </cell>
          <cell r="H59">
            <v>79.56</v>
          </cell>
          <cell r="I59">
            <v>79.069999999999993</v>
          </cell>
          <cell r="J59">
            <v>78.58</v>
          </cell>
          <cell r="K59">
            <v>77.62</v>
          </cell>
          <cell r="L59">
            <v>77.150000000000006</v>
          </cell>
          <cell r="M59">
            <v>76.69</v>
          </cell>
          <cell r="N59">
            <v>72.33</v>
          </cell>
          <cell r="O59">
            <v>82.66</v>
          </cell>
          <cell r="P59">
            <v>82.13</v>
          </cell>
          <cell r="Q59">
            <v>25</v>
          </cell>
          <cell r="R59">
            <v>1</v>
          </cell>
          <cell r="S59" t="str">
            <v>N</v>
          </cell>
          <cell r="T59">
            <v>3360</v>
          </cell>
        </row>
        <row r="60">
          <cell r="A60">
            <v>2382</v>
          </cell>
          <cell r="B60" t="str">
            <v>COMPLEXO B COMP C/100</v>
          </cell>
          <cell r="C60" t="str">
            <v>FR X 100</v>
          </cell>
          <cell r="D60"/>
          <cell r="E60">
            <v>43.68</v>
          </cell>
          <cell r="F60">
            <v>43.13</v>
          </cell>
          <cell r="G60">
            <v>42.86</v>
          </cell>
          <cell r="H60">
            <v>42.59</v>
          </cell>
          <cell r="I60">
            <v>42.32</v>
          </cell>
          <cell r="J60">
            <v>42.06</v>
          </cell>
          <cell r="K60">
            <v>41.55</v>
          </cell>
          <cell r="L60">
            <v>41.3</v>
          </cell>
          <cell r="M60">
            <v>41.05</v>
          </cell>
          <cell r="N60">
            <v>38.72</v>
          </cell>
          <cell r="O60">
            <v>44.25</v>
          </cell>
          <cell r="P60">
            <v>43.96</v>
          </cell>
          <cell r="Q60">
            <v>120</v>
          </cell>
          <cell r="R60">
            <v>1</v>
          </cell>
          <cell r="S60" t="str">
            <v>N</v>
          </cell>
          <cell r="T60">
            <v>6000</v>
          </cell>
        </row>
        <row r="61">
          <cell r="A61">
            <v>2383</v>
          </cell>
          <cell r="B61" t="str">
            <v>COMPLEXO B XPE  120 ML</v>
          </cell>
          <cell r="C61" t="str">
            <v>FR X 120 ML</v>
          </cell>
          <cell r="D61"/>
          <cell r="E61">
            <v>34.64</v>
          </cell>
          <cell r="F61">
            <v>34.200000000000003</v>
          </cell>
          <cell r="G61">
            <v>33.99</v>
          </cell>
          <cell r="H61">
            <v>33.78</v>
          </cell>
          <cell r="I61">
            <v>33.57</v>
          </cell>
          <cell r="J61">
            <v>33.36</v>
          </cell>
          <cell r="K61">
            <v>32.950000000000003</v>
          </cell>
          <cell r="L61">
            <v>32.75</v>
          </cell>
          <cell r="M61">
            <v>32.549999999999997</v>
          </cell>
          <cell r="N61">
            <v>30.7</v>
          </cell>
          <cell r="O61">
            <v>35.090000000000003</v>
          </cell>
          <cell r="P61">
            <v>34.86</v>
          </cell>
          <cell r="Q61">
            <v>60</v>
          </cell>
          <cell r="R61">
            <v>1</v>
          </cell>
          <cell r="S61" t="str">
            <v>N</v>
          </cell>
          <cell r="T61">
            <v>3150</v>
          </cell>
        </row>
        <row r="62">
          <cell r="A62">
            <v>2384</v>
          </cell>
          <cell r="B62" t="str">
            <v>COMPLEXO B DRG C/20</v>
          </cell>
          <cell r="C62" t="str">
            <v xml:space="preserve">FR X 20 </v>
          </cell>
          <cell r="D62"/>
          <cell r="E62">
            <v>34.729999999999997</v>
          </cell>
          <cell r="F62">
            <v>34.29</v>
          </cell>
          <cell r="G62">
            <v>34.08</v>
          </cell>
          <cell r="H62">
            <v>33.86</v>
          </cell>
          <cell r="I62">
            <v>33.65</v>
          </cell>
          <cell r="J62">
            <v>33.44</v>
          </cell>
          <cell r="K62">
            <v>33.04</v>
          </cell>
          <cell r="L62">
            <v>32.840000000000003</v>
          </cell>
          <cell r="M62">
            <v>32.64</v>
          </cell>
          <cell r="N62">
            <v>30.78</v>
          </cell>
          <cell r="O62">
            <v>35.18</v>
          </cell>
          <cell r="P62">
            <v>34.950000000000003</v>
          </cell>
          <cell r="Q62">
            <v>100</v>
          </cell>
          <cell r="R62">
            <v>1</v>
          </cell>
          <cell r="S62" t="str">
            <v>N</v>
          </cell>
          <cell r="T62">
            <v>4704</v>
          </cell>
        </row>
        <row r="63">
          <cell r="A63">
            <v>2390</v>
          </cell>
          <cell r="B63" t="str">
            <v>RUDITE 500 MG COMPCC/6</v>
          </cell>
          <cell r="C63" t="str">
            <v>1 BLT X 6</v>
          </cell>
          <cell r="D63"/>
          <cell r="E63">
            <v>51.12</v>
          </cell>
          <cell r="F63">
            <v>50.47</v>
          </cell>
          <cell r="G63">
            <v>50.15</v>
          </cell>
          <cell r="H63">
            <v>49.84</v>
          </cell>
          <cell r="I63">
            <v>49.53</v>
          </cell>
          <cell r="J63">
            <v>49.22</v>
          </cell>
          <cell r="K63">
            <v>48.62</v>
          </cell>
          <cell r="L63">
            <v>48.33</v>
          </cell>
          <cell r="M63">
            <v>48.04</v>
          </cell>
          <cell r="N63">
            <v>45.31</v>
          </cell>
          <cell r="O63">
            <v>51.78</v>
          </cell>
          <cell r="P63">
            <v>51.45</v>
          </cell>
          <cell r="Q63">
            <v>60</v>
          </cell>
          <cell r="R63">
            <v>1</v>
          </cell>
          <cell r="S63" t="str">
            <v>N</v>
          </cell>
          <cell r="T63">
            <v>5760</v>
          </cell>
        </row>
        <row r="64">
          <cell r="A64">
            <v>2391</v>
          </cell>
          <cell r="B64" t="str">
            <v>RUDITE 20MG/ML PO SUS 100ML</v>
          </cell>
          <cell r="C64" t="str">
            <v>FR X 100 ML</v>
          </cell>
          <cell r="D64"/>
          <cell r="E64">
            <v>45.97</v>
          </cell>
          <cell r="F64">
            <v>45.39</v>
          </cell>
          <cell r="G64">
            <v>45.11</v>
          </cell>
          <cell r="H64">
            <v>44.83</v>
          </cell>
          <cell r="I64">
            <v>44.55</v>
          </cell>
          <cell r="J64">
            <v>44.27</v>
          </cell>
          <cell r="K64">
            <v>43.73</v>
          </cell>
          <cell r="L64">
            <v>43.47</v>
          </cell>
          <cell r="M64">
            <v>43.2</v>
          </cell>
          <cell r="N64">
            <v>40.75</v>
          </cell>
          <cell r="O64">
            <v>46.57</v>
          </cell>
          <cell r="P64">
            <v>46.27</v>
          </cell>
          <cell r="Q64">
            <v>25</v>
          </cell>
          <cell r="R64">
            <v>1</v>
          </cell>
          <cell r="S64" t="str">
            <v>N</v>
          </cell>
          <cell r="T64"/>
        </row>
        <row r="65">
          <cell r="A65">
            <v>2392</v>
          </cell>
          <cell r="B65" t="str">
            <v>RUDITE 20MG/ML PO SUS 45ML</v>
          </cell>
          <cell r="C65" t="str">
            <v>FR X 45 ML</v>
          </cell>
          <cell r="D65"/>
          <cell r="E65">
            <v>25.12</v>
          </cell>
          <cell r="F65">
            <v>24.8</v>
          </cell>
          <cell r="G65">
            <v>24.64</v>
          </cell>
          <cell r="H65">
            <v>24.49</v>
          </cell>
          <cell r="I65">
            <v>24.34</v>
          </cell>
          <cell r="J65">
            <v>24.19</v>
          </cell>
          <cell r="K65">
            <v>23.89</v>
          </cell>
          <cell r="L65">
            <v>23.75</v>
          </cell>
          <cell r="M65">
            <v>23.6</v>
          </cell>
          <cell r="N65">
            <v>22.26</v>
          </cell>
          <cell r="O65">
            <v>25.44</v>
          </cell>
          <cell r="P65">
            <v>25.28</v>
          </cell>
          <cell r="Q65">
            <v>40</v>
          </cell>
          <cell r="R65">
            <v>1</v>
          </cell>
          <cell r="S65" t="str">
            <v>N</v>
          </cell>
          <cell r="T65">
            <v>5760</v>
          </cell>
        </row>
        <row r="66">
          <cell r="A66">
            <v>2398</v>
          </cell>
          <cell r="B66" t="str">
            <v>SOMINEX COMPOSTO</v>
          </cell>
          <cell r="C66" t="str">
            <v>2 BL X 10</v>
          </cell>
          <cell r="D66"/>
          <cell r="E66">
            <v>49.85</v>
          </cell>
          <cell r="F66">
            <v>49.22</v>
          </cell>
          <cell r="G66">
            <v>48.91</v>
          </cell>
          <cell r="H66">
            <v>48.6</v>
          </cell>
          <cell r="I66">
            <v>48.3</v>
          </cell>
          <cell r="J66">
            <v>48</v>
          </cell>
          <cell r="K66">
            <v>47.41</v>
          </cell>
          <cell r="L66">
            <v>47.13</v>
          </cell>
          <cell r="M66">
            <v>46.84</v>
          </cell>
          <cell r="N66">
            <v>44.18</v>
          </cell>
          <cell r="O66">
            <v>50.49</v>
          </cell>
          <cell r="P66">
            <v>50.17</v>
          </cell>
          <cell r="Q66">
            <v>48</v>
          </cell>
          <cell r="R66">
            <v>43.71</v>
          </cell>
          <cell r="S66" t="str">
            <v>N</v>
          </cell>
          <cell r="T66">
            <v>1080</v>
          </cell>
        </row>
        <row r="67">
          <cell r="A67">
            <v>2469</v>
          </cell>
          <cell r="B67" t="str">
            <v>IBULIV 400 MG X 20 CAP</v>
          </cell>
          <cell r="C67" t="str">
            <v>20 CÁPS.</v>
          </cell>
          <cell r="D67"/>
          <cell r="E67">
            <v>42.54</v>
          </cell>
          <cell r="F67">
            <v>42</v>
          </cell>
          <cell r="G67">
            <v>41.74</v>
          </cell>
          <cell r="H67">
            <v>41.48</v>
          </cell>
          <cell r="I67">
            <v>41.22</v>
          </cell>
          <cell r="J67">
            <v>40.96</v>
          </cell>
          <cell r="K67">
            <v>40.46</v>
          </cell>
          <cell r="L67">
            <v>40.22</v>
          </cell>
          <cell r="M67">
            <v>39.979999999999997</v>
          </cell>
          <cell r="N67">
            <v>37.700000000000003</v>
          </cell>
          <cell r="O67">
            <v>43.09</v>
          </cell>
          <cell r="P67">
            <v>42.81</v>
          </cell>
          <cell r="Q67">
            <v>60</v>
          </cell>
          <cell r="R67">
            <v>1</v>
          </cell>
          <cell r="S67" t="str">
            <v>N</v>
          </cell>
          <cell r="T67"/>
        </row>
        <row r="68">
          <cell r="A68">
            <v>2604</v>
          </cell>
          <cell r="B68" t="str">
            <v>NARIDRIN ALTO VOL 30ENVX2,16G+FR240ML</v>
          </cell>
          <cell r="C68" t="str">
            <v>30ENVX2,16G+FR240ML</v>
          </cell>
          <cell r="D68"/>
          <cell r="E68">
            <v>86.15</v>
          </cell>
          <cell r="F68">
            <v>85.06</v>
          </cell>
          <cell r="G68">
            <v>84.53</v>
          </cell>
          <cell r="H68">
            <v>84</v>
          </cell>
          <cell r="I68">
            <v>83.48</v>
          </cell>
          <cell r="J68">
            <v>82.96</v>
          </cell>
          <cell r="K68">
            <v>81.95</v>
          </cell>
          <cell r="L68">
            <v>81.45</v>
          </cell>
          <cell r="M68">
            <v>80.959999999999994</v>
          </cell>
          <cell r="N68">
            <v>76.36</v>
          </cell>
          <cell r="O68">
            <v>87.27</v>
          </cell>
          <cell r="P68">
            <v>86.71</v>
          </cell>
          <cell r="Q68">
            <v>21</v>
          </cell>
          <cell r="R68">
            <v>1</v>
          </cell>
          <cell r="S68" t="str">
            <v xml:space="preserve"> N</v>
          </cell>
          <cell r="T68"/>
        </row>
        <row r="69">
          <cell r="A69">
            <v>2605</v>
          </cell>
          <cell r="B69" t="str">
            <v>NARIDRIN ALTO VOL REFIL</v>
          </cell>
          <cell r="C69" t="str">
            <v>30 ENV X 2,16G</v>
          </cell>
          <cell r="D69"/>
          <cell r="E69">
            <v>71.790000000000006</v>
          </cell>
          <cell r="F69">
            <v>70.89</v>
          </cell>
          <cell r="G69">
            <v>70.44</v>
          </cell>
          <cell r="H69">
            <v>70</v>
          </cell>
          <cell r="I69">
            <v>69.569999999999993</v>
          </cell>
          <cell r="J69">
            <v>69.14</v>
          </cell>
          <cell r="K69">
            <v>68.290000000000006</v>
          </cell>
          <cell r="L69">
            <v>67.88</v>
          </cell>
          <cell r="M69">
            <v>67.47</v>
          </cell>
          <cell r="N69">
            <v>63.64</v>
          </cell>
          <cell r="O69">
            <v>72.73</v>
          </cell>
          <cell r="P69">
            <v>72.260000000000005</v>
          </cell>
          <cell r="Q69">
            <v>28</v>
          </cell>
          <cell r="R69">
            <v>1</v>
          </cell>
          <cell r="S69" t="str">
            <v xml:space="preserve"> N</v>
          </cell>
          <cell r="T69"/>
        </row>
        <row r="70">
          <cell r="A70">
            <v>3008</v>
          </cell>
          <cell r="B70" t="str">
            <v xml:space="preserve">EMISTIN CR </v>
          </cell>
          <cell r="C70" t="str">
            <v>BISN X 20 G</v>
          </cell>
          <cell r="D70"/>
          <cell r="E70">
            <v>37.4</v>
          </cell>
          <cell r="F70">
            <v>36.92</v>
          </cell>
          <cell r="G70">
            <v>36.69</v>
          </cell>
          <cell r="H70">
            <v>36.46</v>
          </cell>
          <cell r="I70">
            <v>36.24</v>
          </cell>
          <cell r="J70">
            <v>36.01</v>
          </cell>
          <cell r="K70">
            <v>35.57</v>
          </cell>
          <cell r="L70">
            <v>35.36</v>
          </cell>
          <cell r="M70">
            <v>35.14</v>
          </cell>
          <cell r="N70">
            <v>33.15</v>
          </cell>
          <cell r="O70">
            <v>37.880000000000003</v>
          </cell>
          <cell r="P70">
            <v>37.64</v>
          </cell>
          <cell r="Q70">
            <v>56</v>
          </cell>
          <cell r="R70">
            <v>1</v>
          </cell>
          <cell r="S70" t="str">
            <v xml:space="preserve"> N</v>
          </cell>
          <cell r="T70">
            <v>3150</v>
          </cell>
        </row>
        <row r="71">
          <cell r="A71">
            <v>3009</v>
          </cell>
          <cell r="B71" t="str">
            <v xml:space="preserve">ANTIVIRAX CR </v>
          </cell>
          <cell r="C71" t="str">
            <v>BISN X 10 G</v>
          </cell>
          <cell r="D71"/>
          <cell r="E71">
            <v>33.96</v>
          </cell>
          <cell r="F71">
            <v>33.53</v>
          </cell>
          <cell r="G71">
            <v>33.32</v>
          </cell>
          <cell r="H71">
            <v>33.11</v>
          </cell>
          <cell r="I71">
            <v>32.909999999999997</v>
          </cell>
          <cell r="J71">
            <v>32.700000000000003</v>
          </cell>
          <cell r="K71">
            <v>32.299999999999997</v>
          </cell>
          <cell r="L71">
            <v>32.11</v>
          </cell>
          <cell r="M71">
            <v>31.92</v>
          </cell>
          <cell r="N71">
            <v>30.1</v>
          </cell>
          <cell r="O71">
            <v>34.4</v>
          </cell>
          <cell r="P71">
            <v>34.18</v>
          </cell>
          <cell r="Q71">
            <v>56</v>
          </cell>
          <cell r="R71">
            <v>1</v>
          </cell>
          <cell r="S71" t="str">
            <v xml:space="preserve"> N</v>
          </cell>
          <cell r="T71">
            <v>1260</v>
          </cell>
        </row>
        <row r="72">
          <cell r="A72">
            <v>3020</v>
          </cell>
          <cell r="B72" t="str">
            <v>EMSCORT CR</v>
          </cell>
          <cell r="C72" t="str">
            <v>BISN X 30 G</v>
          </cell>
          <cell r="D72"/>
          <cell r="E72">
            <v>32.090000000000003</v>
          </cell>
          <cell r="F72">
            <v>31.68</v>
          </cell>
          <cell r="G72">
            <v>31.48</v>
          </cell>
          <cell r="H72">
            <v>31.29</v>
          </cell>
          <cell r="I72">
            <v>31.09</v>
          </cell>
          <cell r="J72">
            <v>30.9</v>
          </cell>
          <cell r="K72">
            <v>30.52</v>
          </cell>
          <cell r="L72">
            <v>30.34</v>
          </cell>
          <cell r="M72">
            <v>30.16</v>
          </cell>
          <cell r="N72">
            <v>28.44</v>
          </cell>
          <cell r="O72">
            <v>32.51</v>
          </cell>
          <cell r="P72">
            <v>32.299999999999997</v>
          </cell>
          <cell r="Q72">
            <v>42</v>
          </cell>
          <cell r="R72">
            <v>1</v>
          </cell>
          <cell r="S72" t="str">
            <v xml:space="preserve"> N</v>
          </cell>
          <cell r="T72"/>
        </row>
        <row r="73">
          <cell r="A73">
            <v>6005</v>
          </cell>
          <cell r="B73" t="str">
            <v>NARIDRIN GTS AD</v>
          </cell>
          <cell r="C73" t="str">
            <v>FR X 15 ML</v>
          </cell>
          <cell r="D73"/>
          <cell r="E73">
            <v>18.82</v>
          </cell>
          <cell r="F73">
            <v>18.579999999999998</v>
          </cell>
          <cell r="G73">
            <v>18.47</v>
          </cell>
          <cell r="H73">
            <v>18.350000000000001</v>
          </cell>
          <cell r="I73">
            <v>18.239999999999998</v>
          </cell>
          <cell r="J73">
            <v>18.12</v>
          </cell>
          <cell r="K73">
            <v>17.899999999999999</v>
          </cell>
          <cell r="L73">
            <v>17.79</v>
          </cell>
          <cell r="M73">
            <v>17.690000000000001</v>
          </cell>
          <cell r="N73">
            <v>16.68</v>
          </cell>
          <cell r="O73">
            <v>19.059999999999999</v>
          </cell>
          <cell r="P73">
            <v>18.940000000000001</v>
          </cell>
          <cell r="Q73">
            <v>100</v>
          </cell>
          <cell r="R73">
            <v>1</v>
          </cell>
          <cell r="S73" t="str">
            <v xml:space="preserve"> N</v>
          </cell>
          <cell r="T73"/>
        </row>
        <row r="74">
          <cell r="A74">
            <v>6006</v>
          </cell>
          <cell r="B74" t="str">
            <v xml:space="preserve">NARIDRIN GTS INF </v>
          </cell>
          <cell r="C74" t="str">
            <v>FR X 15 ML</v>
          </cell>
          <cell r="D74"/>
          <cell r="E74">
            <v>18.13</v>
          </cell>
          <cell r="F74">
            <v>17.899999999999999</v>
          </cell>
          <cell r="G74">
            <v>17.79</v>
          </cell>
          <cell r="H74">
            <v>17.68</v>
          </cell>
          <cell r="I74">
            <v>17.57</v>
          </cell>
          <cell r="J74">
            <v>17.46</v>
          </cell>
          <cell r="K74">
            <v>17.239999999999998</v>
          </cell>
          <cell r="L74">
            <v>17.14</v>
          </cell>
          <cell r="M74">
            <v>17.04</v>
          </cell>
          <cell r="N74">
            <v>16.07</v>
          </cell>
          <cell r="O74">
            <v>18.36</v>
          </cell>
          <cell r="P74">
            <v>18.25</v>
          </cell>
          <cell r="Q74">
            <v>100</v>
          </cell>
          <cell r="R74">
            <v>1</v>
          </cell>
          <cell r="S74" t="str">
            <v xml:space="preserve"> N</v>
          </cell>
          <cell r="T74">
            <v>5760</v>
          </cell>
        </row>
        <row r="75">
          <cell r="A75">
            <v>6011</v>
          </cell>
          <cell r="B75" t="str">
            <v xml:space="preserve">NARIDRIN 12HS GTS </v>
          </cell>
          <cell r="C75" t="str">
            <v>FR X 30 ML</v>
          </cell>
          <cell r="D75"/>
          <cell r="E75">
            <v>30.19</v>
          </cell>
          <cell r="F75">
            <v>29.81</v>
          </cell>
          <cell r="G75">
            <v>29.62</v>
          </cell>
          <cell r="H75">
            <v>29.44</v>
          </cell>
          <cell r="I75">
            <v>29.25</v>
          </cell>
          <cell r="J75">
            <v>29.07</v>
          </cell>
          <cell r="K75">
            <v>28.72</v>
          </cell>
          <cell r="L75">
            <v>28.55</v>
          </cell>
          <cell r="M75">
            <v>28.37</v>
          </cell>
          <cell r="N75">
            <v>26.76</v>
          </cell>
          <cell r="O75">
            <v>30.58</v>
          </cell>
          <cell r="P75">
            <v>30.39</v>
          </cell>
          <cell r="Q75">
            <v>100</v>
          </cell>
          <cell r="R75">
            <v>1</v>
          </cell>
          <cell r="S75" t="str">
            <v xml:space="preserve"> N</v>
          </cell>
          <cell r="T75">
            <v>2352</v>
          </cell>
        </row>
        <row r="76">
          <cell r="A76">
            <v>6023</v>
          </cell>
          <cell r="B76" t="str">
            <v>EMSCORT POMADA</v>
          </cell>
          <cell r="C76" t="str">
            <v>BISN X 30 G</v>
          </cell>
          <cell r="D76"/>
          <cell r="E76">
            <v>32.090000000000003</v>
          </cell>
          <cell r="F76">
            <v>31.68</v>
          </cell>
          <cell r="G76">
            <v>31.48</v>
          </cell>
          <cell r="H76">
            <v>31.29</v>
          </cell>
          <cell r="I76">
            <v>31.09</v>
          </cell>
          <cell r="J76">
            <v>30.9</v>
          </cell>
          <cell r="K76">
            <v>30.52</v>
          </cell>
          <cell r="L76">
            <v>30.34</v>
          </cell>
          <cell r="M76">
            <v>30.16</v>
          </cell>
          <cell r="N76">
            <v>28.44</v>
          </cell>
          <cell r="O76">
            <v>32.51</v>
          </cell>
          <cell r="P76">
            <v>32.299999999999997</v>
          </cell>
          <cell r="Q76">
            <v>42</v>
          </cell>
          <cell r="R76">
            <v>1</v>
          </cell>
          <cell r="S76" t="str">
            <v xml:space="preserve"> N</v>
          </cell>
          <cell r="T76"/>
        </row>
        <row r="77">
          <cell r="A77">
            <v>60000</v>
          </cell>
          <cell r="B77" t="str">
            <v>A SAUDE DA MULHER SOL</v>
          </cell>
          <cell r="C77" t="str">
            <v>FR X 150 ML</v>
          </cell>
          <cell r="E77">
            <v>17.96</v>
          </cell>
          <cell r="F77">
            <v>17.73</v>
          </cell>
          <cell r="G77">
            <v>17.62</v>
          </cell>
          <cell r="H77">
            <v>17.510000000000002</v>
          </cell>
          <cell r="I77">
            <v>17.399999999999999</v>
          </cell>
          <cell r="J77">
            <v>17.3</v>
          </cell>
          <cell r="K77">
            <v>17.09</v>
          </cell>
          <cell r="L77">
            <v>16.98</v>
          </cell>
          <cell r="M77">
            <v>16.88</v>
          </cell>
          <cell r="N77">
            <v>15.92</v>
          </cell>
          <cell r="O77">
            <v>18.190000000000001</v>
          </cell>
          <cell r="P77">
            <v>18.079999999999998</v>
          </cell>
          <cell r="Q77">
            <v>35</v>
          </cell>
          <cell r="R77">
            <v>1</v>
          </cell>
          <cell r="S77" t="str">
            <v>N</v>
          </cell>
          <cell r="T77">
            <v>1260</v>
          </cell>
        </row>
        <row r="78">
          <cell r="P78"/>
        </row>
        <row r="79">
          <cell r="P79"/>
        </row>
        <row r="80">
          <cell r="P80"/>
        </row>
        <row r="81">
          <cell r="P81"/>
        </row>
        <row r="82">
          <cell r="P82"/>
        </row>
        <row r="83">
          <cell r="P83"/>
        </row>
        <row r="84">
          <cell r="P84"/>
        </row>
        <row r="85">
          <cell r="P85"/>
        </row>
        <row r="86">
          <cell r="P86"/>
        </row>
        <row r="87">
          <cell r="P87"/>
        </row>
        <row r="88">
          <cell r="P88"/>
        </row>
        <row r="89">
          <cell r="P89"/>
        </row>
        <row r="90">
          <cell r="P90"/>
        </row>
        <row r="91">
          <cell r="P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S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S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S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S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S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S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S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S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S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S101"/>
        </row>
        <row r="102"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S102"/>
        </row>
        <row r="103"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S103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S104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S105"/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44DF-A62E-42D3-BA25-2FFE32743F9C}">
  <dimension ref="A1:HG65360"/>
  <sheetViews>
    <sheetView tabSelected="1" topLeftCell="A3" workbookViewId="0">
      <selection activeCell="D12" sqref="D12"/>
    </sheetView>
  </sheetViews>
  <sheetFormatPr defaultColWidth="8.7265625" defaultRowHeight="14.5" x14ac:dyDescent="0.35"/>
  <cols>
    <col min="1" max="1" width="2" customWidth="1"/>
    <col min="2" max="2" width="8.36328125" customWidth="1"/>
    <col min="3" max="3" width="16.453125" bestFit="1" customWidth="1"/>
    <col min="4" max="4" width="35.90625" customWidth="1"/>
    <col min="5" max="5" width="13.36328125" customWidth="1"/>
    <col min="6" max="6" width="7.81640625" style="2" customWidth="1"/>
    <col min="7" max="7" width="8.08984375" style="2" customWidth="1"/>
    <col min="9" max="9" width="10.6328125" customWidth="1"/>
    <col min="10" max="10" width="12.81640625" customWidth="1"/>
  </cols>
  <sheetData>
    <row r="1" spans="1:211" hidden="1" x14ac:dyDescent="0.35">
      <c r="A1" s="1"/>
    </row>
    <row r="2" spans="1:211" ht="17.5" hidden="1" x14ac:dyDescent="0.35">
      <c r="J2" s="57"/>
    </row>
    <row r="3" spans="1:211" ht="15" thickBot="1" x14ac:dyDescent="0.4">
      <c r="H3" s="3"/>
      <c r="I3" s="67" t="s">
        <v>0</v>
      </c>
      <c r="J3" s="68"/>
      <c r="HC3">
        <v>1</v>
      </c>
    </row>
    <row r="4" spans="1:211" ht="33.75" customHeight="1" thickTop="1" thickBot="1" x14ac:dyDescent="0.4">
      <c r="B4" s="69"/>
      <c r="C4" s="4"/>
      <c r="D4" s="69" t="s">
        <v>163</v>
      </c>
      <c r="E4" s="69"/>
      <c r="F4" s="4"/>
      <c r="G4" s="5"/>
      <c r="H4" s="6" t="s">
        <v>1</v>
      </c>
      <c r="I4" s="71" t="s">
        <v>2</v>
      </c>
      <c r="J4" s="72"/>
      <c r="HC4">
        <v>1</v>
      </c>
    </row>
    <row r="5" spans="1:211" ht="12.75" customHeight="1" thickTop="1" x14ac:dyDescent="0.35">
      <c r="A5" s="7"/>
      <c r="B5" s="70"/>
      <c r="C5" s="8"/>
      <c r="D5" s="9"/>
      <c r="E5" s="9"/>
      <c r="F5" s="8"/>
      <c r="G5" s="8"/>
      <c r="H5" s="10">
        <f>IF(ISERROR(VLOOKUP($I$4,$HD$65258:$HG$65290,3,FALSE))=TRUE,"",VLOOKUP($I$4,$HD$65258:$HG$65290,3,FALSE))</f>
        <v>0.17</v>
      </c>
      <c r="I5" s="73" t="s">
        <v>3</v>
      </c>
      <c r="J5" s="74"/>
    </row>
    <row r="6" spans="1:211" ht="11.15" customHeight="1" x14ac:dyDescent="0.35">
      <c r="B6" s="11"/>
      <c r="C6" s="11"/>
      <c r="I6" s="65">
        <f>IF($I$4="","",VLOOKUP($I$4,$HD$65259:$HG$65290,4,FALSE))</f>
        <v>5.6800000000000003E-2</v>
      </c>
      <c r="J6" s="66"/>
      <c r="HC6">
        <v>1</v>
      </c>
    </row>
    <row r="7" spans="1:211" ht="5.15" customHeight="1" x14ac:dyDescent="0.35">
      <c r="I7" s="12"/>
      <c r="J7" s="13"/>
      <c r="HC7">
        <v>1</v>
      </c>
    </row>
    <row r="8" spans="1:211" x14ac:dyDescent="0.35">
      <c r="B8" s="14" t="s">
        <v>4</v>
      </c>
      <c r="C8" s="14" t="s">
        <v>5</v>
      </c>
      <c r="D8" s="15" t="s">
        <v>6</v>
      </c>
      <c r="E8" s="16" t="s">
        <v>7</v>
      </c>
      <c r="F8" s="15" t="s">
        <v>8</v>
      </c>
      <c r="G8" s="15" t="s">
        <v>9</v>
      </c>
      <c r="H8" s="15" t="s">
        <v>10</v>
      </c>
      <c r="I8" s="17" t="s">
        <v>11</v>
      </c>
      <c r="J8" s="15" t="s">
        <v>12</v>
      </c>
      <c r="HC8">
        <v>1</v>
      </c>
    </row>
    <row r="9" spans="1:211" ht="15.75" customHeight="1" x14ac:dyDescent="0.35">
      <c r="B9" s="64">
        <v>60000</v>
      </c>
      <c r="C9" s="63">
        <v>7896004817477</v>
      </c>
      <c r="D9" s="19" t="s">
        <v>13</v>
      </c>
      <c r="E9" s="19" t="s">
        <v>14</v>
      </c>
      <c r="F9" s="20" t="str">
        <f>IF(ISERROR(VLOOKUP(B9,[1]TABELA!$A:$S,19,FALSE))=TRUE,"",VLOOKUP(B9,[1]TABELA!$A:$S,19,FALSE))</f>
        <v>N</v>
      </c>
      <c r="G9" s="21">
        <f>IF(ISERROR(VLOOKUP($B9,[1]TABELA!$A:$T,17,FALSE))=TRUE,"",VLOOKUP($B9,[1]TABELA!$A:$T,17,FALSE))</f>
        <v>35</v>
      </c>
      <c r="H9" s="22">
        <v>17.489999999999998</v>
      </c>
      <c r="I9" s="23">
        <v>0.22620000000000001</v>
      </c>
      <c r="J9" s="24">
        <f t="shared" ref="J9:J48" si="0">H9-(H9*I9)-((H9-(H9*I9))*$I$6)</f>
        <v>12.765044318399999</v>
      </c>
      <c r="HC9">
        <v>1</v>
      </c>
    </row>
    <row r="10" spans="1:211" ht="15.75" customHeight="1" x14ac:dyDescent="0.35">
      <c r="B10" s="64">
        <v>2256</v>
      </c>
      <c r="C10" s="63">
        <v>7896004768588</v>
      </c>
      <c r="D10" s="19" t="s">
        <v>15</v>
      </c>
      <c r="E10" s="19" t="s">
        <v>16</v>
      </c>
      <c r="F10" s="20" t="str">
        <f>IF(ISERROR(VLOOKUP(B10,[1]TABELA!$A:$S,19,FALSE))=TRUE,"",VLOOKUP(B10,[1]TABELA!$A:$S,19,FALSE))</f>
        <v>N</v>
      </c>
      <c r="G10" s="21">
        <f>IF(ISERROR(VLOOKUP($B10,[1]TABELA!$A:$T,17,FALSE))=TRUE,"",VLOOKUP($B10,[1]TABELA!$A:$T,17,FALSE))</f>
        <v>48</v>
      </c>
      <c r="H10" s="22">
        <v>48.89</v>
      </c>
      <c r="I10" s="23">
        <v>0.71250000000000002</v>
      </c>
      <c r="J10" s="24">
        <f t="shared" si="0"/>
        <v>13.257501299999999</v>
      </c>
    </row>
    <row r="11" spans="1:211" ht="15.75" customHeight="1" x14ac:dyDescent="0.35">
      <c r="B11" s="64">
        <v>2255</v>
      </c>
      <c r="C11" s="63">
        <v>7896004768571</v>
      </c>
      <c r="D11" s="19" t="s">
        <v>17</v>
      </c>
      <c r="E11" s="19" t="s">
        <v>16</v>
      </c>
      <c r="F11" s="20" t="str">
        <f>IF(ISERROR(VLOOKUP(B11,[1]TABELA!$A:$S,19,FALSE))=TRUE,"",VLOOKUP(B11,[1]TABELA!$A:$S,19,FALSE))</f>
        <v>N</v>
      </c>
      <c r="G11" s="21">
        <f>IF(ISERROR(VLOOKUP($B11,[1]TABELA!$A:$T,17,FALSE))=TRUE,"",VLOOKUP($B11,[1]TABELA!$A:$T,17,FALSE))</f>
        <v>48</v>
      </c>
      <c r="H11" s="22">
        <v>71.05</v>
      </c>
      <c r="I11" s="23">
        <v>0.71250000000000002</v>
      </c>
      <c r="J11" s="24">
        <f t="shared" si="0"/>
        <v>19.266628499999996</v>
      </c>
    </row>
    <row r="12" spans="1:211" ht="15.75" customHeight="1" x14ac:dyDescent="0.35">
      <c r="B12" s="64">
        <v>2133</v>
      </c>
      <c r="C12" s="63">
        <v>7896004705408</v>
      </c>
      <c r="D12" s="19" t="s">
        <v>18</v>
      </c>
      <c r="E12" s="19" t="s">
        <v>16</v>
      </c>
      <c r="F12" s="20" t="str">
        <f>IF(ISERROR(VLOOKUP(B12,[1]TABELA!$A:$S,19,FALSE))=TRUE,"",VLOOKUP(B12,[1]TABELA!$A:$S,19,FALSE))</f>
        <v xml:space="preserve"> N</v>
      </c>
      <c r="G12" s="21">
        <f>IF(ISERROR(VLOOKUP($B12,[1]TABELA!$A:$T,17,FALSE))=TRUE,"",VLOOKUP($B12,[1]TABELA!$A:$T,17,FALSE))</f>
        <v>48</v>
      </c>
      <c r="H12" s="22">
        <v>46.62</v>
      </c>
      <c r="I12" s="23">
        <v>0.12820000000000001</v>
      </c>
      <c r="J12" s="24">
        <f t="shared" si="0"/>
        <v>38.334775651199998</v>
      </c>
    </row>
    <row r="13" spans="1:211" ht="15.75" customHeight="1" x14ac:dyDescent="0.35">
      <c r="B13" s="64">
        <v>2346</v>
      </c>
      <c r="C13" s="63">
        <v>7896004770895</v>
      </c>
      <c r="D13" s="19" t="s">
        <v>19</v>
      </c>
      <c r="E13" s="19" t="s">
        <v>20</v>
      </c>
      <c r="F13" s="20" t="str">
        <f>IF(ISERROR(VLOOKUP(B13,[1]TABELA!$A:$S,19,FALSE))=TRUE,"",VLOOKUP(B13,[1]TABELA!$A:$S,19,FALSE))</f>
        <v>N</v>
      </c>
      <c r="G13" s="21">
        <f>IF(ISERROR(VLOOKUP($B13,[1]TABELA!$A:$T,17,FALSE))=TRUE,"",VLOOKUP($B13,[1]TABELA!$A:$T,17,FALSE))</f>
        <v>25</v>
      </c>
      <c r="H13" s="22">
        <v>22.15</v>
      </c>
      <c r="I13" s="23">
        <v>0.46039999999999998</v>
      </c>
      <c r="J13" s="24">
        <f t="shared" si="0"/>
        <v>11.273258448</v>
      </c>
    </row>
    <row r="14" spans="1:211" ht="15.75" customHeight="1" x14ac:dyDescent="0.35">
      <c r="B14" s="64">
        <v>2347</v>
      </c>
      <c r="C14" s="63">
        <v>7896004770901</v>
      </c>
      <c r="D14" s="19" t="s">
        <v>21</v>
      </c>
      <c r="E14" s="19" t="s">
        <v>22</v>
      </c>
      <c r="F14" s="20" t="str">
        <f>IF(ISERROR(VLOOKUP(B14,[1]TABELA!$A:$S,19,FALSE))=TRUE,"",VLOOKUP(B14,[1]TABELA!$A:$S,19,FALSE))</f>
        <v>N</v>
      </c>
      <c r="G14" s="21">
        <f>IF(ISERROR(VLOOKUP($B14,[1]TABELA!$A:$T,17,FALSE))=TRUE,"",VLOOKUP($B14,[1]TABELA!$A:$T,17,FALSE))</f>
        <v>25</v>
      </c>
      <c r="H14" s="22">
        <v>50.29</v>
      </c>
      <c r="I14" s="23">
        <v>0.48</v>
      </c>
      <c r="J14" s="24">
        <f t="shared" si="0"/>
        <v>24.665434560000001</v>
      </c>
    </row>
    <row r="15" spans="1:211" ht="15.75" customHeight="1" x14ac:dyDescent="0.35">
      <c r="B15" s="64">
        <v>1001</v>
      </c>
      <c r="C15" s="63">
        <v>7896004700502</v>
      </c>
      <c r="D15" s="19" t="s">
        <v>24</v>
      </c>
      <c r="E15" s="19" t="s">
        <v>25</v>
      </c>
      <c r="F15" s="20" t="str">
        <f>IF(ISERROR(VLOOKUP(B15,[1]TABELA!$A:$S,19,FALSE))=TRUE,"",VLOOKUP(B15,[1]TABELA!$A:$S,19,FALSE))</f>
        <v xml:space="preserve"> N</v>
      </c>
      <c r="G15" s="21">
        <f>IF(ISERROR(VLOOKUP($B15,[1]TABELA!$A:$T,17,FALSE))=TRUE,"",VLOOKUP($B15,[1]TABELA!$A:$T,17,FALSE))</f>
        <v>35</v>
      </c>
      <c r="H15" s="22">
        <v>44.96</v>
      </c>
      <c r="I15" s="23">
        <v>0.73450000000000004</v>
      </c>
      <c r="J15" s="24">
        <f t="shared" si="0"/>
        <v>11.258865215999995</v>
      </c>
    </row>
    <row r="16" spans="1:211" ht="15.75" customHeight="1" x14ac:dyDescent="0.35">
      <c r="B16" s="64">
        <v>1574</v>
      </c>
      <c r="C16" s="63">
        <v>7896004753218</v>
      </c>
      <c r="D16" s="19" t="s">
        <v>28</v>
      </c>
      <c r="E16" s="19" t="s">
        <v>26</v>
      </c>
      <c r="F16" s="20" t="str">
        <f>IF(ISERROR(VLOOKUP(B16,[1]TABELA!$A:$S,19,FALSE))=TRUE,"",VLOOKUP(B16,[1]TABELA!$A:$S,19,FALSE))</f>
        <v xml:space="preserve"> N</v>
      </c>
      <c r="G16" s="21">
        <f>IF(ISERROR(VLOOKUP($B16,[1]TABELA!$A:$T,17,FALSE))=TRUE,"",VLOOKUP($B16,[1]TABELA!$A:$T,17,FALSE))</f>
        <v>48</v>
      </c>
      <c r="H16" s="22">
        <v>28.29</v>
      </c>
      <c r="I16" s="23">
        <v>0.42620000000000002</v>
      </c>
      <c r="J16" s="24">
        <f t="shared" si="0"/>
        <v>15.3107788464</v>
      </c>
    </row>
    <row r="17" spans="2:10" ht="15.75" customHeight="1" x14ac:dyDescent="0.35">
      <c r="B17" s="64">
        <v>2292</v>
      </c>
      <c r="C17" s="63">
        <v>7896004769639</v>
      </c>
      <c r="D17" s="19" t="s">
        <v>29</v>
      </c>
      <c r="E17" s="19" t="s">
        <v>27</v>
      </c>
      <c r="F17" s="20" t="str">
        <f>IF(ISERROR(VLOOKUP(B17,[1]TABELA!$A:$S,19,FALSE))=TRUE,"",VLOOKUP(B17,[1]TABELA!$A:$S,19,FALSE))</f>
        <v>N</v>
      </c>
      <c r="G17" s="21">
        <f>IF(ISERROR(VLOOKUP($B17,[1]TABELA!$A:$T,17,FALSE))=TRUE,"",VLOOKUP($B17,[1]TABELA!$A:$T,17,FALSE))</f>
        <v>48</v>
      </c>
      <c r="H17" s="22">
        <v>55.27</v>
      </c>
      <c r="I17" s="23">
        <v>0.50180000000000002</v>
      </c>
      <c r="J17" s="24">
        <f t="shared" si="0"/>
        <v>25.971496804799997</v>
      </c>
    </row>
    <row r="18" spans="2:10" ht="15.75" customHeight="1" x14ac:dyDescent="0.35">
      <c r="B18" s="64">
        <v>1072</v>
      </c>
      <c r="C18" s="63">
        <v>7896004720609</v>
      </c>
      <c r="D18" s="19" t="s">
        <v>30</v>
      </c>
      <c r="E18" s="19" t="s">
        <v>31</v>
      </c>
      <c r="F18" s="20" t="str">
        <f>IF(ISERROR(VLOOKUP(B18,[1]TABELA!$A:$S,19,FALSE))=TRUE,"",VLOOKUP(B18,[1]TABELA!$A:$S,19,FALSE))</f>
        <v xml:space="preserve"> N</v>
      </c>
      <c r="G18" s="21">
        <f>IF(ISERROR(VLOOKUP($B18,[1]TABELA!$A:$T,17,FALSE))=TRUE,"",VLOOKUP($B18,[1]TABELA!$A:$T,17,FALSE))</f>
        <v>60</v>
      </c>
      <c r="H18" s="22">
        <v>13.78</v>
      </c>
      <c r="I18" s="23">
        <f>VLOOKUP($B18&amp;$I$4,'[1]POLITICA x CLUST'!A:H,8,0)</f>
        <v>0.53</v>
      </c>
      <c r="J18" s="24">
        <f t="shared" si="0"/>
        <v>6.1087291199999996</v>
      </c>
    </row>
    <row r="19" spans="2:10" ht="15.75" customHeight="1" x14ac:dyDescent="0.35">
      <c r="B19" s="64">
        <v>1318</v>
      </c>
      <c r="C19" s="63">
        <v>7896004733784</v>
      </c>
      <c r="D19" s="19" t="s">
        <v>32</v>
      </c>
      <c r="E19" s="19" t="s">
        <v>31</v>
      </c>
      <c r="F19" s="20" t="str">
        <f>IF(ISERROR(VLOOKUP(B19,[1]TABELA!$A:$S,19,FALSE))=TRUE,"",VLOOKUP(B19,[1]TABELA!$A:$S,19,FALSE))</f>
        <v xml:space="preserve"> N</v>
      </c>
      <c r="G19" s="21">
        <f>IF(ISERROR(VLOOKUP($B19,[1]TABELA!$A:$T,17,FALSE))=TRUE,"",VLOOKUP($B19,[1]TABELA!$A:$T,17,FALSE))</f>
        <v>60</v>
      </c>
      <c r="H19" s="22">
        <v>19.100000000000001</v>
      </c>
      <c r="I19" s="23">
        <f>VLOOKUP($B19&amp;$I$4,'[1]POLITICA x CLUST'!A:H,8,0)</f>
        <v>0.61999999999999988</v>
      </c>
      <c r="J19" s="24">
        <f t="shared" si="0"/>
        <v>6.8457456000000025</v>
      </c>
    </row>
    <row r="20" spans="2:10" ht="15.75" customHeight="1" x14ac:dyDescent="0.35">
      <c r="B20" s="64">
        <v>2141</v>
      </c>
      <c r="C20" s="63">
        <v>7896004706573</v>
      </c>
      <c r="D20" s="19" t="s">
        <v>33</v>
      </c>
      <c r="E20" s="19" t="s">
        <v>34</v>
      </c>
      <c r="F20" s="20" t="str">
        <f>IF(ISERROR(VLOOKUP(B20,[1]TABELA!$A:$S,19,FALSE))=TRUE,"",VLOOKUP(B20,[1]TABELA!$A:$S,19,FALSE))</f>
        <v xml:space="preserve"> N</v>
      </c>
      <c r="G20" s="21">
        <f>IF(ISERROR(VLOOKUP($B20,[1]TABELA!$A:$T,17,FALSE))=TRUE,"",VLOOKUP($B20,[1]TABELA!$A:$T,17,FALSE))</f>
        <v>60</v>
      </c>
      <c r="H20" s="22">
        <v>21.07</v>
      </c>
      <c r="I20" s="23">
        <v>0.60970000000000002</v>
      </c>
      <c r="J20" s="24">
        <f t="shared" si="0"/>
        <v>7.7565193271999995</v>
      </c>
    </row>
    <row r="21" spans="2:10" ht="15.75" customHeight="1" x14ac:dyDescent="0.35">
      <c r="B21" s="64">
        <v>1066</v>
      </c>
      <c r="C21" s="63">
        <v>7896004706764</v>
      </c>
      <c r="D21" s="19" t="s">
        <v>35</v>
      </c>
      <c r="E21" s="19" t="s">
        <v>31</v>
      </c>
      <c r="F21" s="20" t="str">
        <f>IF(ISERROR(VLOOKUP(B21,[1]TABELA!$A:$S,19,FALSE))=TRUE,"",VLOOKUP(B21,[1]TABELA!$A:$S,19,FALSE))</f>
        <v xml:space="preserve"> N</v>
      </c>
      <c r="G21" s="21">
        <f>IF(ISERROR(VLOOKUP($B21,[1]TABELA!$A:$T,17,FALSE))=TRUE,"",VLOOKUP($B21,[1]TABELA!$A:$T,17,FALSE))</f>
        <v>60</v>
      </c>
      <c r="H21" s="22">
        <v>28.47</v>
      </c>
      <c r="I21" s="23">
        <v>0.69830000000000003</v>
      </c>
      <c r="J21" s="24">
        <f t="shared" si="0"/>
        <v>8.1015211368000006</v>
      </c>
    </row>
    <row r="22" spans="2:10" ht="15.75" customHeight="1" x14ac:dyDescent="0.35">
      <c r="B22" s="64">
        <v>2322</v>
      </c>
      <c r="C22" s="63">
        <v>7896004770222</v>
      </c>
      <c r="D22" s="19" t="s">
        <v>36</v>
      </c>
      <c r="E22" s="19" t="s">
        <v>31</v>
      </c>
      <c r="F22" s="20" t="str">
        <f>IF(ISERROR(VLOOKUP(B22,[1]TABELA!$A:$S,19,FALSE))=TRUE,"",VLOOKUP(B22,[1]TABELA!$A:$S,19,FALSE))</f>
        <v>N</v>
      </c>
      <c r="G22" s="21">
        <f>IF(ISERROR(VLOOKUP($B22,[1]TABELA!$A:$T,17,FALSE))=TRUE,"",VLOOKUP($B22,[1]TABELA!$A:$T,17,FALSE))</f>
        <v>60</v>
      </c>
      <c r="H22" s="22">
        <v>33.81</v>
      </c>
      <c r="I22" s="23">
        <v>0.47360000000000002</v>
      </c>
      <c r="J22" s="24">
        <f t="shared" si="0"/>
        <v>16.786681228799999</v>
      </c>
    </row>
    <row r="23" spans="2:10" ht="15.75" customHeight="1" x14ac:dyDescent="0.35">
      <c r="B23" s="64">
        <v>2383</v>
      </c>
      <c r="C23" s="63">
        <v>7896004772318</v>
      </c>
      <c r="D23" s="58" t="s">
        <v>37</v>
      </c>
      <c r="E23" s="58" t="s">
        <v>31</v>
      </c>
      <c r="F23" s="59" t="str">
        <f>IF(ISERROR(VLOOKUP(B23,[1]TABELA!$A:$S,19,FALSE))=TRUE,"",VLOOKUP(B23,[1]TABELA!$A:$S,19,FALSE))</f>
        <v>N</v>
      </c>
      <c r="G23" s="60">
        <f>IF(ISERROR(VLOOKUP($B23,[1]TABELA!$A:$T,17,FALSE))=TRUE,"",VLOOKUP($B23,[1]TABELA!$A:$T,17,FALSE))</f>
        <v>60</v>
      </c>
      <c r="H23" s="61">
        <v>33.72</v>
      </c>
      <c r="I23" s="62">
        <v>0.62050000000000005</v>
      </c>
      <c r="J23" s="24">
        <f t="shared" si="0"/>
        <v>12.069885167999997</v>
      </c>
    </row>
    <row r="24" spans="2:10" ht="15.75" customHeight="1" x14ac:dyDescent="0.35">
      <c r="B24" s="64">
        <v>2384</v>
      </c>
      <c r="C24" s="63">
        <v>7896004772325</v>
      </c>
      <c r="D24" s="58" t="s">
        <v>38</v>
      </c>
      <c r="E24" s="58" t="s">
        <v>39</v>
      </c>
      <c r="F24" s="59" t="str">
        <f>IF(ISERROR(VLOOKUP(B24,[1]TABELA!$A:$S,19,FALSE))=TRUE,"",VLOOKUP(B24,[1]TABELA!$A:$S,19,FALSE))</f>
        <v>N</v>
      </c>
      <c r="G24" s="60">
        <f>IF(ISERROR(VLOOKUP($B24,[1]TABELA!$A:$T,17,FALSE))=TRUE,"",VLOOKUP($B24,[1]TABELA!$A:$T,17,FALSE))</f>
        <v>100</v>
      </c>
      <c r="H24" s="61">
        <v>33.81</v>
      </c>
      <c r="I24" s="62">
        <v>0.60899999999999999</v>
      </c>
      <c r="J24" s="24">
        <f t="shared" si="0"/>
        <v>12.468830472000002</v>
      </c>
    </row>
    <row r="25" spans="2:10" ht="15.75" customHeight="1" x14ac:dyDescent="0.35">
      <c r="B25" s="64">
        <v>2382</v>
      </c>
      <c r="C25" s="63">
        <v>7896004772301</v>
      </c>
      <c r="D25" s="58" t="s">
        <v>40</v>
      </c>
      <c r="E25" s="58" t="s">
        <v>41</v>
      </c>
      <c r="F25" s="59" t="str">
        <f>IF(ISERROR(VLOOKUP(B25,[1]TABELA!$A:$S,19,FALSE))=TRUE,"",VLOOKUP(B25,[1]TABELA!$A:$S,19,FALSE))</f>
        <v>N</v>
      </c>
      <c r="G25" s="60">
        <f>IF(ISERROR(VLOOKUP($B25,[1]TABELA!$A:$T,17,FALSE))=TRUE,"",VLOOKUP($B25,[1]TABELA!$A:$T,17,FALSE))</f>
        <v>120</v>
      </c>
      <c r="H25" s="61">
        <v>42.52</v>
      </c>
      <c r="I25" s="62">
        <v>0.47420000000000001</v>
      </c>
      <c r="J25" s="24">
        <f t="shared" si="0"/>
        <v>21.0871374912</v>
      </c>
    </row>
    <row r="26" spans="2:10" ht="15.75" customHeight="1" x14ac:dyDescent="0.35">
      <c r="B26" s="64">
        <v>2011</v>
      </c>
      <c r="C26" s="63">
        <v>7896004801216</v>
      </c>
      <c r="D26" s="19" t="s">
        <v>42</v>
      </c>
      <c r="E26" s="19" t="s">
        <v>43</v>
      </c>
      <c r="F26" s="20" t="str">
        <f>IF(ISERROR(VLOOKUP(B26,[1]TABELA!$A:$S,19,FALSE))=TRUE,"",VLOOKUP(B26,[1]TABELA!$A:$S,19,FALSE))</f>
        <v xml:space="preserve"> N</v>
      </c>
      <c r="G26" s="21">
        <f>IF(ISERROR(VLOOKUP($B26,[1]TABELA!$A:$T,17,FALSE))=TRUE,"",VLOOKUP($B26,[1]TABELA!$A:$T,17,FALSE))</f>
        <v>100</v>
      </c>
      <c r="H26" s="22">
        <v>29.68</v>
      </c>
      <c r="I26" s="23">
        <v>6.8199999999999997E-2</v>
      </c>
      <c r="J26" s="24">
        <f t="shared" si="0"/>
        <v>26.0849731968</v>
      </c>
    </row>
    <row r="27" spans="2:10" ht="15.75" customHeight="1" x14ac:dyDescent="0.35">
      <c r="B27" s="64">
        <v>1837</v>
      </c>
      <c r="C27" s="63">
        <v>7896004756301</v>
      </c>
      <c r="D27" s="19" t="s">
        <v>44</v>
      </c>
      <c r="E27" s="19" t="s">
        <v>27</v>
      </c>
      <c r="F27" s="20" t="str">
        <f>IF(ISERROR(VLOOKUP(B27,[1]TABELA!$A:$S,19,FALSE))=TRUE,"",VLOOKUP(B27,[1]TABELA!$A:$S,19,FALSE))</f>
        <v>N</v>
      </c>
      <c r="G27" s="21">
        <f>IF(ISERROR(VLOOKUP($B27,[1]TABELA!$A:$T,17,FALSE))=TRUE,"",VLOOKUP($B27,[1]TABELA!$A:$T,17,FALSE))</f>
        <v>27</v>
      </c>
      <c r="H27" s="22">
        <v>42.37</v>
      </c>
      <c r="I27" s="23">
        <v>0.64159999999999995</v>
      </c>
      <c r="J27" s="24">
        <f t="shared" si="0"/>
        <v>14.322876825600002</v>
      </c>
    </row>
    <row r="28" spans="2:10" ht="15.75" customHeight="1" x14ac:dyDescent="0.35">
      <c r="B28" s="64">
        <v>1838</v>
      </c>
      <c r="C28" s="63">
        <v>7896004756318</v>
      </c>
      <c r="D28" s="19" t="s">
        <v>45</v>
      </c>
      <c r="E28" s="19" t="s">
        <v>46</v>
      </c>
      <c r="F28" s="20" t="str">
        <f>IF(ISERROR(VLOOKUP(B28,[1]TABELA!$A:$S,19,FALSE))=TRUE,"",VLOOKUP(B28,[1]TABELA!$A:$S,19,FALSE))</f>
        <v>N</v>
      </c>
      <c r="G28" s="21">
        <f>IF(ISERROR(VLOOKUP($B28,[1]TABELA!$A:$T,17,FALSE))=TRUE,"",VLOOKUP($B28,[1]TABELA!$A:$T,17,FALSE))</f>
        <v>18</v>
      </c>
      <c r="H28" s="22">
        <v>84.69</v>
      </c>
      <c r="I28" s="23">
        <v>0.68640000000000001</v>
      </c>
      <c r="J28" s="24">
        <f t="shared" si="0"/>
        <v>25.050245068799995</v>
      </c>
    </row>
    <row r="29" spans="2:10" ht="15.75" customHeight="1" x14ac:dyDescent="0.35">
      <c r="B29" s="64">
        <v>1190</v>
      </c>
      <c r="C29" s="63">
        <v>7896004727806</v>
      </c>
      <c r="D29" s="19" t="s">
        <v>47</v>
      </c>
      <c r="E29" s="19" t="s">
        <v>31</v>
      </c>
      <c r="F29" s="20" t="str">
        <f>IF(ISERROR(VLOOKUP(B29,[1]TABELA!$A:$S,19,FALSE))=TRUE,"",VLOOKUP(B29,[1]TABELA!$A:$S,19,FALSE))</f>
        <v xml:space="preserve"> N</v>
      </c>
      <c r="G29" s="21">
        <f>IF(ISERROR(VLOOKUP($B29,[1]TABELA!$A:$T,17,FALSE))=TRUE,"",VLOOKUP($B29,[1]TABELA!$A:$T,17,FALSE))</f>
        <v>60</v>
      </c>
      <c r="H29" s="22">
        <v>23.97</v>
      </c>
      <c r="I29" s="23">
        <v>0.40920000000000001</v>
      </c>
      <c r="J29" s="24">
        <f t="shared" si="0"/>
        <v>13.357104163199999</v>
      </c>
    </row>
    <row r="30" spans="2:10" ht="15.75" customHeight="1" x14ac:dyDescent="0.35">
      <c r="B30" s="64">
        <v>2111</v>
      </c>
      <c r="C30" s="63">
        <v>7896004702322</v>
      </c>
      <c r="D30" s="19" t="s">
        <v>48</v>
      </c>
      <c r="E30" s="19" t="s">
        <v>49</v>
      </c>
      <c r="F30" s="20" t="str">
        <f>IF(ISERROR(VLOOKUP(B30,[1]TABELA!$A:$S,19,FALSE))=TRUE,"",VLOOKUP(B30,[1]TABELA!$A:$S,19,FALSE))</f>
        <v xml:space="preserve"> N</v>
      </c>
      <c r="G30" s="21">
        <f>IF(ISERROR(VLOOKUP($B30,[1]TABELA!$A:$T,17,FALSE))=TRUE,"",VLOOKUP($B30,[1]TABELA!$A:$T,17,FALSE))</f>
        <v>50</v>
      </c>
      <c r="H30" s="22">
        <v>21.07</v>
      </c>
      <c r="I30" s="23">
        <v>0.44879999999999998</v>
      </c>
      <c r="J30" s="24">
        <f t="shared" si="0"/>
        <v>10.954121068800001</v>
      </c>
    </row>
    <row r="31" spans="2:10" ht="15.75" customHeight="1" x14ac:dyDescent="0.35">
      <c r="B31" s="64">
        <v>2092</v>
      </c>
      <c r="C31" s="63">
        <v>7896004702346</v>
      </c>
      <c r="D31" s="19" t="s">
        <v>50</v>
      </c>
      <c r="E31" s="19" t="s">
        <v>49</v>
      </c>
      <c r="F31" s="20" t="str">
        <f>IF(ISERROR(VLOOKUP(B31,[1]TABELA!$A:$S,19,FALSE))=TRUE,"",VLOOKUP(B31,[1]TABELA!$A:$S,19,FALSE))</f>
        <v xml:space="preserve"> N</v>
      </c>
      <c r="G31" s="21">
        <f>IF(ISERROR(VLOOKUP($B31,[1]TABELA!$A:$T,17,FALSE))=TRUE,"",VLOOKUP($B31,[1]TABELA!$A:$T,17,FALSE))</f>
        <v>50</v>
      </c>
      <c r="H31" s="22">
        <v>21.07</v>
      </c>
      <c r="I31" s="23">
        <v>0.41760000000000003</v>
      </c>
      <c r="J31" s="24">
        <f t="shared" si="0"/>
        <v>11.5741656576</v>
      </c>
    </row>
    <row r="32" spans="2:10" ht="15.75" customHeight="1" x14ac:dyDescent="0.35">
      <c r="B32" s="64">
        <v>1016</v>
      </c>
      <c r="C32" s="63">
        <v>7896004705743</v>
      </c>
      <c r="D32" s="19" t="s">
        <v>51</v>
      </c>
      <c r="E32" s="19" t="s">
        <v>52</v>
      </c>
      <c r="F32" s="20" t="str">
        <f>IF(ISERROR(VLOOKUP(B32,[1]TABELA!$A:$S,19,FALSE))=TRUE,"",VLOOKUP(B32,[1]TABELA!$A:$S,19,FALSE))</f>
        <v xml:space="preserve"> N</v>
      </c>
      <c r="G32" s="21">
        <f>IF(ISERROR(VLOOKUP($B32,[1]TABELA!$A:$T,17,FALSE))=TRUE,"",VLOOKUP($B32,[1]TABELA!$A:$T,17,FALSE))</f>
        <v>60</v>
      </c>
      <c r="H32" s="22">
        <v>26.03</v>
      </c>
      <c r="I32" s="23">
        <v>0.52300000000000002</v>
      </c>
      <c r="J32" s="24">
        <f t="shared" si="0"/>
        <v>11.711063591999999</v>
      </c>
    </row>
    <row r="33" spans="2:10" ht="15.75" customHeight="1" x14ac:dyDescent="0.35">
      <c r="B33" s="64">
        <v>1015</v>
      </c>
      <c r="C33" s="63">
        <v>7896004805368</v>
      </c>
      <c r="D33" s="19" t="s">
        <v>53</v>
      </c>
      <c r="E33" s="19" t="s">
        <v>52</v>
      </c>
      <c r="F33" s="20" t="str">
        <f>IF(ISERROR(VLOOKUP(B33,[1]TABELA!$A:$S,19,FALSE))=TRUE,"",VLOOKUP(B33,[1]TABELA!$A:$S,19,FALSE))</f>
        <v xml:space="preserve"> N</v>
      </c>
      <c r="G33" s="21">
        <f>IF(ISERROR(VLOOKUP($B33,[1]TABELA!$A:$T,17,FALSE))=TRUE,"",VLOOKUP($B33,[1]TABELA!$A:$T,17,FALSE))</f>
        <v>60</v>
      </c>
      <c r="H33" s="22">
        <v>17.91</v>
      </c>
      <c r="I33" s="23">
        <f>VLOOKUP($B33&amp;$I$4,'[1]POLITICA x CLUST'!A:H,8,0)</f>
        <v>0.5099999999999999</v>
      </c>
      <c r="J33" s="24">
        <f t="shared" si="0"/>
        <v>8.2774288800000022</v>
      </c>
    </row>
    <row r="34" spans="2:10" ht="15.75" customHeight="1" x14ac:dyDescent="0.35">
      <c r="B34" s="64">
        <v>1168</v>
      </c>
      <c r="C34" s="63">
        <v>7896004726700</v>
      </c>
      <c r="D34" s="19" t="s">
        <v>54</v>
      </c>
      <c r="E34" s="19" t="s">
        <v>55</v>
      </c>
      <c r="F34" s="20" t="str">
        <f>IF(ISERROR(VLOOKUP(B34,[1]TABELA!$A:$S,19,FALSE))=TRUE,"",VLOOKUP(B34,[1]TABELA!$A:$S,19,FALSE))</f>
        <v xml:space="preserve"> N</v>
      </c>
      <c r="G34" s="21">
        <f>IF(ISERROR(VLOOKUP($B34,[1]TABELA!$A:$T,17,FALSE))=TRUE,"",VLOOKUP($B34,[1]TABELA!$A:$T,17,FALSE))</f>
        <v>60</v>
      </c>
      <c r="H34" s="22">
        <v>14.87</v>
      </c>
      <c r="I34" s="23">
        <v>0.61</v>
      </c>
      <c r="J34" s="24">
        <f t="shared" si="0"/>
        <v>5.4698997600000006</v>
      </c>
    </row>
    <row r="35" spans="2:10" ht="15.75" customHeight="1" x14ac:dyDescent="0.35">
      <c r="B35" s="64">
        <v>2768</v>
      </c>
      <c r="C35" s="63">
        <v>7896004794211</v>
      </c>
      <c r="D35" s="19" t="s">
        <v>159</v>
      </c>
      <c r="E35" s="19" t="s">
        <v>160</v>
      </c>
      <c r="F35" s="20"/>
      <c r="G35" s="21"/>
      <c r="H35" s="22">
        <v>44.59</v>
      </c>
      <c r="I35" s="23">
        <v>0.70699999999999996</v>
      </c>
      <c r="J35" s="24">
        <f t="shared" si="0"/>
        <v>12.322785384000003</v>
      </c>
    </row>
    <row r="36" spans="2:10" ht="15.75" customHeight="1" x14ac:dyDescent="0.35">
      <c r="B36" s="64">
        <v>2318</v>
      </c>
      <c r="C36" s="63">
        <v>7896004770185</v>
      </c>
      <c r="D36" s="19" t="s">
        <v>56</v>
      </c>
      <c r="E36" s="19" t="s">
        <v>57</v>
      </c>
      <c r="F36" s="20" t="str">
        <f>IF(ISERROR(VLOOKUP(B36,[1]TABELA!$A:$S,19,FALSE))=TRUE,"",VLOOKUP(B36,[1]TABELA!$A:$S,19,FALSE))</f>
        <v>N</v>
      </c>
      <c r="G36" s="21">
        <f>IF(ISERROR(VLOOKUP($B36,[1]TABELA!$A:$T,17,FALSE))=TRUE,"",VLOOKUP($B36,[1]TABELA!$A:$T,17,FALSE))</f>
        <v>54</v>
      </c>
      <c r="H36" s="22">
        <v>76.02</v>
      </c>
      <c r="I36" s="23">
        <v>0.51590000000000003</v>
      </c>
      <c r="J36" s="24">
        <f t="shared" si="0"/>
        <v>34.710969182399992</v>
      </c>
    </row>
    <row r="37" spans="2:10" ht="15.75" customHeight="1" x14ac:dyDescent="0.35">
      <c r="B37" s="64">
        <v>2062</v>
      </c>
      <c r="C37" s="63">
        <v>7896004717999</v>
      </c>
      <c r="D37" s="19" t="s">
        <v>58</v>
      </c>
      <c r="E37" s="19" t="s">
        <v>59</v>
      </c>
      <c r="F37" s="20" t="str">
        <f>IF(ISERROR(VLOOKUP(B37,[1]TABELA!$A:$S,19,FALSE))=TRUE,"",VLOOKUP(B37,[1]TABELA!$A:$S,19,FALSE))</f>
        <v>N</v>
      </c>
      <c r="G37" s="21">
        <f>IF(ISERROR(VLOOKUP($B37,[1]TABELA!$A:$T,17,FALSE))=TRUE,"",VLOOKUP($B37,[1]TABELA!$A:$T,17,FALSE))</f>
        <v>50</v>
      </c>
      <c r="H37" s="22">
        <v>101.41</v>
      </c>
      <c r="I37" s="23">
        <v>0.4032</v>
      </c>
      <c r="J37" s="24">
        <f t="shared" si="0"/>
        <v>57.083867481599995</v>
      </c>
    </row>
    <row r="38" spans="2:10" ht="15.75" customHeight="1" x14ac:dyDescent="0.35">
      <c r="B38" s="64">
        <v>1471</v>
      </c>
      <c r="C38" s="63">
        <v>7896004746012</v>
      </c>
      <c r="D38" s="19" t="s">
        <v>60</v>
      </c>
      <c r="E38" s="19" t="s">
        <v>61</v>
      </c>
      <c r="F38" s="20" t="str">
        <f>IF(ISERROR(VLOOKUP(B38,[1]TABELA!$A:$S,19,FALSE))=TRUE,"",VLOOKUP(B38,[1]TABELA!$A:$S,19,FALSE))</f>
        <v xml:space="preserve"> N</v>
      </c>
      <c r="G38" s="21">
        <f>IF(ISERROR(VLOOKUP($B38,[1]TABELA!$A:$T,17,FALSE))=TRUE,"",VLOOKUP($B38,[1]TABELA!$A:$T,17,FALSE))</f>
        <v>60</v>
      </c>
      <c r="H38" s="22">
        <v>23.8</v>
      </c>
      <c r="I38" s="23">
        <v>0.69259999999999999</v>
      </c>
      <c r="J38" s="24">
        <f t="shared" si="0"/>
        <v>6.9005643840000017</v>
      </c>
    </row>
    <row r="39" spans="2:10" ht="15.75" customHeight="1" x14ac:dyDescent="0.35">
      <c r="B39" s="64">
        <v>1175</v>
      </c>
      <c r="C39" s="63">
        <v>7896004727158</v>
      </c>
      <c r="D39" s="19" t="s">
        <v>62</v>
      </c>
      <c r="E39" s="19" t="s">
        <v>63</v>
      </c>
      <c r="F39" s="20" t="str">
        <f>IF(ISERROR(VLOOKUP(B39,[1]TABELA!$A:$S,19,FALSE))=TRUE,"",VLOOKUP(B39,[1]TABELA!$A:$S,19,FALSE))</f>
        <v xml:space="preserve"> N</v>
      </c>
      <c r="G39" s="21">
        <f>IF(ISERROR(VLOOKUP($B39,[1]TABELA!$A:$T,17,FALSE))=TRUE,"",VLOOKUP($B39,[1]TABELA!$A:$T,17,FALSE))</f>
        <v>48</v>
      </c>
      <c r="H39" s="22">
        <v>13.63</v>
      </c>
      <c r="I39" s="23">
        <v>0.70420000000000005</v>
      </c>
      <c r="J39" s="24">
        <f t="shared" si="0"/>
        <v>3.8027503727999994</v>
      </c>
    </row>
    <row r="40" spans="2:10" ht="15.75" customHeight="1" x14ac:dyDescent="0.35">
      <c r="B40" s="64">
        <v>1821</v>
      </c>
      <c r="C40" s="63">
        <v>7896004755502</v>
      </c>
      <c r="D40" s="19" t="s">
        <v>64</v>
      </c>
      <c r="E40" s="19" t="s">
        <v>65</v>
      </c>
      <c r="F40" s="20" t="str">
        <f>IF(ISERROR(VLOOKUP(B40,[1]TABELA!$A:$S,19,FALSE))=TRUE,"",VLOOKUP(B40,[1]TABELA!$A:$S,19,FALSE))</f>
        <v xml:space="preserve"> N</v>
      </c>
      <c r="G40" s="21">
        <f>IF(ISERROR(VLOOKUP($B40,[1]TABELA!$A:$T,17,FALSE))=TRUE,"",VLOOKUP($B40,[1]TABELA!$A:$T,17,FALSE))</f>
        <v>24</v>
      </c>
      <c r="H40" s="22">
        <v>210.62</v>
      </c>
      <c r="I40" s="23">
        <v>0.78149999999999997</v>
      </c>
      <c r="J40" s="24">
        <f t="shared" si="0"/>
        <v>43.406507304000016</v>
      </c>
    </row>
    <row r="41" spans="2:10" ht="15.75" customHeight="1" x14ac:dyDescent="0.35">
      <c r="B41" s="64">
        <v>2138</v>
      </c>
      <c r="C41" s="63">
        <v>7896004705682</v>
      </c>
      <c r="D41" s="19" t="s">
        <v>66</v>
      </c>
      <c r="E41" s="19" t="s">
        <v>23</v>
      </c>
      <c r="F41" s="20" t="str">
        <f>IF(ISERROR(VLOOKUP(B41,[1]TABELA!$A:$S,19,FALSE))=TRUE,"",VLOOKUP(B41,[1]TABELA!$A:$S,19,FALSE))</f>
        <v xml:space="preserve"> N</v>
      </c>
      <c r="G41" s="21">
        <f>IF(ISERROR(VLOOKUP($B41,[1]TABELA!$A:$T,17,FALSE))=TRUE,"",VLOOKUP($B41,[1]TABELA!$A:$T,17,FALSE))</f>
        <v>48</v>
      </c>
      <c r="H41" s="22">
        <v>27.52</v>
      </c>
      <c r="I41" s="23">
        <v>0.70850000000000002</v>
      </c>
      <c r="J41" s="24">
        <f t="shared" si="0"/>
        <v>7.5664258559999986</v>
      </c>
    </row>
    <row r="42" spans="2:10" ht="15.75" customHeight="1" x14ac:dyDescent="0.35">
      <c r="B42" s="64">
        <v>6011</v>
      </c>
      <c r="C42" s="63">
        <v>7896004714578</v>
      </c>
      <c r="D42" s="19" t="s">
        <v>67</v>
      </c>
      <c r="E42" s="19" t="s">
        <v>68</v>
      </c>
      <c r="F42" s="20" t="str">
        <f>IF(ISERROR(VLOOKUP(B42,[1]TABELA!$A:$S,19,FALSE))=TRUE,"",VLOOKUP(B42,[1]TABELA!$A:$S,19,FALSE))</f>
        <v xml:space="preserve"> N</v>
      </c>
      <c r="G42" s="21">
        <f>IF(ISERROR(VLOOKUP($B42,[1]TABELA!$A:$T,17,FALSE))=TRUE,"",VLOOKUP($B42,[1]TABELA!$A:$T,17,FALSE))</f>
        <v>100</v>
      </c>
      <c r="H42" s="22">
        <v>28.69</v>
      </c>
      <c r="I42" s="23">
        <v>0.69369999999999998</v>
      </c>
      <c r="J42" s="24">
        <f t="shared" si="0"/>
        <v>8.2886029703999995</v>
      </c>
    </row>
    <row r="43" spans="2:10" ht="15.75" customHeight="1" x14ac:dyDescent="0.35">
      <c r="B43" s="64">
        <v>2604</v>
      </c>
      <c r="C43" s="63">
        <v>7896004788371</v>
      </c>
      <c r="D43" s="19" t="s">
        <v>69</v>
      </c>
      <c r="E43" s="19" t="s">
        <v>70</v>
      </c>
      <c r="F43" s="20" t="str">
        <f>IF(ISERROR(VLOOKUP(B43,[1]TABELA!$A:$S,19,FALSE))=TRUE,"",VLOOKUP(B43,[1]TABELA!$A:$S,19,FALSE))</f>
        <v xml:space="preserve"> N</v>
      </c>
      <c r="G43" s="21">
        <f>IF(ISERROR(VLOOKUP($B43,[1]TABELA!$A:$T,17,FALSE))=TRUE,"",VLOOKUP($B43,[1]TABELA!$A:$T,17,FALSE))</f>
        <v>21</v>
      </c>
      <c r="H43" s="22">
        <v>84.4</v>
      </c>
      <c r="I43" s="23">
        <v>0.58599999999999997</v>
      </c>
      <c r="J43" s="24">
        <f t="shared" si="0"/>
        <v>32.956917120000007</v>
      </c>
    </row>
    <row r="44" spans="2:10" ht="15.75" customHeight="1" x14ac:dyDescent="0.35">
      <c r="B44" s="64">
        <v>2605</v>
      </c>
      <c r="C44" s="63">
        <v>7896004788388</v>
      </c>
      <c r="D44" s="19" t="s">
        <v>71</v>
      </c>
      <c r="E44" s="19" t="s">
        <v>72</v>
      </c>
      <c r="F44" s="20" t="str">
        <f>IF(ISERROR(VLOOKUP(B44,[1]TABELA!$A:$S,19,FALSE))=TRUE,"",VLOOKUP(B44,[1]TABELA!$A:$S,19,FALSE))</f>
        <v xml:space="preserve"> N</v>
      </c>
      <c r="G44" s="21">
        <f>IF(ISERROR(VLOOKUP($B44,[1]TABELA!$A:$T,17,FALSE))=TRUE,"",VLOOKUP($B44,[1]TABELA!$A:$T,17,FALSE))</f>
        <v>28</v>
      </c>
      <c r="H44" s="22">
        <v>70.33</v>
      </c>
      <c r="I44" s="23">
        <v>0.54</v>
      </c>
      <c r="J44" s="24">
        <f t="shared" si="0"/>
        <v>30.514217759999998</v>
      </c>
    </row>
    <row r="45" spans="2:10" ht="15.75" customHeight="1" x14ac:dyDescent="0.35">
      <c r="B45" s="64">
        <v>1433</v>
      </c>
      <c r="C45" s="63">
        <v>7896004742847</v>
      </c>
      <c r="D45" s="19" t="s">
        <v>73</v>
      </c>
      <c r="E45" s="19" t="s">
        <v>74</v>
      </c>
      <c r="F45" s="20" t="str">
        <f>IF(ISERROR(VLOOKUP(B45,[1]TABELA!$A:$S,19,FALSE))=TRUE,"",VLOOKUP(B45,[1]TABELA!$A:$S,19,FALSE))</f>
        <v>N</v>
      </c>
      <c r="G45" s="21">
        <f>IF(ISERROR(VLOOKUP($B45,[1]TABELA!$A:$T,17,FALSE))=TRUE,"",VLOOKUP($B45,[1]TABELA!$A:$T,17,FALSE))</f>
        <v>25</v>
      </c>
      <c r="H45" s="22">
        <v>29.94</v>
      </c>
      <c r="I45" s="23">
        <v>0.66649999999999998</v>
      </c>
      <c r="J45" s="24">
        <f t="shared" si="0"/>
        <v>9.4178425679999993</v>
      </c>
    </row>
    <row r="46" spans="2:10" ht="15.75" customHeight="1" x14ac:dyDescent="0.35">
      <c r="B46" s="64">
        <v>6005</v>
      </c>
      <c r="C46" s="63">
        <v>7896004803456</v>
      </c>
      <c r="D46" s="19" t="s">
        <v>75</v>
      </c>
      <c r="E46" s="19" t="s">
        <v>76</v>
      </c>
      <c r="F46" s="20" t="str">
        <f>IF(ISERROR(VLOOKUP(B46,[1]TABELA!$A:$S,19,FALSE))=TRUE,"",VLOOKUP(B46,[1]TABELA!$A:$S,19,FALSE))</f>
        <v xml:space="preserve"> N</v>
      </c>
      <c r="G46" s="21">
        <f>IF(ISERROR(VLOOKUP($B46,[1]TABELA!$A:$T,17,FALSE))=TRUE,"",VLOOKUP($B46,[1]TABELA!$A:$T,17,FALSE))</f>
        <v>100</v>
      </c>
      <c r="H46" s="22">
        <v>16.11</v>
      </c>
      <c r="I46" s="23">
        <v>0.65990000000000004</v>
      </c>
      <c r="J46" s="24">
        <f t="shared" si="0"/>
        <v>5.1678031751999995</v>
      </c>
    </row>
    <row r="47" spans="2:10" ht="15.75" customHeight="1" x14ac:dyDescent="0.35">
      <c r="B47" s="64">
        <v>6006</v>
      </c>
      <c r="C47" s="63">
        <v>7896004803463</v>
      </c>
      <c r="D47" s="19" t="s">
        <v>77</v>
      </c>
      <c r="E47" s="19" t="s">
        <v>76</v>
      </c>
      <c r="F47" s="20" t="str">
        <f>IF(ISERROR(VLOOKUP(B47,[1]TABELA!$A:$S,19,FALSE))=TRUE,"",VLOOKUP(B47,[1]TABELA!$A:$S,19,FALSE))</f>
        <v xml:space="preserve"> N</v>
      </c>
      <c r="G47" s="21">
        <f>IF(ISERROR(VLOOKUP($B47,[1]TABELA!$A:$T,17,FALSE))=TRUE,"",VLOOKUP($B47,[1]TABELA!$A:$T,17,FALSE))</f>
        <v>100</v>
      </c>
      <c r="H47" s="22">
        <v>17.22</v>
      </c>
      <c r="I47" s="23">
        <v>0.68169999999999997</v>
      </c>
      <c r="J47" s="24">
        <f t="shared" si="0"/>
        <v>5.1697980432000001</v>
      </c>
    </row>
    <row r="48" spans="2:10" ht="15.75" customHeight="1" x14ac:dyDescent="0.35">
      <c r="B48" s="64">
        <v>1079</v>
      </c>
      <c r="C48" s="63">
        <v>7896004721583</v>
      </c>
      <c r="D48" s="19" t="s">
        <v>78</v>
      </c>
      <c r="E48" s="19" t="s">
        <v>79</v>
      </c>
      <c r="F48" s="20" t="str">
        <f>IF(ISERROR(VLOOKUP(B48,[1]TABELA!$A:$S,19,FALSE))=TRUE,"",VLOOKUP(B48,[1]TABELA!$A:$S,19,FALSE))</f>
        <v xml:space="preserve"> N</v>
      </c>
      <c r="G48" s="21">
        <f>IF(ISERROR(VLOOKUP($B48,[1]TABELA!$A:$T,17,FALSE))=TRUE,"",VLOOKUP($B48,[1]TABELA!$A:$T,17,FALSE))</f>
        <v>25</v>
      </c>
      <c r="H48" s="22">
        <v>27.02</v>
      </c>
      <c r="I48" s="23">
        <v>0.65600000000000003</v>
      </c>
      <c r="J48" s="24">
        <f t="shared" si="0"/>
        <v>8.7669308159999986</v>
      </c>
    </row>
    <row r="49" spans="2:10" ht="15.75" customHeight="1" x14ac:dyDescent="0.35">
      <c r="B49" s="64">
        <v>2398</v>
      </c>
      <c r="C49" s="63">
        <v>7896004774107</v>
      </c>
      <c r="D49" s="19" t="s">
        <v>80</v>
      </c>
      <c r="E49" s="19" t="s">
        <v>81</v>
      </c>
      <c r="F49" s="20" t="str">
        <f>IF(ISERROR(VLOOKUP(B49,[1]TABELA!$A:$S,19,FALSE))=TRUE,"",VLOOKUP(B49,[1]TABELA!$A:$S,19,FALSE))</f>
        <v>N</v>
      </c>
      <c r="G49" s="21">
        <f>IF(ISERROR(VLOOKUP($B49,[1]TABELA!$A:$T,17,FALSE))=TRUE,"",VLOOKUP($B49,[1]TABELA!$A:$T,17,FALSE))</f>
        <v>48</v>
      </c>
      <c r="H49" s="22">
        <v>49.29</v>
      </c>
      <c r="I49" s="23">
        <v>0.61939999999999995</v>
      </c>
      <c r="J49" s="24">
        <f t="shared" ref="J49:J54" si="1">H49-(H49*I49)-((H49-(H49*I49))*$I$6)</f>
        <v>17.694218836800005</v>
      </c>
    </row>
    <row r="50" spans="2:10" ht="15.75" customHeight="1" x14ac:dyDescent="0.35">
      <c r="B50" s="64">
        <v>2769</v>
      </c>
      <c r="C50" s="63">
        <v>7896004794082</v>
      </c>
      <c r="D50" s="19" t="s">
        <v>161</v>
      </c>
      <c r="E50" s="19" t="s">
        <v>162</v>
      </c>
      <c r="F50" s="20"/>
      <c r="G50" s="21"/>
      <c r="H50" s="22">
        <v>143.51</v>
      </c>
      <c r="I50" s="23">
        <v>0.70599999999999996</v>
      </c>
      <c r="J50" s="24">
        <f t="shared" si="1"/>
        <v>39.795437808000003</v>
      </c>
    </row>
    <row r="51" spans="2:10" ht="15.75" customHeight="1" x14ac:dyDescent="0.35">
      <c r="B51" s="64">
        <v>1818</v>
      </c>
      <c r="C51" s="63">
        <v>7896004755458</v>
      </c>
      <c r="D51" s="19" t="s">
        <v>82</v>
      </c>
      <c r="E51" s="19" t="s">
        <v>83</v>
      </c>
      <c r="F51" s="20" t="str">
        <f>IF(ISERROR(VLOOKUP(B51,[1]TABELA!$A:$S,19,FALSE))=TRUE,"",VLOOKUP(B51,[1]TABELA!$A:$S,19,FALSE))</f>
        <v>NEUT</v>
      </c>
      <c r="G51" s="21">
        <f>IF(ISERROR(VLOOKUP($B51,[1]TABELA!$A:$T,17,FALSE))=TRUE,"",VLOOKUP($B51,[1]TABELA!$A:$T,17,FALSE))</f>
        <v>60</v>
      </c>
      <c r="H51" s="22">
        <v>99.91</v>
      </c>
      <c r="I51" s="23">
        <v>0.80920000000000003</v>
      </c>
      <c r="J51" s="24">
        <f t="shared" si="1"/>
        <v>17.980059369599996</v>
      </c>
    </row>
    <row r="52" spans="2:10" ht="15.75" customHeight="1" x14ac:dyDescent="0.35">
      <c r="B52" s="64">
        <v>1819</v>
      </c>
      <c r="C52" s="63">
        <v>7896004755465</v>
      </c>
      <c r="D52" s="19" t="s">
        <v>84</v>
      </c>
      <c r="E52" s="19" t="s">
        <v>85</v>
      </c>
      <c r="F52" s="20" t="str">
        <f>IF(ISERROR(VLOOKUP(B52,[1]TABELA!$A:$S,19,FALSE))=TRUE,"",VLOOKUP(B52,[1]TABELA!$A:$S,19,FALSE))</f>
        <v>NEUT</v>
      </c>
      <c r="G52" s="21">
        <f>IF(ISERROR(VLOOKUP($B52,[1]TABELA!$A:$T,17,FALSE))=TRUE,"",VLOOKUP($B52,[1]TABELA!$A:$T,17,FALSE))</f>
        <v>25</v>
      </c>
      <c r="H52" s="22">
        <v>172.96</v>
      </c>
      <c r="I52" s="23">
        <v>0.7984</v>
      </c>
      <c r="J52" s="24">
        <f t="shared" si="1"/>
        <v>32.888191795200015</v>
      </c>
    </row>
    <row r="53" spans="2:10" ht="15.75" customHeight="1" x14ac:dyDescent="0.35">
      <c r="B53" s="64">
        <v>2036</v>
      </c>
      <c r="C53" s="63">
        <v>7896004712857</v>
      </c>
      <c r="D53" s="19" t="s">
        <v>86</v>
      </c>
      <c r="E53" s="19" t="s">
        <v>87</v>
      </c>
      <c r="F53" s="20" t="str">
        <f>IF(ISERROR(VLOOKUP(B53,[1]TABELA!$A:$S,19,FALSE))=TRUE,"",VLOOKUP(B53,[1]TABELA!$A:$S,19,FALSE))</f>
        <v>N</v>
      </c>
      <c r="G53" s="21">
        <f>IF(ISERROR(VLOOKUP($B53,[1]TABELA!$A:$T,17,FALSE))=TRUE,"",VLOOKUP($B53,[1]TABELA!$A:$T,17,FALSE))</f>
        <v>120</v>
      </c>
      <c r="H53" s="22">
        <v>20.36</v>
      </c>
      <c r="I53" s="23">
        <v>0.50180000000000002</v>
      </c>
      <c r="J53" s="24">
        <f t="shared" si="1"/>
        <v>9.5672096063999987</v>
      </c>
    </row>
    <row r="54" spans="2:10" x14ac:dyDescent="0.35">
      <c r="B54" s="64">
        <v>2459</v>
      </c>
      <c r="C54" s="63">
        <v>7896004776804</v>
      </c>
      <c r="D54" s="19" t="s">
        <v>157</v>
      </c>
      <c r="E54" s="19" t="s">
        <v>158</v>
      </c>
      <c r="F54" s="20"/>
      <c r="G54" s="21">
        <v>60</v>
      </c>
      <c r="H54" s="22">
        <v>39.770000000000003</v>
      </c>
      <c r="I54" s="23">
        <v>0.67390000000000005</v>
      </c>
      <c r="J54" s="24">
        <f t="shared" si="1"/>
        <v>12.232357970399999</v>
      </c>
    </row>
    <row r="55" spans="2:10" x14ac:dyDescent="0.35">
      <c r="F55"/>
      <c r="G55"/>
    </row>
    <row r="56" spans="2:10" x14ac:dyDescent="0.35">
      <c r="F56"/>
      <c r="G56"/>
    </row>
    <row r="57" spans="2:10" x14ac:dyDescent="0.35">
      <c r="F57"/>
      <c r="G57"/>
    </row>
    <row r="58" spans="2:10" x14ac:dyDescent="0.35">
      <c r="F58"/>
      <c r="G58"/>
    </row>
    <row r="59" spans="2:10" x14ac:dyDescent="0.35">
      <c r="F59"/>
      <c r="G59"/>
    </row>
    <row r="60" spans="2:10" x14ac:dyDescent="0.35">
      <c r="F60"/>
      <c r="G60"/>
    </row>
    <row r="61" spans="2:10" x14ac:dyDescent="0.35">
      <c r="F61"/>
      <c r="G61"/>
    </row>
    <row r="62" spans="2:10" x14ac:dyDescent="0.35">
      <c r="F62"/>
      <c r="G62"/>
    </row>
    <row r="63" spans="2:10" x14ac:dyDescent="0.35">
      <c r="F63"/>
      <c r="G63"/>
    </row>
    <row r="64" spans="2:10" x14ac:dyDescent="0.35">
      <c r="F64"/>
      <c r="G64"/>
    </row>
    <row r="65" spans="6:7" x14ac:dyDescent="0.35">
      <c r="F65"/>
      <c r="G65"/>
    </row>
    <row r="66" spans="6:7" x14ac:dyDescent="0.35">
      <c r="F66"/>
      <c r="G66"/>
    </row>
    <row r="67" spans="6:7" x14ac:dyDescent="0.35">
      <c r="F67"/>
      <c r="G67"/>
    </row>
    <row r="68" spans="6:7" x14ac:dyDescent="0.35">
      <c r="F68"/>
      <c r="G68"/>
    </row>
    <row r="69" spans="6:7" x14ac:dyDescent="0.35">
      <c r="F69"/>
      <c r="G69"/>
    </row>
    <row r="70" spans="6:7" x14ac:dyDescent="0.35">
      <c r="F70"/>
      <c r="G70"/>
    </row>
    <row r="71" spans="6:7" x14ac:dyDescent="0.35">
      <c r="F71"/>
      <c r="G71"/>
    </row>
    <row r="72" spans="6:7" x14ac:dyDescent="0.35">
      <c r="F72"/>
      <c r="G72"/>
    </row>
    <row r="73" spans="6:7" x14ac:dyDescent="0.35">
      <c r="F73"/>
      <c r="G73"/>
    </row>
    <row r="74" spans="6:7" x14ac:dyDescent="0.35">
      <c r="F74"/>
      <c r="G74"/>
    </row>
    <row r="75" spans="6:7" x14ac:dyDescent="0.35">
      <c r="F75"/>
      <c r="G75"/>
    </row>
    <row r="76" spans="6:7" x14ac:dyDescent="0.35">
      <c r="F76"/>
      <c r="G76"/>
    </row>
    <row r="77" spans="6:7" x14ac:dyDescent="0.35">
      <c r="F77"/>
      <c r="G77"/>
    </row>
    <row r="78" spans="6:7" x14ac:dyDescent="0.35">
      <c r="F78"/>
      <c r="G78"/>
    </row>
    <row r="79" spans="6:7" x14ac:dyDescent="0.35">
      <c r="F79"/>
      <c r="G79"/>
    </row>
    <row r="80" spans="6:7" x14ac:dyDescent="0.35">
      <c r="F80"/>
      <c r="G80"/>
    </row>
    <row r="81" spans="6:7" x14ac:dyDescent="0.35">
      <c r="F81"/>
      <c r="G81"/>
    </row>
    <row r="82" spans="6:7" x14ac:dyDescent="0.35">
      <c r="F82"/>
      <c r="G82"/>
    </row>
    <row r="83" spans="6:7" x14ac:dyDescent="0.35">
      <c r="F83"/>
      <c r="G83"/>
    </row>
    <row r="84" spans="6:7" x14ac:dyDescent="0.35">
      <c r="F84"/>
      <c r="G84"/>
    </row>
    <row r="85" spans="6:7" x14ac:dyDescent="0.35">
      <c r="F85"/>
      <c r="G85"/>
    </row>
    <row r="86" spans="6:7" x14ac:dyDescent="0.35">
      <c r="F86"/>
      <c r="G86"/>
    </row>
    <row r="87" spans="6:7" x14ac:dyDescent="0.35">
      <c r="F87"/>
      <c r="G87"/>
    </row>
    <row r="88" spans="6:7" x14ac:dyDescent="0.35">
      <c r="F88"/>
      <c r="G88"/>
    </row>
    <row r="89" spans="6:7" x14ac:dyDescent="0.35">
      <c r="F89"/>
      <c r="G89"/>
    </row>
    <row r="90" spans="6:7" x14ac:dyDescent="0.35">
      <c r="F90"/>
      <c r="G90"/>
    </row>
    <row r="91" spans="6:7" x14ac:dyDescent="0.35">
      <c r="F91"/>
      <c r="G91"/>
    </row>
    <row r="92" spans="6:7" x14ac:dyDescent="0.35">
      <c r="F92"/>
      <c r="G92"/>
    </row>
    <row r="93" spans="6:7" x14ac:dyDescent="0.35">
      <c r="F93"/>
      <c r="G93"/>
    </row>
    <row r="94" spans="6:7" x14ac:dyDescent="0.35">
      <c r="F94"/>
      <c r="G94"/>
    </row>
    <row r="95" spans="6:7" x14ac:dyDescent="0.35">
      <c r="F95"/>
      <c r="G95"/>
    </row>
    <row r="96" spans="6:7" x14ac:dyDescent="0.35">
      <c r="F96"/>
      <c r="G96"/>
    </row>
    <row r="97" spans="6:7" x14ac:dyDescent="0.35">
      <c r="F97"/>
      <c r="G97"/>
    </row>
    <row r="98" spans="6:7" x14ac:dyDescent="0.35">
      <c r="F98"/>
      <c r="G98"/>
    </row>
    <row r="99" spans="6:7" x14ac:dyDescent="0.35">
      <c r="F99"/>
      <c r="G99"/>
    </row>
    <row r="100" spans="6:7" x14ac:dyDescent="0.35">
      <c r="F100"/>
      <c r="G100"/>
    </row>
    <row r="101" spans="6:7" x14ac:dyDescent="0.35">
      <c r="F101"/>
      <c r="G101"/>
    </row>
    <row r="102" spans="6:7" x14ac:dyDescent="0.35">
      <c r="F102"/>
      <c r="G102"/>
    </row>
    <row r="103" spans="6:7" x14ac:dyDescent="0.35">
      <c r="F103"/>
      <c r="G103"/>
    </row>
    <row r="104" spans="6:7" x14ac:dyDescent="0.35">
      <c r="F104"/>
      <c r="G104"/>
    </row>
    <row r="105" spans="6:7" x14ac:dyDescent="0.35">
      <c r="F105"/>
      <c r="G105"/>
    </row>
    <row r="106" spans="6:7" x14ac:dyDescent="0.35">
      <c r="F106"/>
      <c r="G106"/>
    </row>
    <row r="107" spans="6:7" x14ac:dyDescent="0.35">
      <c r="F107"/>
      <c r="G107"/>
    </row>
    <row r="108" spans="6:7" x14ac:dyDescent="0.35">
      <c r="F108"/>
      <c r="G108"/>
    </row>
    <row r="109" spans="6:7" x14ac:dyDescent="0.35">
      <c r="F109"/>
      <c r="G109"/>
    </row>
    <row r="110" spans="6:7" x14ac:dyDescent="0.35">
      <c r="F110"/>
      <c r="G110"/>
    </row>
    <row r="111" spans="6:7" x14ac:dyDescent="0.35">
      <c r="F111"/>
      <c r="G111"/>
    </row>
    <row r="112" spans="6:7" x14ac:dyDescent="0.35">
      <c r="F112"/>
      <c r="G112"/>
    </row>
    <row r="113" spans="6:7" x14ac:dyDescent="0.35">
      <c r="F113"/>
      <c r="G113"/>
    </row>
    <row r="114" spans="6:7" x14ac:dyDescent="0.35">
      <c r="F114"/>
      <c r="G114"/>
    </row>
    <row r="115" spans="6:7" x14ac:dyDescent="0.35">
      <c r="F115"/>
      <c r="G115"/>
    </row>
    <row r="116" spans="6:7" x14ac:dyDescent="0.35">
      <c r="F116"/>
      <c r="G116"/>
    </row>
    <row r="117" spans="6:7" x14ac:dyDescent="0.35">
      <c r="F117"/>
      <c r="G117"/>
    </row>
    <row r="118" spans="6:7" x14ac:dyDescent="0.35">
      <c r="F118"/>
      <c r="G118"/>
    </row>
    <row r="119" spans="6:7" x14ac:dyDescent="0.35">
      <c r="F119"/>
      <c r="G119"/>
    </row>
    <row r="120" spans="6:7" x14ac:dyDescent="0.35">
      <c r="F120"/>
      <c r="G120"/>
    </row>
    <row r="121" spans="6:7" x14ac:dyDescent="0.35">
      <c r="F121"/>
      <c r="G121"/>
    </row>
    <row r="122" spans="6:7" x14ac:dyDescent="0.35">
      <c r="F122"/>
      <c r="G122"/>
    </row>
    <row r="123" spans="6:7" x14ac:dyDescent="0.35">
      <c r="F123"/>
      <c r="G123"/>
    </row>
    <row r="124" spans="6:7" x14ac:dyDescent="0.35">
      <c r="F124"/>
      <c r="G124"/>
    </row>
    <row r="125" spans="6:7" x14ac:dyDescent="0.35">
      <c r="F125"/>
      <c r="G125"/>
    </row>
    <row r="126" spans="6:7" x14ac:dyDescent="0.35">
      <c r="F126"/>
      <c r="G126"/>
    </row>
    <row r="127" spans="6:7" x14ac:dyDescent="0.35">
      <c r="F127"/>
      <c r="G127"/>
    </row>
    <row r="128" spans="6:7" x14ac:dyDescent="0.35">
      <c r="F128"/>
      <c r="G128"/>
    </row>
    <row r="129" spans="6:7" x14ac:dyDescent="0.35">
      <c r="F129"/>
      <c r="G129"/>
    </row>
    <row r="130" spans="6:7" x14ac:dyDescent="0.35">
      <c r="F130"/>
      <c r="G130"/>
    </row>
    <row r="131" spans="6:7" x14ac:dyDescent="0.35">
      <c r="F131"/>
      <c r="G131"/>
    </row>
    <row r="132" spans="6:7" x14ac:dyDescent="0.35">
      <c r="F132"/>
      <c r="G132"/>
    </row>
    <row r="133" spans="6:7" x14ac:dyDescent="0.35">
      <c r="F133"/>
      <c r="G133"/>
    </row>
    <row r="134" spans="6:7" x14ac:dyDescent="0.35">
      <c r="F134"/>
      <c r="G134"/>
    </row>
    <row r="135" spans="6:7" x14ac:dyDescent="0.35">
      <c r="F135"/>
      <c r="G135"/>
    </row>
    <row r="136" spans="6:7" x14ac:dyDescent="0.35">
      <c r="F136"/>
      <c r="G136"/>
    </row>
    <row r="137" spans="6:7" x14ac:dyDescent="0.35">
      <c r="F137"/>
      <c r="G137"/>
    </row>
    <row r="138" spans="6:7" x14ac:dyDescent="0.35">
      <c r="F138"/>
      <c r="G138"/>
    </row>
    <row r="139" spans="6:7" x14ac:dyDescent="0.35">
      <c r="F139"/>
      <c r="G139"/>
    </row>
    <row r="140" spans="6:7" x14ac:dyDescent="0.35">
      <c r="F140"/>
      <c r="G140"/>
    </row>
    <row r="141" spans="6:7" x14ac:dyDescent="0.35">
      <c r="F141"/>
      <c r="G141"/>
    </row>
    <row r="142" spans="6:7" x14ac:dyDescent="0.35">
      <c r="F142"/>
      <c r="G142"/>
    </row>
    <row r="143" spans="6:7" x14ac:dyDescent="0.35">
      <c r="F143"/>
      <c r="G143"/>
    </row>
    <row r="144" spans="6:7" x14ac:dyDescent="0.35">
      <c r="F144"/>
      <c r="G144"/>
    </row>
    <row r="145" spans="6:7" x14ac:dyDescent="0.35">
      <c r="F145"/>
      <c r="G145"/>
    </row>
    <row r="146" spans="6:7" x14ac:dyDescent="0.35">
      <c r="F146"/>
      <c r="G146"/>
    </row>
    <row r="147" spans="6:7" x14ac:dyDescent="0.35">
      <c r="F147"/>
      <c r="G147"/>
    </row>
    <row r="148" spans="6:7" x14ac:dyDescent="0.35">
      <c r="F148"/>
      <c r="G148"/>
    </row>
    <row r="149" spans="6:7" x14ac:dyDescent="0.35">
      <c r="F149"/>
      <c r="G149"/>
    </row>
    <row r="150" spans="6:7" x14ac:dyDescent="0.35">
      <c r="F150"/>
      <c r="G150"/>
    </row>
    <row r="151" spans="6:7" x14ac:dyDescent="0.35">
      <c r="F151"/>
      <c r="G151"/>
    </row>
    <row r="152" spans="6:7" x14ac:dyDescent="0.35">
      <c r="F152"/>
      <c r="G152"/>
    </row>
    <row r="153" spans="6:7" x14ac:dyDescent="0.35">
      <c r="F153"/>
      <c r="G153"/>
    </row>
    <row r="154" spans="6:7" x14ac:dyDescent="0.35">
      <c r="F154"/>
      <c r="G154"/>
    </row>
    <row r="155" spans="6:7" x14ac:dyDescent="0.35">
      <c r="F155"/>
      <c r="G155"/>
    </row>
    <row r="156" spans="6:7" x14ac:dyDescent="0.35">
      <c r="F156"/>
      <c r="G156"/>
    </row>
    <row r="157" spans="6:7" x14ac:dyDescent="0.35">
      <c r="F157"/>
      <c r="G157"/>
    </row>
    <row r="158" spans="6:7" x14ac:dyDescent="0.35">
      <c r="F158"/>
      <c r="G158"/>
    </row>
    <row r="159" spans="6:7" x14ac:dyDescent="0.35">
      <c r="F159"/>
      <c r="G159"/>
    </row>
    <row r="160" spans="6:7" x14ac:dyDescent="0.35">
      <c r="F160"/>
      <c r="G160"/>
    </row>
    <row r="161" spans="6:7" x14ac:dyDescent="0.35">
      <c r="F161"/>
      <c r="G161"/>
    </row>
    <row r="162" spans="6:7" x14ac:dyDescent="0.35">
      <c r="F162"/>
      <c r="G162"/>
    </row>
    <row r="163" spans="6:7" x14ac:dyDescent="0.35">
      <c r="F163"/>
      <c r="G163"/>
    </row>
    <row r="164" spans="6:7" x14ac:dyDescent="0.35">
      <c r="F164"/>
      <c r="G164"/>
    </row>
    <row r="165" spans="6:7" x14ac:dyDescent="0.35">
      <c r="F165"/>
      <c r="G165"/>
    </row>
    <row r="166" spans="6:7" x14ac:dyDescent="0.35">
      <c r="F166"/>
      <c r="G166"/>
    </row>
    <row r="167" spans="6:7" x14ac:dyDescent="0.35">
      <c r="F167"/>
      <c r="G167"/>
    </row>
    <row r="168" spans="6:7" x14ac:dyDescent="0.35">
      <c r="F168"/>
      <c r="G168"/>
    </row>
    <row r="169" spans="6:7" x14ac:dyDescent="0.35">
      <c r="F169"/>
      <c r="G169"/>
    </row>
    <row r="170" spans="6:7" x14ac:dyDescent="0.35">
      <c r="F170"/>
      <c r="G170"/>
    </row>
    <row r="171" spans="6:7" x14ac:dyDescent="0.35">
      <c r="F171"/>
      <c r="G171"/>
    </row>
    <row r="172" spans="6:7" x14ac:dyDescent="0.35">
      <c r="F172"/>
      <c r="G172"/>
    </row>
    <row r="173" spans="6:7" x14ac:dyDescent="0.35">
      <c r="F173"/>
      <c r="G173"/>
    </row>
    <row r="174" spans="6:7" x14ac:dyDescent="0.35">
      <c r="F174"/>
      <c r="G174"/>
    </row>
    <row r="175" spans="6:7" x14ac:dyDescent="0.35">
      <c r="F175"/>
      <c r="G175"/>
    </row>
    <row r="176" spans="6:7" x14ac:dyDescent="0.35">
      <c r="F176"/>
      <c r="G176"/>
    </row>
    <row r="177" spans="6:7" x14ac:dyDescent="0.35">
      <c r="F177"/>
      <c r="G177"/>
    </row>
    <row r="178" spans="6:7" x14ac:dyDescent="0.35">
      <c r="F178"/>
      <c r="G178"/>
    </row>
    <row r="179" spans="6:7" x14ac:dyDescent="0.35">
      <c r="F179"/>
      <c r="G179"/>
    </row>
    <row r="180" spans="6:7" x14ac:dyDescent="0.35">
      <c r="F180"/>
      <c r="G180"/>
    </row>
    <row r="181" spans="6:7" x14ac:dyDescent="0.35">
      <c r="F181"/>
      <c r="G181"/>
    </row>
    <row r="182" spans="6:7" x14ac:dyDescent="0.35">
      <c r="F182"/>
      <c r="G182"/>
    </row>
    <row r="183" spans="6:7" x14ac:dyDescent="0.35">
      <c r="F183"/>
      <c r="G183"/>
    </row>
    <row r="184" spans="6:7" x14ac:dyDescent="0.35">
      <c r="F184"/>
      <c r="G184"/>
    </row>
    <row r="185" spans="6:7" x14ac:dyDescent="0.35">
      <c r="F185"/>
      <c r="G185"/>
    </row>
    <row r="186" spans="6:7" x14ac:dyDescent="0.35">
      <c r="F186"/>
      <c r="G186"/>
    </row>
    <row r="187" spans="6:7" x14ac:dyDescent="0.35">
      <c r="F187"/>
      <c r="G187"/>
    </row>
    <row r="188" spans="6:7" x14ac:dyDescent="0.35">
      <c r="F188"/>
      <c r="G188"/>
    </row>
    <row r="189" spans="6:7" x14ac:dyDescent="0.35">
      <c r="F189"/>
      <c r="G189"/>
    </row>
    <row r="190" spans="6:7" x14ac:dyDescent="0.35">
      <c r="F190"/>
      <c r="G190"/>
    </row>
    <row r="191" spans="6:7" x14ac:dyDescent="0.35">
      <c r="F191"/>
      <c r="G191"/>
    </row>
    <row r="192" spans="6:7" x14ac:dyDescent="0.35">
      <c r="F192"/>
      <c r="G192"/>
    </row>
    <row r="193" spans="6:7" x14ac:dyDescent="0.35">
      <c r="F193"/>
      <c r="G193"/>
    </row>
    <row r="194" spans="6:7" x14ac:dyDescent="0.35">
      <c r="F194"/>
      <c r="G194"/>
    </row>
    <row r="195" spans="6:7" x14ac:dyDescent="0.35">
      <c r="F195"/>
      <c r="G195"/>
    </row>
    <row r="196" spans="6:7" x14ac:dyDescent="0.35">
      <c r="F196"/>
      <c r="G196"/>
    </row>
    <row r="197" spans="6:7" x14ac:dyDescent="0.35">
      <c r="F197"/>
      <c r="G197"/>
    </row>
    <row r="198" spans="6:7" x14ac:dyDescent="0.35">
      <c r="F198"/>
      <c r="G198"/>
    </row>
    <row r="199" spans="6:7" x14ac:dyDescent="0.35">
      <c r="F199"/>
      <c r="G199"/>
    </row>
    <row r="200" spans="6:7" x14ac:dyDescent="0.35">
      <c r="F200"/>
      <c r="G200"/>
    </row>
    <row r="201" spans="6:7" x14ac:dyDescent="0.35">
      <c r="F201"/>
      <c r="G201"/>
    </row>
    <row r="202" spans="6:7" x14ac:dyDescent="0.35">
      <c r="F202"/>
      <c r="G202"/>
    </row>
    <row r="203" spans="6:7" x14ac:dyDescent="0.35">
      <c r="F203"/>
      <c r="G203"/>
    </row>
    <row r="204" spans="6:7" x14ac:dyDescent="0.35">
      <c r="F204"/>
      <c r="G204"/>
    </row>
    <row r="205" spans="6:7" x14ac:dyDescent="0.35">
      <c r="F205"/>
      <c r="G205"/>
    </row>
    <row r="206" spans="6:7" x14ac:dyDescent="0.35">
      <c r="F206"/>
      <c r="G206"/>
    </row>
    <row r="207" spans="6:7" x14ac:dyDescent="0.35">
      <c r="F207"/>
      <c r="G207"/>
    </row>
    <row r="208" spans="6:7" x14ac:dyDescent="0.35">
      <c r="F208"/>
      <c r="G208"/>
    </row>
    <row r="209" spans="6:7" x14ac:dyDescent="0.35">
      <c r="F209"/>
      <c r="G209"/>
    </row>
    <row r="210" spans="6:7" x14ac:dyDescent="0.35">
      <c r="F210"/>
      <c r="G210"/>
    </row>
    <row r="211" spans="6:7" x14ac:dyDescent="0.35">
      <c r="F211"/>
      <c r="G211"/>
    </row>
    <row r="212" spans="6:7" x14ac:dyDescent="0.35">
      <c r="F212"/>
      <c r="G212"/>
    </row>
    <row r="213" spans="6:7" x14ac:dyDescent="0.35">
      <c r="F213"/>
      <c r="G213"/>
    </row>
    <row r="214" spans="6:7" x14ac:dyDescent="0.35">
      <c r="F214"/>
      <c r="G214"/>
    </row>
    <row r="215" spans="6:7" x14ac:dyDescent="0.35">
      <c r="F215"/>
      <c r="G215"/>
    </row>
    <row r="216" spans="6:7" x14ac:dyDescent="0.35">
      <c r="F216"/>
      <c r="G216"/>
    </row>
    <row r="217" spans="6:7" x14ac:dyDescent="0.35">
      <c r="F217"/>
      <c r="G217"/>
    </row>
    <row r="218" spans="6:7" x14ac:dyDescent="0.35">
      <c r="F218"/>
      <c r="G218"/>
    </row>
    <row r="219" spans="6:7" x14ac:dyDescent="0.35">
      <c r="F219"/>
      <c r="G219"/>
    </row>
    <row r="220" spans="6:7" x14ac:dyDescent="0.35">
      <c r="F220"/>
      <c r="G220"/>
    </row>
    <row r="221" spans="6:7" x14ac:dyDescent="0.35">
      <c r="F221"/>
      <c r="G221"/>
    </row>
    <row r="222" spans="6:7" x14ac:dyDescent="0.35">
      <c r="F222"/>
      <c r="G222"/>
    </row>
    <row r="223" spans="6:7" x14ac:dyDescent="0.35">
      <c r="F223"/>
      <c r="G223"/>
    </row>
    <row r="224" spans="6:7" x14ac:dyDescent="0.35">
      <c r="F224"/>
      <c r="G224"/>
    </row>
    <row r="225" spans="6:7" x14ac:dyDescent="0.35">
      <c r="F225"/>
      <c r="G225"/>
    </row>
    <row r="226" spans="6:7" x14ac:dyDescent="0.35">
      <c r="F226"/>
      <c r="G226"/>
    </row>
    <row r="227" spans="6:7" x14ac:dyDescent="0.35">
      <c r="F227"/>
      <c r="G227"/>
    </row>
    <row r="228" spans="6:7" x14ac:dyDescent="0.35">
      <c r="F228"/>
      <c r="G228"/>
    </row>
    <row r="229" spans="6:7" x14ac:dyDescent="0.35">
      <c r="F229"/>
      <c r="G229"/>
    </row>
    <row r="230" spans="6:7" x14ac:dyDescent="0.35">
      <c r="F230"/>
      <c r="G230"/>
    </row>
    <row r="231" spans="6:7" x14ac:dyDescent="0.35">
      <c r="F231"/>
      <c r="G231"/>
    </row>
    <row r="232" spans="6:7" x14ac:dyDescent="0.35">
      <c r="F232"/>
      <c r="G232"/>
    </row>
    <row r="233" spans="6:7" x14ac:dyDescent="0.35">
      <c r="F233"/>
      <c r="G233"/>
    </row>
    <row r="234" spans="6:7" x14ac:dyDescent="0.35">
      <c r="F234"/>
      <c r="G234"/>
    </row>
    <row r="235" spans="6:7" x14ac:dyDescent="0.35">
      <c r="F235"/>
      <c r="G235"/>
    </row>
    <row r="236" spans="6:7" x14ac:dyDescent="0.35">
      <c r="F236"/>
      <c r="G236"/>
    </row>
    <row r="237" spans="6:7" x14ac:dyDescent="0.35">
      <c r="F237"/>
      <c r="G237"/>
    </row>
    <row r="238" spans="6:7" x14ac:dyDescent="0.35">
      <c r="F238"/>
      <c r="G238"/>
    </row>
    <row r="239" spans="6:7" x14ac:dyDescent="0.35">
      <c r="F239"/>
      <c r="G239"/>
    </row>
    <row r="240" spans="6:7" x14ac:dyDescent="0.35">
      <c r="F240"/>
      <c r="G240"/>
    </row>
    <row r="241" spans="6:7" x14ac:dyDescent="0.35">
      <c r="F241"/>
      <c r="G241"/>
    </row>
    <row r="242" spans="6:7" x14ac:dyDescent="0.35">
      <c r="F242"/>
      <c r="G242"/>
    </row>
    <row r="243" spans="6:7" x14ac:dyDescent="0.35">
      <c r="F243"/>
      <c r="G243"/>
    </row>
    <row r="244" spans="6:7" x14ac:dyDescent="0.35">
      <c r="F244"/>
      <c r="G244"/>
    </row>
    <row r="245" spans="6:7" x14ac:dyDescent="0.35">
      <c r="F245"/>
      <c r="G245"/>
    </row>
    <row r="246" spans="6:7" x14ac:dyDescent="0.35">
      <c r="F246"/>
      <c r="G246"/>
    </row>
    <row r="247" spans="6:7" x14ac:dyDescent="0.35">
      <c r="F247"/>
      <c r="G247"/>
    </row>
    <row r="248" spans="6:7" x14ac:dyDescent="0.35">
      <c r="F248"/>
      <c r="G248"/>
    </row>
    <row r="249" spans="6:7" x14ac:dyDescent="0.35">
      <c r="F249"/>
      <c r="G249"/>
    </row>
    <row r="250" spans="6:7" x14ac:dyDescent="0.35">
      <c r="F250"/>
      <c r="G250"/>
    </row>
    <row r="251" spans="6:7" x14ac:dyDescent="0.35">
      <c r="F251"/>
      <c r="G251"/>
    </row>
    <row r="252" spans="6:7" x14ac:dyDescent="0.35">
      <c r="F252"/>
      <c r="G252"/>
    </row>
    <row r="253" spans="6:7" x14ac:dyDescent="0.35">
      <c r="F253"/>
      <c r="G253"/>
    </row>
    <row r="254" spans="6:7" x14ac:dyDescent="0.35">
      <c r="F254"/>
      <c r="G254"/>
    </row>
    <row r="255" spans="6:7" x14ac:dyDescent="0.35">
      <c r="F255"/>
      <c r="G255"/>
    </row>
    <row r="256" spans="6:7" x14ac:dyDescent="0.35">
      <c r="F256"/>
      <c r="G256"/>
    </row>
    <row r="257" spans="6:7" x14ac:dyDescent="0.35">
      <c r="F257"/>
      <c r="G257"/>
    </row>
    <row r="258" spans="6:7" x14ac:dyDescent="0.35">
      <c r="F258"/>
      <c r="G258"/>
    </row>
    <row r="259" spans="6:7" x14ac:dyDescent="0.35">
      <c r="F259"/>
      <c r="G259"/>
    </row>
    <row r="260" spans="6:7" x14ac:dyDescent="0.35">
      <c r="F260"/>
      <c r="G260"/>
    </row>
    <row r="261" spans="6:7" x14ac:dyDescent="0.35">
      <c r="F261"/>
      <c r="G261"/>
    </row>
    <row r="262" spans="6:7" x14ac:dyDescent="0.35">
      <c r="F262"/>
      <c r="G262"/>
    </row>
    <row r="263" spans="6:7" x14ac:dyDescent="0.35">
      <c r="F263"/>
      <c r="G263"/>
    </row>
    <row r="264" spans="6:7" x14ac:dyDescent="0.35">
      <c r="F264"/>
      <c r="G264"/>
    </row>
    <row r="265" spans="6:7" x14ac:dyDescent="0.35">
      <c r="F265"/>
      <c r="G265"/>
    </row>
    <row r="266" spans="6:7" x14ac:dyDescent="0.35">
      <c r="F266"/>
      <c r="G266"/>
    </row>
    <row r="267" spans="6:7" x14ac:dyDescent="0.35">
      <c r="F267"/>
      <c r="G267"/>
    </row>
    <row r="268" spans="6:7" x14ac:dyDescent="0.35">
      <c r="F268"/>
      <c r="G268"/>
    </row>
    <row r="269" spans="6:7" x14ac:dyDescent="0.35">
      <c r="F269"/>
      <c r="G269"/>
    </row>
    <row r="270" spans="6:7" x14ac:dyDescent="0.35">
      <c r="F270"/>
      <c r="G270"/>
    </row>
    <row r="271" spans="6:7" x14ac:dyDescent="0.35">
      <c r="F271"/>
      <c r="G271"/>
    </row>
    <row r="272" spans="6:7" x14ac:dyDescent="0.35">
      <c r="F272"/>
      <c r="G272"/>
    </row>
    <row r="273" spans="6:7" x14ac:dyDescent="0.35">
      <c r="F273"/>
      <c r="G273"/>
    </row>
    <row r="274" spans="6:7" x14ac:dyDescent="0.35">
      <c r="F274"/>
      <c r="G274"/>
    </row>
    <row r="275" spans="6:7" x14ac:dyDescent="0.35">
      <c r="F275"/>
      <c r="G275"/>
    </row>
    <row r="276" spans="6:7" x14ac:dyDescent="0.35">
      <c r="F276"/>
      <c r="G276"/>
    </row>
    <row r="277" spans="6:7" x14ac:dyDescent="0.35">
      <c r="F277"/>
      <c r="G277"/>
    </row>
    <row r="278" spans="6:7" x14ac:dyDescent="0.35">
      <c r="F278"/>
      <c r="G278"/>
    </row>
    <row r="279" spans="6:7" x14ac:dyDescent="0.35">
      <c r="F279"/>
      <c r="G279"/>
    </row>
    <row r="280" spans="6:7" x14ac:dyDescent="0.35">
      <c r="F280"/>
      <c r="G280"/>
    </row>
    <row r="281" spans="6:7" x14ac:dyDescent="0.35">
      <c r="F281"/>
      <c r="G281"/>
    </row>
    <row r="282" spans="6:7" x14ac:dyDescent="0.35">
      <c r="F282"/>
      <c r="G282"/>
    </row>
    <row r="283" spans="6:7" x14ac:dyDescent="0.35">
      <c r="F283"/>
      <c r="G283"/>
    </row>
    <row r="284" spans="6:7" x14ac:dyDescent="0.35">
      <c r="F284"/>
      <c r="G284"/>
    </row>
    <row r="285" spans="6:7" x14ac:dyDescent="0.35">
      <c r="F285"/>
      <c r="G285"/>
    </row>
    <row r="286" spans="6:7" x14ac:dyDescent="0.35">
      <c r="F286"/>
      <c r="G286"/>
    </row>
    <row r="287" spans="6:7" x14ac:dyDescent="0.35">
      <c r="F287"/>
      <c r="G287"/>
    </row>
    <row r="288" spans="6:7" x14ac:dyDescent="0.35">
      <c r="F288"/>
      <c r="G288"/>
    </row>
    <row r="289" spans="6:7" x14ac:dyDescent="0.35">
      <c r="F289"/>
      <c r="G289"/>
    </row>
    <row r="290" spans="6:7" x14ac:dyDescent="0.35">
      <c r="F290"/>
      <c r="G290"/>
    </row>
    <row r="291" spans="6:7" x14ac:dyDescent="0.35">
      <c r="F291"/>
      <c r="G291"/>
    </row>
    <row r="292" spans="6:7" x14ac:dyDescent="0.35">
      <c r="F292"/>
      <c r="G292"/>
    </row>
    <row r="293" spans="6:7" x14ac:dyDescent="0.35">
      <c r="F293"/>
      <c r="G293"/>
    </row>
    <row r="294" spans="6:7" x14ac:dyDescent="0.35">
      <c r="F294"/>
      <c r="G294"/>
    </row>
    <row r="295" spans="6:7" x14ac:dyDescent="0.35">
      <c r="F295"/>
      <c r="G295"/>
    </row>
    <row r="296" spans="6:7" x14ac:dyDescent="0.35">
      <c r="F296"/>
      <c r="G296"/>
    </row>
    <row r="297" spans="6:7" x14ac:dyDescent="0.35">
      <c r="F297"/>
      <c r="G297"/>
    </row>
    <row r="298" spans="6:7" x14ac:dyDescent="0.35">
      <c r="F298"/>
      <c r="G298"/>
    </row>
    <row r="299" spans="6:7" x14ac:dyDescent="0.35">
      <c r="F299"/>
      <c r="G299"/>
    </row>
    <row r="300" spans="6:7" x14ac:dyDescent="0.35">
      <c r="F300"/>
      <c r="G300"/>
    </row>
    <row r="301" spans="6:7" x14ac:dyDescent="0.35">
      <c r="F301"/>
      <c r="G301"/>
    </row>
    <row r="302" spans="6:7" x14ac:dyDescent="0.35">
      <c r="F302"/>
      <c r="G302"/>
    </row>
    <row r="303" spans="6:7" x14ac:dyDescent="0.35">
      <c r="F303"/>
      <c r="G303"/>
    </row>
    <row r="304" spans="6:7" x14ac:dyDescent="0.35">
      <c r="F304"/>
      <c r="G304"/>
    </row>
    <row r="305" spans="6:7" x14ac:dyDescent="0.35">
      <c r="F305"/>
      <c r="G305"/>
    </row>
    <row r="306" spans="6:7" x14ac:dyDescent="0.35">
      <c r="F306"/>
      <c r="G306"/>
    </row>
    <row r="307" spans="6:7" x14ac:dyDescent="0.35">
      <c r="F307"/>
      <c r="G307"/>
    </row>
    <row r="308" spans="6:7" x14ac:dyDescent="0.35">
      <c r="F308"/>
      <c r="G308"/>
    </row>
    <row r="309" spans="6:7" x14ac:dyDescent="0.35">
      <c r="F309"/>
      <c r="G309"/>
    </row>
    <row r="310" spans="6:7" x14ac:dyDescent="0.35">
      <c r="F310"/>
      <c r="G310"/>
    </row>
    <row r="311" spans="6:7" x14ac:dyDescent="0.35">
      <c r="F311"/>
      <c r="G311"/>
    </row>
    <row r="312" spans="6:7" x14ac:dyDescent="0.35">
      <c r="F312"/>
      <c r="G312"/>
    </row>
    <row r="313" spans="6:7" x14ac:dyDescent="0.35">
      <c r="F313"/>
      <c r="G313"/>
    </row>
    <row r="314" spans="6:7" x14ac:dyDescent="0.35">
      <c r="F314"/>
      <c r="G314"/>
    </row>
    <row r="315" spans="6:7" x14ac:dyDescent="0.35">
      <c r="F315"/>
      <c r="G315"/>
    </row>
    <row r="316" spans="6:7" x14ac:dyDescent="0.35">
      <c r="F316"/>
      <c r="G316"/>
    </row>
    <row r="317" spans="6:7" x14ac:dyDescent="0.35">
      <c r="F317"/>
      <c r="G317"/>
    </row>
    <row r="318" spans="6:7" x14ac:dyDescent="0.35">
      <c r="F318"/>
      <c r="G318"/>
    </row>
    <row r="319" spans="6:7" x14ac:dyDescent="0.35">
      <c r="F319"/>
      <c r="G319"/>
    </row>
    <row r="320" spans="6:7" x14ac:dyDescent="0.35">
      <c r="F320"/>
      <c r="G320"/>
    </row>
    <row r="321" spans="6:7" x14ac:dyDescent="0.35">
      <c r="F321"/>
      <c r="G321"/>
    </row>
    <row r="322" spans="6:7" x14ac:dyDescent="0.35">
      <c r="F322"/>
      <c r="G322"/>
    </row>
    <row r="323" spans="6:7" x14ac:dyDescent="0.35">
      <c r="F323"/>
      <c r="G323"/>
    </row>
    <row r="324" spans="6:7" x14ac:dyDescent="0.35">
      <c r="F324"/>
      <c r="G324"/>
    </row>
    <row r="325" spans="6:7" x14ac:dyDescent="0.35">
      <c r="F325"/>
      <c r="G325"/>
    </row>
    <row r="326" spans="6:7" x14ac:dyDescent="0.35">
      <c r="F326"/>
      <c r="G326"/>
    </row>
    <row r="327" spans="6:7" x14ac:dyDescent="0.35">
      <c r="F327"/>
      <c r="G327"/>
    </row>
    <row r="328" spans="6:7" x14ac:dyDescent="0.35">
      <c r="F328"/>
      <c r="G328"/>
    </row>
    <row r="329" spans="6:7" x14ac:dyDescent="0.35">
      <c r="F329"/>
      <c r="G329"/>
    </row>
    <row r="330" spans="6:7" x14ac:dyDescent="0.35">
      <c r="F330"/>
      <c r="G330"/>
    </row>
    <row r="331" spans="6:7" x14ac:dyDescent="0.35">
      <c r="F331"/>
      <c r="G331"/>
    </row>
    <row r="332" spans="6:7" x14ac:dyDescent="0.35">
      <c r="F332"/>
      <c r="G332"/>
    </row>
    <row r="333" spans="6:7" x14ac:dyDescent="0.35">
      <c r="F333"/>
      <c r="G333"/>
    </row>
    <row r="334" spans="6:7" x14ac:dyDescent="0.35">
      <c r="F334"/>
      <c r="G334"/>
    </row>
    <row r="335" spans="6:7" x14ac:dyDescent="0.35">
      <c r="F335"/>
      <c r="G335"/>
    </row>
    <row r="336" spans="6:7" x14ac:dyDescent="0.35">
      <c r="F336"/>
      <c r="G336"/>
    </row>
    <row r="337" spans="6:7" x14ac:dyDescent="0.35">
      <c r="F337"/>
      <c r="G337"/>
    </row>
    <row r="338" spans="6:7" x14ac:dyDescent="0.35">
      <c r="F338"/>
      <c r="G338"/>
    </row>
    <row r="339" spans="6:7" x14ac:dyDescent="0.35">
      <c r="F339"/>
      <c r="G339"/>
    </row>
    <row r="340" spans="6:7" x14ac:dyDescent="0.35">
      <c r="F340"/>
      <c r="G340"/>
    </row>
    <row r="341" spans="6:7" x14ac:dyDescent="0.35">
      <c r="F341"/>
      <c r="G341"/>
    </row>
    <row r="342" spans="6:7" x14ac:dyDescent="0.35">
      <c r="F342"/>
      <c r="G342"/>
    </row>
    <row r="343" spans="6:7" x14ac:dyDescent="0.35">
      <c r="F343"/>
      <c r="G343"/>
    </row>
    <row r="344" spans="6:7" x14ac:dyDescent="0.35">
      <c r="F344"/>
      <c r="G344"/>
    </row>
    <row r="345" spans="6:7" x14ac:dyDescent="0.35">
      <c r="F345"/>
      <c r="G345"/>
    </row>
    <row r="346" spans="6:7" x14ac:dyDescent="0.35">
      <c r="F346"/>
      <c r="G346"/>
    </row>
    <row r="347" spans="6:7" x14ac:dyDescent="0.35">
      <c r="F347"/>
      <c r="G347"/>
    </row>
    <row r="348" spans="6:7" x14ac:dyDescent="0.35">
      <c r="F348"/>
      <c r="G348"/>
    </row>
    <row r="349" spans="6:7" x14ac:dyDescent="0.35">
      <c r="F349"/>
      <c r="G349"/>
    </row>
    <row r="350" spans="6:7" x14ac:dyDescent="0.35">
      <c r="F350"/>
      <c r="G350"/>
    </row>
    <row r="351" spans="6:7" x14ac:dyDescent="0.35">
      <c r="F351"/>
      <c r="G351"/>
    </row>
    <row r="352" spans="6:7" x14ac:dyDescent="0.35">
      <c r="F352"/>
      <c r="G352"/>
    </row>
    <row r="353" spans="6:7" x14ac:dyDescent="0.35">
      <c r="F353"/>
      <c r="G353"/>
    </row>
    <row r="354" spans="6:7" x14ac:dyDescent="0.35">
      <c r="F354"/>
      <c r="G354"/>
    </row>
    <row r="355" spans="6:7" x14ac:dyDescent="0.35">
      <c r="F355"/>
      <c r="G355"/>
    </row>
    <row r="356" spans="6:7" x14ac:dyDescent="0.35">
      <c r="F356"/>
      <c r="G356"/>
    </row>
    <row r="357" spans="6:7" x14ac:dyDescent="0.35">
      <c r="F357"/>
      <c r="G357"/>
    </row>
    <row r="358" spans="6:7" x14ac:dyDescent="0.35">
      <c r="F358"/>
      <c r="G358"/>
    </row>
    <row r="359" spans="6:7" x14ac:dyDescent="0.35">
      <c r="F359"/>
      <c r="G359"/>
    </row>
    <row r="360" spans="6:7" x14ac:dyDescent="0.35">
      <c r="F360"/>
      <c r="G360"/>
    </row>
    <row r="361" spans="6:7" x14ac:dyDescent="0.35">
      <c r="F361"/>
      <c r="G361"/>
    </row>
    <row r="362" spans="6:7" x14ac:dyDescent="0.35">
      <c r="F362"/>
      <c r="G362"/>
    </row>
    <row r="363" spans="6:7" x14ac:dyDescent="0.35">
      <c r="F363"/>
      <c r="G363"/>
    </row>
    <row r="364" spans="6:7" x14ac:dyDescent="0.35">
      <c r="F364"/>
      <c r="G364"/>
    </row>
    <row r="365" spans="6:7" x14ac:dyDescent="0.35">
      <c r="F365"/>
      <c r="G365"/>
    </row>
    <row r="366" spans="6:7" x14ac:dyDescent="0.35">
      <c r="F366"/>
      <c r="G366"/>
    </row>
    <row r="367" spans="6:7" x14ac:dyDescent="0.35">
      <c r="F367"/>
      <c r="G367"/>
    </row>
    <row r="368" spans="6:7" x14ac:dyDescent="0.35">
      <c r="F368"/>
      <c r="G368"/>
    </row>
    <row r="369" spans="6:7" x14ac:dyDescent="0.35">
      <c r="F369"/>
      <c r="G369"/>
    </row>
    <row r="370" spans="6:7" x14ac:dyDescent="0.35">
      <c r="F370"/>
      <c r="G370"/>
    </row>
    <row r="371" spans="6:7" x14ac:dyDescent="0.35">
      <c r="F371"/>
      <c r="G371"/>
    </row>
    <row r="372" spans="6:7" x14ac:dyDescent="0.35">
      <c r="F372"/>
      <c r="G372"/>
    </row>
    <row r="373" spans="6:7" x14ac:dyDescent="0.35">
      <c r="F373"/>
      <c r="G373"/>
    </row>
    <row r="374" spans="6:7" x14ac:dyDescent="0.35">
      <c r="F374"/>
      <c r="G374"/>
    </row>
    <row r="375" spans="6:7" x14ac:dyDescent="0.35">
      <c r="F375"/>
      <c r="G375"/>
    </row>
    <row r="376" spans="6:7" x14ac:dyDescent="0.35">
      <c r="F376"/>
      <c r="G376"/>
    </row>
    <row r="377" spans="6:7" x14ac:dyDescent="0.35">
      <c r="F377"/>
      <c r="G377"/>
    </row>
    <row r="378" spans="6:7" x14ac:dyDescent="0.35">
      <c r="F378"/>
      <c r="G378"/>
    </row>
    <row r="379" spans="6:7" x14ac:dyDescent="0.35">
      <c r="F379"/>
      <c r="G379"/>
    </row>
    <row r="380" spans="6:7" x14ac:dyDescent="0.35">
      <c r="F380"/>
      <c r="G380"/>
    </row>
    <row r="381" spans="6:7" x14ac:dyDescent="0.35">
      <c r="F381"/>
      <c r="G381"/>
    </row>
    <row r="382" spans="6:7" x14ac:dyDescent="0.35">
      <c r="F382"/>
      <c r="G382"/>
    </row>
    <row r="383" spans="6:7" x14ac:dyDescent="0.35">
      <c r="F383"/>
      <c r="G383"/>
    </row>
    <row r="384" spans="6:7" x14ac:dyDescent="0.35">
      <c r="F384"/>
      <c r="G384"/>
    </row>
    <row r="385" spans="6:7" x14ac:dyDescent="0.35">
      <c r="F385"/>
      <c r="G385"/>
    </row>
    <row r="386" spans="6:7" x14ac:dyDescent="0.35">
      <c r="F386"/>
      <c r="G386"/>
    </row>
    <row r="387" spans="6:7" x14ac:dyDescent="0.35">
      <c r="F387"/>
      <c r="G387"/>
    </row>
    <row r="388" spans="6:7" x14ac:dyDescent="0.35">
      <c r="F388"/>
      <c r="G388"/>
    </row>
    <row r="389" spans="6:7" x14ac:dyDescent="0.35">
      <c r="F389"/>
      <c r="G389"/>
    </row>
    <row r="390" spans="6:7" x14ac:dyDescent="0.35">
      <c r="F390"/>
      <c r="G390"/>
    </row>
    <row r="391" spans="6:7" x14ac:dyDescent="0.35">
      <c r="F391"/>
      <c r="G391"/>
    </row>
    <row r="392" spans="6:7" x14ac:dyDescent="0.35">
      <c r="F392"/>
      <c r="G392"/>
    </row>
    <row r="393" spans="6:7" x14ac:dyDescent="0.35">
      <c r="F393"/>
      <c r="G393"/>
    </row>
    <row r="394" spans="6:7" x14ac:dyDescent="0.35">
      <c r="F394"/>
      <c r="G394"/>
    </row>
    <row r="395" spans="6:7" x14ac:dyDescent="0.35">
      <c r="F395"/>
      <c r="G395"/>
    </row>
    <row r="396" spans="6:7" x14ac:dyDescent="0.35">
      <c r="F396"/>
      <c r="G396"/>
    </row>
    <row r="397" spans="6:7" x14ac:dyDescent="0.35">
      <c r="F397"/>
      <c r="G397"/>
    </row>
    <row r="398" spans="6:7" x14ac:dyDescent="0.35">
      <c r="F398"/>
      <c r="G398"/>
    </row>
    <row r="399" spans="6:7" x14ac:dyDescent="0.35">
      <c r="F399"/>
      <c r="G399"/>
    </row>
    <row r="400" spans="6:7" x14ac:dyDescent="0.35">
      <c r="F400"/>
      <c r="G400"/>
    </row>
    <row r="401" spans="6:7" x14ac:dyDescent="0.35">
      <c r="F401"/>
      <c r="G401"/>
    </row>
    <row r="402" spans="6:7" x14ac:dyDescent="0.35">
      <c r="F402"/>
      <c r="G402"/>
    </row>
    <row r="403" spans="6:7" x14ac:dyDescent="0.35">
      <c r="F403"/>
      <c r="G403"/>
    </row>
    <row r="404" spans="6:7" x14ac:dyDescent="0.35">
      <c r="F404"/>
      <c r="G404"/>
    </row>
    <row r="405" spans="6:7" x14ac:dyDescent="0.35">
      <c r="F405"/>
      <c r="G405"/>
    </row>
    <row r="406" spans="6:7" x14ac:dyDescent="0.35">
      <c r="F406"/>
      <c r="G406"/>
    </row>
    <row r="407" spans="6:7" x14ac:dyDescent="0.35">
      <c r="F407"/>
      <c r="G407"/>
    </row>
    <row r="408" spans="6:7" x14ac:dyDescent="0.35">
      <c r="F408"/>
      <c r="G408"/>
    </row>
    <row r="409" spans="6:7" x14ac:dyDescent="0.35">
      <c r="F409"/>
      <c r="G409"/>
    </row>
    <row r="410" spans="6:7" x14ac:dyDescent="0.35">
      <c r="F410"/>
      <c r="G410"/>
    </row>
    <row r="411" spans="6:7" x14ac:dyDescent="0.35">
      <c r="F411"/>
      <c r="G411"/>
    </row>
    <row r="412" spans="6:7" x14ac:dyDescent="0.35">
      <c r="F412"/>
      <c r="G412"/>
    </row>
    <row r="413" spans="6:7" x14ac:dyDescent="0.35">
      <c r="F413"/>
      <c r="G413"/>
    </row>
    <row r="414" spans="6:7" x14ac:dyDescent="0.35">
      <c r="F414"/>
      <c r="G414"/>
    </row>
    <row r="415" spans="6:7" x14ac:dyDescent="0.35">
      <c r="F415"/>
      <c r="G415"/>
    </row>
    <row r="416" spans="6:7" x14ac:dyDescent="0.35">
      <c r="F416"/>
      <c r="G416"/>
    </row>
    <row r="417" spans="6:7" x14ac:dyDescent="0.35">
      <c r="F417"/>
      <c r="G417"/>
    </row>
    <row r="418" spans="6:7" x14ac:dyDescent="0.35">
      <c r="F418"/>
      <c r="G418"/>
    </row>
    <row r="419" spans="6:7" x14ac:dyDescent="0.35">
      <c r="F419"/>
      <c r="G419"/>
    </row>
    <row r="420" spans="6:7" x14ac:dyDescent="0.35">
      <c r="F420"/>
      <c r="G420"/>
    </row>
    <row r="421" spans="6:7" x14ac:dyDescent="0.35">
      <c r="F421"/>
      <c r="G421"/>
    </row>
    <row r="422" spans="6:7" x14ac:dyDescent="0.35">
      <c r="F422"/>
      <c r="G422"/>
    </row>
    <row r="423" spans="6:7" x14ac:dyDescent="0.35">
      <c r="F423"/>
      <c r="G423"/>
    </row>
    <row r="424" spans="6:7" x14ac:dyDescent="0.35">
      <c r="F424"/>
      <c r="G424"/>
    </row>
    <row r="425" spans="6:7" x14ac:dyDescent="0.35">
      <c r="F425"/>
      <c r="G425"/>
    </row>
    <row r="426" spans="6:7" x14ac:dyDescent="0.35">
      <c r="F426"/>
      <c r="G426"/>
    </row>
    <row r="427" spans="6:7" x14ac:dyDescent="0.35">
      <c r="F427"/>
      <c r="G427"/>
    </row>
    <row r="428" spans="6:7" x14ac:dyDescent="0.35">
      <c r="F428"/>
      <c r="G428"/>
    </row>
    <row r="429" spans="6:7" x14ac:dyDescent="0.35">
      <c r="F429"/>
      <c r="G429"/>
    </row>
    <row r="430" spans="6:7" x14ac:dyDescent="0.35">
      <c r="F430"/>
      <c r="G430"/>
    </row>
    <row r="431" spans="6:7" x14ac:dyDescent="0.35">
      <c r="F431"/>
      <c r="G431"/>
    </row>
    <row r="432" spans="6:7" x14ac:dyDescent="0.35">
      <c r="F432"/>
      <c r="G432"/>
    </row>
    <row r="433" spans="6:7" x14ac:dyDescent="0.35">
      <c r="F433"/>
      <c r="G433"/>
    </row>
    <row r="434" spans="6:7" x14ac:dyDescent="0.35">
      <c r="F434"/>
      <c r="G434"/>
    </row>
    <row r="435" spans="6:7" x14ac:dyDescent="0.35">
      <c r="F435"/>
      <c r="G435"/>
    </row>
    <row r="436" spans="6:7" x14ac:dyDescent="0.35">
      <c r="F436"/>
      <c r="G436"/>
    </row>
    <row r="437" spans="6:7" x14ac:dyDescent="0.35">
      <c r="F437"/>
      <c r="G437"/>
    </row>
    <row r="438" spans="6:7" x14ac:dyDescent="0.35">
      <c r="F438"/>
      <c r="G438"/>
    </row>
    <row r="439" spans="6:7" x14ac:dyDescent="0.35">
      <c r="F439"/>
      <c r="G439"/>
    </row>
    <row r="440" spans="6:7" x14ac:dyDescent="0.35">
      <c r="F440"/>
      <c r="G440"/>
    </row>
    <row r="441" spans="6:7" x14ac:dyDescent="0.35">
      <c r="F441"/>
      <c r="G441"/>
    </row>
    <row r="442" spans="6:7" x14ac:dyDescent="0.35">
      <c r="F442"/>
      <c r="G442"/>
    </row>
    <row r="443" spans="6:7" x14ac:dyDescent="0.35">
      <c r="F443"/>
      <c r="G443"/>
    </row>
    <row r="444" spans="6:7" x14ac:dyDescent="0.35">
      <c r="F444"/>
      <c r="G444"/>
    </row>
    <row r="445" spans="6:7" x14ac:dyDescent="0.35">
      <c r="F445"/>
      <c r="G445"/>
    </row>
    <row r="446" spans="6:7" x14ac:dyDescent="0.35">
      <c r="F446"/>
      <c r="G446"/>
    </row>
    <row r="447" spans="6:7" x14ac:dyDescent="0.35">
      <c r="F447"/>
      <c r="G447"/>
    </row>
    <row r="448" spans="6:7" x14ac:dyDescent="0.35">
      <c r="F448"/>
      <c r="G448"/>
    </row>
    <row r="449" spans="6:7" x14ac:dyDescent="0.35">
      <c r="F449"/>
      <c r="G449"/>
    </row>
    <row r="450" spans="6:7" x14ac:dyDescent="0.35">
      <c r="F450"/>
      <c r="G450"/>
    </row>
    <row r="451" spans="6:7" x14ac:dyDescent="0.35">
      <c r="F451"/>
      <c r="G451"/>
    </row>
    <row r="452" spans="6:7" x14ac:dyDescent="0.35">
      <c r="F452"/>
      <c r="G452"/>
    </row>
    <row r="453" spans="6:7" x14ac:dyDescent="0.35">
      <c r="F453"/>
      <c r="G453"/>
    </row>
    <row r="454" spans="6:7" x14ac:dyDescent="0.35">
      <c r="F454"/>
      <c r="G454"/>
    </row>
    <row r="455" spans="6:7" x14ac:dyDescent="0.35">
      <c r="F455"/>
      <c r="G455"/>
    </row>
    <row r="456" spans="6:7" x14ac:dyDescent="0.35">
      <c r="F456"/>
      <c r="G456"/>
    </row>
    <row r="457" spans="6:7" x14ac:dyDescent="0.35">
      <c r="F457"/>
      <c r="G457"/>
    </row>
    <row r="458" spans="6:7" x14ac:dyDescent="0.35">
      <c r="F458"/>
      <c r="G458"/>
    </row>
    <row r="459" spans="6:7" x14ac:dyDescent="0.35">
      <c r="F459"/>
      <c r="G459"/>
    </row>
    <row r="460" spans="6:7" x14ac:dyDescent="0.35">
      <c r="F460"/>
      <c r="G460"/>
    </row>
    <row r="461" spans="6:7" x14ac:dyDescent="0.35">
      <c r="F461"/>
      <c r="G461"/>
    </row>
    <row r="462" spans="6:7" x14ac:dyDescent="0.35">
      <c r="F462"/>
      <c r="G462"/>
    </row>
    <row r="463" spans="6:7" x14ac:dyDescent="0.35">
      <c r="F463"/>
      <c r="G463"/>
    </row>
    <row r="464" spans="6:7" x14ac:dyDescent="0.35">
      <c r="F464"/>
      <c r="G464"/>
    </row>
    <row r="465" spans="6:7" x14ac:dyDescent="0.35">
      <c r="F465"/>
      <c r="G465"/>
    </row>
    <row r="466" spans="6:7" x14ac:dyDescent="0.35">
      <c r="F466"/>
      <c r="G466"/>
    </row>
    <row r="467" spans="6:7" x14ac:dyDescent="0.35">
      <c r="F467"/>
      <c r="G467"/>
    </row>
    <row r="468" spans="6:7" x14ac:dyDescent="0.35">
      <c r="F468"/>
      <c r="G468"/>
    </row>
    <row r="469" spans="6:7" x14ac:dyDescent="0.35">
      <c r="F469"/>
      <c r="G469"/>
    </row>
    <row r="470" spans="6:7" x14ac:dyDescent="0.35">
      <c r="F470"/>
      <c r="G470"/>
    </row>
    <row r="471" spans="6:7" x14ac:dyDescent="0.35">
      <c r="F471"/>
      <c r="G471"/>
    </row>
    <row r="472" spans="6:7" x14ac:dyDescent="0.35">
      <c r="F472"/>
      <c r="G472"/>
    </row>
    <row r="473" spans="6:7" x14ac:dyDescent="0.35">
      <c r="F473"/>
      <c r="G473"/>
    </row>
    <row r="474" spans="6:7" x14ac:dyDescent="0.35">
      <c r="F474"/>
      <c r="G474"/>
    </row>
    <row r="475" spans="6:7" x14ac:dyDescent="0.35">
      <c r="F475"/>
      <c r="G475"/>
    </row>
    <row r="476" spans="6:7" x14ac:dyDescent="0.35">
      <c r="F476"/>
      <c r="G476"/>
    </row>
    <row r="477" spans="6:7" x14ac:dyDescent="0.35">
      <c r="F477"/>
      <c r="G477"/>
    </row>
    <row r="478" spans="6:7" x14ac:dyDescent="0.35">
      <c r="F478"/>
      <c r="G478"/>
    </row>
    <row r="479" spans="6:7" x14ac:dyDescent="0.35">
      <c r="F479"/>
      <c r="G479"/>
    </row>
    <row r="480" spans="6:7" x14ac:dyDescent="0.35">
      <c r="F480"/>
      <c r="G480"/>
    </row>
    <row r="481" spans="6:7" x14ac:dyDescent="0.35">
      <c r="F481"/>
      <c r="G481"/>
    </row>
    <row r="482" spans="6:7" x14ac:dyDescent="0.35">
      <c r="F482"/>
      <c r="G482"/>
    </row>
    <row r="483" spans="6:7" x14ac:dyDescent="0.35">
      <c r="F483"/>
      <c r="G483"/>
    </row>
    <row r="484" spans="6:7" x14ac:dyDescent="0.35">
      <c r="F484"/>
      <c r="G484"/>
    </row>
    <row r="485" spans="6:7" x14ac:dyDescent="0.35">
      <c r="F485"/>
      <c r="G485"/>
    </row>
    <row r="486" spans="6:7" x14ac:dyDescent="0.35">
      <c r="F486"/>
      <c r="G486"/>
    </row>
    <row r="487" spans="6:7" x14ac:dyDescent="0.35">
      <c r="F487"/>
      <c r="G487"/>
    </row>
    <row r="488" spans="6:7" x14ac:dyDescent="0.35">
      <c r="F488"/>
      <c r="G488"/>
    </row>
    <row r="489" spans="6:7" x14ac:dyDescent="0.35">
      <c r="F489"/>
      <c r="G489"/>
    </row>
    <row r="490" spans="6:7" x14ac:dyDescent="0.35">
      <c r="F490"/>
      <c r="G490"/>
    </row>
    <row r="491" spans="6:7" x14ac:dyDescent="0.35">
      <c r="F491"/>
      <c r="G491"/>
    </row>
    <row r="492" spans="6:7" x14ac:dyDescent="0.35">
      <c r="F492"/>
      <c r="G492"/>
    </row>
    <row r="493" spans="6:7" x14ac:dyDescent="0.35">
      <c r="F493"/>
      <c r="G493"/>
    </row>
    <row r="494" spans="6:7" x14ac:dyDescent="0.35">
      <c r="F494"/>
      <c r="G494"/>
    </row>
    <row r="495" spans="6:7" x14ac:dyDescent="0.35">
      <c r="F495"/>
      <c r="G495"/>
    </row>
    <row r="496" spans="6:7" x14ac:dyDescent="0.35">
      <c r="F496"/>
      <c r="G496"/>
    </row>
    <row r="497" spans="6:7" x14ac:dyDescent="0.35">
      <c r="F497"/>
      <c r="G497"/>
    </row>
    <row r="498" spans="6:7" x14ac:dyDescent="0.35">
      <c r="F498"/>
      <c r="G498"/>
    </row>
    <row r="499" spans="6:7" x14ac:dyDescent="0.35">
      <c r="F499"/>
      <c r="G499"/>
    </row>
    <row r="500" spans="6:7" x14ac:dyDescent="0.35">
      <c r="F500"/>
      <c r="G500"/>
    </row>
    <row r="501" spans="6:7" x14ac:dyDescent="0.35">
      <c r="F501"/>
      <c r="G501"/>
    </row>
    <row r="502" spans="6:7" x14ac:dyDescent="0.35">
      <c r="F502"/>
      <c r="G502"/>
    </row>
    <row r="503" spans="6:7" x14ac:dyDescent="0.35">
      <c r="F503"/>
      <c r="G503"/>
    </row>
    <row r="504" spans="6:7" x14ac:dyDescent="0.35">
      <c r="F504"/>
      <c r="G504"/>
    </row>
    <row r="505" spans="6:7" x14ac:dyDescent="0.35">
      <c r="F505"/>
      <c r="G505"/>
    </row>
    <row r="506" spans="6:7" x14ac:dyDescent="0.35">
      <c r="F506"/>
      <c r="G506"/>
    </row>
    <row r="507" spans="6:7" x14ac:dyDescent="0.35">
      <c r="F507"/>
      <c r="G507"/>
    </row>
    <row r="508" spans="6:7" x14ac:dyDescent="0.35">
      <c r="F508"/>
      <c r="G508"/>
    </row>
    <row r="509" spans="6:7" x14ac:dyDescent="0.35">
      <c r="F509"/>
      <c r="G509"/>
    </row>
    <row r="510" spans="6:7" x14ac:dyDescent="0.35">
      <c r="F510"/>
      <c r="G510"/>
    </row>
    <row r="511" spans="6:7" x14ac:dyDescent="0.35">
      <c r="F511"/>
      <c r="G511"/>
    </row>
    <row r="512" spans="6:7" x14ac:dyDescent="0.35">
      <c r="F512"/>
      <c r="G512"/>
    </row>
    <row r="513" spans="6:7" x14ac:dyDescent="0.35">
      <c r="F513"/>
      <c r="G513"/>
    </row>
    <row r="514" spans="6:7" x14ac:dyDescent="0.35">
      <c r="F514"/>
      <c r="G514"/>
    </row>
    <row r="515" spans="6:7" x14ac:dyDescent="0.35">
      <c r="F515"/>
      <c r="G515"/>
    </row>
    <row r="516" spans="6:7" x14ac:dyDescent="0.35">
      <c r="F516"/>
      <c r="G516"/>
    </row>
    <row r="517" spans="6:7" x14ac:dyDescent="0.35">
      <c r="F517"/>
      <c r="G517"/>
    </row>
    <row r="518" spans="6:7" x14ac:dyDescent="0.35">
      <c r="F518"/>
      <c r="G518"/>
    </row>
    <row r="519" spans="6:7" x14ac:dyDescent="0.35">
      <c r="F519"/>
      <c r="G519"/>
    </row>
    <row r="520" spans="6:7" x14ac:dyDescent="0.35">
      <c r="F520"/>
      <c r="G520"/>
    </row>
    <row r="521" spans="6:7" x14ac:dyDescent="0.35">
      <c r="F521"/>
      <c r="G521"/>
    </row>
    <row r="522" spans="6:7" x14ac:dyDescent="0.35">
      <c r="F522"/>
      <c r="G522"/>
    </row>
    <row r="523" spans="6:7" x14ac:dyDescent="0.35">
      <c r="F523"/>
      <c r="G523"/>
    </row>
    <row r="524" spans="6:7" x14ac:dyDescent="0.35">
      <c r="F524"/>
      <c r="G524"/>
    </row>
    <row r="525" spans="6:7" x14ac:dyDescent="0.35">
      <c r="F525"/>
      <c r="G525"/>
    </row>
    <row r="526" spans="6:7" x14ac:dyDescent="0.35">
      <c r="F526"/>
      <c r="G526"/>
    </row>
    <row r="527" spans="6:7" x14ac:dyDescent="0.35">
      <c r="F527"/>
      <c r="G527"/>
    </row>
    <row r="528" spans="6:7" x14ac:dyDescent="0.35">
      <c r="F528"/>
      <c r="G528"/>
    </row>
    <row r="529" spans="6:7" x14ac:dyDescent="0.35">
      <c r="F529"/>
      <c r="G529"/>
    </row>
    <row r="530" spans="6:7" x14ac:dyDescent="0.35">
      <c r="F530"/>
      <c r="G530"/>
    </row>
    <row r="531" spans="6:7" x14ac:dyDescent="0.35">
      <c r="F531"/>
      <c r="G531"/>
    </row>
    <row r="532" spans="6:7" x14ac:dyDescent="0.35">
      <c r="F532"/>
      <c r="G532"/>
    </row>
    <row r="533" spans="6:7" x14ac:dyDescent="0.35">
      <c r="F533"/>
      <c r="G533"/>
    </row>
    <row r="534" spans="6:7" x14ac:dyDescent="0.35">
      <c r="F534"/>
      <c r="G534"/>
    </row>
    <row r="535" spans="6:7" x14ac:dyDescent="0.35">
      <c r="F535"/>
      <c r="G535"/>
    </row>
    <row r="536" spans="6:7" x14ac:dyDescent="0.35">
      <c r="F536"/>
      <c r="G536"/>
    </row>
    <row r="537" spans="6:7" x14ac:dyDescent="0.35">
      <c r="F537"/>
      <c r="G537"/>
    </row>
    <row r="538" spans="6:7" x14ac:dyDescent="0.35">
      <c r="F538"/>
      <c r="G538"/>
    </row>
    <row r="539" spans="6:7" x14ac:dyDescent="0.35">
      <c r="F539"/>
      <c r="G539"/>
    </row>
    <row r="540" spans="6:7" x14ac:dyDescent="0.35">
      <c r="F540"/>
      <c r="G540"/>
    </row>
    <row r="541" spans="6:7" x14ac:dyDescent="0.35">
      <c r="F541"/>
      <c r="G541"/>
    </row>
    <row r="542" spans="6:7" x14ac:dyDescent="0.35">
      <c r="F542"/>
      <c r="G542"/>
    </row>
    <row r="543" spans="6:7" x14ac:dyDescent="0.35">
      <c r="F543"/>
      <c r="G543"/>
    </row>
    <row r="544" spans="6:7" x14ac:dyDescent="0.35">
      <c r="F544"/>
      <c r="G544"/>
    </row>
    <row r="545" spans="6:7" x14ac:dyDescent="0.35">
      <c r="F545"/>
      <c r="G545"/>
    </row>
    <row r="546" spans="6:7" x14ac:dyDescent="0.35">
      <c r="F546"/>
      <c r="G546"/>
    </row>
    <row r="547" spans="6:7" x14ac:dyDescent="0.35">
      <c r="F547"/>
      <c r="G547"/>
    </row>
    <row r="548" spans="6:7" x14ac:dyDescent="0.35">
      <c r="F548"/>
      <c r="G548"/>
    </row>
    <row r="549" spans="6:7" x14ac:dyDescent="0.35">
      <c r="F549"/>
      <c r="G549"/>
    </row>
    <row r="550" spans="6:7" x14ac:dyDescent="0.35">
      <c r="F550"/>
      <c r="G550"/>
    </row>
    <row r="551" spans="6:7" x14ac:dyDescent="0.35">
      <c r="F551"/>
      <c r="G551"/>
    </row>
    <row r="552" spans="6:7" x14ac:dyDescent="0.35">
      <c r="F552"/>
      <c r="G552"/>
    </row>
    <row r="553" spans="6:7" x14ac:dyDescent="0.35">
      <c r="F553"/>
      <c r="G553"/>
    </row>
    <row r="554" spans="6:7" x14ac:dyDescent="0.35">
      <c r="F554"/>
      <c r="G554"/>
    </row>
    <row r="555" spans="6:7" x14ac:dyDescent="0.35">
      <c r="F555"/>
      <c r="G555"/>
    </row>
    <row r="556" spans="6:7" x14ac:dyDescent="0.35">
      <c r="F556"/>
      <c r="G556"/>
    </row>
    <row r="557" spans="6:7" x14ac:dyDescent="0.35">
      <c r="F557"/>
      <c r="G557"/>
    </row>
    <row r="558" spans="6:7" x14ac:dyDescent="0.35">
      <c r="F558"/>
      <c r="G558"/>
    </row>
    <row r="559" spans="6:7" x14ac:dyDescent="0.35">
      <c r="F559"/>
      <c r="G559"/>
    </row>
    <row r="560" spans="6:7" x14ac:dyDescent="0.35">
      <c r="F560"/>
      <c r="G560"/>
    </row>
    <row r="561" spans="6:7" x14ac:dyDescent="0.35">
      <c r="F561"/>
      <c r="G561"/>
    </row>
    <row r="562" spans="6:7" x14ac:dyDescent="0.35">
      <c r="F562"/>
      <c r="G562"/>
    </row>
    <row r="563" spans="6:7" x14ac:dyDescent="0.35">
      <c r="F563"/>
      <c r="G563"/>
    </row>
    <row r="564" spans="6:7" x14ac:dyDescent="0.35">
      <c r="F564"/>
      <c r="G564"/>
    </row>
    <row r="565" spans="6:7" x14ac:dyDescent="0.35">
      <c r="F565"/>
      <c r="G565"/>
    </row>
    <row r="566" spans="6:7" x14ac:dyDescent="0.35">
      <c r="F566"/>
      <c r="G566"/>
    </row>
    <row r="567" spans="6:7" x14ac:dyDescent="0.35">
      <c r="F567"/>
      <c r="G567"/>
    </row>
    <row r="568" spans="6:7" x14ac:dyDescent="0.35">
      <c r="F568"/>
      <c r="G568"/>
    </row>
    <row r="569" spans="6:7" x14ac:dyDescent="0.35">
      <c r="F569"/>
      <c r="G569"/>
    </row>
    <row r="570" spans="6:7" x14ac:dyDescent="0.35">
      <c r="F570"/>
      <c r="G570"/>
    </row>
    <row r="571" spans="6:7" x14ac:dyDescent="0.35">
      <c r="F571"/>
      <c r="G571"/>
    </row>
    <row r="572" spans="6:7" x14ac:dyDescent="0.35">
      <c r="F572"/>
      <c r="G572"/>
    </row>
    <row r="573" spans="6:7" x14ac:dyDescent="0.35">
      <c r="F573"/>
      <c r="G573"/>
    </row>
    <row r="574" spans="6:7" x14ac:dyDescent="0.35">
      <c r="F574"/>
      <c r="G574"/>
    </row>
    <row r="575" spans="6:7" x14ac:dyDescent="0.35">
      <c r="F575"/>
      <c r="G575"/>
    </row>
    <row r="576" spans="6:7" x14ac:dyDescent="0.35">
      <c r="F576"/>
      <c r="G576"/>
    </row>
    <row r="577" spans="6:7" x14ac:dyDescent="0.35">
      <c r="F577"/>
      <c r="G577"/>
    </row>
    <row r="578" spans="6:7" x14ac:dyDescent="0.35">
      <c r="F578"/>
      <c r="G578"/>
    </row>
    <row r="579" spans="6:7" x14ac:dyDescent="0.35">
      <c r="F579"/>
      <c r="G579"/>
    </row>
    <row r="580" spans="6:7" x14ac:dyDescent="0.35">
      <c r="F580"/>
      <c r="G580"/>
    </row>
    <row r="581" spans="6:7" x14ac:dyDescent="0.35">
      <c r="F581"/>
      <c r="G581"/>
    </row>
    <row r="582" spans="6:7" x14ac:dyDescent="0.35">
      <c r="F582"/>
      <c r="G582"/>
    </row>
    <row r="583" spans="6:7" x14ac:dyDescent="0.35">
      <c r="F583"/>
      <c r="G583"/>
    </row>
    <row r="584" spans="6:7" x14ac:dyDescent="0.35">
      <c r="F584"/>
      <c r="G584"/>
    </row>
    <row r="585" spans="6:7" x14ac:dyDescent="0.35">
      <c r="F585"/>
      <c r="G585"/>
    </row>
    <row r="586" spans="6:7" x14ac:dyDescent="0.35">
      <c r="F586"/>
      <c r="G586"/>
    </row>
    <row r="587" spans="6:7" x14ac:dyDescent="0.35">
      <c r="F587"/>
      <c r="G587"/>
    </row>
    <row r="588" spans="6:7" x14ac:dyDescent="0.35">
      <c r="F588"/>
      <c r="G588"/>
    </row>
    <row r="589" spans="6:7" x14ac:dyDescent="0.35">
      <c r="F589"/>
      <c r="G589"/>
    </row>
    <row r="590" spans="6:7" x14ac:dyDescent="0.35">
      <c r="F590"/>
      <c r="G590"/>
    </row>
    <row r="591" spans="6:7" x14ac:dyDescent="0.35">
      <c r="F591"/>
      <c r="G591"/>
    </row>
    <row r="592" spans="6:7" x14ac:dyDescent="0.35">
      <c r="F592"/>
      <c r="G592"/>
    </row>
    <row r="593" spans="6:7" x14ac:dyDescent="0.35">
      <c r="F593"/>
      <c r="G593"/>
    </row>
    <row r="594" spans="6:7" x14ac:dyDescent="0.35">
      <c r="F594"/>
      <c r="G594"/>
    </row>
    <row r="595" spans="6:7" x14ac:dyDescent="0.35">
      <c r="F595"/>
      <c r="G595"/>
    </row>
    <row r="596" spans="6:7" x14ac:dyDescent="0.35">
      <c r="F596"/>
      <c r="G596"/>
    </row>
    <row r="597" spans="6:7" x14ac:dyDescent="0.35">
      <c r="F597"/>
      <c r="G597"/>
    </row>
    <row r="598" spans="6:7" x14ac:dyDescent="0.35">
      <c r="F598"/>
      <c r="G598"/>
    </row>
    <row r="599" spans="6:7" x14ac:dyDescent="0.35">
      <c r="F599"/>
      <c r="G599"/>
    </row>
    <row r="600" spans="6:7" x14ac:dyDescent="0.35">
      <c r="F600"/>
      <c r="G600"/>
    </row>
    <row r="601" spans="6:7" x14ac:dyDescent="0.35">
      <c r="F601"/>
      <c r="G601"/>
    </row>
    <row r="602" spans="6:7" x14ac:dyDescent="0.35">
      <c r="F602"/>
      <c r="G602"/>
    </row>
    <row r="603" spans="6:7" x14ac:dyDescent="0.35">
      <c r="F603"/>
      <c r="G603"/>
    </row>
    <row r="604" spans="6:7" x14ac:dyDescent="0.35">
      <c r="F604"/>
      <c r="G604"/>
    </row>
    <row r="605" spans="6:7" x14ac:dyDescent="0.35">
      <c r="F605"/>
      <c r="G605"/>
    </row>
    <row r="606" spans="6:7" x14ac:dyDescent="0.35">
      <c r="F606"/>
      <c r="G606"/>
    </row>
    <row r="607" spans="6:7" x14ac:dyDescent="0.35">
      <c r="F607"/>
      <c r="G607"/>
    </row>
    <row r="608" spans="6:7" x14ac:dyDescent="0.35">
      <c r="F608"/>
      <c r="G608"/>
    </row>
    <row r="609" spans="6:7" x14ac:dyDescent="0.35">
      <c r="F609"/>
      <c r="G609"/>
    </row>
    <row r="610" spans="6:7" x14ac:dyDescent="0.35">
      <c r="F610"/>
      <c r="G610"/>
    </row>
    <row r="611" spans="6:7" x14ac:dyDescent="0.35">
      <c r="F611"/>
      <c r="G611"/>
    </row>
    <row r="612" spans="6:7" x14ac:dyDescent="0.35">
      <c r="F612"/>
      <c r="G612"/>
    </row>
    <row r="613" spans="6:7" x14ac:dyDescent="0.35">
      <c r="F613"/>
      <c r="G613"/>
    </row>
    <row r="614" spans="6:7" x14ac:dyDescent="0.35">
      <c r="F614"/>
      <c r="G614"/>
    </row>
    <row r="615" spans="6:7" x14ac:dyDescent="0.35">
      <c r="F615"/>
      <c r="G615"/>
    </row>
    <row r="616" spans="6:7" x14ac:dyDescent="0.35">
      <c r="F616"/>
      <c r="G616"/>
    </row>
    <row r="617" spans="6:7" x14ac:dyDescent="0.35">
      <c r="F617"/>
      <c r="G617"/>
    </row>
    <row r="618" spans="6:7" x14ac:dyDescent="0.35">
      <c r="F618"/>
      <c r="G618"/>
    </row>
    <row r="619" spans="6:7" x14ac:dyDescent="0.35">
      <c r="F619"/>
      <c r="G619"/>
    </row>
    <row r="620" spans="6:7" x14ac:dyDescent="0.35">
      <c r="F620"/>
      <c r="G620"/>
    </row>
    <row r="621" spans="6:7" x14ac:dyDescent="0.35">
      <c r="F621"/>
      <c r="G621"/>
    </row>
    <row r="622" spans="6:7" x14ac:dyDescent="0.35">
      <c r="F622"/>
      <c r="G622"/>
    </row>
    <row r="623" spans="6:7" x14ac:dyDescent="0.35">
      <c r="F623"/>
      <c r="G623"/>
    </row>
    <row r="624" spans="6:7" x14ac:dyDescent="0.35">
      <c r="F624"/>
      <c r="G624"/>
    </row>
    <row r="625" spans="6:7" x14ac:dyDescent="0.35">
      <c r="F625"/>
      <c r="G625"/>
    </row>
    <row r="626" spans="6:7" x14ac:dyDescent="0.35">
      <c r="F626"/>
      <c r="G626"/>
    </row>
    <row r="627" spans="6:7" x14ac:dyDescent="0.35">
      <c r="F627"/>
      <c r="G627"/>
    </row>
    <row r="628" spans="6:7" x14ac:dyDescent="0.35">
      <c r="F628"/>
      <c r="G628"/>
    </row>
    <row r="629" spans="6:7" x14ac:dyDescent="0.35">
      <c r="F629"/>
      <c r="G629"/>
    </row>
    <row r="630" spans="6:7" x14ac:dyDescent="0.35">
      <c r="F630"/>
      <c r="G630"/>
    </row>
    <row r="631" spans="6:7" x14ac:dyDescent="0.35">
      <c r="F631"/>
      <c r="G631"/>
    </row>
    <row r="632" spans="6:7" x14ac:dyDescent="0.35">
      <c r="F632"/>
      <c r="G632"/>
    </row>
    <row r="633" spans="6:7" x14ac:dyDescent="0.35">
      <c r="F633"/>
      <c r="G633"/>
    </row>
    <row r="634" spans="6:7" x14ac:dyDescent="0.35">
      <c r="F634"/>
      <c r="G634"/>
    </row>
    <row r="635" spans="6:7" x14ac:dyDescent="0.35">
      <c r="F635"/>
      <c r="G635"/>
    </row>
    <row r="636" spans="6:7" x14ac:dyDescent="0.35">
      <c r="F636"/>
      <c r="G636"/>
    </row>
    <row r="637" spans="6:7" x14ac:dyDescent="0.35">
      <c r="F637"/>
      <c r="G637"/>
    </row>
    <row r="638" spans="6:7" x14ac:dyDescent="0.35">
      <c r="F638"/>
      <c r="G638"/>
    </row>
    <row r="639" spans="6:7" x14ac:dyDescent="0.35">
      <c r="F639"/>
      <c r="G639"/>
    </row>
    <row r="640" spans="6:7" x14ac:dyDescent="0.35">
      <c r="F640"/>
      <c r="G640"/>
    </row>
    <row r="641" spans="6:7" x14ac:dyDescent="0.35">
      <c r="F641"/>
      <c r="G641"/>
    </row>
    <row r="642" spans="6:7" x14ac:dyDescent="0.35">
      <c r="F642"/>
      <c r="G642"/>
    </row>
    <row r="643" spans="6:7" x14ac:dyDescent="0.35">
      <c r="F643"/>
      <c r="G643"/>
    </row>
    <row r="644" spans="6:7" x14ac:dyDescent="0.35">
      <c r="F644"/>
      <c r="G644"/>
    </row>
    <row r="645" spans="6:7" x14ac:dyDescent="0.35">
      <c r="F645"/>
      <c r="G645"/>
    </row>
    <row r="646" spans="6:7" x14ac:dyDescent="0.35">
      <c r="F646"/>
      <c r="G646"/>
    </row>
    <row r="647" spans="6:7" x14ac:dyDescent="0.35">
      <c r="F647"/>
      <c r="G647"/>
    </row>
    <row r="648" spans="6:7" x14ac:dyDescent="0.35">
      <c r="F648"/>
      <c r="G648"/>
    </row>
    <row r="649" spans="6:7" x14ac:dyDescent="0.35">
      <c r="F649"/>
      <c r="G649"/>
    </row>
    <row r="650" spans="6:7" x14ac:dyDescent="0.35">
      <c r="F650"/>
      <c r="G650"/>
    </row>
    <row r="651" spans="6:7" x14ac:dyDescent="0.35">
      <c r="F651"/>
      <c r="G651"/>
    </row>
    <row r="652" spans="6:7" x14ac:dyDescent="0.35">
      <c r="F652"/>
      <c r="G652"/>
    </row>
    <row r="653" spans="6:7" x14ac:dyDescent="0.35">
      <c r="F653"/>
      <c r="G653"/>
    </row>
    <row r="654" spans="6:7" x14ac:dyDescent="0.35">
      <c r="F654"/>
      <c r="G654"/>
    </row>
    <row r="655" spans="6:7" x14ac:dyDescent="0.35">
      <c r="F655"/>
      <c r="G655"/>
    </row>
    <row r="656" spans="6:7" x14ac:dyDescent="0.35">
      <c r="F656"/>
      <c r="G656"/>
    </row>
    <row r="657" spans="6:7" x14ac:dyDescent="0.35">
      <c r="F657"/>
      <c r="G657"/>
    </row>
    <row r="658" spans="6:7" x14ac:dyDescent="0.35">
      <c r="F658"/>
      <c r="G658"/>
    </row>
    <row r="659" spans="6:7" x14ac:dyDescent="0.35">
      <c r="F659"/>
      <c r="G659"/>
    </row>
    <row r="660" spans="6:7" x14ac:dyDescent="0.35">
      <c r="F660"/>
      <c r="G660"/>
    </row>
    <row r="661" spans="6:7" x14ac:dyDescent="0.35">
      <c r="F661"/>
      <c r="G661"/>
    </row>
    <row r="662" spans="6:7" x14ac:dyDescent="0.35">
      <c r="F662"/>
      <c r="G662"/>
    </row>
    <row r="663" spans="6:7" x14ac:dyDescent="0.35">
      <c r="F663"/>
      <c r="G663"/>
    </row>
    <row r="664" spans="6:7" x14ac:dyDescent="0.35">
      <c r="F664"/>
      <c r="G664"/>
    </row>
    <row r="665" spans="6:7" x14ac:dyDescent="0.35">
      <c r="F665"/>
      <c r="G665"/>
    </row>
    <row r="666" spans="6:7" x14ac:dyDescent="0.35">
      <c r="F666"/>
      <c r="G666"/>
    </row>
    <row r="667" spans="6:7" x14ac:dyDescent="0.35">
      <c r="F667"/>
      <c r="G667"/>
    </row>
    <row r="668" spans="6:7" x14ac:dyDescent="0.35">
      <c r="F668"/>
      <c r="G668"/>
    </row>
    <row r="669" spans="6:7" x14ac:dyDescent="0.35">
      <c r="F669"/>
      <c r="G669"/>
    </row>
    <row r="670" spans="6:7" x14ac:dyDescent="0.35">
      <c r="F670"/>
      <c r="G670"/>
    </row>
    <row r="671" spans="6:7" x14ac:dyDescent="0.35">
      <c r="F671"/>
      <c r="G671"/>
    </row>
    <row r="672" spans="6:7" x14ac:dyDescent="0.35">
      <c r="F672"/>
      <c r="G672"/>
    </row>
    <row r="673" spans="6:7" x14ac:dyDescent="0.35">
      <c r="F673"/>
      <c r="G673"/>
    </row>
    <row r="674" spans="6:7" x14ac:dyDescent="0.35">
      <c r="F674"/>
      <c r="G674"/>
    </row>
    <row r="675" spans="6:7" x14ac:dyDescent="0.35">
      <c r="F675"/>
      <c r="G675"/>
    </row>
    <row r="676" spans="6:7" x14ac:dyDescent="0.35">
      <c r="F676"/>
      <c r="G676"/>
    </row>
    <row r="677" spans="6:7" x14ac:dyDescent="0.35">
      <c r="F677"/>
      <c r="G677"/>
    </row>
    <row r="678" spans="6:7" x14ac:dyDescent="0.35">
      <c r="F678"/>
      <c r="G678"/>
    </row>
    <row r="679" spans="6:7" x14ac:dyDescent="0.35">
      <c r="F679"/>
      <c r="G679"/>
    </row>
    <row r="680" spans="6:7" x14ac:dyDescent="0.35">
      <c r="F680"/>
      <c r="G680"/>
    </row>
    <row r="681" spans="6:7" x14ac:dyDescent="0.35">
      <c r="F681"/>
      <c r="G681"/>
    </row>
    <row r="682" spans="6:7" x14ac:dyDescent="0.35">
      <c r="F682"/>
      <c r="G682"/>
    </row>
    <row r="683" spans="6:7" x14ac:dyDescent="0.35">
      <c r="F683"/>
      <c r="G683"/>
    </row>
    <row r="684" spans="6:7" x14ac:dyDescent="0.35">
      <c r="F684"/>
      <c r="G684"/>
    </row>
    <row r="685" spans="6:7" x14ac:dyDescent="0.35">
      <c r="F685"/>
      <c r="G685"/>
    </row>
    <row r="686" spans="6:7" x14ac:dyDescent="0.35">
      <c r="F686"/>
      <c r="G686"/>
    </row>
    <row r="687" spans="6:7" x14ac:dyDescent="0.35">
      <c r="F687"/>
      <c r="G687"/>
    </row>
    <row r="688" spans="6:7" x14ac:dyDescent="0.35">
      <c r="F688"/>
      <c r="G688"/>
    </row>
    <row r="689" spans="6:7" x14ac:dyDescent="0.35">
      <c r="F689"/>
      <c r="G689"/>
    </row>
    <row r="690" spans="6:7" x14ac:dyDescent="0.35">
      <c r="F690"/>
      <c r="G690"/>
    </row>
    <row r="691" spans="6:7" x14ac:dyDescent="0.35">
      <c r="F691"/>
      <c r="G691"/>
    </row>
    <row r="692" spans="6:7" x14ac:dyDescent="0.35">
      <c r="F692"/>
      <c r="G692"/>
    </row>
    <row r="693" spans="6:7" x14ac:dyDescent="0.35">
      <c r="F693"/>
      <c r="G693"/>
    </row>
    <row r="694" spans="6:7" x14ac:dyDescent="0.35">
      <c r="F694"/>
      <c r="G694"/>
    </row>
    <row r="695" spans="6:7" x14ac:dyDescent="0.35">
      <c r="F695"/>
      <c r="G695"/>
    </row>
    <row r="696" spans="6:7" x14ac:dyDescent="0.35">
      <c r="F696"/>
      <c r="G696"/>
    </row>
    <row r="697" spans="6:7" x14ac:dyDescent="0.35">
      <c r="F697"/>
      <c r="G697"/>
    </row>
    <row r="698" spans="6:7" x14ac:dyDescent="0.35">
      <c r="F698"/>
      <c r="G698"/>
    </row>
    <row r="699" spans="6:7" x14ac:dyDescent="0.35">
      <c r="F699"/>
      <c r="G699"/>
    </row>
    <row r="700" spans="6:7" x14ac:dyDescent="0.35">
      <c r="F700"/>
      <c r="G700"/>
    </row>
    <row r="701" spans="6:7" x14ac:dyDescent="0.35">
      <c r="F701"/>
      <c r="G701"/>
    </row>
    <row r="702" spans="6:7" x14ac:dyDescent="0.35">
      <c r="F702"/>
      <c r="G702"/>
    </row>
    <row r="703" spans="6:7" x14ac:dyDescent="0.35">
      <c r="F703"/>
      <c r="G703"/>
    </row>
    <row r="704" spans="6:7" x14ac:dyDescent="0.35">
      <c r="F704"/>
      <c r="G704"/>
    </row>
    <row r="705" spans="6:7" x14ac:dyDescent="0.35">
      <c r="F705"/>
      <c r="G705"/>
    </row>
    <row r="706" spans="6:7" x14ac:dyDescent="0.35">
      <c r="F706"/>
      <c r="G706"/>
    </row>
    <row r="707" spans="6:7" x14ac:dyDescent="0.35">
      <c r="F707"/>
      <c r="G707"/>
    </row>
    <row r="708" spans="6:7" x14ac:dyDescent="0.35">
      <c r="F708"/>
      <c r="G708"/>
    </row>
    <row r="709" spans="6:7" x14ac:dyDescent="0.35">
      <c r="F709"/>
      <c r="G709"/>
    </row>
    <row r="710" spans="6:7" x14ac:dyDescent="0.35">
      <c r="F710"/>
      <c r="G710"/>
    </row>
    <row r="711" spans="6:7" x14ac:dyDescent="0.35">
      <c r="F711"/>
      <c r="G711"/>
    </row>
    <row r="712" spans="6:7" x14ac:dyDescent="0.35">
      <c r="F712"/>
      <c r="G712"/>
    </row>
    <row r="713" spans="6:7" x14ac:dyDescent="0.35">
      <c r="F713"/>
      <c r="G713"/>
    </row>
    <row r="714" spans="6:7" x14ac:dyDescent="0.35">
      <c r="F714"/>
      <c r="G714"/>
    </row>
    <row r="715" spans="6:7" x14ac:dyDescent="0.35">
      <c r="F715"/>
      <c r="G715"/>
    </row>
    <row r="716" spans="6:7" x14ac:dyDescent="0.35">
      <c r="F716"/>
      <c r="G716"/>
    </row>
    <row r="717" spans="6:7" x14ac:dyDescent="0.35">
      <c r="F717"/>
      <c r="G717"/>
    </row>
    <row r="718" spans="6:7" x14ac:dyDescent="0.35">
      <c r="F718"/>
      <c r="G718"/>
    </row>
    <row r="719" spans="6:7" x14ac:dyDescent="0.35">
      <c r="F719"/>
      <c r="G719"/>
    </row>
    <row r="720" spans="6:7" x14ac:dyDescent="0.35">
      <c r="F720"/>
      <c r="G720"/>
    </row>
    <row r="721" spans="6:7" x14ac:dyDescent="0.35">
      <c r="F721"/>
      <c r="G721"/>
    </row>
    <row r="722" spans="6:7" x14ac:dyDescent="0.35">
      <c r="F722"/>
      <c r="G722"/>
    </row>
    <row r="723" spans="6:7" x14ac:dyDescent="0.35">
      <c r="F723"/>
      <c r="G723"/>
    </row>
    <row r="724" spans="6:7" x14ac:dyDescent="0.35">
      <c r="F724"/>
      <c r="G724"/>
    </row>
    <row r="725" spans="6:7" x14ac:dyDescent="0.35">
      <c r="F725"/>
      <c r="G725"/>
    </row>
    <row r="726" spans="6:7" x14ac:dyDescent="0.35">
      <c r="F726"/>
      <c r="G726"/>
    </row>
    <row r="727" spans="6:7" x14ac:dyDescent="0.35">
      <c r="F727"/>
      <c r="G727"/>
    </row>
    <row r="728" spans="6:7" x14ac:dyDescent="0.35">
      <c r="F728"/>
      <c r="G728"/>
    </row>
    <row r="729" spans="6:7" x14ac:dyDescent="0.35">
      <c r="F729"/>
      <c r="G729"/>
    </row>
    <row r="730" spans="6:7" x14ac:dyDescent="0.35">
      <c r="F730"/>
      <c r="G730"/>
    </row>
    <row r="731" spans="6:7" x14ac:dyDescent="0.35">
      <c r="F731"/>
      <c r="G731"/>
    </row>
    <row r="732" spans="6:7" x14ac:dyDescent="0.35">
      <c r="F732"/>
      <c r="G732"/>
    </row>
    <row r="733" spans="6:7" x14ac:dyDescent="0.35">
      <c r="F733"/>
      <c r="G733"/>
    </row>
    <row r="734" spans="6:7" x14ac:dyDescent="0.35">
      <c r="F734"/>
      <c r="G734"/>
    </row>
    <row r="735" spans="6:7" x14ac:dyDescent="0.35">
      <c r="F735"/>
      <c r="G735"/>
    </row>
    <row r="736" spans="6:7" x14ac:dyDescent="0.35">
      <c r="F736"/>
      <c r="G736"/>
    </row>
    <row r="737" spans="6:7" x14ac:dyDescent="0.35">
      <c r="F737"/>
      <c r="G737"/>
    </row>
    <row r="738" spans="6:7" x14ac:dyDescent="0.35">
      <c r="F738"/>
      <c r="G738"/>
    </row>
    <row r="739" spans="6:7" x14ac:dyDescent="0.35">
      <c r="F739"/>
      <c r="G739"/>
    </row>
    <row r="740" spans="6:7" x14ac:dyDescent="0.35">
      <c r="F740"/>
      <c r="G740"/>
    </row>
    <row r="741" spans="6:7" x14ac:dyDescent="0.35">
      <c r="F741"/>
      <c r="G741"/>
    </row>
    <row r="742" spans="6:7" x14ac:dyDescent="0.35">
      <c r="F742"/>
      <c r="G742"/>
    </row>
    <row r="743" spans="6:7" x14ac:dyDescent="0.35">
      <c r="F743"/>
      <c r="G743"/>
    </row>
    <row r="744" spans="6:7" x14ac:dyDescent="0.35">
      <c r="F744"/>
      <c r="G744"/>
    </row>
    <row r="745" spans="6:7" x14ac:dyDescent="0.35">
      <c r="F745"/>
      <c r="G745"/>
    </row>
    <row r="746" spans="6:7" x14ac:dyDescent="0.35">
      <c r="F746"/>
      <c r="G746"/>
    </row>
    <row r="747" spans="6:7" x14ac:dyDescent="0.35">
      <c r="F747"/>
      <c r="G747"/>
    </row>
    <row r="748" spans="6:7" x14ac:dyDescent="0.35">
      <c r="F748"/>
      <c r="G748"/>
    </row>
    <row r="749" spans="6:7" x14ac:dyDescent="0.35">
      <c r="F749"/>
      <c r="G749"/>
    </row>
    <row r="750" spans="6:7" x14ac:dyDescent="0.35">
      <c r="F750"/>
      <c r="G750"/>
    </row>
    <row r="751" spans="6:7" x14ac:dyDescent="0.35">
      <c r="F751"/>
      <c r="G751"/>
    </row>
    <row r="752" spans="6:7" x14ac:dyDescent="0.35">
      <c r="F752"/>
      <c r="G752"/>
    </row>
    <row r="753" spans="6:7" x14ac:dyDescent="0.35">
      <c r="F753"/>
      <c r="G753"/>
    </row>
    <row r="754" spans="6:7" x14ac:dyDescent="0.35">
      <c r="F754"/>
      <c r="G754"/>
    </row>
    <row r="755" spans="6:7" x14ac:dyDescent="0.35">
      <c r="F755"/>
      <c r="G755"/>
    </row>
    <row r="756" spans="6:7" x14ac:dyDescent="0.35">
      <c r="F756"/>
      <c r="G756"/>
    </row>
    <row r="757" spans="6:7" x14ac:dyDescent="0.35">
      <c r="F757"/>
      <c r="G757"/>
    </row>
    <row r="758" spans="6:7" x14ac:dyDescent="0.35">
      <c r="F758"/>
      <c r="G758"/>
    </row>
    <row r="759" spans="6:7" x14ac:dyDescent="0.35">
      <c r="F759"/>
      <c r="G759"/>
    </row>
    <row r="760" spans="6:7" x14ac:dyDescent="0.35">
      <c r="F760"/>
      <c r="G760"/>
    </row>
    <row r="761" spans="6:7" x14ac:dyDescent="0.35">
      <c r="F761"/>
      <c r="G761"/>
    </row>
    <row r="762" spans="6:7" x14ac:dyDescent="0.35">
      <c r="F762"/>
      <c r="G762"/>
    </row>
    <row r="763" spans="6:7" x14ac:dyDescent="0.35">
      <c r="F763"/>
      <c r="G763"/>
    </row>
    <row r="764" spans="6:7" x14ac:dyDescent="0.35">
      <c r="F764"/>
      <c r="G764"/>
    </row>
    <row r="765" spans="6:7" x14ac:dyDescent="0.35">
      <c r="F765"/>
      <c r="G765"/>
    </row>
    <row r="766" spans="6:7" x14ac:dyDescent="0.35">
      <c r="F766"/>
      <c r="G766"/>
    </row>
    <row r="767" spans="6:7" x14ac:dyDescent="0.35">
      <c r="F767"/>
      <c r="G767"/>
    </row>
    <row r="768" spans="6:7" x14ac:dyDescent="0.35">
      <c r="F768"/>
      <c r="G768"/>
    </row>
    <row r="769" spans="6:7" x14ac:dyDescent="0.35">
      <c r="F769"/>
      <c r="G769"/>
    </row>
    <row r="770" spans="6:7" x14ac:dyDescent="0.35">
      <c r="F770"/>
      <c r="G770"/>
    </row>
    <row r="771" spans="6:7" x14ac:dyDescent="0.35">
      <c r="F771"/>
      <c r="G771"/>
    </row>
    <row r="772" spans="6:7" x14ac:dyDescent="0.35">
      <c r="F772"/>
      <c r="G772"/>
    </row>
    <row r="773" spans="6:7" x14ac:dyDescent="0.35">
      <c r="F773"/>
      <c r="G773"/>
    </row>
    <row r="774" spans="6:7" x14ac:dyDescent="0.35">
      <c r="F774"/>
      <c r="G774"/>
    </row>
    <row r="775" spans="6:7" x14ac:dyDescent="0.35">
      <c r="F775"/>
      <c r="G775"/>
    </row>
    <row r="776" spans="6:7" x14ac:dyDescent="0.35">
      <c r="F776"/>
      <c r="G776"/>
    </row>
    <row r="777" spans="6:7" x14ac:dyDescent="0.35">
      <c r="F777"/>
      <c r="G777"/>
    </row>
    <row r="778" spans="6:7" x14ac:dyDescent="0.35">
      <c r="F778"/>
      <c r="G778"/>
    </row>
    <row r="779" spans="6:7" x14ac:dyDescent="0.35">
      <c r="F779"/>
      <c r="G779"/>
    </row>
    <row r="780" spans="6:7" x14ac:dyDescent="0.35">
      <c r="F780"/>
      <c r="G780"/>
    </row>
    <row r="781" spans="6:7" x14ac:dyDescent="0.35">
      <c r="F781"/>
      <c r="G781"/>
    </row>
    <row r="782" spans="6:7" x14ac:dyDescent="0.35">
      <c r="F782"/>
      <c r="G782"/>
    </row>
    <row r="783" spans="6:7" x14ac:dyDescent="0.35">
      <c r="F783"/>
      <c r="G783"/>
    </row>
    <row r="784" spans="6:7" x14ac:dyDescent="0.35">
      <c r="F784"/>
      <c r="G784"/>
    </row>
    <row r="785" spans="6:7" x14ac:dyDescent="0.35">
      <c r="F785"/>
      <c r="G785"/>
    </row>
    <row r="786" spans="6:7" x14ac:dyDescent="0.35">
      <c r="F786"/>
      <c r="G786"/>
    </row>
    <row r="787" spans="6:7" x14ac:dyDescent="0.35">
      <c r="F787"/>
      <c r="G787"/>
    </row>
    <row r="788" spans="6:7" x14ac:dyDescent="0.35">
      <c r="F788"/>
      <c r="G788"/>
    </row>
    <row r="789" spans="6:7" x14ac:dyDescent="0.35">
      <c r="F789"/>
      <c r="G789"/>
    </row>
    <row r="790" spans="6:7" x14ac:dyDescent="0.35">
      <c r="F790"/>
      <c r="G790"/>
    </row>
    <row r="791" spans="6:7" x14ac:dyDescent="0.35">
      <c r="F791"/>
      <c r="G791"/>
    </row>
    <row r="792" spans="6:7" x14ac:dyDescent="0.35">
      <c r="F792"/>
      <c r="G792"/>
    </row>
    <row r="793" spans="6:7" x14ac:dyDescent="0.35">
      <c r="F793"/>
      <c r="G793"/>
    </row>
    <row r="794" spans="6:7" x14ac:dyDescent="0.35">
      <c r="F794"/>
      <c r="G794"/>
    </row>
    <row r="795" spans="6:7" x14ac:dyDescent="0.35">
      <c r="F795"/>
      <c r="G795"/>
    </row>
    <row r="796" spans="6:7" x14ac:dyDescent="0.35">
      <c r="F796"/>
      <c r="G796"/>
    </row>
    <row r="797" spans="6:7" x14ac:dyDescent="0.35">
      <c r="F797"/>
      <c r="G797"/>
    </row>
    <row r="798" spans="6:7" x14ac:dyDescent="0.35">
      <c r="F798"/>
      <c r="G798"/>
    </row>
    <row r="799" spans="6:7" x14ac:dyDescent="0.35">
      <c r="F799"/>
      <c r="G799"/>
    </row>
    <row r="800" spans="6:7" x14ac:dyDescent="0.35">
      <c r="F800"/>
      <c r="G800"/>
    </row>
    <row r="801" spans="6:7" x14ac:dyDescent="0.35">
      <c r="F801"/>
      <c r="G801"/>
    </row>
    <row r="802" spans="6:7" x14ac:dyDescent="0.35">
      <c r="F802"/>
      <c r="G802"/>
    </row>
    <row r="803" spans="6:7" x14ac:dyDescent="0.35">
      <c r="F803"/>
      <c r="G803"/>
    </row>
    <row r="804" spans="6:7" x14ac:dyDescent="0.35">
      <c r="F804"/>
      <c r="G804"/>
    </row>
    <row r="805" spans="6:7" x14ac:dyDescent="0.35">
      <c r="F805"/>
      <c r="G805"/>
    </row>
    <row r="806" spans="6:7" x14ac:dyDescent="0.35">
      <c r="F806"/>
      <c r="G806"/>
    </row>
    <row r="807" spans="6:7" x14ac:dyDescent="0.35">
      <c r="F807"/>
      <c r="G807"/>
    </row>
    <row r="808" spans="6:7" x14ac:dyDescent="0.35">
      <c r="F808"/>
      <c r="G808"/>
    </row>
    <row r="809" spans="6:7" x14ac:dyDescent="0.35">
      <c r="F809"/>
      <c r="G809"/>
    </row>
    <row r="810" spans="6:7" x14ac:dyDescent="0.35">
      <c r="F810"/>
      <c r="G810"/>
    </row>
    <row r="811" spans="6:7" x14ac:dyDescent="0.35">
      <c r="F811"/>
      <c r="G811"/>
    </row>
    <row r="812" spans="6:7" x14ac:dyDescent="0.35">
      <c r="F812"/>
      <c r="G812"/>
    </row>
    <row r="813" spans="6:7" x14ac:dyDescent="0.35">
      <c r="F813"/>
      <c r="G813"/>
    </row>
    <row r="814" spans="6:7" x14ac:dyDescent="0.35">
      <c r="F814"/>
      <c r="G814"/>
    </row>
    <row r="815" spans="6:7" x14ac:dyDescent="0.35">
      <c r="F815"/>
      <c r="G815"/>
    </row>
    <row r="816" spans="6:7" x14ac:dyDescent="0.35">
      <c r="F816"/>
      <c r="G816"/>
    </row>
    <row r="817" spans="6:7" x14ac:dyDescent="0.35">
      <c r="F817"/>
      <c r="G817"/>
    </row>
    <row r="818" spans="6:7" x14ac:dyDescent="0.35">
      <c r="F818"/>
      <c r="G818"/>
    </row>
    <row r="819" spans="6:7" x14ac:dyDescent="0.35">
      <c r="F819"/>
      <c r="G819"/>
    </row>
    <row r="820" spans="6:7" x14ac:dyDescent="0.35">
      <c r="F820"/>
      <c r="G820"/>
    </row>
    <row r="821" spans="6:7" x14ac:dyDescent="0.35">
      <c r="F821"/>
      <c r="G821"/>
    </row>
    <row r="822" spans="6:7" x14ac:dyDescent="0.35">
      <c r="F822"/>
      <c r="G822"/>
    </row>
    <row r="823" spans="6:7" x14ac:dyDescent="0.35">
      <c r="F823"/>
      <c r="G823"/>
    </row>
    <row r="824" spans="6:7" x14ac:dyDescent="0.35">
      <c r="F824"/>
      <c r="G824"/>
    </row>
    <row r="825" spans="6:7" x14ac:dyDescent="0.35">
      <c r="F825"/>
      <c r="G825"/>
    </row>
    <row r="826" spans="6:7" x14ac:dyDescent="0.35">
      <c r="F826"/>
      <c r="G826"/>
    </row>
    <row r="827" spans="6:7" x14ac:dyDescent="0.35">
      <c r="F827"/>
      <c r="G827"/>
    </row>
    <row r="828" spans="6:7" x14ac:dyDescent="0.35">
      <c r="F828"/>
      <c r="G828"/>
    </row>
    <row r="829" spans="6:7" x14ac:dyDescent="0.35">
      <c r="F829"/>
      <c r="G829"/>
    </row>
    <row r="830" spans="6:7" x14ac:dyDescent="0.35">
      <c r="F830"/>
      <c r="G830"/>
    </row>
    <row r="831" spans="6:7" x14ac:dyDescent="0.35">
      <c r="F831"/>
      <c r="G831"/>
    </row>
    <row r="832" spans="6:7" x14ac:dyDescent="0.35">
      <c r="F832"/>
      <c r="G832"/>
    </row>
    <row r="833" spans="6:7" x14ac:dyDescent="0.35">
      <c r="F833"/>
      <c r="G833"/>
    </row>
    <row r="834" spans="6:7" x14ac:dyDescent="0.35">
      <c r="F834"/>
      <c r="G834"/>
    </row>
    <row r="835" spans="6:7" x14ac:dyDescent="0.35">
      <c r="F835"/>
      <c r="G835"/>
    </row>
    <row r="836" spans="6:7" x14ac:dyDescent="0.35">
      <c r="F836"/>
      <c r="G836"/>
    </row>
    <row r="837" spans="6:7" x14ac:dyDescent="0.35">
      <c r="F837"/>
      <c r="G837"/>
    </row>
    <row r="838" spans="6:7" x14ac:dyDescent="0.35">
      <c r="F838"/>
      <c r="G838"/>
    </row>
    <row r="839" spans="6:7" x14ac:dyDescent="0.35">
      <c r="F839"/>
      <c r="G839"/>
    </row>
    <row r="840" spans="6:7" x14ac:dyDescent="0.35">
      <c r="F840"/>
      <c r="G840"/>
    </row>
    <row r="841" spans="6:7" x14ac:dyDescent="0.35">
      <c r="F841"/>
      <c r="G841"/>
    </row>
    <row r="842" spans="6:7" x14ac:dyDescent="0.35">
      <c r="F842"/>
      <c r="G842"/>
    </row>
    <row r="843" spans="6:7" x14ac:dyDescent="0.35">
      <c r="F843"/>
      <c r="G843"/>
    </row>
    <row r="844" spans="6:7" x14ac:dyDescent="0.35">
      <c r="F844"/>
      <c r="G844"/>
    </row>
    <row r="845" spans="6:7" x14ac:dyDescent="0.35">
      <c r="F845"/>
      <c r="G845"/>
    </row>
    <row r="846" spans="6:7" x14ac:dyDescent="0.35">
      <c r="F846"/>
      <c r="G846"/>
    </row>
    <row r="847" spans="6:7" x14ac:dyDescent="0.35">
      <c r="F847"/>
      <c r="G847"/>
    </row>
    <row r="848" spans="6:7" x14ac:dyDescent="0.35">
      <c r="F848"/>
      <c r="G848"/>
    </row>
    <row r="849" spans="6:7" x14ac:dyDescent="0.35">
      <c r="F849"/>
      <c r="G849"/>
    </row>
    <row r="850" spans="6:7" x14ac:dyDescent="0.35">
      <c r="F850"/>
      <c r="G850"/>
    </row>
    <row r="851" spans="6:7" x14ac:dyDescent="0.35">
      <c r="F851"/>
      <c r="G851"/>
    </row>
    <row r="852" spans="6:7" x14ac:dyDescent="0.35">
      <c r="F852"/>
      <c r="G852"/>
    </row>
    <row r="853" spans="6:7" x14ac:dyDescent="0.35">
      <c r="F853"/>
      <c r="G853"/>
    </row>
    <row r="854" spans="6:7" x14ac:dyDescent="0.35">
      <c r="F854"/>
      <c r="G854"/>
    </row>
    <row r="855" spans="6:7" x14ac:dyDescent="0.35">
      <c r="F855"/>
      <c r="G855"/>
    </row>
    <row r="856" spans="6:7" x14ac:dyDescent="0.35">
      <c r="F856"/>
      <c r="G856"/>
    </row>
    <row r="857" spans="6:7" x14ac:dyDescent="0.35">
      <c r="F857"/>
      <c r="G857"/>
    </row>
    <row r="858" spans="6:7" x14ac:dyDescent="0.35">
      <c r="F858"/>
      <c r="G858"/>
    </row>
    <row r="859" spans="6:7" x14ac:dyDescent="0.35">
      <c r="F859"/>
      <c r="G859"/>
    </row>
    <row r="860" spans="6:7" x14ac:dyDescent="0.35">
      <c r="F860"/>
      <c r="G860"/>
    </row>
    <row r="861" spans="6:7" x14ac:dyDescent="0.35">
      <c r="F861"/>
      <c r="G861"/>
    </row>
    <row r="862" spans="6:7" x14ac:dyDescent="0.35">
      <c r="F862"/>
      <c r="G862"/>
    </row>
    <row r="863" spans="6:7" x14ac:dyDescent="0.35">
      <c r="F863"/>
      <c r="G863"/>
    </row>
    <row r="864" spans="6:7" x14ac:dyDescent="0.35">
      <c r="F864"/>
      <c r="G864"/>
    </row>
    <row r="865" spans="6:7" x14ac:dyDescent="0.35">
      <c r="F865"/>
      <c r="G865"/>
    </row>
    <row r="866" spans="6:7" x14ac:dyDescent="0.35">
      <c r="F866"/>
      <c r="G866"/>
    </row>
    <row r="867" spans="6:7" x14ac:dyDescent="0.35">
      <c r="F867"/>
      <c r="G867"/>
    </row>
    <row r="868" spans="6:7" x14ac:dyDescent="0.35">
      <c r="F868"/>
      <c r="G868"/>
    </row>
    <row r="869" spans="6:7" x14ac:dyDescent="0.35">
      <c r="F869"/>
      <c r="G869"/>
    </row>
    <row r="870" spans="6:7" x14ac:dyDescent="0.35">
      <c r="F870"/>
      <c r="G870"/>
    </row>
    <row r="871" spans="6:7" x14ac:dyDescent="0.35">
      <c r="F871"/>
      <c r="G871"/>
    </row>
    <row r="872" spans="6:7" x14ac:dyDescent="0.35">
      <c r="F872"/>
      <c r="G872"/>
    </row>
    <row r="873" spans="6:7" x14ac:dyDescent="0.35">
      <c r="F873"/>
      <c r="G873"/>
    </row>
    <row r="874" spans="6:7" x14ac:dyDescent="0.35">
      <c r="F874"/>
      <c r="G874"/>
    </row>
    <row r="875" spans="6:7" x14ac:dyDescent="0.35">
      <c r="F875"/>
      <c r="G875"/>
    </row>
    <row r="876" spans="6:7" x14ac:dyDescent="0.35">
      <c r="F876"/>
      <c r="G876"/>
    </row>
    <row r="877" spans="6:7" x14ac:dyDescent="0.35">
      <c r="F877"/>
      <c r="G877"/>
    </row>
    <row r="878" spans="6:7" x14ac:dyDescent="0.35">
      <c r="F878"/>
      <c r="G878"/>
    </row>
    <row r="879" spans="6:7" x14ac:dyDescent="0.35">
      <c r="F879"/>
      <c r="G879"/>
    </row>
    <row r="880" spans="6:7" x14ac:dyDescent="0.35">
      <c r="F880"/>
      <c r="G880"/>
    </row>
    <row r="881" spans="6:7" x14ac:dyDescent="0.35">
      <c r="F881"/>
      <c r="G881"/>
    </row>
    <row r="882" spans="6:7" x14ac:dyDescent="0.35">
      <c r="F882"/>
      <c r="G882"/>
    </row>
    <row r="883" spans="6:7" x14ac:dyDescent="0.35">
      <c r="F883"/>
      <c r="G883"/>
    </row>
    <row r="884" spans="6:7" x14ac:dyDescent="0.35">
      <c r="F884"/>
      <c r="G884"/>
    </row>
    <row r="885" spans="6:7" x14ac:dyDescent="0.35">
      <c r="F885"/>
      <c r="G885"/>
    </row>
    <row r="886" spans="6:7" x14ac:dyDescent="0.35">
      <c r="F886"/>
      <c r="G886"/>
    </row>
    <row r="887" spans="6:7" x14ac:dyDescent="0.35">
      <c r="F887"/>
      <c r="G887"/>
    </row>
    <row r="888" spans="6:7" x14ac:dyDescent="0.35">
      <c r="F888"/>
      <c r="G888"/>
    </row>
    <row r="889" spans="6:7" x14ac:dyDescent="0.35">
      <c r="F889"/>
      <c r="G889"/>
    </row>
    <row r="890" spans="6:7" x14ac:dyDescent="0.35">
      <c r="F890"/>
      <c r="G890"/>
    </row>
    <row r="891" spans="6:7" x14ac:dyDescent="0.35">
      <c r="F891"/>
      <c r="G891"/>
    </row>
    <row r="892" spans="6:7" x14ac:dyDescent="0.35">
      <c r="F892"/>
      <c r="G892"/>
    </row>
    <row r="893" spans="6:7" x14ac:dyDescent="0.35">
      <c r="F893"/>
      <c r="G893"/>
    </row>
    <row r="894" spans="6:7" x14ac:dyDescent="0.35">
      <c r="F894"/>
      <c r="G894"/>
    </row>
    <row r="895" spans="6:7" x14ac:dyDescent="0.35">
      <c r="F895"/>
      <c r="G895"/>
    </row>
    <row r="896" spans="6:7" x14ac:dyDescent="0.35">
      <c r="F896"/>
      <c r="G896"/>
    </row>
    <row r="897" spans="6:7" x14ac:dyDescent="0.35">
      <c r="F897"/>
      <c r="G897"/>
    </row>
    <row r="898" spans="6:7" x14ac:dyDescent="0.35">
      <c r="F898"/>
      <c r="G898"/>
    </row>
    <row r="899" spans="6:7" x14ac:dyDescent="0.35">
      <c r="F899"/>
      <c r="G899"/>
    </row>
    <row r="900" spans="6:7" x14ac:dyDescent="0.35">
      <c r="F900"/>
      <c r="G900"/>
    </row>
    <row r="901" spans="6:7" x14ac:dyDescent="0.35">
      <c r="F901"/>
      <c r="G901"/>
    </row>
    <row r="902" spans="6:7" x14ac:dyDescent="0.35">
      <c r="F902"/>
      <c r="G902"/>
    </row>
    <row r="903" spans="6:7" x14ac:dyDescent="0.35">
      <c r="F903"/>
      <c r="G903"/>
    </row>
    <row r="904" spans="6:7" x14ac:dyDescent="0.35">
      <c r="F904"/>
      <c r="G904"/>
    </row>
    <row r="905" spans="6:7" x14ac:dyDescent="0.35">
      <c r="F905"/>
      <c r="G905"/>
    </row>
    <row r="906" spans="6:7" x14ac:dyDescent="0.35">
      <c r="F906"/>
      <c r="G906"/>
    </row>
    <row r="907" spans="6:7" x14ac:dyDescent="0.35">
      <c r="F907"/>
      <c r="G907"/>
    </row>
    <row r="908" spans="6:7" x14ac:dyDescent="0.35">
      <c r="F908"/>
      <c r="G908"/>
    </row>
    <row r="909" spans="6:7" x14ac:dyDescent="0.35">
      <c r="F909"/>
      <c r="G909"/>
    </row>
    <row r="910" spans="6:7" x14ac:dyDescent="0.35">
      <c r="F910"/>
      <c r="G910"/>
    </row>
    <row r="911" spans="6:7" x14ac:dyDescent="0.35">
      <c r="F911"/>
      <c r="G911"/>
    </row>
    <row r="912" spans="6:7" x14ac:dyDescent="0.35">
      <c r="F912"/>
      <c r="G912"/>
    </row>
    <row r="913" spans="6:7" x14ac:dyDescent="0.35">
      <c r="F913"/>
      <c r="G913"/>
    </row>
    <row r="914" spans="6:7" x14ac:dyDescent="0.35">
      <c r="F914"/>
      <c r="G914"/>
    </row>
    <row r="915" spans="6:7" x14ac:dyDescent="0.35">
      <c r="F915"/>
      <c r="G915"/>
    </row>
    <row r="916" spans="6:7" x14ac:dyDescent="0.35">
      <c r="F916"/>
      <c r="G916"/>
    </row>
    <row r="917" spans="6:7" x14ac:dyDescent="0.35">
      <c r="F917"/>
      <c r="G917"/>
    </row>
    <row r="918" spans="6:7" x14ac:dyDescent="0.35">
      <c r="F918"/>
      <c r="G918"/>
    </row>
    <row r="919" spans="6:7" x14ac:dyDescent="0.35">
      <c r="F919"/>
      <c r="G919"/>
    </row>
    <row r="920" spans="6:7" x14ac:dyDescent="0.35">
      <c r="F920"/>
      <c r="G920"/>
    </row>
    <row r="921" spans="6:7" x14ac:dyDescent="0.35">
      <c r="F921"/>
      <c r="G921"/>
    </row>
    <row r="922" spans="6:7" x14ac:dyDescent="0.35">
      <c r="F922"/>
      <c r="G922"/>
    </row>
    <row r="923" spans="6:7" x14ac:dyDescent="0.35">
      <c r="F923"/>
      <c r="G923"/>
    </row>
    <row r="924" spans="6:7" x14ac:dyDescent="0.35">
      <c r="F924"/>
      <c r="G924"/>
    </row>
    <row r="925" spans="6:7" x14ac:dyDescent="0.35">
      <c r="F925"/>
      <c r="G925"/>
    </row>
    <row r="926" spans="6:7" x14ac:dyDescent="0.35">
      <c r="F926"/>
      <c r="G926"/>
    </row>
    <row r="927" spans="6:7" x14ac:dyDescent="0.35">
      <c r="F927"/>
      <c r="G927"/>
    </row>
    <row r="928" spans="6:7" x14ac:dyDescent="0.35">
      <c r="F928"/>
      <c r="G928"/>
    </row>
    <row r="929" spans="6:7" x14ac:dyDescent="0.35">
      <c r="F929"/>
      <c r="G929"/>
    </row>
    <row r="930" spans="6:7" x14ac:dyDescent="0.35">
      <c r="F930"/>
      <c r="G930"/>
    </row>
    <row r="931" spans="6:7" x14ac:dyDescent="0.35">
      <c r="F931"/>
      <c r="G931"/>
    </row>
    <row r="932" spans="6:7" x14ac:dyDescent="0.35">
      <c r="F932"/>
      <c r="G932"/>
    </row>
    <row r="933" spans="6:7" x14ac:dyDescent="0.35">
      <c r="F933"/>
      <c r="G933"/>
    </row>
    <row r="934" spans="6:7" x14ac:dyDescent="0.35">
      <c r="F934"/>
      <c r="G934"/>
    </row>
    <row r="935" spans="6:7" x14ac:dyDescent="0.35">
      <c r="F935"/>
      <c r="G935"/>
    </row>
    <row r="936" spans="6:7" x14ac:dyDescent="0.35">
      <c r="F936"/>
      <c r="G936"/>
    </row>
    <row r="937" spans="6:7" x14ac:dyDescent="0.35">
      <c r="F937"/>
      <c r="G937"/>
    </row>
    <row r="938" spans="6:7" x14ac:dyDescent="0.35">
      <c r="F938"/>
      <c r="G938"/>
    </row>
    <row r="939" spans="6:7" x14ac:dyDescent="0.35">
      <c r="F939"/>
      <c r="G939"/>
    </row>
    <row r="940" spans="6:7" x14ac:dyDescent="0.35">
      <c r="F940"/>
      <c r="G940"/>
    </row>
    <row r="941" spans="6:7" x14ac:dyDescent="0.35">
      <c r="F941"/>
      <c r="G941"/>
    </row>
    <row r="942" spans="6:7" x14ac:dyDescent="0.35">
      <c r="F942"/>
      <c r="G942"/>
    </row>
    <row r="943" spans="6:7" x14ac:dyDescent="0.35">
      <c r="F943"/>
      <c r="G943"/>
    </row>
    <row r="944" spans="6:7" x14ac:dyDescent="0.35">
      <c r="F944"/>
      <c r="G944"/>
    </row>
    <row r="945" spans="6:7" x14ac:dyDescent="0.35">
      <c r="F945"/>
      <c r="G945"/>
    </row>
    <row r="946" spans="6:7" x14ac:dyDescent="0.35">
      <c r="F946"/>
      <c r="G946"/>
    </row>
    <row r="947" spans="6:7" x14ac:dyDescent="0.35">
      <c r="F947"/>
      <c r="G947"/>
    </row>
    <row r="948" spans="6:7" x14ac:dyDescent="0.35">
      <c r="F948"/>
      <c r="G948"/>
    </row>
    <row r="949" spans="6:7" x14ac:dyDescent="0.35">
      <c r="F949"/>
      <c r="G949"/>
    </row>
    <row r="950" spans="6:7" x14ac:dyDescent="0.35">
      <c r="F950"/>
      <c r="G950"/>
    </row>
    <row r="951" spans="6:7" x14ac:dyDescent="0.35">
      <c r="F951"/>
      <c r="G951"/>
    </row>
    <row r="952" spans="6:7" x14ac:dyDescent="0.35">
      <c r="F952"/>
      <c r="G952"/>
    </row>
    <row r="953" spans="6:7" x14ac:dyDescent="0.35">
      <c r="F953"/>
      <c r="G953"/>
    </row>
    <row r="954" spans="6:7" x14ac:dyDescent="0.35">
      <c r="F954"/>
      <c r="G954"/>
    </row>
    <row r="955" spans="6:7" x14ac:dyDescent="0.35">
      <c r="F955"/>
      <c r="G955"/>
    </row>
    <row r="956" spans="6:7" x14ac:dyDescent="0.35">
      <c r="F956"/>
      <c r="G956"/>
    </row>
    <row r="957" spans="6:7" x14ac:dyDescent="0.35">
      <c r="F957"/>
      <c r="G957"/>
    </row>
    <row r="958" spans="6:7" x14ac:dyDescent="0.35">
      <c r="F958"/>
      <c r="G958"/>
    </row>
    <row r="959" spans="6:7" x14ac:dyDescent="0.35">
      <c r="F959"/>
      <c r="G959"/>
    </row>
    <row r="960" spans="6:7" x14ac:dyDescent="0.35">
      <c r="F960"/>
      <c r="G960"/>
    </row>
    <row r="961" spans="6:7" x14ac:dyDescent="0.35">
      <c r="F961"/>
      <c r="G961"/>
    </row>
    <row r="962" spans="6:7" x14ac:dyDescent="0.35">
      <c r="F962"/>
      <c r="G962"/>
    </row>
    <row r="963" spans="6:7" x14ac:dyDescent="0.35">
      <c r="F963"/>
      <c r="G963"/>
    </row>
    <row r="964" spans="6:7" x14ac:dyDescent="0.35">
      <c r="F964"/>
      <c r="G964"/>
    </row>
    <row r="965" spans="6:7" x14ac:dyDescent="0.35">
      <c r="F965"/>
      <c r="G965"/>
    </row>
    <row r="966" spans="6:7" x14ac:dyDescent="0.35">
      <c r="F966"/>
      <c r="G966"/>
    </row>
    <row r="967" spans="6:7" x14ac:dyDescent="0.35">
      <c r="F967"/>
      <c r="G967"/>
    </row>
    <row r="968" spans="6:7" x14ac:dyDescent="0.35">
      <c r="F968"/>
      <c r="G968"/>
    </row>
    <row r="969" spans="6:7" x14ac:dyDescent="0.35">
      <c r="F969"/>
      <c r="G969"/>
    </row>
    <row r="970" spans="6:7" x14ac:dyDescent="0.35">
      <c r="F970"/>
      <c r="G970"/>
    </row>
    <row r="971" spans="6:7" x14ac:dyDescent="0.35">
      <c r="F971"/>
      <c r="G971"/>
    </row>
    <row r="972" spans="6:7" x14ac:dyDescent="0.35">
      <c r="F972"/>
      <c r="G972"/>
    </row>
    <row r="973" spans="6:7" x14ac:dyDescent="0.35">
      <c r="F973"/>
      <c r="G973"/>
    </row>
    <row r="974" spans="6:7" x14ac:dyDescent="0.35">
      <c r="F974"/>
      <c r="G974"/>
    </row>
    <row r="975" spans="6:7" x14ac:dyDescent="0.35">
      <c r="F975"/>
      <c r="G975"/>
    </row>
    <row r="976" spans="6:7" x14ac:dyDescent="0.35">
      <c r="F976"/>
      <c r="G976"/>
    </row>
    <row r="977" spans="6:7" x14ac:dyDescent="0.35">
      <c r="F977"/>
      <c r="G977"/>
    </row>
    <row r="978" spans="6:7" x14ac:dyDescent="0.35">
      <c r="F978"/>
      <c r="G978"/>
    </row>
    <row r="979" spans="6:7" x14ac:dyDescent="0.35">
      <c r="F979"/>
      <c r="G979"/>
    </row>
    <row r="980" spans="6:7" x14ac:dyDescent="0.35">
      <c r="F980"/>
      <c r="G980"/>
    </row>
    <row r="981" spans="6:7" x14ac:dyDescent="0.35">
      <c r="F981"/>
      <c r="G981"/>
    </row>
    <row r="982" spans="6:7" x14ac:dyDescent="0.35">
      <c r="F982"/>
      <c r="G982"/>
    </row>
    <row r="983" spans="6:7" x14ac:dyDescent="0.35">
      <c r="F983"/>
      <c r="G983"/>
    </row>
    <row r="984" spans="6:7" x14ac:dyDescent="0.35">
      <c r="F984"/>
      <c r="G984"/>
    </row>
    <row r="985" spans="6:7" x14ac:dyDescent="0.35">
      <c r="F985"/>
      <c r="G985"/>
    </row>
    <row r="986" spans="6:7" x14ac:dyDescent="0.35">
      <c r="F986"/>
      <c r="G986"/>
    </row>
    <row r="987" spans="6:7" x14ac:dyDescent="0.35">
      <c r="F987"/>
      <c r="G987"/>
    </row>
    <row r="988" spans="6:7" x14ac:dyDescent="0.35">
      <c r="F988"/>
      <c r="G988"/>
    </row>
    <row r="989" spans="6:7" x14ac:dyDescent="0.35">
      <c r="F989"/>
      <c r="G989"/>
    </row>
    <row r="990" spans="6:7" x14ac:dyDescent="0.35">
      <c r="F990"/>
      <c r="G990"/>
    </row>
    <row r="991" spans="6:7" x14ac:dyDescent="0.35">
      <c r="F991"/>
      <c r="G991"/>
    </row>
    <row r="992" spans="6:7" x14ac:dyDescent="0.35">
      <c r="F992"/>
      <c r="G992"/>
    </row>
    <row r="993" spans="6:7" x14ac:dyDescent="0.35">
      <c r="F993"/>
      <c r="G993"/>
    </row>
    <row r="994" spans="6:7" x14ac:dyDescent="0.35">
      <c r="F994"/>
      <c r="G994"/>
    </row>
    <row r="995" spans="6:7" x14ac:dyDescent="0.35">
      <c r="F995"/>
      <c r="G995"/>
    </row>
    <row r="996" spans="6:7" x14ac:dyDescent="0.35">
      <c r="F996"/>
      <c r="G996"/>
    </row>
    <row r="997" spans="6:7" x14ac:dyDescent="0.35">
      <c r="F997"/>
      <c r="G997"/>
    </row>
    <row r="998" spans="6:7" x14ac:dyDescent="0.35">
      <c r="F998"/>
      <c r="G998"/>
    </row>
    <row r="999" spans="6:7" x14ac:dyDescent="0.35">
      <c r="F999"/>
      <c r="G999"/>
    </row>
    <row r="1000" spans="6:7" x14ac:dyDescent="0.35">
      <c r="F1000"/>
      <c r="G1000"/>
    </row>
    <row r="1001" spans="6:7" x14ac:dyDescent="0.35">
      <c r="F1001"/>
      <c r="G1001"/>
    </row>
    <row r="1002" spans="6:7" x14ac:dyDescent="0.35">
      <c r="F1002"/>
      <c r="G1002"/>
    </row>
    <row r="1003" spans="6:7" x14ac:dyDescent="0.35">
      <c r="F1003"/>
      <c r="G1003"/>
    </row>
    <row r="1004" spans="6:7" x14ac:dyDescent="0.35">
      <c r="F1004"/>
      <c r="G1004"/>
    </row>
    <row r="1005" spans="6:7" x14ac:dyDescent="0.35">
      <c r="F1005"/>
      <c r="G1005"/>
    </row>
    <row r="1006" spans="6:7" x14ac:dyDescent="0.35">
      <c r="F1006"/>
      <c r="G1006"/>
    </row>
    <row r="1007" spans="6:7" x14ac:dyDescent="0.35">
      <c r="F1007"/>
      <c r="G1007"/>
    </row>
    <row r="1008" spans="6:7" x14ac:dyDescent="0.35">
      <c r="F1008"/>
      <c r="G1008"/>
    </row>
    <row r="1009" spans="6:7" x14ac:dyDescent="0.35">
      <c r="F1009"/>
      <c r="G1009"/>
    </row>
    <row r="1010" spans="6:7" x14ac:dyDescent="0.35">
      <c r="F1010"/>
      <c r="G1010"/>
    </row>
    <row r="1011" spans="6:7" x14ac:dyDescent="0.35">
      <c r="F1011"/>
      <c r="G1011"/>
    </row>
    <row r="1012" spans="6:7" x14ac:dyDescent="0.35">
      <c r="F1012"/>
      <c r="G1012"/>
    </row>
    <row r="1013" spans="6:7" x14ac:dyDescent="0.35">
      <c r="F1013"/>
      <c r="G1013"/>
    </row>
    <row r="1014" spans="6:7" x14ac:dyDescent="0.35">
      <c r="F1014"/>
      <c r="G1014"/>
    </row>
    <row r="1015" spans="6:7" x14ac:dyDescent="0.35">
      <c r="F1015"/>
      <c r="G1015"/>
    </row>
    <row r="1016" spans="6:7" x14ac:dyDescent="0.35">
      <c r="F1016"/>
      <c r="G1016"/>
    </row>
    <row r="1017" spans="6:7" x14ac:dyDescent="0.35">
      <c r="F1017"/>
      <c r="G1017"/>
    </row>
    <row r="1018" spans="6:7" x14ac:dyDescent="0.35">
      <c r="F1018"/>
      <c r="G1018"/>
    </row>
    <row r="1019" spans="6:7" x14ac:dyDescent="0.35">
      <c r="F1019"/>
      <c r="G1019"/>
    </row>
    <row r="1020" spans="6:7" x14ac:dyDescent="0.35">
      <c r="F1020"/>
      <c r="G1020"/>
    </row>
    <row r="1021" spans="6:7" x14ac:dyDescent="0.35">
      <c r="F1021"/>
      <c r="G1021"/>
    </row>
    <row r="1022" spans="6:7" x14ac:dyDescent="0.35">
      <c r="F1022"/>
      <c r="G1022"/>
    </row>
    <row r="1023" spans="6:7" x14ac:dyDescent="0.35">
      <c r="F1023"/>
      <c r="G1023"/>
    </row>
    <row r="1024" spans="6:7" x14ac:dyDescent="0.35">
      <c r="F1024"/>
      <c r="G1024"/>
    </row>
    <row r="1025" spans="6:7" x14ac:dyDescent="0.35">
      <c r="F1025"/>
      <c r="G1025"/>
    </row>
    <row r="1026" spans="6:7" x14ac:dyDescent="0.35">
      <c r="F1026"/>
      <c r="G1026"/>
    </row>
    <row r="1027" spans="6:7" x14ac:dyDescent="0.35">
      <c r="F1027"/>
      <c r="G1027"/>
    </row>
    <row r="1028" spans="6:7" x14ac:dyDescent="0.35">
      <c r="F1028"/>
      <c r="G1028"/>
    </row>
    <row r="1029" spans="6:7" x14ac:dyDescent="0.35">
      <c r="F1029"/>
      <c r="G1029"/>
    </row>
    <row r="1030" spans="6:7" x14ac:dyDescent="0.35">
      <c r="F1030"/>
      <c r="G1030"/>
    </row>
    <row r="1031" spans="6:7" x14ac:dyDescent="0.35">
      <c r="F1031"/>
      <c r="G1031"/>
    </row>
    <row r="1032" spans="6:7" x14ac:dyDescent="0.35">
      <c r="F1032"/>
      <c r="G1032"/>
    </row>
    <row r="1033" spans="6:7" x14ac:dyDescent="0.35">
      <c r="F1033"/>
      <c r="G1033"/>
    </row>
    <row r="1034" spans="6:7" x14ac:dyDescent="0.35">
      <c r="F1034"/>
      <c r="G1034"/>
    </row>
    <row r="1035" spans="6:7" x14ac:dyDescent="0.35">
      <c r="F1035"/>
      <c r="G1035"/>
    </row>
    <row r="1036" spans="6:7" x14ac:dyDescent="0.35">
      <c r="F1036"/>
      <c r="G1036"/>
    </row>
    <row r="1037" spans="6:7" x14ac:dyDescent="0.35">
      <c r="F1037"/>
      <c r="G1037"/>
    </row>
    <row r="1038" spans="6:7" x14ac:dyDescent="0.35">
      <c r="F1038"/>
      <c r="G1038"/>
    </row>
    <row r="1039" spans="6:7" x14ac:dyDescent="0.35">
      <c r="F1039"/>
      <c r="G1039"/>
    </row>
    <row r="1040" spans="6:7" x14ac:dyDescent="0.35">
      <c r="F1040"/>
      <c r="G1040"/>
    </row>
    <row r="1041" spans="6:7" x14ac:dyDescent="0.35">
      <c r="F1041"/>
      <c r="G1041"/>
    </row>
    <row r="1042" spans="6:7" x14ac:dyDescent="0.35">
      <c r="F1042"/>
      <c r="G1042"/>
    </row>
    <row r="1043" spans="6:7" x14ac:dyDescent="0.35">
      <c r="F1043"/>
      <c r="G1043"/>
    </row>
    <row r="1044" spans="6:7" x14ac:dyDescent="0.35">
      <c r="F1044"/>
      <c r="G1044"/>
    </row>
    <row r="1045" spans="6:7" x14ac:dyDescent="0.35">
      <c r="F1045"/>
      <c r="G1045"/>
    </row>
    <row r="1046" spans="6:7" x14ac:dyDescent="0.35">
      <c r="F1046"/>
      <c r="G1046"/>
    </row>
    <row r="1047" spans="6:7" x14ac:dyDescent="0.35">
      <c r="F1047"/>
      <c r="G1047"/>
    </row>
    <row r="1048" spans="6:7" x14ac:dyDescent="0.35">
      <c r="F1048"/>
      <c r="G1048"/>
    </row>
    <row r="1049" spans="6:7" x14ac:dyDescent="0.35">
      <c r="F1049"/>
      <c r="G1049"/>
    </row>
    <row r="1050" spans="6:7" x14ac:dyDescent="0.35">
      <c r="F1050"/>
      <c r="G1050"/>
    </row>
    <row r="1051" spans="6:7" x14ac:dyDescent="0.35">
      <c r="F1051"/>
      <c r="G1051"/>
    </row>
    <row r="1052" spans="6:7" x14ac:dyDescent="0.35">
      <c r="F1052"/>
      <c r="G1052"/>
    </row>
    <row r="1053" spans="6:7" x14ac:dyDescent="0.35">
      <c r="F1053"/>
      <c r="G1053"/>
    </row>
    <row r="1054" spans="6:7" x14ac:dyDescent="0.35">
      <c r="F1054"/>
      <c r="G1054"/>
    </row>
    <row r="1055" spans="6:7" x14ac:dyDescent="0.35">
      <c r="F1055"/>
      <c r="G1055"/>
    </row>
    <row r="1056" spans="6:7" x14ac:dyDescent="0.35">
      <c r="F1056"/>
      <c r="G1056"/>
    </row>
    <row r="1057" spans="6:7" x14ac:dyDescent="0.35">
      <c r="F1057"/>
      <c r="G1057"/>
    </row>
    <row r="1058" spans="6:7" x14ac:dyDescent="0.35">
      <c r="F1058"/>
      <c r="G1058"/>
    </row>
    <row r="1059" spans="6:7" x14ac:dyDescent="0.35">
      <c r="F1059"/>
      <c r="G1059"/>
    </row>
    <row r="1060" spans="6:7" x14ac:dyDescent="0.35">
      <c r="F1060"/>
      <c r="G1060"/>
    </row>
    <row r="1061" spans="6:7" x14ac:dyDescent="0.35">
      <c r="F1061"/>
      <c r="G1061"/>
    </row>
    <row r="1062" spans="6:7" x14ac:dyDescent="0.35">
      <c r="F1062"/>
      <c r="G1062"/>
    </row>
    <row r="1063" spans="6:7" x14ac:dyDescent="0.35">
      <c r="F1063"/>
      <c r="G1063"/>
    </row>
    <row r="1064" spans="6:7" x14ac:dyDescent="0.35">
      <c r="F1064"/>
      <c r="G1064"/>
    </row>
    <row r="1065" spans="6:7" x14ac:dyDescent="0.35">
      <c r="F1065"/>
      <c r="G1065"/>
    </row>
    <row r="1066" spans="6:7" x14ac:dyDescent="0.35">
      <c r="F1066"/>
      <c r="G1066"/>
    </row>
    <row r="1067" spans="6:7" x14ac:dyDescent="0.35">
      <c r="F1067"/>
      <c r="G1067"/>
    </row>
    <row r="1068" spans="6:7" x14ac:dyDescent="0.35">
      <c r="F1068"/>
      <c r="G1068"/>
    </row>
    <row r="1069" spans="6:7" x14ac:dyDescent="0.35">
      <c r="F1069"/>
      <c r="G1069"/>
    </row>
    <row r="1070" spans="6:7" x14ac:dyDescent="0.35">
      <c r="F1070"/>
      <c r="G1070"/>
    </row>
    <row r="1071" spans="6:7" x14ac:dyDescent="0.35">
      <c r="F1071"/>
      <c r="G1071"/>
    </row>
    <row r="1072" spans="6:7" x14ac:dyDescent="0.35">
      <c r="F1072"/>
      <c r="G1072"/>
    </row>
    <row r="1073" spans="6:7" x14ac:dyDescent="0.35">
      <c r="F1073"/>
      <c r="G1073"/>
    </row>
    <row r="1074" spans="6:7" x14ac:dyDescent="0.35">
      <c r="F1074"/>
      <c r="G1074"/>
    </row>
    <row r="1075" spans="6:7" x14ac:dyDescent="0.35">
      <c r="F1075"/>
      <c r="G1075"/>
    </row>
    <row r="1076" spans="6:7" x14ac:dyDescent="0.35">
      <c r="F1076"/>
      <c r="G1076"/>
    </row>
    <row r="1077" spans="6:7" x14ac:dyDescent="0.35">
      <c r="F1077"/>
      <c r="G1077"/>
    </row>
    <row r="1078" spans="6:7" x14ac:dyDescent="0.35">
      <c r="F1078"/>
      <c r="G1078"/>
    </row>
    <row r="1079" spans="6:7" x14ac:dyDescent="0.35">
      <c r="F1079"/>
      <c r="G1079"/>
    </row>
    <row r="1080" spans="6:7" x14ac:dyDescent="0.35">
      <c r="F1080"/>
      <c r="G1080"/>
    </row>
    <row r="1081" spans="6:7" x14ac:dyDescent="0.35">
      <c r="F1081"/>
      <c r="G1081"/>
    </row>
    <row r="1082" spans="6:7" x14ac:dyDescent="0.35">
      <c r="F1082"/>
      <c r="G1082"/>
    </row>
    <row r="1083" spans="6:7" x14ac:dyDescent="0.35">
      <c r="F1083"/>
      <c r="G1083"/>
    </row>
    <row r="1084" spans="6:7" x14ac:dyDescent="0.35">
      <c r="F1084"/>
      <c r="G1084"/>
    </row>
    <row r="1085" spans="6:7" x14ac:dyDescent="0.35">
      <c r="F1085"/>
      <c r="G1085"/>
    </row>
    <row r="1086" spans="6:7" x14ac:dyDescent="0.35">
      <c r="F1086"/>
      <c r="G1086"/>
    </row>
    <row r="1087" spans="6:7" x14ac:dyDescent="0.35">
      <c r="F1087"/>
      <c r="G1087"/>
    </row>
    <row r="1088" spans="6:7" x14ac:dyDescent="0.35">
      <c r="F1088"/>
      <c r="G1088"/>
    </row>
    <row r="1089" spans="6:7" x14ac:dyDescent="0.35">
      <c r="F1089"/>
      <c r="G1089"/>
    </row>
    <row r="1090" spans="6:7" x14ac:dyDescent="0.35">
      <c r="F1090"/>
      <c r="G1090"/>
    </row>
    <row r="1091" spans="6:7" x14ac:dyDescent="0.35">
      <c r="F1091"/>
      <c r="G1091"/>
    </row>
    <row r="1092" spans="6:7" x14ac:dyDescent="0.35">
      <c r="F1092"/>
      <c r="G1092"/>
    </row>
    <row r="1093" spans="6:7" x14ac:dyDescent="0.35">
      <c r="F1093"/>
      <c r="G1093"/>
    </row>
    <row r="1094" spans="6:7" x14ac:dyDescent="0.35">
      <c r="F1094"/>
      <c r="G1094"/>
    </row>
    <row r="1095" spans="6:7" x14ac:dyDescent="0.35">
      <c r="F1095"/>
      <c r="G1095"/>
    </row>
    <row r="1096" spans="6:7" x14ac:dyDescent="0.35">
      <c r="F1096"/>
      <c r="G1096"/>
    </row>
    <row r="1097" spans="6:7" x14ac:dyDescent="0.35">
      <c r="F1097"/>
      <c r="G1097"/>
    </row>
    <row r="1098" spans="6:7" x14ac:dyDescent="0.35">
      <c r="F1098"/>
      <c r="G1098"/>
    </row>
    <row r="1099" spans="6:7" x14ac:dyDescent="0.35">
      <c r="F1099"/>
      <c r="G1099"/>
    </row>
    <row r="1100" spans="6:7" x14ac:dyDescent="0.35">
      <c r="F1100"/>
      <c r="G1100"/>
    </row>
    <row r="1101" spans="6:7" x14ac:dyDescent="0.35">
      <c r="F1101"/>
      <c r="G1101"/>
    </row>
    <row r="1102" spans="6:7" x14ac:dyDescent="0.35">
      <c r="F1102"/>
      <c r="G1102"/>
    </row>
    <row r="1103" spans="6:7" x14ac:dyDescent="0.35">
      <c r="F1103"/>
      <c r="G1103"/>
    </row>
    <row r="1104" spans="6:7" x14ac:dyDescent="0.35">
      <c r="F1104"/>
      <c r="G1104"/>
    </row>
    <row r="1105" spans="6:7" x14ac:dyDescent="0.35">
      <c r="F1105"/>
      <c r="G1105"/>
    </row>
    <row r="1106" spans="6:7" x14ac:dyDescent="0.35">
      <c r="F1106"/>
      <c r="G1106"/>
    </row>
    <row r="1107" spans="6:7" x14ac:dyDescent="0.35">
      <c r="F1107"/>
      <c r="G1107"/>
    </row>
    <row r="1108" spans="6:7" x14ac:dyDescent="0.35">
      <c r="F1108"/>
      <c r="G1108"/>
    </row>
    <row r="1109" spans="6:7" x14ac:dyDescent="0.35">
      <c r="F1109"/>
      <c r="G1109"/>
    </row>
    <row r="1110" spans="6:7" x14ac:dyDescent="0.35">
      <c r="F1110"/>
      <c r="G1110"/>
    </row>
    <row r="1111" spans="6:7" x14ac:dyDescent="0.35">
      <c r="F1111"/>
      <c r="G1111"/>
    </row>
    <row r="1112" spans="6:7" x14ac:dyDescent="0.35">
      <c r="F1112"/>
      <c r="G1112"/>
    </row>
    <row r="1113" spans="6:7" x14ac:dyDescent="0.35">
      <c r="F1113"/>
      <c r="G1113"/>
    </row>
    <row r="1114" spans="6:7" x14ac:dyDescent="0.35">
      <c r="F1114"/>
      <c r="G1114"/>
    </row>
    <row r="1115" spans="6:7" x14ac:dyDescent="0.35">
      <c r="F1115"/>
      <c r="G1115"/>
    </row>
    <row r="1116" spans="6:7" x14ac:dyDescent="0.35">
      <c r="F1116"/>
      <c r="G1116"/>
    </row>
    <row r="1117" spans="6:7" x14ac:dyDescent="0.35">
      <c r="F1117"/>
      <c r="G1117"/>
    </row>
    <row r="1118" spans="6:7" x14ac:dyDescent="0.35">
      <c r="F1118"/>
      <c r="G1118"/>
    </row>
    <row r="1119" spans="6:7" x14ac:dyDescent="0.35">
      <c r="F1119"/>
      <c r="G1119"/>
    </row>
    <row r="1120" spans="6:7" x14ac:dyDescent="0.35">
      <c r="F1120"/>
      <c r="G1120"/>
    </row>
    <row r="1121" spans="6:7" x14ac:dyDescent="0.35">
      <c r="F1121"/>
      <c r="G1121"/>
    </row>
    <row r="1122" spans="6:7" x14ac:dyDescent="0.35">
      <c r="F1122"/>
      <c r="G1122"/>
    </row>
    <row r="1123" spans="6:7" x14ac:dyDescent="0.35">
      <c r="F1123"/>
      <c r="G1123"/>
    </row>
    <row r="1124" spans="6:7" x14ac:dyDescent="0.35">
      <c r="F1124"/>
      <c r="G1124"/>
    </row>
    <row r="1125" spans="6:7" x14ac:dyDescent="0.35">
      <c r="F1125"/>
      <c r="G1125"/>
    </row>
    <row r="1126" spans="6:7" x14ac:dyDescent="0.35">
      <c r="F1126"/>
      <c r="G1126"/>
    </row>
    <row r="1127" spans="6:7" x14ac:dyDescent="0.35">
      <c r="F1127"/>
      <c r="G1127"/>
    </row>
    <row r="1128" spans="6:7" x14ac:dyDescent="0.35">
      <c r="F1128"/>
      <c r="G1128"/>
    </row>
    <row r="1129" spans="6:7" x14ac:dyDescent="0.35">
      <c r="F1129"/>
      <c r="G1129"/>
    </row>
    <row r="1130" spans="6:7" x14ac:dyDescent="0.35">
      <c r="F1130"/>
      <c r="G1130"/>
    </row>
    <row r="1131" spans="6:7" x14ac:dyDescent="0.35">
      <c r="F1131"/>
      <c r="G1131"/>
    </row>
    <row r="1132" spans="6:7" x14ac:dyDescent="0.35">
      <c r="F1132"/>
      <c r="G1132"/>
    </row>
    <row r="1133" spans="6:7" x14ac:dyDescent="0.35">
      <c r="F1133"/>
      <c r="G1133"/>
    </row>
    <row r="1134" spans="6:7" x14ac:dyDescent="0.35">
      <c r="F1134"/>
      <c r="G1134"/>
    </row>
    <row r="1135" spans="6:7" x14ac:dyDescent="0.35">
      <c r="F1135"/>
      <c r="G1135"/>
    </row>
    <row r="1136" spans="6:7" x14ac:dyDescent="0.35">
      <c r="F1136"/>
      <c r="G1136"/>
    </row>
    <row r="1137" spans="6:7" x14ac:dyDescent="0.35">
      <c r="F1137"/>
      <c r="G1137"/>
    </row>
    <row r="1138" spans="6:7" x14ac:dyDescent="0.35">
      <c r="F1138"/>
      <c r="G1138"/>
    </row>
    <row r="1139" spans="6:7" x14ac:dyDescent="0.35">
      <c r="F1139"/>
      <c r="G1139"/>
    </row>
    <row r="1140" spans="6:7" x14ac:dyDescent="0.35">
      <c r="F1140"/>
      <c r="G1140"/>
    </row>
    <row r="1141" spans="6:7" x14ac:dyDescent="0.35">
      <c r="F1141"/>
      <c r="G1141"/>
    </row>
    <row r="1142" spans="6:7" x14ac:dyDescent="0.35">
      <c r="F1142"/>
      <c r="G1142"/>
    </row>
    <row r="1143" spans="6:7" x14ac:dyDescent="0.35">
      <c r="F1143"/>
      <c r="G1143"/>
    </row>
    <row r="1144" spans="6:7" x14ac:dyDescent="0.35">
      <c r="F1144"/>
      <c r="G1144"/>
    </row>
    <row r="1145" spans="6:7" x14ac:dyDescent="0.35">
      <c r="F1145"/>
      <c r="G1145"/>
    </row>
    <row r="1146" spans="6:7" x14ac:dyDescent="0.35">
      <c r="F1146"/>
      <c r="G1146"/>
    </row>
    <row r="1147" spans="6:7" x14ac:dyDescent="0.35">
      <c r="F1147"/>
      <c r="G1147"/>
    </row>
    <row r="1148" spans="6:7" x14ac:dyDescent="0.35">
      <c r="F1148"/>
      <c r="G1148"/>
    </row>
    <row r="1149" spans="6:7" x14ac:dyDescent="0.35">
      <c r="F1149"/>
      <c r="G1149"/>
    </row>
    <row r="1150" spans="6:7" x14ac:dyDescent="0.35">
      <c r="F1150"/>
      <c r="G1150"/>
    </row>
    <row r="1151" spans="6:7" x14ac:dyDescent="0.35">
      <c r="F1151"/>
      <c r="G1151"/>
    </row>
    <row r="1152" spans="6:7" x14ac:dyDescent="0.35">
      <c r="F1152"/>
      <c r="G1152"/>
    </row>
    <row r="1153" spans="6:7" x14ac:dyDescent="0.35">
      <c r="F1153"/>
      <c r="G1153"/>
    </row>
    <row r="1154" spans="6:7" x14ac:dyDescent="0.35">
      <c r="F1154"/>
      <c r="G1154"/>
    </row>
    <row r="1155" spans="6:7" x14ac:dyDescent="0.35">
      <c r="F1155"/>
      <c r="G1155"/>
    </row>
    <row r="1156" spans="6:7" x14ac:dyDescent="0.35">
      <c r="F1156"/>
      <c r="G1156"/>
    </row>
    <row r="1157" spans="6:7" x14ac:dyDescent="0.35">
      <c r="F1157"/>
      <c r="G1157"/>
    </row>
    <row r="1158" spans="6:7" x14ac:dyDescent="0.35">
      <c r="F1158"/>
      <c r="G1158"/>
    </row>
    <row r="1159" spans="6:7" x14ac:dyDescent="0.35">
      <c r="F1159"/>
      <c r="G1159"/>
    </row>
    <row r="1160" spans="6:7" x14ac:dyDescent="0.35">
      <c r="F1160"/>
      <c r="G1160"/>
    </row>
    <row r="1161" spans="6:7" x14ac:dyDescent="0.35">
      <c r="F1161"/>
      <c r="G1161"/>
    </row>
    <row r="1162" spans="6:7" x14ac:dyDescent="0.35">
      <c r="F1162"/>
      <c r="G1162"/>
    </row>
    <row r="1163" spans="6:7" x14ac:dyDescent="0.35">
      <c r="F1163"/>
      <c r="G1163"/>
    </row>
    <row r="1164" spans="6:7" x14ac:dyDescent="0.35">
      <c r="F1164"/>
      <c r="G1164"/>
    </row>
    <row r="1165" spans="6:7" x14ac:dyDescent="0.35">
      <c r="F1165"/>
      <c r="G1165"/>
    </row>
    <row r="1166" spans="6:7" x14ac:dyDescent="0.35">
      <c r="F1166"/>
      <c r="G1166"/>
    </row>
    <row r="1167" spans="6:7" x14ac:dyDescent="0.35">
      <c r="F1167"/>
      <c r="G1167"/>
    </row>
    <row r="1168" spans="6:7" x14ac:dyDescent="0.35">
      <c r="F1168"/>
      <c r="G1168"/>
    </row>
    <row r="1169" spans="6:7" x14ac:dyDescent="0.35">
      <c r="F1169"/>
      <c r="G1169"/>
    </row>
    <row r="1170" spans="6:7" x14ac:dyDescent="0.35">
      <c r="F1170"/>
      <c r="G1170"/>
    </row>
    <row r="1171" spans="6:7" x14ac:dyDescent="0.35">
      <c r="F1171"/>
      <c r="G1171"/>
    </row>
    <row r="1172" spans="6:7" x14ac:dyDescent="0.35">
      <c r="F1172"/>
      <c r="G1172"/>
    </row>
    <row r="1173" spans="6:7" x14ac:dyDescent="0.35">
      <c r="F1173"/>
      <c r="G1173"/>
    </row>
    <row r="1174" spans="6:7" x14ac:dyDescent="0.35">
      <c r="F1174"/>
      <c r="G1174"/>
    </row>
    <row r="1175" spans="6:7" x14ac:dyDescent="0.35">
      <c r="F1175"/>
      <c r="G1175"/>
    </row>
    <row r="1176" spans="6:7" x14ac:dyDescent="0.35">
      <c r="F1176"/>
      <c r="G1176"/>
    </row>
    <row r="1177" spans="6:7" x14ac:dyDescent="0.35">
      <c r="F1177"/>
      <c r="G1177"/>
    </row>
    <row r="1178" spans="6:7" x14ac:dyDescent="0.35">
      <c r="F1178"/>
      <c r="G1178"/>
    </row>
    <row r="1179" spans="6:7" x14ac:dyDescent="0.35">
      <c r="F1179"/>
      <c r="G1179"/>
    </row>
    <row r="1180" spans="6:7" x14ac:dyDescent="0.35">
      <c r="F1180"/>
      <c r="G1180"/>
    </row>
    <row r="1181" spans="6:7" x14ac:dyDescent="0.35">
      <c r="F1181"/>
      <c r="G1181"/>
    </row>
    <row r="1182" spans="6:7" x14ac:dyDescent="0.35">
      <c r="F1182"/>
      <c r="G1182"/>
    </row>
    <row r="1183" spans="6:7" x14ac:dyDescent="0.35">
      <c r="F1183"/>
      <c r="G1183"/>
    </row>
    <row r="1184" spans="6:7" x14ac:dyDescent="0.35">
      <c r="F1184"/>
      <c r="G1184"/>
    </row>
    <row r="1185" spans="6:7" x14ac:dyDescent="0.35">
      <c r="F1185"/>
      <c r="G1185"/>
    </row>
    <row r="1186" spans="6:7" x14ac:dyDescent="0.35">
      <c r="F1186"/>
      <c r="G1186"/>
    </row>
    <row r="1187" spans="6:7" x14ac:dyDescent="0.35">
      <c r="F1187"/>
      <c r="G1187"/>
    </row>
    <row r="1188" spans="6:7" x14ac:dyDescent="0.35">
      <c r="F1188"/>
      <c r="G1188"/>
    </row>
    <row r="1189" spans="6:7" x14ac:dyDescent="0.35">
      <c r="F1189"/>
      <c r="G1189"/>
    </row>
    <row r="1190" spans="6:7" x14ac:dyDescent="0.35">
      <c r="F1190"/>
      <c r="G1190"/>
    </row>
    <row r="1191" spans="6:7" x14ac:dyDescent="0.35">
      <c r="F1191"/>
      <c r="G1191"/>
    </row>
    <row r="1192" spans="6:7" x14ac:dyDescent="0.35">
      <c r="F1192"/>
      <c r="G1192"/>
    </row>
    <row r="1193" spans="6:7" x14ac:dyDescent="0.35">
      <c r="F1193"/>
      <c r="G1193"/>
    </row>
    <row r="1194" spans="6:7" x14ac:dyDescent="0.35">
      <c r="F1194"/>
      <c r="G1194"/>
    </row>
    <row r="1195" spans="6:7" x14ac:dyDescent="0.35">
      <c r="F1195"/>
      <c r="G1195"/>
    </row>
    <row r="1196" spans="6:7" x14ac:dyDescent="0.35">
      <c r="F1196"/>
      <c r="G1196"/>
    </row>
    <row r="1197" spans="6:7" x14ac:dyDescent="0.35">
      <c r="F1197"/>
      <c r="G1197"/>
    </row>
    <row r="1198" spans="6:7" x14ac:dyDescent="0.35">
      <c r="F1198"/>
      <c r="G1198"/>
    </row>
    <row r="1199" spans="6:7" x14ac:dyDescent="0.35">
      <c r="F1199"/>
      <c r="G1199"/>
    </row>
    <row r="1200" spans="6:7" x14ac:dyDescent="0.35">
      <c r="F1200"/>
      <c r="G1200"/>
    </row>
    <row r="1201" spans="6:7" x14ac:dyDescent="0.35">
      <c r="F1201"/>
      <c r="G1201"/>
    </row>
    <row r="1202" spans="6:7" x14ac:dyDescent="0.35">
      <c r="F1202"/>
      <c r="G1202"/>
    </row>
    <row r="1203" spans="6:7" x14ac:dyDescent="0.35">
      <c r="F1203"/>
      <c r="G1203"/>
    </row>
    <row r="1204" spans="6:7" x14ac:dyDescent="0.35">
      <c r="F1204"/>
      <c r="G1204"/>
    </row>
    <row r="1205" spans="6:7" x14ac:dyDescent="0.35">
      <c r="F1205"/>
      <c r="G1205"/>
    </row>
    <row r="1206" spans="6:7" x14ac:dyDescent="0.35">
      <c r="F1206"/>
      <c r="G1206"/>
    </row>
    <row r="1207" spans="6:7" x14ac:dyDescent="0.35">
      <c r="F1207"/>
      <c r="G1207"/>
    </row>
    <row r="1208" spans="6:7" x14ac:dyDescent="0.35">
      <c r="F1208"/>
      <c r="G1208"/>
    </row>
    <row r="1209" spans="6:7" x14ac:dyDescent="0.35">
      <c r="F1209"/>
      <c r="G1209"/>
    </row>
    <row r="1210" spans="6:7" x14ac:dyDescent="0.35">
      <c r="F1210"/>
      <c r="G1210"/>
    </row>
    <row r="1211" spans="6:7" x14ac:dyDescent="0.35">
      <c r="F1211"/>
      <c r="G1211"/>
    </row>
    <row r="1212" spans="6:7" x14ac:dyDescent="0.35">
      <c r="F1212"/>
      <c r="G1212"/>
    </row>
    <row r="1213" spans="6:7" x14ac:dyDescent="0.35">
      <c r="F1213"/>
      <c r="G1213"/>
    </row>
    <row r="1214" spans="6:7" x14ac:dyDescent="0.35">
      <c r="F1214"/>
      <c r="G1214"/>
    </row>
    <row r="1215" spans="6:7" x14ac:dyDescent="0.35">
      <c r="F1215"/>
      <c r="G1215"/>
    </row>
    <row r="1216" spans="6:7" x14ac:dyDescent="0.35">
      <c r="F1216"/>
      <c r="G1216"/>
    </row>
    <row r="1217" spans="6:7" x14ac:dyDescent="0.35">
      <c r="F1217"/>
      <c r="G1217"/>
    </row>
    <row r="1218" spans="6:7" x14ac:dyDescent="0.35">
      <c r="F1218"/>
      <c r="G1218"/>
    </row>
    <row r="1219" spans="6:7" x14ac:dyDescent="0.35">
      <c r="F1219"/>
      <c r="G1219"/>
    </row>
    <row r="1220" spans="6:7" x14ac:dyDescent="0.35">
      <c r="F1220"/>
      <c r="G1220"/>
    </row>
    <row r="1221" spans="6:7" x14ac:dyDescent="0.35">
      <c r="F1221"/>
      <c r="G1221"/>
    </row>
    <row r="1222" spans="6:7" x14ac:dyDescent="0.35">
      <c r="F1222"/>
      <c r="G1222"/>
    </row>
    <row r="1223" spans="6:7" x14ac:dyDescent="0.35">
      <c r="F1223"/>
      <c r="G1223"/>
    </row>
    <row r="1224" spans="6:7" x14ac:dyDescent="0.35">
      <c r="F1224"/>
      <c r="G1224"/>
    </row>
    <row r="1225" spans="6:7" x14ac:dyDescent="0.35">
      <c r="F1225"/>
      <c r="G1225"/>
    </row>
    <row r="1226" spans="6:7" x14ac:dyDescent="0.35">
      <c r="F1226"/>
      <c r="G1226"/>
    </row>
    <row r="1227" spans="6:7" x14ac:dyDescent="0.35">
      <c r="F1227"/>
      <c r="G1227"/>
    </row>
    <row r="1228" spans="6:7" x14ac:dyDescent="0.35">
      <c r="F1228"/>
      <c r="G1228"/>
    </row>
    <row r="1229" spans="6:7" x14ac:dyDescent="0.35">
      <c r="F1229"/>
      <c r="G1229"/>
    </row>
    <row r="1230" spans="6:7" x14ac:dyDescent="0.35">
      <c r="F1230"/>
      <c r="G1230"/>
    </row>
    <row r="1231" spans="6:7" x14ac:dyDescent="0.35">
      <c r="F1231"/>
      <c r="G1231"/>
    </row>
    <row r="1232" spans="6:7" x14ac:dyDescent="0.35">
      <c r="F1232"/>
      <c r="G1232"/>
    </row>
    <row r="1233" spans="6:7" x14ac:dyDescent="0.35">
      <c r="F1233"/>
      <c r="G1233"/>
    </row>
    <row r="1234" spans="6:7" x14ac:dyDescent="0.35">
      <c r="F1234"/>
      <c r="G1234"/>
    </row>
    <row r="1235" spans="6:7" x14ac:dyDescent="0.35">
      <c r="F1235"/>
      <c r="G1235"/>
    </row>
    <row r="1236" spans="6:7" x14ac:dyDescent="0.35">
      <c r="F1236"/>
      <c r="G1236"/>
    </row>
    <row r="1237" spans="6:7" x14ac:dyDescent="0.35">
      <c r="F1237"/>
      <c r="G1237"/>
    </row>
    <row r="1238" spans="6:7" x14ac:dyDescent="0.35">
      <c r="F1238"/>
      <c r="G1238"/>
    </row>
    <row r="1239" spans="6:7" x14ac:dyDescent="0.35">
      <c r="F1239"/>
      <c r="G1239"/>
    </row>
    <row r="1240" spans="6:7" x14ac:dyDescent="0.35">
      <c r="F1240"/>
      <c r="G1240"/>
    </row>
    <row r="1241" spans="6:7" x14ac:dyDescent="0.35">
      <c r="F1241"/>
      <c r="G1241"/>
    </row>
    <row r="1242" spans="6:7" x14ac:dyDescent="0.35">
      <c r="F1242"/>
      <c r="G1242"/>
    </row>
    <row r="1243" spans="6:7" x14ac:dyDescent="0.35">
      <c r="F1243"/>
      <c r="G1243"/>
    </row>
    <row r="1244" spans="6:7" x14ac:dyDescent="0.35">
      <c r="F1244"/>
      <c r="G1244"/>
    </row>
    <row r="1245" spans="6:7" x14ac:dyDescent="0.35">
      <c r="F1245"/>
      <c r="G1245"/>
    </row>
    <row r="1246" spans="6:7" x14ac:dyDescent="0.35">
      <c r="F1246"/>
      <c r="G1246"/>
    </row>
    <row r="1247" spans="6:7" x14ac:dyDescent="0.35">
      <c r="F1247"/>
      <c r="G1247"/>
    </row>
    <row r="1248" spans="6:7" x14ac:dyDescent="0.35">
      <c r="F1248"/>
      <c r="G1248"/>
    </row>
    <row r="1249" spans="6:7" x14ac:dyDescent="0.35">
      <c r="F1249"/>
      <c r="G1249"/>
    </row>
    <row r="1250" spans="6:7" x14ac:dyDescent="0.35">
      <c r="F1250"/>
      <c r="G1250"/>
    </row>
    <row r="1251" spans="6:7" x14ac:dyDescent="0.35">
      <c r="F1251"/>
      <c r="G1251"/>
    </row>
    <row r="1252" spans="6:7" x14ac:dyDescent="0.35">
      <c r="F1252"/>
      <c r="G1252"/>
    </row>
    <row r="1253" spans="6:7" x14ac:dyDescent="0.35">
      <c r="F1253"/>
      <c r="G1253"/>
    </row>
    <row r="1254" spans="6:7" x14ac:dyDescent="0.35">
      <c r="F1254"/>
      <c r="G1254"/>
    </row>
    <row r="1255" spans="6:7" x14ac:dyDescent="0.35">
      <c r="F1255"/>
      <c r="G1255"/>
    </row>
    <row r="1256" spans="6:7" x14ac:dyDescent="0.35">
      <c r="F1256"/>
      <c r="G1256"/>
    </row>
    <row r="1257" spans="6:7" x14ac:dyDescent="0.35">
      <c r="F1257"/>
      <c r="G1257"/>
    </row>
    <row r="1258" spans="6:7" x14ac:dyDescent="0.35">
      <c r="F1258"/>
      <c r="G1258"/>
    </row>
    <row r="1259" spans="6:7" x14ac:dyDescent="0.35">
      <c r="F1259"/>
      <c r="G1259"/>
    </row>
    <row r="1260" spans="6:7" x14ac:dyDescent="0.35">
      <c r="F1260"/>
      <c r="G1260"/>
    </row>
    <row r="1261" spans="6:7" x14ac:dyDescent="0.35">
      <c r="F1261"/>
      <c r="G1261"/>
    </row>
    <row r="1262" spans="6:7" x14ac:dyDescent="0.35">
      <c r="F1262"/>
      <c r="G1262"/>
    </row>
    <row r="1263" spans="6:7" x14ac:dyDescent="0.35">
      <c r="F1263"/>
      <c r="G1263"/>
    </row>
    <row r="1264" spans="6:7" x14ac:dyDescent="0.35">
      <c r="F1264"/>
      <c r="G1264"/>
    </row>
    <row r="1265" spans="6:7" x14ac:dyDescent="0.35">
      <c r="F1265"/>
      <c r="G1265"/>
    </row>
    <row r="1266" spans="6:7" x14ac:dyDescent="0.35">
      <c r="F1266"/>
      <c r="G1266"/>
    </row>
    <row r="1267" spans="6:7" x14ac:dyDescent="0.35">
      <c r="F1267"/>
      <c r="G1267"/>
    </row>
    <row r="1268" spans="6:7" x14ac:dyDescent="0.35">
      <c r="F1268"/>
      <c r="G1268"/>
    </row>
    <row r="1269" spans="6:7" x14ac:dyDescent="0.35">
      <c r="F1269"/>
      <c r="G1269"/>
    </row>
    <row r="1270" spans="6:7" x14ac:dyDescent="0.35">
      <c r="F1270"/>
      <c r="G1270"/>
    </row>
    <row r="1271" spans="6:7" x14ac:dyDescent="0.35">
      <c r="F1271"/>
      <c r="G1271"/>
    </row>
    <row r="1272" spans="6:7" x14ac:dyDescent="0.35">
      <c r="F1272"/>
      <c r="G1272"/>
    </row>
    <row r="1273" spans="6:7" x14ac:dyDescent="0.35">
      <c r="F1273"/>
      <c r="G1273"/>
    </row>
    <row r="1274" spans="6:7" x14ac:dyDescent="0.35">
      <c r="F1274"/>
      <c r="G1274"/>
    </row>
    <row r="1275" spans="6:7" x14ac:dyDescent="0.35">
      <c r="F1275"/>
      <c r="G1275"/>
    </row>
    <row r="1276" spans="6:7" x14ac:dyDescent="0.35">
      <c r="F1276"/>
      <c r="G1276"/>
    </row>
    <row r="1277" spans="6:7" x14ac:dyDescent="0.35">
      <c r="F1277"/>
      <c r="G1277"/>
    </row>
    <row r="1278" spans="6:7" x14ac:dyDescent="0.35">
      <c r="F1278"/>
      <c r="G1278"/>
    </row>
    <row r="1279" spans="6:7" x14ac:dyDescent="0.35">
      <c r="F1279"/>
      <c r="G1279"/>
    </row>
    <row r="1280" spans="6:7" x14ac:dyDescent="0.35">
      <c r="F1280"/>
      <c r="G1280"/>
    </row>
    <row r="1281" spans="6:7" x14ac:dyDescent="0.35">
      <c r="F1281"/>
      <c r="G1281"/>
    </row>
    <row r="1282" spans="6:7" x14ac:dyDescent="0.35">
      <c r="F1282"/>
      <c r="G1282"/>
    </row>
    <row r="1283" spans="6:7" x14ac:dyDescent="0.35">
      <c r="F1283"/>
      <c r="G1283"/>
    </row>
    <row r="1284" spans="6:7" x14ac:dyDescent="0.35">
      <c r="F1284"/>
      <c r="G1284"/>
    </row>
    <row r="1285" spans="6:7" x14ac:dyDescent="0.35">
      <c r="F1285"/>
      <c r="G1285"/>
    </row>
    <row r="1286" spans="6:7" x14ac:dyDescent="0.35">
      <c r="F1286"/>
      <c r="G1286"/>
    </row>
    <row r="1287" spans="6:7" x14ac:dyDescent="0.35">
      <c r="F1287"/>
      <c r="G1287"/>
    </row>
    <row r="1288" spans="6:7" x14ac:dyDescent="0.35">
      <c r="F1288"/>
      <c r="G1288"/>
    </row>
    <row r="1289" spans="6:7" x14ac:dyDescent="0.35">
      <c r="F1289"/>
      <c r="G1289"/>
    </row>
    <row r="1290" spans="6:7" x14ac:dyDescent="0.35">
      <c r="F1290"/>
      <c r="G1290"/>
    </row>
    <row r="1291" spans="6:7" x14ac:dyDescent="0.35">
      <c r="F1291"/>
      <c r="G1291"/>
    </row>
    <row r="1292" spans="6:7" x14ac:dyDescent="0.35">
      <c r="F1292"/>
      <c r="G1292"/>
    </row>
    <row r="1293" spans="6:7" x14ac:dyDescent="0.35">
      <c r="F1293"/>
      <c r="G1293"/>
    </row>
    <row r="1294" spans="6:7" x14ac:dyDescent="0.35">
      <c r="F1294"/>
      <c r="G1294"/>
    </row>
    <row r="1295" spans="6:7" x14ac:dyDescent="0.35">
      <c r="F1295"/>
      <c r="G1295"/>
    </row>
    <row r="1296" spans="6:7" x14ac:dyDescent="0.35">
      <c r="F1296"/>
      <c r="G1296"/>
    </row>
    <row r="1297" spans="6:7" x14ac:dyDescent="0.35">
      <c r="F1297"/>
      <c r="G1297"/>
    </row>
    <row r="1298" spans="6:7" x14ac:dyDescent="0.35">
      <c r="F1298"/>
      <c r="G1298"/>
    </row>
    <row r="1299" spans="6:7" x14ac:dyDescent="0.35">
      <c r="F1299"/>
      <c r="G1299"/>
    </row>
    <row r="1300" spans="6:7" x14ac:dyDescent="0.35">
      <c r="F1300"/>
      <c r="G1300"/>
    </row>
    <row r="1301" spans="6:7" x14ac:dyDescent="0.35">
      <c r="F1301"/>
      <c r="G1301"/>
    </row>
    <row r="1302" spans="6:7" x14ac:dyDescent="0.35">
      <c r="F1302"/>
      <c r="G1302"/>
    </row>
    <row r="1303" spans="6:7" x14ac:dyDescent="0.35">
      <c r="F1303"/>
      <c r="G1303"/>
    </row>
    <row r="1304" spans="6:7" x14ac:dyDescent="0.35">
      <c r="F1304"/>
      <c r="G1304"/>
    </row>
    <row r="1305" spans="6:7" x14ac:dyDescent="0.35">
      <c r="F1305"/>
      <c r="G1305"/>
    </row>
    <row r="1306" spans="6:7" x14ac:dyDescent="0.35">
      <c r="F1306"/>
      <c r="G1306"/>
    </row>
    <row r="1307" spans="6:7" x14ac:dyDescent="0.35">
      <c r="F1307"/>
      <c r="G1307"/>
    </row>
    <row r="1308" spans="6:7" x14ac:dyDescent="0.35">
      <c r="F1308"/>
      <c r="G1308"/>
    </row>
    <row r="1309" spans="6:7" x14ac:dyDescent="0.35">
      <c r="F1309"/>
      <c r="G1309"/>
    </row>
    <row r="1310" spans="6:7" x14ac:dyDescent="0.35">
      <c r="F1310"/>
      <c r="G1310"/>
    </row>
    <row r="1311" spans="6:7" x14ac:dyDescent="0.35">
      <c r="F1311"/>
      <c r="G1311"/>
    </row>
    <row r="1312" spans="6:7" x14ac:dyDescent="0.35">
      <c r="F1312"/>
      <c r="G1312"/>
    </row>
    <row r="1313" spans="6:7" x14ac:dyDescent="0.35">
      <c r="F1313"/>
      <c r="G1313"/>
    </row>
    <row r="1314" spans="6:7" x14ac:dyDescent="0.35">
      <c r="F1314"/>
      <c r="G1314"/>
    </row>
    <row r="1315" spans="6:7" x14ac:dyDescent="0.35">
      <c r="F1315"/>
      <c r="G1315"/>
    </row>
    <row r="1316" spans="6:7" x14ac:dyDescent="0.35">
      <c r="F1316"/>
      <c r="G1316"/>
    </row>
    <row r="1317" spans="6:7" x14ac:dyDescent="0.35">
      <c r="F1317"/>
      <c r="G1317"/>
    </row>
    <row r="1318" spans="6:7" x14ac:dyDescent="0.35">
      <c r="F1318"/>
      <c r="G1318"/>
    </row>
    <row r="1319" spans="6:7" x14ac:dyDescent="0.35">
      <c r="F1319"/>
      <c r="G1319"/>
    </row>
    <row r="1320" spans="6:7" x14ac:dyDescent="0.35">
      <c r="F1320"/>
      <c r="G1320"/>
    </row>
    <row r="1321" spans="6:7" x14ac:dyDescent="0.35">
      <c r="F1321"/>
      <c r="G1321"/>
    </row>
    <row r="1322" spans="6:7" x14ac:dyDescent="0.35">
      <c r="F1322"/>
      <c r="G1322"/>
    </row>
    <row r="1323" spans="6:7" x14ac:dyDescent="0.35">
      <c r="F1323"/>
      <c r="G1323"/>
    </row>
    <row r="1324" spans="6:7" x14ac:dyDescent="0.35">
      <c r="F1324"/>
      <c r="G1324"/>
    </row>
    <row r="1325" spans="6:7" x14ac:dyDescent="0.35">
      <c r="F1325"/>
      <c r="G1325"/>
    </row>
    <row r="1326" spans="6:7" x14ac:dyDescent="0.35">
      <c r="F1326"/>
      <c r="G1326"/>
    </row>
    <row r="1327" spans="6:7" x14ac:dyDescent="0.35">
      <c r="F1327"/>
      <c r="G1327"/>
    </row>
    <row r="1328" spans="6:7" x14ac:dyDescent="0.35">
      <c r="F1328"/>
      <c r="G1328"/>
    </row>
    <row r="1329" spans="6:7" x14ac:dyDescent="0.35">
      <c r="F1329"/>
      <c r="G1329"/>
    </row>
    <row r="1330" spans="6:7" x14ac:dyDescent="0.35">
      <c r="F1330"/>
      <c r="G1330"/>
    </row>
    <row r="1331" spans="6:7" x14ac:dyDescent="0.35">
      <c r="F1331"/>
      <c r="G1331"/>
    </row>
    <row r="1332" spans="6:7" x14ac:dyDescent="0.35">
      <c r="F1332"/>
      <c r="G1332"/>
    </row>
    <row r="1333" spans="6:7" x14ac:dyDescent="0.35">
      <c r="F1333"/>
      <c r="G1333"/>
    </row>
    <row r="1334" spans="6:7" x14ac:dyDescent="0.35">
      <c r="F1334"/>
      <c r="G1334"/>
    </row>
    <row r="1335" spans="6:7" x14ac:dyDescent="0.35">
      <c r="F1335"/>
      <c r="G1335"/>
    </row>
    <row r="1336" spans="6:7" x14ac:dyDescent="0.35">
      <c r="F1336"/>
      <c r="G1336"/>
    </row>
    <row r="1337" spans="6:7" x14ac:dyDescent="0.35">
      <c r="F1337"/>
      <c r="G1337"/>
    </row>
    <row r="1338" spans="6:7" x14ac:dyDescent="0.35">
      <c r="F1338"/>
      <c r="G1338"/>
    </row>
    <row r="1339" spans="6:7" x14ac:dyDescent="0.35">
      <c r="F1339"/>
      <c r="G1339"/>
    </row>
    <row r="1340" spans="6:7" x14ac:dyDescent="0.35">
      <c r="F1340"/>
      <c r="G1340"/>
    </row>
    <row r="1341" spans="6:7" x14ac:dyDescent="0.35">
      <c r="F1341"/>
      <c r="G1341"/>
    </row>
    <row r="1342" spans="6:7" x14ac:dyDescent="0.35">
      <c r="F1342"/>
      <c r="G1342"/>
    </row>
    <row r="1343" spans="6:7" x14ac:dyDescent="0.35">
      <c r="F1343"/>
      <c r="G1343"/>
    </row>
    <row r="1344" spans="6:7" x14ac:dyDescent="0.35">
      <c r="F1344"/>
      <c r="G1344"/>
    </row>
    <row r="1345" spans="6:7" x14ac:dyDescent="0.35">
      <c r="F1345"/>
      <c r="G1345"/>
    </row>
    <row r="1346" spans="6:7" x14ac:dyDescent="0.35">
      <c r="F1346"/>
      <c r="G1346"/>
    </row>
    <row r="1347" spans="6:7" x14ac:dyDescent="0.35">
      <c r="F1347"/>
      <c r="G1347"/>
    </row>
    <row r="1348" spans="6:7" x14ac:dyDescent="0.35">
      <c r="F1348"/>
      <c r="G1348"/>
    </row>
    <row r="1349" spans="6:7" x14ac:dyDescent="0.35">
      <c r="F1349"/>
      <c r="G1349"/>
    </row>
    <row r="1350" spans="6:7" x14ac:dyDescent="0.35">
      <c r="F1350"/>
      <c r="G1350"/>
    </row>
    <row r="1351" spans="6:7" x14ac:dyDescent="0.35">
      <c r="F1351"/>
      <c r="G1351"/>
    </row>
    <row r="1352" spans="6:7" x14ac:dyDescent="0.35">
      <c r="F1352"/>
      <c r="G1352"/>
    </row>
    <row r="1353" spans="6:7" x14ac:dyDescent="0.35">
      <c r="F1353"/>
      <c r="G1353"/>
    </row>
    <row r="1354" spans="6:7" x14ac:dyDescent="0.35">
      <c r="F1354"/>
      <c r="G1354"/>
    </row>
    <row r="1355" spans="6:7" x14ac:dyDescent="0.35">
      <c r="F1355"/>
      <c r="G1355"/>
    </row>
    <row r="1356" spans="6:7" x14ac:dyDescent="0.35">
      <c r="F1356"/>
      <c r="G1356"/>
    </row>
    <row r="1357" spans="6:7" x14ac:dyDescent="0.35">
      <c r="F1357"/>
      <c r="G1357"/>
    </row>
    <row r="1358" spans="6:7" x14ac:dyDescent="0.35">
      <c r="F1358"/>
      <c r="G1358"/>
    </row>
    <row r="1359" spans="6:7" x14ac:dyDescent="0.35">
      <c r="F1359"/>
      <c r="G1359"/>
    </row>
    <row r="1360" spans="6:7" x14ac:dyDescent="0.35">
      <c r="F1360"/>
      <c r="G1360"/>
    </row>
    <row r="1361" spans="6:7" x14ac:dyDescent="0.35">
      <c r="F1361"/>
      <c r="G1361"/>
    </row>
    <row r="1362" spans="6:7" x14ac:dyDescent="0.35">
      <c r="F1362"/>
      <c r="G1362"/>
    </row>
    <row r="1363" spans="6:7" x14ac:dyDescent="0.35">
      <c r="F1363"/>
      <c r="G1363"/>
    </row>
    <row r="1364" spans="6:7" x14ac:dyDescent="0.35">
      <c r="F1364"/>
      <c r="G1364"/>
    </row>
    <row r="1365" spans="6:7" x14ac:dyDescent="0.35">
      <c r="F1365"/>
      <c r="G1365"/>
    </row>
    <row r="1366" spans="6:7" x14ac:dyDescent="0.35">
      <c r="F1366"/>
      <c r="G1366"/>
    </row>
    <row r="1367" spans="6:7" x14ac:dyDescent="0.35">
      <c r="F1367"/>
      <c r="G1367"/>
    </row>
    <row r="1368" spans="6:7" x14ac:dyDescent="0.35">
      <c r="F1368"/>
      <c r="G1368"/>
    </row>
    <row r="1369" spans="6:7" x14ac:dyDescent="0.35">
      <c r="F1369"/>
      <c r="G1369"/>
    </row>
    <row r="1370" spans="6:7" x14ac:dyDescent="0.35">
      <c r="F1370"/>
      <c r="G1370"/>
    </row>
    <row r="1371" spans="6:7" x14ac:dyDescent="0.35">
      <c r="F1371"/>
      <c r="G1371"/>
    </row>
    <row r="1372" spans="6:7" x14ac:dyDescent="0.35">
      <c r="F1372"/>
      <c r="G1372"/>
    </row>
    <row r="1373" spans="6:7" x14ac:dyDescent="0.35">
      <c r="F1373"/>
      <c r="G1373"/>
    </row>
    <row r="1374" spans="6:7" x14ac:dyDescent="0.35">
      <c r="F1374"/>
      <c r="G1374"/>
    </row>
    <row r="1375" spans="6:7" x14ac:dyDescent="0.35">
      <c r="F1375"/>
      <c r="G1375"/>
    </row>
    <row r="1376" spans="6:7" x14ac:dyDescent="0.35">
      <c r="F1376"/>
      <c r="G1376"/>
    </row>
    <row r="1377" spans="6:7" x14ac:dyDescent="0.35">
      <c r="F1377"/>
      <c r="G1377"/>
    </row>
    <row r="1378" spans="6:7" x14ac:dyDescent="0.35">
      <c r="F1378"/>
      <c r="G1378"/>
    </row>
    <row r="1379" spans="6:7" x14ac:dyDescent="0.35">
      <c r="F1379"/>
      <c r="G1379"/>
    </row>
    <row r="1380" spans="6:7" x14ac:dyDescent="0.35">
      <c r="F1380"/>
      <c r="G1380"/>
    </row>
    <row r="1381" spans="6:7" x14ac:dyDescent="0.35">
      <c r="F1381"/>
      <c r="G1381"/>
    </row>
    <row r="1382" spans="6:7" x14ac:dyDescent="0.35">
      <c r="F1382"/>
      <c r="G1382"/>
    </row>
    <row r="1383" spans="6:7" x14ac:dyDescent="0.35">
      <c r="F1383"/>
      <c r="G1383"/>
    </row>
    <row r="1384" spans="6:7" x14ac:dyDescent="0.35">
      <c r="F1384"/>
      <c r="G1384"/>
    </row>
    <row r="1385" spans="6:7" x14ac:dyDescent="0.35">
      <c r="F1385"/>
      <c r="G1385"/>
    </row>
    <row r="1386" spans="6:7" x14ac:dyDescent="0.35">
      <c r="F1386"/>
      <c r="G1386"/>
    </row>
    <row r="1387" spans="6:7" x14ac:dyDescent="0.35">
      <c r="F1387"/>
      <c r="G1387"/>
    </row>
    <row r="1388" spans="6:7" x14ac:dyDescent="0.35">
      <c r="F1388"/>
      <c r="G1388"/>
    </row>
    <row r="1389" spans="6:7" x14ac:dyDescent="0.35">
      <c r="F1389"/>
      <c r="G1389"/>
    </row>
    <row r="1390" spans="6:7" x14ac:dyDescent="0.35">
      <c r="F1390"/>
      <c r="G1390"/>
    </row>
    <row r="1391" spans="6:7" x14ac:dyDescent="0.35">
      <c r="F1391"/>
      <c r="G1391"/>
    </row>
    <row r="1392" spans="6:7" x14ac:dyDescent="0.35">
      <c r="F1392"/>
      <c r="G1392"/>
    </row>
    <row r="1393" spans="6:7" x14ac:dyDescent="0.35">
      <c r="F1393"/>
      <c r="G1393"/>
    </row>
    <row r="1394" spans="6:7" x14ac:dyDescent="0.35">
      <c r="F1394"/>
      <c r="G1394"/>
    </row>
    <row r="1395" spans="6:7" x14ac:dyDescent="0.35">
      <c r="F1395"/>
      <c r="G1395"/>
    </row>
    <row r="1396" spans="6:7" x14ac:dyDescent="0.35">
      <c r="F1396"/>
      <c r="G1396"/>
    </row>
    <row r="1397" spans="6:7" x14ac:dyDescent="0.35">
      <c r="F1397"/>
      <c r="G1397"/>
    </row>
    <row r="1398" spans="6:7" x14ac:dyDescent="0.35">
      <c r="F1398"/>
      <c r="G1398"/>
    </row>
    <row r="1399" spans="6:7" x14ac:dyDescent="0.35">
      <c r="F1399"/>
      <c r="G1399"/>
    </row>
    <row r="1400" spans="6:7" x14ac:dyDescent="0.35">
      <c r="F1400"/>
      <c r="G1400"/>
    </row>
    <row r="1401" spans="6:7" x14ac:dyDescent="0.35">
      <c r="F1401"/>
      <c r="G1401"/>
    </row>
    <row r="1402" spans="6:7" x14ac:dyDescent="0.35">
      <c r="F1402"/>
      <c r="G1402"/>
    </row>
    <row r="1403" spans="6:7" x14ac:dyDescent="0.35">
      <c r="F1403"/>
      <c r="G1403"/>
    </row>
    <row r="1404" spans="6:7" x14ac:dyDescent="0.35">
      <c r="F1404"/>
      <c r="G1404"/>
    </row>
    <row r="1405" spans="6:7" x14ac:dyDescent="0.35">
      <c r="F1405"/>
      <c r="G1405"/>
    </row>
    <row r="1406" spans="6:7" x14ac:dyDescent="0.35">
      <c r="F1406"/>
      <c r="G1406"/>
    </row>
    <row r="1407" spans="6:7" x14ac:dyDescent="0.35">
      <c r="F1407"/>
      <c r="G1407"/>
    </row>
    <row r="1408" spans="6:7" x14ac:dyDescent="0.35">
      <c r="F1408"/>
      <c r="G1408"/>
    </row>
    <row r="1409" spans="6:7" x14ac:dyDescent="0.35">
      <c r="F1409"/>
      <c r="G1409"/>
    </row>
    <row r="1410" spans="6:7" x14ac:dyDescent="0.35">
      <c r="F1410"/>
      <c r="G1410"/>
    </row>
    <row r="1411" spans="6:7" x14ac:dyDescent="0.35">
      <c r="F1411"/>
      <c r="G1411"/>
    </row>
    <row r="1412" spans="6:7" x14ac:dyDescent="0.35">
      <c r="F1412"/>
      <c r="G1412"/>
    </row>
    <row r="1413" spans="6:7" x14ac:dyDescent="0.35">
      <c r="F1413"/>
      <c r="G1413"/>
    </row>
    <row r="1414" spans="6:7" x14ac:dyDescent="0.35">
      <c r="F1414"/>
      <c r="G1414"/>
    </row>
    <row r="1415" spans="6:7" x14ac:dyDescent="0.35">
      <c r="F1415"/>
      <c r="G1415"/>
    </row>
    <row r="1416" spans="6:7" x14ac:dyDescent="0.35">
      <c r="F1416"/>
      <c r="G1416"/>
    </row>
    <row r="1417" spans="6:7" x14ac:dyDescent="0.35">
      <c r="F1417"/>
      <c r="G1417"/>
    </row>
    <row r="1418" spans="6:7" x14ac:dyDescent="0.35">
      <c r="F1418"/>
      <c r="G1418"/>
    </row>
    <row r="1419" spans="6:7" x14ac:dyDescent="0.35">
      <c r="F1419"/>
      <c r="G1419"/>
    </row>
    <row r="1420" spans="6:7" x14ac:dyDescent="0.35">
      <c r="F1420"/>
      <c r="G1420"/>
    </row>
    <row r="1421" spans="6:7" x14ac:dyDescent="0.35">
      <c r="F1421"/>
      <c r="G1421"/>
    </row>
    <row r="1422" spans="6:7" x14ac:dyDescent="0.35">
      <c r="F1422"/>
      <c r="G1422"/>
    </row>
    <row r="1423" spans="6:7" x14ac:dyDescent="0.35">
      <c r="F1423"/>
      <c r="G1423"/>
    </row>
    <row r="1424" spans="6:7" x14ac:dyDescent="0.35">
      <c r="F1424"/>
      <c r="G1424"/>
    </row>
    <row r="1425" spans="6:7" x14ac:dyDescent="0.35">
      <c r="F1425"/>
      <c r="G1425"/>
    </row>
    <row r="1426" spans="6:7" x14ac:dyDescent="0.35">
      <c r="F1426"/>
      <c r="G1426"/>
    </row>
    <row r="1427" spans="6:7" x14ac:dyDescent="0.35">
      <c r="F1427"/>
      <c r="G1427"/>
    </row>
    <row r="1428" spans="6:7" x14ac:dyDescent="0.35">
      <c r="F1428"/>
      <c r="G1428"/>
    </row>
    <row r="1429" spans="6:7" x14ac:dyDescent="0.35">
      <c r="F1429"/>
      <c r="G1429"/>
    </row>
    <row r="1430" spans="6:7" x14ac:dyDescent="0.35">
      <c r="F1430"/>
      <c r="G1430"/>
    </row>
    <row r="1431" spans="6:7" x14ac:dyDescent="0.35">
      <c r="F1431"/>
      <c r="G1431"/>
    </row>
    <row r="1432" spans="6:7" x14ac:dyDescent="0.35">
      <c r="F1432"/>
      <c r="G1432"/>
    </row>
    <row r="1433" spans="6:7" x14ac:dyDescent="0.35">
      <c r="F1433"/>
      <c r="G1433"/>
    </row>
    <row r="1434" spans="6:7" x14ac:dyDescent="0.35">
      <c r="F1434"/>
      <c r="G1434"/>
    </row>
    <row r="1435" spans="6:7" x14ac:dyDescent="0.35">
      <c r="F1435"/>
      <c r="G1435"/>
    </row>
    <row r="1436" spans="6:7" x14ac:dyDescent="0.35">
      <c r="F1436"/>
      <c r="G1436"/>
    </row>
    <row r="1437" spans="6:7" x14ac:dyDescent="0.35">
      <c r="F1437"/>
      <c r="G1437"/>
    </row>
    <row r="1438" spans="6:7" x14ac:dyDescent="0.35">
      <c r="F1438"/>
      <c r="G1438"/>
    </row>
    <row r="1439" spans="6:7" x14ac:dyDescent="0.35">
      <c r="F1439"/>
      <c r="G1439"/>
    </row>
    <row r="1440" spans="6:7" x14ac:dyDescent="0.35">
      <c r="F1440"/>
      <c r="G1440"/>
    </row>
    <row r="1441" spans="6:7" x14ac:dyDescent="0.35">
      <c r="F1441"/>
      <c r="G1441"/>
    </row>
    <row r="1442" spans="6:7" x14ac:dyDescent="0.35">
      <c r="F1442"/>
      <c r="G1442"/>
    </row>
    <row r="1443" spans="6:7" x14ac:dyDescent="0.35">
      <c r="F1443"/>
      <c r="G1443"/>
    </row>
    <row r="1444" spans="6:7" x14ac:dyDescent="0.35">
      <c r="F1444"/>
      <c r="G1444"/>
    </row>
    <row r="1445" spans="6:7" x14ac:dyDescent="0.35">
      <c r="F1445"/>
      <c r="G1445"/>
    </row>
    <row r="1446" spans="6:7" x14ac:dyDescent="0.35">
      <c r="F1446"/>
      <c r="G1446"/>
    </row>
    <row r="1447" spans="6:7" x14ac:dyDescent="0.35">
      <c r="F1447"/>
      <c r="G1447"/>
    </row>
    <row r="1448" spans="6:7" x14ac:dyDescent="0.35">
      <c r="F1448"/>
      <c r="G1448"/>
    </row>
    <row r="1449" spans="6:7" x14ac:dyDescent="0.35">
      <c r="F1449"/>
      <c r="G1449"/>
    </row>
    <row r="1450" spans="6:7" x14ac:dyDescent="0.35">
      <c r="F1450"/>
      <c r="G1450"/>
    </row>
    <row r="1451" spans="6:7" x14ac:dyDescent="0.35">
      <c r="F1451"/>
      <c r="G1451"/>
    </row>
    <row r="1452" spans="6:7" x14ac:dyDescent="0.35">
      <c r="F1452"/>
      <c r="G1452"/>
    </row>
    <row r="1453" spans="6:7" x14ac:dyDescent="0.35">
      <c r="F1453"/>
      <c r="G1453"/>
    </row>
    <row r="1454" spans="6:7" x14ac:dyDescent="0.35">
      <c r="F1454"/>
      <c r="G1454"/>
    </row>
    <row r="1455" spans="6:7" x14ac:dyDescent="0.35">
      <c r="F1455"/>
      <c r="G1455"/>
    </row>
    <row r="1456" spans="6:7" x14ac:dyDescent="0.35">
      <c r="F1456"/>
      <c r="G1456"/>
    </row>
    <row r="1457" spans="6:7" x14ac:dyDescent="0.35">
      <c r="F1457"/>
      <c r="G1457"/>
    </row>
    <row r="1458" spans="6:7" x14ac:dyDescent="0.35">
      <c r="F1458"/>
      <c r="G1458"/>
    </row>
    <row r="1459" spans="6:7" x14ac:dyDescent="0.35">
      <c r="F1459"/>
      <c r="G1459"/>
    </row>
    <row r="1460" spans="6:7" x14ac:dyDescent="0.35">
      <c r="F1460"/>
      <c r="G1460"/>
    </row>
    <row r="1461" spans="6:7" x14ac:dyDescent="0.35">
      <c r="F1461"/>
      <c r="G1461"/>
    </row>
    <row r="1462" spans="6:7" x14ac:dyDescent="0.35">
      <c r="F1462"/>
      <c r="G1462"/>
    </row>
    <row r="1463" spans="6:7" x14ac:dyDescent="0.35">
      <c r="F1463"/>
      <c r="G1463"/>
    </row>
    <row r="1464" spans="6:7" x14ac:dyDescent="0.35">
      <c r="F1464"/>
      <c r="G1464"/>
    </row>
    <row r="1465" spans="6:7" x14ac:dyDescent="0.35">
      <c r="F1465"/>
      <c r="G1465"/>
    </row>
    <row r="1466" spans="6:7" x14ac:dyDescent="0.35">
      <c r="F1466"/>
      <c r="G1466"/>
    </row>
    <row r="1467" spans="6:7" x14ac:dyDescent="0.35">
      <c r="F1467"/>
      <c r="G1467"/>
    </row>
    <row r="1468" spans="6:7" x14ac:dyDescent="0.35">
      <c r="F1468"/>
      <c r="G1468"/>
    </row>
    <row r="1469" spans="6:7" x14ac:dyDescent="0.35">
      <c r="F1469"/>
      <c r="G1469"/>
    </row>
    <row r="1470" spans="6:7" x14ac:dyDescent="0.35">
      <c r="F1470"/>
      <c r="G1470"/>
    </row>
    <row r="1471" spans="6:7" x14ac:dyDescent="0.35">
      <c r="F1471"/>
      <c r="G1471"/>
    </row>
    <row r="1472" spans="6:7" x14ac:dyDescent="0.35">
      <c r="F1472"/>
      <c r="G1472"/>
    </row>
    <row r="1473" spans="6:7" x14ac:dyDescent="0.35">
      <c r="F1473"/>
      <c r="G1473"/>
    </row>
    <row r="1474" spans="6:7" x14ac:dyDescent="0.35">
      <c r="F1474"/>
      <c r="G1474"/>
    </row>
    <row r="1475" spans="6:7" x14ac:dyDescent="0.35">
      <c r="F1475"/>
      <c r="G1475"/>
    </row>
    <row r="1476" spans="6:7" x14ac:dyDescent="0.35">
      <c r="F1476"/>
      <c r="G1476"/>
    </row>
    <row r="1477" spans="6:7" x14ac:dyDescent="0.35">
      <c r="F1477"/>
      <c r="G1477"/>
    </row>
    <row r="1478" spans="6:7" x14ac:dyDescent="0.35">
      <c r="F1478"/>
      <c r="G1478"/>
    </row>
    <row r="1479" spans="6:7" x14ac:dyDescent="0.35">
      <c r="F1479"/>
      <c r="G1479"/>
    </row>
    <row r="1480" spans="6:7" x14ac:dyDescent="0.35">
      <c r="F1480"/>
      <c r="G1480"/>
    </row>
    <row r="1481" spans="6:7" x14ac:dyDescent="0.35">
      <c r="F1481"/>
      <c r="G1481"/>
    </row>
    <row r="1482" spans="6:7" x14ac:dyDescent="0.35">
      <c r="F1482"/>
      <c r="G1482"/>
    </row>
    <row r="1483" spans="6:7" x14ac:dyDescent="0.35">
      <c r="F1483"/>
      <c r="G1483"/>
    </row>
    <row r="1484" spans="6:7" x14ac:dyDescent="0.35">
      <c r="F1484"/>
      <c r="G1484"/>
    </row>
    <row r="1485" spans="6:7" x14ac:dyDescent="0.35">
      <c r="F1485"/>
      <c r="G1485"/>
    </row>
    <row r="1486" spans="6:7" x14ac:dyDescent="0.35">
      <c r="F1486"/>
      <c r="G1486"/>
    </row>
    <row r="1487" spans="6:7" x14ac:dyDescent="0.35">
      <c r="F1487"/>
      <c r="G1487"/>
    </row>
    <row r="1488" spans="6:7" x14ac:dyDescent="0.35">
      <c r="F1488"/>
      <c r="G1488"/>
    </row>
    <row r="1489" spans="6:7" x14ac:dyDescent="0.35">
      <c r="F1489"/>
      <c r="G1489"/>
    </row>
    <row r="1490" spans="6:7" x14ac:dyDescent="0.35">
      <c r="F1490"/>
      <c r="G1490"/>
    </row>
    <row r="1491" spans="6:7" x14ac:dyDescent="0.35">
      <c r="F1491"/>
      <c r="G1491"/>
    </row>
    <row r="1492" spans="6:7" x14ac:dyDescent="0.35">
      <c r="F1492"/>
      <c r="G1492"/>
    </row>
    <row r="1493" spans="6:7" x14ac:dyDescent="0.35">
      <c r="F1493"/>
      <c r="G1493"/>
    </row>
    <row r="1494" spans="6:7" x14ac:dyDescent="0.35">
      <c r="F1494"/>
      <c r="G1494"/>
    </row>
    <row r="1495" spans="6:7" x14ac:dyDescent="0.35">
      <c r="F1495"/>
      <c r="G1495"/>
    </row>
    <row r="1496" spans="6:7" x14ac:dyDescent="0.35">
      <c r="F1496"/>
      <c r="G1496"/>
    </row>
    <row r="1497" spans="6:7" x14ac:dyDescent="0.35">
      <c r="F1497"/>
      <c r="G1497"/>
    </row>
    <row r="1498" spans="6:7" x14ac:dyDescent="0.35">
      <c r="F1498"/>
      <c r="G1498"/>
    </row>
    <row r="1499" spans="6:7" x14ac:dyDescent="0.35">
      <c r="F1499"/>
      <c r="G1499"/>
    </row>
    <row r="1500" spans="6:7" x14ac:dyDescent="0.35">
      <c r="F1500"/>
      <c r="G1500"/>
    </row>
    <row r="1501" spans="6:7" x14ac:dyDescent="0.35">
      <c r="F1501"/>
      <c r="G1501"/>
    </row>
    <row r="1502" spans="6:7" x14ac:dyDescent="0.35">
      <c r="F1502"/>
      <c r="G1502"/>
    </row>
    <row r="1503" spans="6:7" x14ac:dyDescent="0.35">
      <c r="F1503"/>
      <c r="G1503"/>
    </row>
    <row r="1504" spans="6:7" x14ac:dyDescent="0.35">
      <c r="F1504"/>
      <c r="G1504"/>
    </row>
    <row r="1505" spans="6:7" x14ac:dyDescent="0.35">
      <c r="F1505"/>
      <c r="G1505"/>
    </row>
    <row r="1506" spans="6:7" x14ac:dyDescent="0.35">
      <c r="F1506"/>
      <c r="G1506"/>
    </row>
    <row r="1507" spans="6:7" x14ac:dyDescent="0.35">
      <c r="F1507"/>
      <c r="G1507"/>
    </row>
    <row r="1508" spans="6:7" x14ac:dyDescent="0.35">
      <c r="F1508"/>
      <c r="G1508"/>
    </row>
    <row r="1509" spans="6:7" x14ac:dyDescent="0.35">
      <c r="F1509"/>
      <c r="G1509"/>
    </row>
    <row r="1510" spans="6:7" x14ac:dyDescent="0.35">
      <c r="F1510"/>
      <c r="G1510"/>
    </row>
    <row r="1511" spans="6:7" x14ac:dyDescent="0.35">
      <c r="F1511"/>
      <c r="G1511"/>
    </row>
    <row r="1512" spans="6:7" x14ac:dyDescent="0.35">
      <c r="F1512"/>
      <c r="G1512"/>
    </row>
    <row r="1513" spans="6:7" x14ac:dyDescent="0.35">
      <c r="F1513"/>
      <c r="G1513"/>
    </row>
    <row r="1514" spans="6:7" x14ac:dyDescent="0.35">
      <c r="F1514"/>
      <c r="G1514"/>
    </row>
    <row r="1515" spans="6:7" x14ac:dyDescent="0.35">
      <c r="F1515"/>
      <c r="G1515"/>
    </row>
    <row r="1516" spans="6:7" x14ac:dyDescent="0.35">
      <c r="F1516"/>
      <c r="G1516"/>
    </row>
    <row r="1517" spans="6:7" x14ac:dyDescent="0.35">
      <c r="F1517"/>
      <c r="G1517"/>
    </row>
    <row r="1518" spans="6:7" x14ac:dyDescent="0.35">
      <c r="F1518"/>
      <c r="G1518"/>
    </row>
    <row r="1519" spans="6:7" x14ac:dyDescent="0.35">
      <c r="F1519"/>
      <c r="G1519"/>
    </row>
    <row r="1520" spans="6:7" x14ac:dyDescent="0.35">
      <c r="F1520"/>
      <c r="G1520"/>
    </row>
    <row r="1521" spans="6:7" x14ac:dyDescent="0.35">
      <c r="F1521"/>
      <c r="G1521"/>
    </row>
    <row r="1522" spans="6:7" x14ac:dyDescent="0.35">
      <c r="F1522"/>
      <c r="G1522"/>
    </row>
    <row r="1523" spans="6:7" x14ac:dyDescent="0.35">
      <c r="F1523"/>
      <c r="G1523"/>
    </row>
    <row r="1524" spans="6:7" x14ac:dyDescent="0.35">
      <c r="F1524"/>
      <c r="G1524"/>
    </row>
    <row r="1525" spans="6:7" x14ac:dyDescent="0.35">
      <c r="F1525"/>
      <c r="G1525"/>
    </row>
    <row r="1526" spans="6:7" x14ac:dyDescent="0.35">
      <c r="F1526"/>
      <c r="G1526"/>
    </row>
    <row r="1527" spans="6:7" x14ac:dyDescent="0.35">
      <c r="F1527"/>
      <c r="G1527"/>
    </row>
    <row r="1528" spans="6:7" x14ac:dyDescent="0.35">
      <c r="F1528"/>
      <c r="G1528"/>
    </row>
    <row r="1529" spans="6:7" x14ac:dyDescent="0.35">
      <c r="F1529"/>
      <c r="G1529"/>
    </row>
    <row r="1530" spans="6:7" x14ac:dyDescent="0.35">
      <c r="F1530"/>
      <c r="G1530"/>
    </row>
    <row r="1531" spans="6:7" x14ac:dyDescent="0.35">
      <c r="F1531"/>
      <c r="G1531"/>
    </row>
    <row r="1532" spans="6:7" x14ac:dyDescent="0.35">
      <c r="F1532"/>
      <c r="G1532"/>
    </row>
    <row r="1533" spans="6:7" x14ac:dyDescent="0.35">
      <c r="F1533"/>
      <c r="G1533"/>
    </row>
    <row r="1534" spans="6:7" x14ac:dyDescent="0.35">
      <c r="F1534"/>
      <c r="G1534"/>
    </row>
    <row r="1535" spans="6:7" x14ac:dyDescent="0.35">
      <c r="F1535"/>
      <c r="G1535"/>
    </row>
    <row r="1536" spans="6:7" x14ac:dyDescent="0.35">
      <c r="F1536"/>
      <c r="G1536"/>
    </row>
    <row r="1537" spans="6:7" x14ac:dyDescent="0.35">
      <c r="F1537"/>
      <c r="G1537"/>
    </row>
    <row r="1538" spans="6:7" x14ac:dyDescent="0.35">
      <c r="F1538"/>
      <c r="G1538"/>
    </row>
    <row r="1539" spans="6:7" x14ac:dyDescent="0.35">
      <c r="F1539"/>
      <c r="G1539"/>
    </row>
    <row r="1540" spans="6:7" x14ac:dyDescent="0.35">
      <c r="F1540"/>
      <c r="G1540"/>
    </row>
    <row r="1541" spans="6:7" x14ac:dyDescent="0.35">
      <c r="F1541"/>
      <c r="G1541"/>
    </row>
    <row r="1542" spans="6:7" x14ac:dyDescent="0.35">
      <c r="F1542"/>
      <c r="G1542"/>
    </row>
    <row r="1543" spans="6:7" x14ac:dyDescent="0.35">
      <c r="F1543"/>
      <c r="G1543"/>
    </row>
    <row r="1544" spans="6:7" x14ac:dyDescent="0.35">
      <c r="F1544"/>
      <c r="G1544"/>
    </row>
    <row r="1545" spans="6:7" x14ac:dyDescent="0.35">
      <c r="F1545"/>
      <c r="G1545"/>
    </row>
    <row r="1546" spans="6:7" x14ac:dyDescent="0.35">
      <c r="F1546"/>
      <c r="G1546"/>
    </row>
    <row r="1547" spans="6:7" x14ac:dyDescent="0.35">
      <c r="F1547"/>
      <c r="G1547"/>
    </row>
    <row r="1548" spans="6:7" x14ac:dyDescent="0.35">
      <c r="F1548"/>
      <c r="G1548"/>
    </row>
    <row r="1549" spans="6:7" x14ac:dyDescent="0.35">
      <c r="F1549"/>
      <c r="G1549"/>
    </row>
    <row r="1550" spans="6:7" x14ac:dyDescent="0.35">
      <c r="F1550"/>
      <c r="G1550"/>
    </row>
    <row r="1551" spans="6:7" x14ac:dyDescent="0.35">
      <c r="F1551"/>
      <c r="G1551"/>
    </row>
    <row r="1552" spans="6:7" x14ac:dyDescent="0.35">
      <c r="F1552"/>
      <c r="G1552"/>
    </row>
    <row r="1553" spans="6:7" x14ac:dyDescent="0.35">
      <c r="F1553"/>
      <c r="G1553"/>
    </row>
    <row r="1554" spans="6:7" x14ac:dyDescent="0.35">
      <c r="F1554"/>
      <c r="G1554"/>
    </row>
    <row r="1555" spans="6:7" x14ac:dyDescent="0.35">
      <c r="F1555"/>
      <c r="G1555"/>
    </row>
    <row r="1556" spans="6:7" x14ac:dyDescent="0.35">
      <c r="F1556"/>
      <c r="G1556"/>
    </row>
    <row r="1557" spans="6:7" x14ac:dyDescent="0.35">
      <c r="F1557"/>
      <c r="G1557"/>
    </row>
    <row r="1558" spans="6:7" x14ac:dyDescent="0.35">
      <c r="F1558"/>
      <c r="G1558"/>
    </row>
    <row r="1559" spans="6:7" x14ac:dyDescent="0.35">
      <c r="F1559"/>
      <c r="G1559"/>
    </row>
    <row r="1560" spans="6:7" x14ac:dyDescent="0.35">
      <c r="F1560"/>
      <c r="G1560"/>
    </row>
    <row r="1561" spans="6:7" x14ac:dyDescent="0.35">
      <c r="F1561"/>
      <c r="G1561"/>
    </row>
    <row r="1562" spans="6:7" x14ac:dyDescent="0.35">
      <c r="F1562"/>
      <c r="G1562"/>
    </row>
    <row r="1563" spans="6:7" x14ac:dyDescent="0.35">
      <c r="F1563"/>
      <c r="G1563"/>
    </row>
    <row r="1564" spans="6:7" x14ac:dyDescent="0.35">
      <c r="F1564"/>
      <c r="G1564"/>
    </row>
    <row r="1565" spans="6:7" x14ac:dyDescent="0.35">
      <c r="F1565"/>
      <c r="G1565"/>
    </row>
    <row r="1566" spans="6:7" x14ac:dyDescent="0.35">
      <c r="F1566"/>
      <c r="G1566"/>
    </row>
    <row r="1567" spans="6:7" x14ac:dyDescent="0.35">
      <c r="F1567"/>
      <c r="G1567"/>
    </row>
    <row r="1568" spans="6:7" x14ac:dyDescent="0.35">
      <c r="F1568"/>
      <c r="G1568"/>
    </row>
    <row r="1569" spans="6:7" x14ac:dyDescent="0.35">
      <c r="F1569"/>
      <c r="G1569"/>
    </row>
    <row r="1570" spans="6:7" x14ac:dyDescent="0.35">
      <c r="F1570"/>
      <c r="G1570"/>
    </row>
    <row r="1571" spans="6:7" x14ac:dyDescent="0.35">
      <c r="F1571"/>
      <c r="G1571"/>
    </row>
    <row r="1572" spans="6:7" x14ac:dyDescent="0.35">
      <c r="F1572"/>
      <c r="G1572"/>
    </row>
    <row r="1573" spans="6:7" x14ac:dyDescent="0.35">
      <c r="F1573"/>
      <c r="G1573"/>
    </row>
    <row r="1574" spans="6:7" x14ac:dyDescent="0.35">
      <c r="F1574"/>
      <c r="G1574"/>
    </row>
    <row r="1575" spans="6:7" x14ac:dyDescent="0.35">
      <c r="F1575"/>
      <c r="G1575"/>
    </row>
    <row r="1576" spans="6:7" x14ac:dyDescent="0.35">
      <c r="F1576"/>
      <c r="G1576"/>
    </row>
    <row r="1577" spans="6:7" x14ac:dyDescent="0.35">
      <c r="F1577"/>
      <c r="G1577"/>
    </row>
    <row r="1578" spans="6:7" x14ac:dyDescent="0.35">
      <c r="F1578"/>
      <c r="G1578"/>
    </row>
    <row r="1579" spans="6:7" x14ac:dyDescent="0.35">
      <c r="F1579"/>
      <c r="G1579"/>
    </row>
    <row r="1580" spans="6:7" x14ac:dyDescent="0.35">
      <c r="F1580"/>
      <c r="G1580"/>
    </row>
    <row r="1581" spans="6:7" x14ac:dyDescent="0.35">
      <c r="F1581"/>
      <c r="G1581"/>
    </row>
    <row r="1582" spans="6:7" x14ac:dyDescent="0.35">
      <c r="F1582"/>
      <c r="G1582"/>
    </row>
    <row r="1583" spans="6:7" x14ac:dyDescent="0.35">
      <c r="F1583"/>
      <c r="G1583"/>
    </row>
    <row r="1584" spans="6:7" x14ac:dyDescent="0.35">
      <c r="F1584"/>
      <c r="G1584"/>
    </row>
    <row r="1585" spans="6:7" x14ac:dyDescent="0.35">
      <c r="F1585"/>
      <c r="G1585"/>
    </row>
    <row r="1586" spans="6:7" x14ac:dyDescent="0.35">
      <c r="F1586"/>
      <c r="G1586"/>
    </row>
    <row r="1587" spans="6:7" x14ac:dyDescent="0.35">
      <c r="F1587"/>
      <c r="G1587"/>
    </row>
    <row r="1588" spans="6:7" x14ac:dyDescent="0.35">
      <c r="F1588"/>
      <c r="G1588"/>
    </row>
    <row r="1589" spans="6:7" x14ac:dyDescent="0.35">
      <c r="F1589"/>
      <c r="G1589"/>
    </row>
    <row r="1590" spans="6:7" x14ac:dyDescent="0.35">
      <c r="F1590"/>
      <c r="G1590"/>
    </row>
    <row r="1591" spans="6:7" x14ac:dyDescent="0.35">
      <c r="F1591"/>
      <c r="G1591"/>
    </row>
    <row r="1592" spans="6:7" x14ac:dyDescent="0.35">
      <c r="F1592"/>
      <c r="G1592"/>
    </row>
    <row r="1593" spans="6:7" x14ac:dyDescent="0.35">
      <c r="F1593"/>
      <c r="G1593"/>
    </row>
    <row r="1594" spans="6:7" x14ac:dyDescent="0.35">
      <c r="F1594"/>
      <c r="G1594"/>
    </row>
    <row r="1595" spans="6:7" x14ac:dyDescent="0.35">
      <c r="F1595"/>
      <c r="G1595"/>
    </row>
    <row r="1596" spans="6:7" x14ac:dyDescent="0.35">
      <c r="F1596"/>
      <c r="G1596"/>
    </row>
    <row r="1597" spans="6:7" x14ac:dyDescent="0.35">
      <c r="F1597"/>
      <c r="G1597"/>
    </row>
    <row r="1598" spans="6:7" x14ac:dyDescent="0.35">
      <c r="F1598"/>
      <c r="G1598"/>
    </row>
    <row r="1599" spans="6:7" x14ac:dyDescent="0.35">
      <c r="F1599"/>
      <c r="G1599"/>
    </row>
    <row r="1600" spans="6:7" x14ac:dyDescent="0.35">
      <c r="F1600"/>
      <c r="G1600"/>
    </row>
    <row r="1601" spans="6:7" x14ac:dyDescent="0.35">
      <c r="F1601"/>
      <c r="G1601"/>
    </row>
    <row r="1602" spans="6:7" x14ac:dyDescent="0.35">
      <c r="F1602"/>
      <c r="G1602"/>
    </row>
    <row r="1603" spans="6:7" x14ac:dyDescent="0.35">
      <c r="F1603"/>
      <c r="G1603"/>
    </row>
    <row r="1604" spans="6:7" x14ac:dyDescent="0.35">
      <c r="F1604"/>
      <c r="G1604"/>
    </row>
    <row r="1605" spans="6:7" x14ac:dyDescent="0.35">
      <c r="F1605"/>
      <c r="G1605"/>
    </row>
    <row r="1606" spans="6:7" x14ac:dyDescent="0.35">
      <c r="F1606"/>
      <c r="G1606"/>
    </row>
    <row r="1607" spans="6:7" x14ac:dyDescent="0.35">
      <c r="F1607"/>
      <c r="G1607"/>
    </row>
    <row r="1608" spans="6:7" x14ac:dyDescent="0.35">
      <c r="F1608"/>
      <c r="G1608"/>
    </row>
    <row r="1609" spans="6:7" x14ac:dyDescent="0.35">
      <c r="F1609"/>
      <c r="G1609"/>
    </row>
    <row r="1610" spans="6:7" x14ac:dyDescent="0.35">
      <c r="F1610"/>
      <c r="G1610"/>
    </row>
    <row r="1611" spans="6:7" x14ac:dyDescent="0.35">
      <c r="F1611"/>
      <c r="G1611"/>
    </row>
    <row r="1612" spans="6:7" x14ac:dyDescent="0.35">
      <c r="F1612"/>
      <c r="G1612"/>
    </row>
    <row r="1613" spans="6:7" x14ac:dyDescent="0.35">
      <c r="F1613"/>
      <c r="G1613"/>
    </row>
    <row r="1614" spans="6:7" x14ac:dyDescent="0.35">
      <c r="F1614"/>
      <c r="G1614"/>
    </row>
    <row r="1615" spans="6:7" x14ac:dyDescent="0.35">
      <c r="F1615"/>
      <c r="G1615"/>
    </row>
    <row r="1616" spans="6:7" x14ac:dyDescent="0.35">
      <c r="F1616"/>
      <c r="G1616"/>
    </row>
    <row r="1617" spans="6:7" x14ac:dyDescent="0.35">
      <c r="F1617"/>
      <c r="G1617"/>
    </row>
    <row r="1618" spans="6:7" x14ac:dyDescent="0.35">
      <c r="F1618"/>
      <c r="G1618"/>
    </row>
    <row r="1619" spans="6:7" x14ac:dyDescent="0.35">
      <c r="F1619"/>
      <c r="G1619"/>
    </row>
    <row r="1620" spans="6:7" x14ac:dyDescent="0.35">
      <c r="F1620"/>
      <c r="G1620"/>
    </row>
    <row r="1621" spans="6:7" x14ac:dyDescent="0.35">
      <c r="F1621"/>
      <c r="G1621"/>
    </row>
    <row r="1622" spans="6:7" x14ac:dyDescent="0.35">
      <c r="F1622"/>
      <c r="G1622"/>
    </row>
    <row r="1623" spans="6:7" x14ac:dyDescent="0.35">
      <c r="F1623"/>
      <c r="G1623"/>
    </row>
    <row r="1624" spans="6:7" x14ac:dyDescent="0.35">
      <c r="F1624"/>
      <c r="G1624"/>
    </row>
    <row r="1625" spans="6:7" x14ac:dyDescent="0.35">
      <c r="F1625"/>
      <c r="G1625"/>
    </row>
    <row r="1626" spans="6:7" x14ac:dyDescent="0.35">
      <c r="F1626"/>
      <c r="G1626"/>
    </row>
    <row r="1627" spans="6:7" x14ac:dyDescent="0.35">
      <c r="F1627"/>
      <c r="G1627"/>
    </row>
    <row r="1628" spans="6:7" x14ac:dyDescent="0.35">
      <c r="F1628"/>
      <c r="G1628"/>
    </row>
    <row r="1629" spans="6:7" x14ac:dyDescent="0.35">
      <c r="F1629"/>
      <c r="G1629"/>
    </row>
    <row r="1630" spans="6:7" x14ac:dyDescent="0.35">
      <c r="F1630"/>
      <c r="G1630"/>
    </row>
    <row r="1631" spans="6:7" x14ac:dyDescent="0.35">
      <c r="F1631"/>
      <c r="G1631"/>
    </row>
    <row r="1632" spans="6:7" x14ac:dyDescent="0.35">
      <c r="F1632"/>
      <c r="G1632"/>
    </row>
    <row r="1633" spans="6:7" x14ac:dyDescent="0.35">
      <c r="F1633"/>
      <c r="G1633"/>
    </row>
    <row r="1634" spans="6:7" x14ac:dyDescent="0.35">
      <c r="F1634"/>
      <c r="G1634"/>
    </row>
    <row r="1635" spans="6:7" x14ac:dyDescent="0.35">
      <c r="F1635"/>
      <c r="G1635"/>
    </row>
    <row r="1636" spans="6:7" x14ac:dyDescent="0.35">
      <c r="F1636"/>
      <c r="G1636"/>
    </row>
    <row r="1637" spans="6:7" x14ac:dyDescent="0.35">
      <c r="F1637"/>
      <c r="G1637"/>
    </row>
    <row r="1638" spans="6:7" x14ac:dyDescent="0.35">
      <c r="F1638"/>
      <c r="G1638"/>
    </row>
    <row r="1639" spans="6:7" x14ac:dyDescent="0.35">
      <c r="F1639"/>
      <c r="G1639"/>
    </row>
    <row r="1640" spans="6:7" x14ac:dyDescent="0.35">
      <c r="F1640"/>
      <c r="G1640"/>
    </row>
    <row r="1641" spans="6:7" x14ac:dyDescent="0.35">
      <c r="F1641"/>
      <c r="G1641"/>
    </row>
    <row r="1642" spans="6:7" x14ac:dyDescent="0.35">
      <c r="F1642"/>
      <c r="G1642"/>
    </row>
    <row r="1643" spans="6:7" x14ac:dyDescent="0.35">
      <c r="F1643"/>
      <c r="G1643"/>
    </row>
    <row r="1644" spans="6:7" x14ac:dyDescent="0.35">
      <c r="F1644"/>
      <c r="G1644"/>
    </row>
    <row r="1645" spans="6:7" x14ac:dyDescent="0.35">
      <c r="F1645"/>
      <c r="G1645"/>
    </row>
    <row r="1646" spans="6:7" x14ac:dyDescent="0.35">
      <c r="F1646"/>
      <c r="G1646"/>
    </row>
    <row r="1647" spans="6:7" x14ac:dyDescent="0.35">
      <c r="F1647"/>
      <c r="G1647"/>
    </row>
    <row r="1648" spans="6:7" x14ac:dyDescent="0.35">
      <c r="F1648"/>
      <c r="G1648"/>
    </row>
    <row r="1649" spans="6:7" x14ac:dyDescent="0.35">
      <c r="F1649"/>
      <c r="G1649"/>
    </row>
    <row r="1650" spans="6:7" x14ac:dyDescent="0.35">
      <c r="F1650"/>
      <c r="G1650"/>
    </row>
    <row r="1651" spans="6:7" x14ac:dyDescent="0.35">
      <c r="F1651"/>
      <c r="G1651"/>
    </row>
    <row r="1652" spans="6:7" x14ac:dyDescent="0.35">
      <c r="F1652"/>
      <c r="G1652"/>
    </row>
    <row r="1653" spans="6:7" x14ac:dyDescent="0.35">
      <c r="F1653"/>
      <c r="G1653"/>
    </row>
    <row r="1654" spans="6:7" x14ac:dyDescent="0.35">
      <c r="F1654"/>
      <c r="G1654"/>
    </row>
    <row r="1655" spans="6:7" x14ac:dyDescent="0.35">
      <c r="F1655"/>
      <c r="G1655"/>
    </row>
    <row r="1656" spans="6:7" x14ac:dyDescent="0.35">
      <c r="F1656"/>
      <c r="G1656"/>
    </row>
    <row r="1657" spans="6:7" x14ac:dyDescent="0.35">
      <c r="F1657"/>
      <c r="G1657"/>
    </row>
    <row r="1658" spans="6:7" x14ac:dyDescent="0.35">
      <c r="F1658"/>
      <c r="G1658"/>
    </row>
    <row r="1659" spans="6:7" x14ac:dyDescent="0.35">
      <c r="F1659"/>
      <c r="G1659"/>
    </row>
    <row r="1660" spans="6:7" x14ac:dyDescent="0.35">
      <c r="F1660"/>
      <c r="G1660"/>
    </row>
    <row r="1661" spans="6:7" x14ac:dyDescent="0.35">
      <c r="F1661"/>
      <c r="G1661"/>
    </row>
    <row r="1662" spans="6:7" x14ac:dyDescent="0.35">
      <c r="F1662"/>
      <c r="G1662"/>
    </row>
    <row r="1663" spans="6:7" x14ac:dyDescent="0.35">
      <c r="F1663"/>
      <c r="G1663"/>
    </row>
    <row r="1664" spans="6:7" x14ac:dyDescent="0.35">
      <c r="F1664"/>
      <c r="G1664"/>
    </row>
    <row r="1665" spans="6:7" x14ac:dyDescent="0.35">
      <c r="F1665"/>
      <c r="G1665"/>
    </row>
    <row r="1666" spans="6:7" x14ac:dyDescent="0.35">
      <c r="F1666"/>
      <c r="G1666"/>
    </row>
    <row r="1667" spans="6:7" x14ac:dyDescent="0.35">
      <c r="F1667"/>
      <c r="G1667"/>
    </row>
    <row r="1668" spans="6:7" x14ac:dyDescent="0.35">
      <c r="F1668"/>
      <c r="G1668"/>
    </row>
    <row r="1669" spans="6:7" x14ac:dyDescent="0.35">
      <c r="F1669"/>
      <c r="G1669"/>
    </row>
    <row r="1670" spans="6:7" x14ac:dyDescent="0.35">
      <c r="F1670"/>
      <c r="G1670"/>
    </row>
    <row r="1671" spans="6:7" x14ac:dyDescent="0.35">
      <c r="F1671"/>
      <c r="G1671"/>
    </row>
    <row r="1672" spans="6:7" x14ac:dyDescent="0.35">
      <c r="F1672"/>
      <c r="G1672"/>
    </row>
    <row r="1673" spans="6:7" x14ac:dyDescent="0.35">
      <c r="F1673"/>
      <c r="G1673"/>
    </row>
    <row r="1674" spans="6:7" x14ac:dyDescent="0.35">
      <c r="F1674"/>
      <c r="G1674"/>
    </row>
    <row r="1675" spans="6:7" x14ac:dyDescent="0.35">
      <c r="F1675"/>
      <c r="G1675"/>
    </row>
    <row r="1676" spans="6:7" x14ac:dyDescent="0.35">
      <c r="F1676"/>
      <c r="G1676"/>
    </row>
    <row r="1677" spans="6:7" x14ac:dyDescent="0.35">
      <c r="F1677"/>
      <c r="G1677"/>
    </row>
    <row r="1678" spans="6:7" x14ac:dyDescent="0.35">
      <c r="F1678"/>
      <c r="G1678"/>
    </row>
    <row r="1679" spans="6:7" x14ac:dyDescent="0.35">
      <c r="F1679"/>
      <c r="G1679"/>
    </row>
    <row r="1680" spans="6:7" x14ac:dyDescent="0.35">
      <c r="F1680"/>
      <c r="G1680"/>
    </row>
    <row r="1681" spans="6:7" x14ac:dyDescent="0.35">
      <c r="F1681"/>
      <c r="G1681"/>
    </row>
    <row r="1682" spans="6:7" x14ac:dyDescent="0.35">
      <c r="F1682"/>
      <c r="G1682"/>
    </row>
    <row r="1683" spans="6:7" x14ac:dyDescent="0.35">
      <c r="F1683"/>
      <c r="G1683"/>
    </row>
    <row r="1684" spans="6:7" x14ac:dyDescent="0.35">
      <c r="F1684"/>
      <c r="G1684"/>
    </row>
    <row r="1685" spans="6:7" x14ac:dyDescent="0.35">
      <c r="F1685"/>
      <c r="G1685"/>
    </row>
    <row r="1686" spans="6:7" x14ac:dyDescent="0.35">
      <c r="F1686"/>
      <c r="G1686"/>
    </row>
    <row r="1687" spans="6:7" x14ac:dyDescent="0.35">
      <c r="F1687"/>
      <c r="G1687"/>
    </row>
    <row r="1688" spans="6:7" x14ac:dyDescent="0.35">
      <c r="F1688"/>
      <c r="G1688"/>
    </row>
    <row r="1689" spans="6:7" x14ac:dyDescent="0.35">
      <c r="F1689"/>
      <c r="G1689"/>
    </row>
    <row r="1690" spans="6:7" x14ac:dyDescent="0.35">
      <c r="F1690"/>
      <c r="G1690"/>
    </row>
    <row r="1691" spans="6:7" x14ac:dyDescent="0.35">
      <c r="F1691"/>
      <c r="G1691"/>
    </row>
    <row r="1692" spans="6:7" x14ac:dyDescent="0.35">
      <c r="F1692"/>
      <c r="G1692"/>
    </row>
    <row r="1693" spans="6:7" x14ac:dyDescent="0.35">
      <c r="F1693"/>
      <c r="G1693"/>
    </row>
    <row r="1694" spans="6:7" x14ac:dyDescent="0.35">
      <c r="F1694"/>
      <c r="G1694"/>
    </row>
    <row r="1695" spans="6:7" x14ac:dyDescent="0.35">
      <c r="F1695"/>
      <c r="G1695"/>
    </row>
    <row r="1696" spans="6:7" x14ac:dyDescent="0.35">
      <c r="F1696"/>
      <c r="G1696"/>
    </row>
    <row r="1697" spans="6:7" x14ac:dyDescent="0.35">
      <c r="F1697"/>
      <c r="G1697"/>
    </row>
    <row r="1698" spans="6:7" x14ac:dyDescent="0.35">
      <c r="F1698"/>
      <c r="G1698"/>
    </row>
    <row r="1699" spans="6:7" x14ac:dyDescent="0.35">
      <c r="F1699"/>
      <c r="G1699"/>
    </row>
    <row r="1700" spans="6:7" x14ac:dyDescent="0.35">
      <c r="F1700"/>
      <c r="G1700"/>
    </row>
    <row r="1701" spans="6:7" x14ac:dyDescent="0.35">
      <c r="F1701"/>
      <c r="G1701"/>
    </row>
    <row r="1702" spans="6:7" x14ac:dyDescent="0.35">
      <c r="F1702"/>
      <c r="G1702"/>
    </row>
    <row r="1703" spans="6:7" x14ac:dyDescent="0.35">
      <c r="F1703"/>
      <c r="G1703"/>
    </row>
    <row r="1704" spans="6:7" x14ac:dyDescent="0.35">
      <c r="F1704"/>
      <c r="G1704"/>
    </row>
    <row r="1705" spans="6:7" x14ac:dyDescent="0.35">
      <c r="F1705"/>
      <c r="G1705"/>
    </row>
    <row r="1706" spans="6:7" x14ac:dyDescent="0.35">
      <c r="F1706"/>
      <c r="G1706"/>
    </row>
    <row r="1707" spans="6:7" x14ac:dyDescent="0.35">
      <c r="F1707"/>
      <c r="G1707"/>
    </row>
    <row r="1708" spans="6:7" x14ac:dyDescent="0.35">
      <c r="F1708"/>
      <c r="G1708"/>
    </row>
    <row r="1709" spans="6:7" x14ac:dyDescent="0.35">
      <c r="F1709"/>
      <c r="G1709"/>
    </row>
    <row r="1710" spans="6:7" x14ac:dyDescent="0.35">
      <c r="F1710"/>
      <c r="G1710"/>
    </row>
    <row r="1711" spans="6:7" x14ac:dyDescent="0.35">
      <c r="F1711"/>
      <c r="G1711"/>
    </row>
    <row r="1712" spans="6:7" x14ac:dyDescent="0.35">
      <c r="F1712"/>
      <c r="G1712"/>
    </row>
    <row r="1713" spans="6:7" x14ac:dyDescent="0.35">
      <c r="F1713"/>
      <c r="G1713"/>
    </row>
    <row r="1714" spans="6:7" x14ac:dyDescent="0.35">
      <c r="F1714"/>
      <c r="G1714"/>
    </row>
    <row r="1715" spans="6:7" x14ac:dyDescent="0.35">
      <c r="F1715"/>
      <c r="G1715"/>
    </row>
    <row r="1716" spans="6:7" x14ac:dyDescent="0.35">
      <c r="F1716"/>
      <c r="G1716"/>
    </row>
    <row r="1717" spans="6:7" x14ac:dyDescent="0.35">
      <c r="F1717"/>
      <c r="G1717"/>
    </row>
    <row r="1718" spans="6:7" x14ac:dyDescent="0.35">
      <c r="F1718"/>
      <c r="G1718"/>
    </row>
    <row r="1719" spans="6:7" x14ac:dyDescent="0.35">
      <c r="F1719"/>
      <c r="G1719"/>
    </row>
    <row r="1720" spans="6:7" x14ac:dyDescent="0.35">
      <c r="F1720"/>
      <c r="G1720"/>
    </row>
    <row r="1721" spans="6:7" x14ac:dyDescent="0.35">
      <c r="F1721"/>
      <c r="G1721"/>
    </row>
    <row r="1722" spans="6:7" x14ac:dyDescent="0.35">
      <c r="F1722"/>
      <c r="G1722"/>
    </row>
    <row r="1723" spans="6:7" x14ac:dyDescent="0.35">
      <c r="F1723"/>
      <c r="G1723"/>
    </row>
    <row r="1724" spans="6:7" x14ac:dyDescent="0.35">
      <c r="F1724"/>
      <c r="G1724"/>
    </row>
    <row r="1725" spans="6:7" x14ac:dyDescent="0.35">
      <c r="F1725"/>
      <c r="G1725"/>
    </row>
    <row r="1726" spans="6:7" x14ac:dyDescent="0.35">
      <c r="F1726"/>
      <c r="G1726"/>
    </row>
    <row r="1727" spans="6:7" x14ac:dyDescent="0.35">
      <c r="F1727"/>
      <c r="G1727"/>
    </row>
    <row r="1728" spans="6:7" x14ac:dyDescent="0.35">
      <c r="F1728"/>
      <c r="G1728"/>
    </row>
    <row r="1729" spans="6:7" x14ac:dyDescent="0.35">
      <c r="F1729"/>
      <c r="G1729"/>
    </row>
    <row r="1730" spans="6:7" x14ac:dyDescent="0.35">
      <c r="F1730"/>
      <c r="G1730"/>
    </row>
    <row r="1731" spans="6:7" x14ac:dyDescent="0.35">
      <c r="F1731"/>
      <c r="G1731"/>
    </row>
    <row r="1732" spans="6:7" x14ac:dyDescent="0.35">
      <c r="F1732"/>
      <c r="G1732"/>
    </row>
    <row r="1733" spans="6:7" x14ac:dyDescent="0.35">
      <c r="F1733"/>
      <c r="G1733"/>
    </row>
    <row r="1734" spans="6:7" x14ac:dyDescent="0.35">
      <c r="F1734"/>
      <c r="G1734"/>
    </row>
    <row r="1735" spans="6:7" x14ac:dyDescent="0.35">
      <c r="F1735"/>
      <c r="G1735"/>
    </row>
    <row r="1736" spans="6:7" x14ac:dyDescent="0.35">
      <c r="F1736"/>
      <c r="G1736"/>
    </row>
    <row r="1737" spans="6:7" x14ac:dyDescent="0.35">
      <c r="F1737"/>
      <c r="G1737"/>
    </row>
    <row r="1738" spans="6:7" x14ac:dyDescent="0.35">
      <c r="F1738"/>
      <c r="G1738"/>
    </row>
    <row r="1739" spans="6:7" x14ac:dyDescent="0.35">
      <c r="F1739"/>
      <c r="G1739"/>
    </row>
    <row r="1740" spans="6:7" x14ac:dyDescent="0.35">
      <c r="F1740"/>
      <c r="G1740"/>
    </row>
    <row r="1741" spans="6:7" x14ac:dyDescent="0.35">
      <c r="F1741"/>
      <c r="G1741"/>
    </row>
    <row r="1742" spans="6:7" x14ac:dyDescent="0.35">
      <c r="F1742"/>
      <c r="G1742"/>
    </row>
    <row r="1743" spans="6:7" x14ac:dyDescent="0.35">
      <c r="F1743"/>
      <c r="G1743"/>
    </row>
    <row r="1744" spans="6:7" x14ac:dyDescent="0.35">
      <c r="F1744"/>
      <c r="G1744"/>
    </row>
    <row r="1745" spans="6:7" x14ac:dyDescent="0.35">
      <c r="F1745"/>
      <c r="G1745"/>
    </row>
    <row r="1746" spans="6:7" x14ac:dyDescent="0.35">
      <c r="F1746"/>
      <c r="G1746"/>
    </row>
    <row r="1747" spans="6:7" x14ac:dyDescent="0.35">
      <c r="F1747"/>
      <c r="G1747"/>
    </row>
    <row r="1748" spans="6:7" x14ac:dyDescent="0.35">
      <c r="F1748"/>
      <c r="G1748"/>
    </row>
    <row r="1749" spans="6:7" x14ac:dyDescent="0.35">
      <c r="F1749"/>
      <c r="G1749"/>
    </row>
    <row r="1750" spans="6:7" x14ac:dyDescent="0.35">
      <c r="F1750"/>
      <c r="G1750"/>
    </row>
    <row r="1751" spans="6:7" x14ac:dyDescent="0.35">
      <c r="F1751"/>
      <c r="G1751"/>
    </row>
    <row r="1752" spans="6:7" x14ac:dyDescent="0.35">
      <c r="F1752"/>
      <c r="G1752"/>
    </row>
    <row r="1753" spans="6:7" x14ac:dyDescent="0.35">
      <c r="F1753"/>
      <c r="G1753"/>
    </row>
    <row r="1754" spans="6:7" x14ac:dyDescent="0.35">
      <c r="F1754"/>
      <c r="G1754"/>
    </row>
    <row r="1755" spans="6:7" x14ac:dyDescent="0.35">
      <c r="F1755"/>
      <c r="G1755"/>
    </row>
    <row r="1756" spans="6:7" x14ac:dyDescent="0.35">
      <c r="F1756"/>
      <c r="G1756"/>
    </row>
    <row r="1757" spans="6:7" x14ac:dyDescent="0.35">
      <c r="F1757"/>
      <c r="G1757"/>
    </row>
    <row r="1758" spans="6:7" x14ac:dyDescent="0.35">
      <c r="F1758"/>
      <c r="G1758"/>
    </row>
    <row r="1759" spans="6:7" x14ac:dyDescent="0.35">
      <c r="F1759"/>
      <c r="G1759"/>
    </row>
    <row r="1760" spans="6:7" x14ac:dyDescent="0.35">
      <c r="F1760"/>
      <c r="G1760"/>
    </row>
    <row r="1761" spans="6:7" x14ac:dyDescent="0.35">
      <c r="F1761"/>
      <c r="G1761"/>
    </row>
    <row r="1762" spans="6:7" x14ac:dyDescent="0.35">
      <c r="F1762"/>
      <c r="G1762"/>
    </row>
    <row r="1763" spans="6:7" x14ac:dyDescent="0.35">
      <c r="F1763"/>
      <c r="G1763"/>
    </row>
    <row r="1764" spans="6:7" x14ac:dyDescent="0.35">
      <c r="F1764"/>
      <c r="G1764"/>
    </row>
    <row r="1765" spans="6:7" x14ac:dyDescent="0.35">
      <c r="F1765"/>
      <c r="G1765"/>
    </row>
    <row r="1766" spans="6:7" x14ac:dyDescent="0.35">
      <c r="F1766"/>
      <c r="G1766"/>
    </row>
    <row r="1767" spans="6:7" x14ac:dyDescent="0.35">
      <c r="F1767"/>
      <c r="G1767"/>
    </row>
    <row r="1768" spans="6:7" x14ac:dyDescent="0.35">
      <c r="F1768"/>
      <c r="G1768"/>
    </row>
    <row r="1769" spans="6:7" x14ac:dyDescent="0.35">
      <c r="F1769"/>
      <c r="G1769"/>
    </row>
    <row r="1770" spans="6:7" x14ac:dyDescent="0.35">
      <c r="F1770"/>
      <c r="G1770"/>
    </row>
    <row r="1771" spans="6:7" x14ac:dyDescent="0.35">
      <c r="F1771"/>
      <c r="G1771"/>
    </row>
    <row r="1772" spans="6:7" x14ac:dyDescent="0.35">
      <c r="F1772"/>
      <c r="G1772"/>
    </row>
    <row r="1773" spans="6:7" x14ac:dyDescent="0.35">
      <c r="F1773"/>
      <c r="G1773"/>
    </row>
    <row r="1774" spans="6:7" x14ac:dyDescent="0.35">
      <c r="F1774"/>
      <c r="G1774"/>
    </row>
    <row r="1775" spans="6:7" x14ac:dyDescent="0.35">
      <c r="F1775"/>
      <c r="G1775"/>
    </row>
    <row r="1776" spans="6:7" x14ac:dyDescent="0.35">
      <c r="F1776"/>
      <c r="G1776"/>
    </row>
    <row r="1777" spans="6:7" x14ac:dyDescent="0.35">
      <c r="F1777"/>
      <c r="G1777"/>
    </row>
    <row r="1778" spans="6:7" x14ac:dyDescent="0.35">
      <c r="F1778"/>
      <c r="G1778"/>
    </row>
    <row r="1779" spans="6:7" x14ac:dyDescent="0.35">
      <c r="F1779"/>
      <c r="G1779"/>
    </row>
    <row r="1780" spans="6:7" x14ac:dyDescent="0.35">
      <c r="F1780"/>
      <c r="G1780"/>
    </row>
    <row r="1781" spans="6:7" x14ac:dyDescent="0.35">
      <c r="F1781"/>
      <c r="G1781"/>
    </row>
    <row r="1782" spans="6:7" x14ac:dyDescent="0.35">
      <c r="F1782"/>
      <c r="G1782"/>
    </row>
    <row r="1783" spans="6:7" x14ac:dyDescent="0.35">
      <c r="F1783"/>
      <c r="G1783"/>
    </row>
    <row r="1784" spans="6:7" x14ac:dyDescent="0.35">
      <c r="F1784"/>
      <c r="G1784"/>
    </row>
    <row r="1785" spans="6:7" x14ac:dyDescent="0.35">
      <c r="F1785"/>
      <c r="G1785"/>
    </row>
    <row r="1786" spans="6:7" x14ac:dyDescent="0.35">
      <c r="F1786"/>
      <c r="G1786"/>
    </row>
    <row r="1787" spans="6:7" x14ac:dyDescent="0.35">
      <c r="F1787"/>
      <c r="G1787"/>
    </row>
    <row r="1788" spans="6:7" x14ac:dyDescent="0.35">
      <c r="F1788"/>
      <c r="G1788"/>
    </row>
    <row r="1789" spans="6:7" x14ac:dyDescent="0.35">
      <c r="F1789"/>
      <c r="G1789"/>
    </row>
    <row r="1790" spans="6:7" x14ac:dyDescent="0.35">
      <c r="F1790"/>
      <c r="G1790"/>
    </row>
    <row r="1791" spans="6:7" x14ac:dyDescent="0.35">
      <c r="F1791"/>
      <c r="G1791"/>
    </row>
    <row r="1792" spans="6:7" x14ac:dyDescent="0.35">
      <c r="F1792"/>
      <c r="G1792"/>
    </row>
    <row r="1793" spans="6:7" x14ac:dyDescent="0.35">
      <c r="F1793"/>
      <c r="G1793"/>
    </row>
    <row r="1794" spans="6:7" x14ac:dyDescent="0.35">
      <c r="F1794"/>
      <c r="G1794"/>
    </row>
    <row r="1795" spans="6:7" x14ac:dyDescent="0.35">
      <c r="F1795"/>
      <c r="G1795"/>
    </row>
    <row r="1796" spans="6:7" x14ac:dyDescent="0.35">
      <c r="F1796"/>
      <c r="G1796"/>
    </row>
    <row r="1797" spans="6:7" x14ac:dyDescent="0.35">
      <c r="F1797"/>
      <c r="G1797"/>
    </row>
    <row r="1798" spans="6:7" x14ac:dyDescent="0.35">
      <c r="F1798"/>
      <c r="G1798"/>
    </row>
    <row r="1799" spans="6:7" x14ac:dyDescent="0.35">
      <c r="F1799"/>
      <c r="G1799"/>
    </row>
    <row r="1800" spans="6:7" x14ac:dyDescent="0.35">
      <c r="F1800"/>
      <c r="G1800"/>
    </row>
    <row r="1801" spans="6:7" x14ac:dyDescent="0.35">
      <c r="F1801"/>
      <c r="G1801"/>
    </row>
    <row r="1802" spans="6:7" x14ac:dyDescent="0.35">
      <c r="F1802"/>
      <c r="G1802"/>
    </row>
    <row r="1803" spans="6:7" x14ac:dyDescent="0.35">
      <c r="F1803"/>
      <c r="G1803"/>
    </row>
    <row r="1804" spans="6:7" x14ac:dyDescent="0.35">
      <c r="F1804"/>
      <c r="G1804"/>
    </row>
    <row r="1805" spans="6:7" x14ac:dyDescent="0.35">
      <c r="F1805"/>
      <c r="G1805"/>
    </row>
    <row r="1806" spans="6:7" x14ac:dyDescent="0.35">
      <c r="F1806"/>
      <c r="G1806"/>
    </row>
    <row r="1807" spans="6:7" x14ac:dyDescent="0.35">
      <c r="F1807"/>
      <c r="G1807"/>
    </row>
    <row r="1808" spans="6:7" x14ac:dyDescent="0.35">
      <c r="F1808"/>
      <c r="G1808"/>
    </row>
    <row r="1809" spans="6:7" x14ac:dyDescent="0.35">
      <c r="F1809"/>
      <c r="G1809"/>
    </row>
    <row r="1810" spans="6:7" x14ac:dyDescent="0.35">
      <c r="F1810"/>
      <c r="G1810"/>
    </row>
    <row r="1811" spans="6:7" x14ac:dyDescent="0.35">
      <c r="F1811"/>
      <c r="G1811"/>
    </row>
    <row r="1812" spans="6:7" x14ac:dyDescent="0.35">
      <c r="F1812"/>
      <c r="G1812"/>
    </row>
    <row r="1813" spans="6:7" x14ac:dyDescent="0.35">
      <c r="F1813"/>
      <c r="G1813"/>
    </row>
    <row r="1814" spans="6:7" x14ac:dyDescent="0.35">
      <c r="F1814"/>
      <c r="G1814"/>
    </row>
    <row r="1815" spans="6:7" x14ac:dyDescent="0.35">
      <c r="F1815"/>
      <c r="G1815"/>
    </row>
    <row r="1816" spans="6:7" x14ac:dyDescent="0.35">
      <c r="F1816"/>
      <c r="G1816"/>
    </row>
    <row r="1817" spans="6:7" x14ac:dyDescent="0.35">
      <c r="F1817"/>
      <c r="G1817"/>
    </row>
    <row r="1818" spans="6:7" x14ac:dyDescent="0.35">
      <c r="F1818"/>
      <c r="G1818"/>
    </row>
    <row r="1819" spans="6:7" x14ac:dyDescent="0.35">
      <c r="F1819"/>
      <c r="G1819"/>
    </row>
    <row r="1820" spans="6:7" x14ac:dyDescent="0.35">
      <c r="F1820"/>
      <c r="G1820"/>
    </row>
    <row r="1821" spans="6:7" x14ac:dyDescent="0.35">
      <c r="F1821"/>
      <c r="G1821"/>
    </row>
    <row r="1822" spans="6:7" x14ac:dyDescent="0.35">
      <c r="F1822"/>
      <c r="G1822"/>
    </row>
    <row r="1823" spans="6:7" x14ac:dyDescent="0.35">
      <c r="F1823"/>
      <c r="G1823"/>
    </row>
    <row r="1824" spans="6:7" x14ac:dyDescent="0.35">
      <c r="F1824"/>
      <c r="G1824"/>
    </row>
    <row r="1825" spans="6:7" x14ac:dyDescent="0.35">
      <c r="F1825"/>
      <c r="G1825"/>
    </row>
    <row r="1826" spans="6:7" x14ac:dyDescent="0.35">
      <c r="F1826"/>
      <c r="G1826"/>
    </row>
    <row r="1827" spans="6:7" x14ac:dyDescent="0.35">
      <c r="F1827"/>
      <c r="G1827"/>
    </row>
    <row r="1828" spans="6:7" x14ac:dyDescent="0.35">
      <c r="F1828"/>
      <c r="G1828"/>
    </row>
    <row r="1829" spans="6:7" x14ac:dyDescent="0.35">
      <c r="F1829"/>
      <c r="G1829"/>
    </row>
    <row r="1830" spans="6:7" x14ac:dyDescent="0.35">
      <c r="F1830"/>
      <c r="G1830"/>
    </row>
    <row r="1831" spans="6:7" x14ac:dyDescent="0.35">
      <c r="F1831"/>
      <c r="G1831"/>
    </row>
    <row r="1832" spans="6:7" x14ac:dyDescent="0.35">
      <c r="F1832"/>
      <c r="G1832"/>
    </row>
    <row r="1833" spans="6:7" x14ac:dyDescent="0.35">
      <c r="F1833"/>
      <c r="G1833"/>
    </row>
    <row r="1834" spans="6:7" x14ac:dyDescent="0.35">
      <c r="F1834"/>
      <c r="G1834"/>
    </row>
    <row r="1835" spans="6:7" x14ac:dyDescent="0.35">
      <c r="F1835"/>
      <c r="G1835"/>
    </row>
    <row r="1836" spans="6:7" x14ac:dyDescent="0.35">
      <c r="F1836"/>
      <c r="G1836"/>
    </row>
    <row r="1837" spans="6:7" x14ac:dyDescent="0.35">
      <c r="F1837"/>
      <c r="G1837"/>
    </row>
    <row r="1838" spans="6:7" x14ac:dyDescent="0.35">
      <c r="F1838"/>
      <c r="G1838"/>
    </row>
    <row r="1839" spans="6:7" x14ac:dyDescent="0.35">
      <c r="F1839"/>
      <c r="G1839"/>
    </row>
    <row r="1840" spans="6:7" x14ac:dyDescent="0.35">
      <c r="F1840"/>
      <c r="G1840"/>
    </row>
    <row r="1841" spans="6:7" x14ac:dyDescent="0.35">
      <c r="F1841"/>
      <c r="G1841"/>
    </row>
    <row r="1842" spans="6:7" x14ac:dyDescent="0.35">
      <c r="F1842"/>
      <c r="G1842"/>
    </row>
    <row r="1843" spans="6:7" x14ac:dyDescent="0.35">
      <c r="F1843"/>
      <c r="G1843"/>
    </row>
    <row r="1844" spans="6:7" x14ac:dyDescent="0.35">
      <c r="F1844"/>
      <c r="G1844"/>
    </row>
    <row r="1845" spans="6:7" x14ac:dyDescent="0.35">
      <c r="F1845"/>
      <c r="G1845"/>
    </row>
    <row r="1846" spans="6:7" x14ac:dyDescent="0.35">
      <c r="F1846"/>
      <c r="G1846"/>
    </row>
    <row r="1847" spans="6:7" x14ac:dyDescent="0.35">
      <c r="F1847"/>
      <c r="G1847"/>
    </row>
    <row r="1848" spans="6:7" x14ac:dyDescent="0.35">
      <c r="F1848"/>
      <c r="G1848"/>
    </row>
    <row r="1849" spans="6:7" x14ac:dyDescent="0.35">
      <c r="F1849"/>
      <c r="G1849"/>
    </row>
    <row r="1850" spans="6:7" x14ac:dyDescent="0.35">
      <c r="F1850"/>
      <c r="G1850"/>
    </row>
    <row r="1851" spans="6:7" x14ac:dyDescent="0.35">
      <c r="F1851"/>
      <c r="G1851"/>
    </row>
    <row r="1852" spans="6:7" x14ac:dyDescent="0.35">
      <c r="F1852"/>
      <c r="G1852"/>
    </row>
    <row r="1853" spans="6:7" x14ac:dyDescent="0.35">
      <c r="F1853"/>
      <c r="G1853"/>
    </row>
    <row r="1854" spans="6:7" x14ac:dyDescent="0.35">
      <c r="F1854"/>
      <c r="G1854"/>
    </row>
    <row r="1855" spans="6:7" x14ac:dyDescent="0.35">
      <c r="F1855"/>
      <c r="G1855"/>
    </row>
    <row r="1856" spans="6:7" x14ac:dyDescent="0.35">
      <c r="F1856"/>
      <c r="G1856"/>
    </row>
    <row r="1857" spans="6:7" x14ac:dyDescent="0.35">
      <c r="F1857"/>
      <c r="G1857"/>
    </row>
    <row r="1858" spans="6:7" x14ac:dyDescent="0.35">
      <c r="F1858"/>
      <c r="G1858"/>
    </row>
    <row r="1859" spans="6:7" x14ac:dyDescent="0.35">
      <c r="F1859"/>
      <c r="G1859"/>
    </row>
    <row r="1860" spans="6:7" x14ac:dyDescent="0.35">
      <c r="F1860"/>
      <c r="G1860"/>
    </row>
    <row r="1861" spans="6:7" x14ac:dyDescent="0.35">
      <c r="F1861"/>
      <c r="G1861"/>
    </row>
    <row r="1862" spans="6:7" x14ac:dyDescent="0.35">
      <c r="F1862"/>
      <c r="G1862"/>
    </row>
    <row r="1863" spans="6:7" x14ac:dyDescent="0.35">
      <c r="F1863"/>
      <c r="G1863"/>
    </row>
    <row r="1864" spans="6:7" x14ac:dyDescent="0.35">
      <c r="F1864"/>
      <c r="G1864"/>
    </row>
    <row r="1865" spans="6:7" x14ac:dyDescent="0.35">
      <c r="F1865"/>
      <c r="G1865"/>
    </row>
    <row r="1866" spans="6:7" x14ac:dyDescent="0.35">
      <c r="F1866"/>
      <c r="G1866"/>
    </row>
    <row r="1867" spans="6:7" x14ac:dyDescent="0.35">
      <c r="F1867"/>
      <c r="G1867"/>
    </row>
    <row r="1868" spans="6:7" x14ac:dyDescent="0.35">
      <c r="F1868"/>
      <c r="G1868"/>
    </row>
    <row r="1869" spans="6:7" x14ac:dyDescent="0.35">
      <c r="F1869"/>
      <c r="G1869"/>
    </row>
    <row r="1870" spans="6:7" x14ac:dyDescent="0.35">
      <c r="F1870"/>
      <c r="G1870"/>
    </row>
    <row r="1871" spans="6:7" x14ac:dyDescent="0.35">
      <c r="F1871"/>
      <c r="G1871"/>
    </row>
    <row r="1872" spans="6:7" x14ac:dyDescent="0.35">
      <c r="F1872"/>
      <c r="G1872"/>
    </row>
    <row r="1873" spans="6:7" x14ac:dyDescent="0.35">
      <c r="F1873"/>
      <c r="G1873"/>
    </row>
    <row r="1874" spans="6:7" x14ac:dyDescent="0.35">
      <c r="F1874"/>
      <c r="G1874"/>
    </row>
    <row r="1875" spans="6:7" x14ac:dyDescent="0.35">
      <c r="F1875"/>
      <c r="G1875"/>
    </row>
    <row r="1876" spans="6:7" x14ac:dyDescent="0.35">
      <c r="F1876"/>
      <c r="G1876"/>
    </row>
    <row r="1877" spans="6:7" x14ac:dyDescent="0.35">
      <c r="F1877"/>
      <c r="G1877"/>
    </row>
    <row r="1878" spans="6:7" x14ac:dyDescent="0.35">
      <c r="F1878"/>
      <c r="G1878"/>
    </row>
    <row r="1879" spans="6:7" x14ac:dyDescent="0.35">
      <c r="F1879"/>
      <c r="G1879"/>
    </row>
    <row r="1880" spans="6:7" x14ac:dyDescent="0.35">
      <c r="F1880"/>
      <c r="G1880"/>
    </row>
    <row r="1881" spans="6:7" x14ac:dyDescent="0.35">
      <c r="F1881"/>
      <c r="G1881"/>
    </row>
    <row r="1882" spans="6:7" x14ac:dyDescent="0.35">
      <c r="F1882"/>
      <c r="G1882"/>
    </row>
    <row r="1883" spans="6:7" x14ac:dyDescent="0.35">
      <c r="F1883"/>
      <c r="G1883"/>
    </row>
    <row r="1884" spans="6:7" x14ac:dyDescent="0.35">
      <c r="F1884"/>
      <c r="G1884"/>
    </row>
    <row r="1885" spans="6:7" x14ac:dyDescent="0.35">
      <c r="F1885"/>
      <c r="G1885"/>
    </row>
    <row r="1886" spans="6:7" x14ac:dyDescent="0.35">
      <c r="F1886"/>
      <c r="G1886"/>
    </row>
    <row r="1887" spans="6:7" x14ac:dyDescent="0.35">
      <c r="F1887"/>
      <c r="G1887"/>
    </row>
    <row r="1888" spans="6:7" x14ac:dyDescent="0.35">
      <c r="F1888"/>
      <c r="G1888"/>
    </row>
    <row r="1889" spans="6:7" x14ac:dyDescent="0.35">
      <c r="F1889"/>
      <c r="G1889"/>
    </row>
    <row r="1890" spans="6:7" x14ac:dyDescent="0.35">
      <c r="F1890"/>
      <c r="G1890"/>
    </row>
    <row r="1891" spans="6:7" x14ac:dyDescent="0.35">
      <c r="F1891"/>
      <c r="G1891"/>
    </row>
    <row r="1892" spans="6:7" x14ac:dyDescent="0.35">
      <c r="F1892"/>
      <c r="G1892"/>
    </row>
    <row r="1893" spans="6:7" x14ac:dyDescent="0.35">
      <c r="F1893"/>
      <c r="G1893"/>
    </row>
    <row r="1894" spans="6:7" x14ac:dyDescent="0.35">
      <c r="F1894"/>
      <c r="G1894"/>
    </row>
    <row r="1895" spans="6:7" x14ac:dyDescent="0.35">
      <c r="F1895"/>
      <c r="G1895"/>
    </row>
    <row r="1896" spans="6:7" x14ac:dyDescent="0.35">
      <c r="F1896"/>
      <c r="G1896"/>
    </row>
    <row r="1897" spans="6:7" x14ac:dyDescent="0.35">
      <c r="F1897"/>
      <c r="G1897"/>
    </row>
    <row r="1898" spans="6:7" x14ac:dyDescent="0.35">
      <c r="F1898"/>
      <c r="G1898"/>
    </row>
    <row r="1899" spans="6:7" x14ac:dyDescent="0.35">
      <c r="F1899"/>
      <c r="G1899"/>
    </row>
    <row r="1900" spans="6:7" x14ac:dyDescent="0.35">
      <c r="F1900"/>
      <c r="G1900"/>
    </row>
    <row r="1901" spans="6:7" x14ac:dyDescent="0.35">
      <c r="F1901"/>
      <c r="G1901"/>
    </row>
    <row r="1902" spans="6:7" x14ac:dyDescent="0.35">
      <c r="F1902"/>
      <c r="G1902"/>
    </row>
    <row r="1903" spans="6:7" x14ac:dyDescent="0.35">
      <c r="F1903"/>
      <c r="G1903"/>
    </row>
    <row r="1904" spans="6:7" x14ac:dyDescent="0.35">
      <c r="F1904"/>
      <c r="G1904"/>
    </row>
    <row r="1905" spans="6:7" x14ac:dyDescent="0.35">
      <c r="F1905"/>
      <c r="G1905"/>
    </row>
    <row r="1906" spans="6:7" x14ac:dyDescent="0.35">
      <c r="F1906"/>
      <c r="G1906"/>
    </row>
    <row r="1907" spans="6:7" x14ac:dyDescent="0.35">
      <c r="F1907"/>
      <c r="G1907"/>
    </row>
    <row r="1908" spans="6:7" x14ac:dyDescent="0.35">
      <c r="F1908"/>
      <c r="G1908"/>
    </row>
    <row r="1909" spans="6:7" x14ac:dyDescent="0.35">
      <c r="F1909"/>
      <c r="G1909"/>
    </row>
    <row r="1910" spans="6:7" x14ac:dyDescent="0.35">
      <c r="F1910"/>
      <c r="G1910"/>
    </row>
    <row r="1911" spans="6:7" x14ac:dyDescent="0.35">
      <c r="F1911"/>
      <c r="G1911"/>
    </row>
    <row r="1912" spans="6:7" x14ac:dyDescent="0.35">
      <c r="F1912"/>
      <c r="G1912"/>
    </row>
    <row r="1913" spans="6:7" x14ac:dyDescent="0.35">
      <c r="F1913"/>
      <c r="G1913"/>
    </row>
    <row r="1914" spans="6:7" x14ac:dyDescent="0.35">
      <c r="F1914"/>
      <c r="G1914"/>
    </row>
    <row r="1915" spans="6:7" x14ac:dyDescent="0.35">
      <c r="F1915"/>
      <c r="G1915"/>
    </row>
    <row r="1916" spans="6:7" x14ac:dyDescent="0.35">
      <c r="F1916"/>
      <c r="G1916"/>
    </row>
    <row r="1917" spans="6:7" x14ac:dyDescent="0.35">
      <c r="F1917"/>
      <c r="G1917"/>
    </row>
    <row r="1918" spans="6:7" x14ac:dyDescent="0.35">
      <c r="F1918"/>
      <c r="G1918"/>
    </row>
    <row r="1919" spans="6:7" x14ac:dyDescent="0.35">
      <c r="F1919"/>
      <c r="G1919"/>
    </row>
    <row r="1920" spans="6:7" x14ac:dyDescent="0.35">
      <c r="F1920"/>
      <c r="G1920"/>
    </row>
    <row r="1921" spans="6:7" x14ac:dyDescent="0.35">
      <c r="F1921"/>
      <c r="G1921"/>
    </row>
    <row r="1922" spans="6:7" x14ac:dyDescent="0.35">
      <c r="F1922"/>
      <c r="G1922"/>
    </row>
    <row r="1923" spans="6:7" x14ac:dyDescent="0.35">
      <c r="F1923"/>
      <c r="G1923"/>
    </row>
    <row r="1924" spans="6:7" x14ac:dyDescent="0.35">
      <c r="F1924"/>
      <c r="G1924"/>
    </row>
    <row r="1925" spans="6:7" x14ac:dyDescent="0.35">
      <c r="F1925"/>
      <c r="G1925"/>
    </row>
    <row r="1926" spans="6:7" x14ac:dyDescent="0.35">
      <c r="F1926"/>
      <c r="G1926"/>
    </row>
    <row r="1927" spans="6:7" x14ac:dyDescent="0.35">
      <c r="F1927"/>
      <c r="G1927"/>
    </row>
    <row r="1928" spans="6:7" x14ac:dyDescent="0.35">
      <c r="F1928"/>
      <c r="G1928"/>
    </row>
    <row r="1929" spans="6:7" x14ac:dyDescent="0.35">
      <c r="F1929"/>
      <c r="G1929"/>
    </row>
    <row r="1930" spans="6:7" x14ac:dyDescent="0.35">
      <c r="F1930"/>
      <c r="G1930"/>
    </row>
    <row r="1931" spans="6:7" x14ac:dyDescent="0.35">
      <c r="F1931"/>
      <c r="G1931"/>
    </row>
    <row r="1932" spans="6:7" x14ac:dyDescent="0.35">
      <c r="F1932"/>
      <c r="G1932"/>
    </row>
    <row r="1933" spans="6:7" x14ac:dyDescent="0.35">
      <c r="F1933"/>
      <c r="G1933"/>
    </row>
    <row r="1934" spans="6:7" x14ac:dyDescent="0.35">
      <c r="F1934"/>
      <c r="G1934"/>
    </row>
    <row r="1935" spans="6:7" x14ac:dyDescent="0.35">
      <c r="F1935"/>
      <c r="G1935"/>
    </row>
    <row r="1936" spans="6:7" x14ac:dyDescent="0.35">
      <c r="F1936"/>
      <c r="G1936"/>
    </row>
    <row r="1937" spans="6:7" x14ac:dyDescent="0.35">
      <c r="F1937"/>
      <c r="G1937"/>
    </row>
    <row r="1938" spans="6:7" x14ac:dyDescent="0.35">
      <c r="F1938"/>
      <c r="G1938"/>
    </row>
    <row r="1939" spans="6:7" x14ac:dyDescent="0.35">
      <c r="F1939"/>
      <c r="G1939"/>
    </row>
    <row r="1940" spans="6:7" x14ac:dyDescent="0.35">
      <c r="F1940"/>
      <c r="G1940"/>
    </row>
    <row r="1941" spans="6:7" x14ac:dyDescent="0.35">
      <c r="F1941"/>
      <c r="G1941"/>
    </row>
    <row r="1942" spans="6:7" x14ac:dyDescent="0.35">
      <c r="F1942"/>
      <c r="G1942"/>
    </row>
    <row r="1943" spans="6:7" x14ac:dyDescent="0.35">
      <c r="F1943"/>
      <c r="G1943"/>
    </row>
    <row r="1944" spans="6:7" x14ac:dyDescent="0.35">
      <c r="F1944"/>
      <c r="G1944"/>
    </row>
    <row r="1945" spans="6:7" x14ac:dyDescent="0.35">
      <c r="F1945"/>
      <c r="G1945"/>
    </row>
    <row r="1946" spans="6:7" x14ac:dyDescent="0.35">
      <c r="F1946"/>
      <c r="G1946"/>
    </row>
    <row r="1947" spans="6:7" x14ac:dyDescent="0.35">
      <c r="F1947"/>
      <c r="G1947"/>
    </row>
    <row r="1948" spans="6:7" x14ac:dyDescent="0.35">
      <c r="F1948"/>
      <c r="G1948"/>
    </row>
    <row r="1949" spans="6:7" x14ac:dyDescent="0.35">
      <c r="F1949"/>
      <c r="G1949"/>
    </row>
    <row r="1950" spans="6:7" x14ac:dyDescent="0.35">
      <c r="F1950"/>
      <c r="G1950"/>
    </row>
    <row r="1951" spans="6:7" x14ac:dyDescent="0.35">
      <c r="F1951"/>
      <c r="G1951"/>
    </row>
    <row r="1952" spans="6:7" x14ac:dyDescent="0.35">
      <c r="F1952"/>
      <c r="G1952"/>
    </row>
    <row r="1953" spans="6:7" x14ac:dyDescent="0.35">
      <c r="F1953"/>
      <c r="G1953"/>
    </row>
    <row r="1954" spans="6:7" x14ac:dyDescent="0.35">
      <c r="F1954"/>
      <c r="G1954"/>
    </row>
    <row r="1955" spans="6:7" x14ac:dyDescent="0.35">
      <c r="F1955"/>
      <c r="G1955"/>
    </row>
    <row r="1956" spans="6:7" x14ac:dyDescent="0.35">
      <c r="F1956"/>
      <c r="G1956"/>
    </row>
    <row r="1957" spans="6:7" x14ac:dyDescent="0.35">
      <c r="F1957"/>
      <c r="G1957"/>
    </row>
    <row r="1958" spans="6:7" x14ac:dyDescent="0.35">
      <c r="F1958"/>
      <c r="G1958"/>
    </row>
    <row r="1959" spans="6:7" x14ac:dyDescent="0.35">
      <c r="F1959"/>
      <c r="G1959"/>
    </row>
    <row r="1960" spans="6:7" x14ac:dyDescent="0.35">
      <c r="F1960"/>
      <c r="G1960"/>
    </row>
    <row r="1961" spans="6:7" x14ac:dyDescent="0.35">
      <c r="F1961"/>
      <c r="G1961"/>
    </row>
    <row r="1962" spans="6:7" x14ac:dyDescent="0.35">
      <c r="F1962"/>
      <c r="G1962"/>
    </row>
    <row r="1963" spans="6:7" x14ac:dyDescent="0.35">
      <c r="F1963"/>
      <c r="G1963"/>
    </row>
    <row r="1964" spans="6:7" x14ac:dyDescent="0.35">
      <c r="F1964"/>
      <c r="G1964"/>
    </row>
    <row r="1965" spans="6:7" x14ac:dyDescent="0.35">
      <c r="F1965"/>
      <c r="G1965"/>
    </row>
    <row r="1966" spans="6:7" x14ac:dyDescent="0.35">
      <c r="F1966"/>
      <c r="G1966"/>
    </row>
    <row r="1967" spans="6:7" x14ac:dyDescent="0.35">
      <c r="F1967"/>
      <c r="G1967"/>
    </row>
    <row r="1968" spans="6:7" x14ac:dyDescent="0.35">
      <c r="F1968"/>
      <c r="G1968"/>
    </row>
    <row r="1969" spans="6:7" x14ac:dyDescent="0.35">
      <c r="F1969"/>
      <c r="G1969"/>
    </row>
    <row r="1970" spans="6:7" x14ac:dyDescent="0.35">
      <c r="F1970"/>
      <c r="G1970"/>
    </row>
    <row r="1971" spans="6:7" x14ac:dyDescent="0.35">
      <c r="F1971"/>
      <c r="G1971"/>
    </row>
    <row r="1972" spans="6:7" x14ac:dyDescent="0.35">
      <c r="F1972"/>
      <c r="G1972"/>
    </row>
    <row r="1973" spans="6:7" x14ac:dyDescent="0.35">
      <c r="F1973"/>
      <c r="G1973"/>
    </row>
    <row r="1974" spans="6:7" x14ac:dyDescent="0.35">
      <c r="F1974"/>
      <c r="G1974"/>
    </row>
    <row r="1975" spans="6:7" x14ac:dyDescent="0.35">
      <c r="F1975"/>
      <c r="G1975"/>
    </row>
    <row r="1976" spans="6:7" x14ac:dyDescent="0.35">
      <c r="F1976"/>
      <c r="G1976"/>
    </row>
    <row r="1977" spans="6:7" x14ac:dyDescent="0.35">
      <c r="F1977"/>
      <c r="G1977"/>
    </row>
    <row r="1978" spans="6:7" x14ac:dyDescent="0.35">
      <c r="F1978"/>
      <c r="G1978"/>
    </row>
    <row r="1979" spans="6:7" x14ac:dyDescent="0.35">
      <c r="F1979"/>
      <c r="G1979"/>
    </row>
    <row r="1980" spans="6:7" x14ac:dyDescent="0.35">
      <c r="F1980"/>
      <c r="G1980"/>
    </row>
    <row r="1981" spans="6:7" x14ac:dyDescent="0.35">
      <c r="F1981"/>
      <c r="G1981"/>
    </row>
    <row r="1982" spans="6:7" x14ac:dyDescent="0.35">
      <c r="F1982"/>
      <c r="G1982"/>
    </row>
    <row r="1983" spans="6:7" x14ac:dyDescent="0.35">
      <c r="F1983"/>
      <c r="G1983"/>
    </row>
    <row r="1984" spans="6:7" x14ac:dyDescent="0.35">
      <c r="F1984"/>
      <c r="G1984"/>
    </row>
    <row r="1985" spans="6:7" x14ac:dyDescent="0.35">
      <c r="F1985"/>
      <c r="G1985"/>
    </row>
    <row r="1986" spans="6:7" x14ac:dyDescent="0.35">
      <c r="F1986"/>
      <c r="G1986"/>
    </row>
    <row r="1987" spans="6:7" x14ac:dyDescent="0.35">
      <c r="F1987"/>
      <c r="G1987"/>
    </row>
    <row r="1988" spans="6:7" x14ac:dyDescent="0.35">
      <c r="F1988"/>
      <c r="G1988"/>
    </row>
    <row r="1989" spans="6:7" x14ac:dyDescent="0.35">
      <c r="F1989"/>
      <c r="G1989"/>
    </row>
    <row r="1990" spans="6:7" x14ac:dyDescent="0.35">
      <c r="F1990"/>
      <c r="G1990"/>
    </row>
    <row r="1991" spans="6:7" x14ac:dyDescent="0.35">
      <c r="F1991"/>
      <c r="G1991"/>
    </row>
    <row r="1992" spans="6:7" x14ac:dyDescent="0.35">
      <c r="F1992"/>
      <c r="G1992"/>
    </row>
    <row r="1993" spans="6:7" x14ac:dyDescent="0.35">
      <c r="F1993"/>
      <c r="G1993"/>
    </row>
    <row r="1994" spans="6:7" x14ac:dyDescent="0.35">
      <c r="F1994"/>
      <c r="G1994"/>
    </row>
    <row r="1995" spans="6:7" x14ac:dyDescent="0.35">
      <c r="F1995"/>
      <c r="G1995"/>
    </row>
    <row r="1996" spans="6:7" x14ac:dyDescent="0.35">
      <c r="F1996"/>
      <c r="G1996"/>
    </row>
    <row r="1997" spans="6:7" x14ac:dyDescent="0.35">
      <c r="F1997"/>
      <c r="G1997"/>
    </row>
    <row r="1998" spans="6:7" x14ac:dyDescent="0.35">
      <c r="F1998"/>
      <c r="G1998"/>
    </row>
    <row r="1999" spans="6:7" x14ac:dyDescent="0.35">
      <c r="F1999"/>
      <c r="G1999"/>
    </row>
    <row r="2000" spans="6:7" x14ac:dyDescent="0.35">
      <c r="F2000"/>
      <c r="G2000"/>
    </row>
    <row r="2001" spans="6:7" x14ac:dyDescent="0.35">
      <c r="F2001"/>
      <c r="G2001"/>
    </row>
    <row r="2002" spans="6:7" x14ac:dyDescent="0.35">
      <c r="F2002"/>
      <c r="G2002"/>
    </row>
    <row r="2003" spans="6:7" x14ac:dyDescent="0.35">
      <c r="F2003"/>
      <c r="G2003"/>
    </row>
    <row r="2004" spans="6:7" x14ac:dyDescent="0.35">
      <c r="F2004"/>
      <c r="G2004"/>
    </row>
    <row r="2005" spans="6:7" x14ac:dyDescent="0.35">
      <c r="F2005"/>
      <c r="G2005"/>
    </row>
    <row r="2006" spans="6:7" x14ac:dyDescent="0.35">
      <c r="F2006"/>
      <c r="G2006"/>
    </row>
    <row r="2007" spans="6:7" x14ac:dyDescent="0.35">
      <c r="F2007"/>
      <c r="G2007"/>
    </row>
    <row r="2008" spans="6:7" x14ac:dyDescent="0.35">
      <c r="F2008"/>
      <c r="G2008"/>
    </row>
    <row r="2009" spans="6:7" x14ac:dyDescent="0.35">
      <c r="F2009"/>
      <c r="G2009"/>
    </row>
    <row r="2010" spans="6:7" x14ac:dyDescent="0.35">
      <c r="F2010"/>
      <c r="G2010"/>
    </row>
    <row r="2011" spans="6:7" x14ac:dyDescent="0.35">
      <c r="F2011"/>
      <c r="G2011"/>
    </row>
    <row r="2012" spans="6:7" x14ac:dyDescent="0.35">
      <c r="F2012"/>
      <c r="G2012"/>
    </row>
    <row r="2013" spans="6:7" x14ac:dyDescent="0.35">
      <c r="F2013"/>
      <c r="G2013"/>
    </row>
    <row r="2014" spans="6:7" x14ac:dyDescent="0.35">
      <c r="F2014"/>
      <c r="G2014"/>
    </row>
    <row r="2015" spans="6:7" x14ac:dyDescent="0.35">
      <c r="F2015"/>
      <c r="G2015"/>
    </row>
    <row r="2016" spans="6:7" x14ac:dyDescent="0.35">
      <c r="F2016"/>
      <c r="G2016"/>
    </row>
    <row r="2017" spans="6:7" x14ac:dyDescent="0.35">
      <c r="F2017"/>
      <c r="G2017"/>
    </row>
    <row r="2018" spans="6:7" x14ac:dyDescent="0.35">
      <c r="F2018"/>
      <c r="G2018"/>
    </row>
    <row r="2019" spans="6:7" x14ac:dyDescent="0.35">
      <c r="F2019"/>
      <c r="G2019"/>
    </row>
    <row r="2020" spans="6:7" x14ac:dyDescent="0.35">
      <c r="F2020"/>
      <c r="G2020"/>
    </row>
    <row r="2021" spans="6:7" x14ac:dyDescent="0.35">
      <c r="F2021"/>
      <c r="G2021"/>
    </row>
    <row r="2022" spans="6:7" x14ac:dyDescent="0.35">
      <c r="F2022"/>
      <c r="G2022"/>
    </row>
    <row r="2023" spans="6:7" x14ac:dyDescent="0.35">
      <c r="F2023"/>
      <c r="G2023"/>
    </row>
    <row r="2024" spans="6:7" x14ac:dyDescent="0.35">
      <c r="F2024"/>
      <c r="G2024"/>
    </row>
    <row r="2025" spans="6:7" x14ac:dyDescent="0.35">
      <c r="F2025"/>
      <c r="G2025"/>
    </row>
    <row r="2026" spans="6:7" x14ac:dyDescent="0.35">
      <c r="F2026"/>
      <c r="G2026"/>
    </row>
    <row r="2027" spans="6:7" x14ac:dyDescent="0.35">
      <c r="F2027"/>
      <c r="G2027"/>
    </row>
    <row r="2028" spans="6:7" x14ac:dyDescent="0.35">
      <c r="F2028"/>
      <c r="G2028"/>
    </row>
    <row r="2029" spans="6:7" x14ac:dyDescent="0.35">
      <c r="F2029"/>
      <c r="G2029"/>
    </row>
    <row r="2030" spans="6:7" x14ac:dyDescent="0.35">
      <c r="F2030"/>
      <c r="G2030"/>
    </row>
    <row r="2031" spans="6:7" x14ac:dyDescent="0.35">
      <c r="F2031"/>
      <c r="G2031"/>
    </row>
    <row r="2032" spans="6:7" x14ac:dyDescent="0.35">
      <c r="F2032"/>
      <c r="G2032"/>
    </row>
    <row r="2033" spans="6:7" x14ac:dyDescent="0.35">
      <c r="F2033"/>
      <c r="G2033"/>
    </row>
    <row r="2034" spans="6:7" x14ac:dyDescent="0.35">
      <c r="F2034"/>
      <c r="G2034"/>
    </row>
    <row r="2035" spans="6:7" x14ac:dyDescent="0.35">
      <c r="F2035"/>
      <c r="G2035"/>
    </row>
    <row r="2036" spans="6:7" x14ac:dyDescent="0.35">
      <c r="F2036"/>
      <c r="G2036"/>
    </row>
    <row r="2037" spans="6:7" x14ac:dyDescent="0.35">
      <c r="F2037"/>
      <c r="G2037"/>
    </row>
    <row r="2038" spans="6:7" x14ac:dyDescent="0.35">
      <c r="F2038"/>
      <c r="G2038"/>
    </row>
    <row r="2039" spans="6:7" x14ac:dyDescent="0.35">
      <c r="F2039"/>
      <c r="G2039"/>
    </row>
    <row r="2040" spans="6:7" x14ac:dyDescent="0.35">
      <c r="F2040"/>
      <c r="G2040"/>
    </row>
    <row r="2041" spans="6:7" x14ac:dyDescent="0.35">
      <c r="F2041"/>
      <c r="G2041"/>
    </row>
    <row r="2042" spans="6:7" x14ac:dyDescent="0.35">
      <c r="F2042"/>
      <c r="G2042"/>
    </row>
    <row r="2043" spans="6:7" x14ac:dyDescent="0.35">
      <c r="F2043"/>
      <c r="G2043"/>
    </row>
    <row r="2044" spans="6:7" x14ac:dyDescent="0.35">
      <c r="F2044"/>
      <c r="G2044"/>
    </row>
    <row r="2045" spans="6:7" x14ac:dyDescent="0.35">
      <c r="F2045"/>
      <c r="G2045"/>
    </row>
    <row r="2046" spans="6:7" x14ac:dyDescent="0.35">
      <c r="F2046"/>
      <c r="G2046"/>
    </row>
    <row r="2047" spans="6:7" x14ac:dyDescent="0.35">
      <c r="F2047"/>
      <c r="G2047"/>
    </row>
    <row r="2048" spans="6:7" x14ac:dyDescent="0.35">
      <c r="F2048"/>
      <c r="G2048"/>
    </row>
    <row r="2049" spans="6:7" x14ac:dyDescent="0.35">
      <c r="F2049"/>
      <c r="G2049"/>
    </row>
    <row r="2050" spans="6:7" x14ac:dyDescent="0.35">
      <c r="F2050"/>
      <c r="G2050"/>
    </row>
    <row r="2051" spans="6:7" x14ac:dyDescent="0.35">
      <c r="F2051"/>
      <c r="G2051"/>
    </row>
    <row r="2052" spans="6:7" x14ac:dyDescent="0.35">
      <c r="F2052"/>
      <c r="G2052"/>
    </row>
    <row r="2053" spans="6:7" x14ac:dyDescent="0.35">
      <c r="F2053"/>
      <c r="G2053"/>
    </row>
    <row r="2054" spans="6:7" x14ac:dyDescent="0.35">
      <c r="F2054"/>
      <c r="G2054"/>
    </row>
    <row r="2055" spans="6:7" x14ac:dyDescent="0.35">
      <c r="F2055"/>
      <c r="G2055"/>
    </row>
    <row r="2056" spans="6:7" x14ac:dyDescent="0.35">
      <c r="F2056"/>
      <c r="G2056"/>
    </row>
    <row r="2057" spans="6:7" x14ac:dyDescent="0.35">
      <c r="F2057"/>
      <c r="G2057"/>
    </row>
    <row r="2058" spans="6:7" x14ac:dyDescent="0.35">
      <c r="F2058"/>
      <c r="G2058"/>
    </row>
    <row r="2059" spans="6:7" x14ac:dyDescent="0.35">
      <c r="F2059"/>
      <c r="G2059"/>
    </row>
    <row r="2060" spans="6:7" x14ac:dyDescent="0.35">
      <c r="F2060"/>
      <c r="G2060"/>
    </row>
    <row r="2061" spans="6:7" x14ac:dyDescent="0.35">
      <c r="F2061"/>
      <c r="G2061"/>
    </row>
    <row r="2062" spans="6:7" x14ac:dyDescent="0.35">
      <c r="F2062"/>
      <c r="G2062"/>
    </row>
    <row r="2063" spans="6:7" x14ac:dyDescent="0.35">
      <c r="F2063"/>
      <c r="G2063"/>
    </row>
    <row r="2064" spans="6:7" x14ac:dyDescent="0.35">
      <c r="F2064"/>
      <c r="G2064"/>
    </row>
    <row r="2065" spans="6:7" x14ac:dyDescent="0.35">
      <c r="F2065"/>
      <c r="G2065"/>
    </row>
    <row r="2066" spans="6:7" x14ac:dyDescent="0.35">
      <c r="F2066"/>
      <c r="G2066"/>
    </row>
    <row r="2067" spans="6:7" x14ac:dyDescent="0.35">
      <c r="F2067"/>
      <c r="G2067"/>
    </row>
    <row r="2068" spans="6:7" x14ac:dyDescent="0.35">
      <c r="F2068"/>
      <c r="G2068"/>
    </row>
    <row r="2069" spans="6:7" x14ac:dyDescent="0.35">
      <c r="F2069"/>
      <c r="G2069"/>
    </row>
    <row r="2070" spans="6:7" x14ac:dyDescent="0.35">
      <c r="F2070"/>
      <c r="G2070"/>
    </row>
    <row r="2071" spans="6:7" x14ac:dyDescent="0.35">
      <c r="F2071"/>
      <c r="G2071"/>
    </row>
    <row r="2072" spans="6:7" x14ac:dyDescent="0.35">
      <c r="F2072"/>
      <c r="G2072"/>
    </row>
    <row r="2073" spans="6:7" x14ac:dyDescent="0.35">
      <c r="F2073"/>
      <c r="G2073"/>
    </row>
    <row r="2074" spans="6:7" x14ac:dyDescent="0.35">
      <c r="F2074"/>
      <c r="G2074"/>
    </row>
    <row r="2075" spans="6:7" x14ac:dyDescent="0.35">
      <c r="F2075"/>
      <c r="G2075"/>
    </row>
    <row r="2076" spans="6:7" x14ac:dyDescent="0.35">
      <c r="F2076"/>
      <c r="G2076"/>
    </row>
    <row r="2077" spans="6:7" x14ac:dyDescent="0.35">
      <c r="F2077"/>
      <c r="G2077"/>
    </row>
    <row r="2078" spans="6:7" x14ac:dyDescent="0.35">
      <c r="F2078"/>
      <c r="G2078"/>
    </row>
    <row r="2079" spans="6:7" x14ac:dyDescent="0.35">
      <c r="F2079"/>
      <c r="G2079"/>
    </row>
    <row r="2080" spans="6:7" x14ac:dyDescent="0.35">
      <c r="F2080"/>
      <c r="G2080"/>
    </row>
    <row r="2081" spans="6:7" x14ac:dyDescent="0.35">
      <c r="F2081"/>
      <c r="G2081"/>
    </row>
    <row r="2082" spans="6:7" x14ac:dyDescent="0.35">
      <c r="F2082"/>
      <c r="G2082"/>
    </row>
    <row r="2083" spans="6:7" x14ac:dyDescent="0.35">
      <c r="F2083"/>
      <c r="G2083"/>
    </row>
    <row r="2084" spans="6:7" x14ac:dyDescent="0.35">
      <c r="F2084"/>
      <c r="G2084"/>
    </row>
    <row r="2085" spans="6:7" x14ac:dyDescent="0.35">
      <c r="F2085"/>
      <c r="G2085"/>
    </row>
    <row r="2086" spans="6:7" x14ac:dyDescent="0.35">
      <c r="F2086"/>
      <c r="G2086"/>
    </row>
    <row r="2087" spans="6:7" x14ac:dyDescent="0.35">
      <c r="F2087"/>
      <c r="G2087"/>
    </row>
    <row r="2088" spans="6:7" x14ac:dyDescent="0.35">
      <c r="F2088"/>
      <c r="G2088"/>
    </row>
    <row r="2089" spans="6:7" x14ac:dyDescent="0.35">
      <c r="F2089"/>
      <c r="G2089"/>
    </row>
    <row r="2090" spans="6:7" x14ac:dyDescent="0.35">
      <c r="F2090"/>
      <c r="G2090"/>
    </row>
    <row r="2091" spans="6:7" x14ac:dyDescent="0.35">
      <c r="F2091"/>
      <c r="G2091"/>
    </row>
    <row r="2092" spans="6:7" x14ac:dyDescent="0.35">
      <c r="F2092"/>
      <c r="G2092"/>
    </row>
    <row r="2093" spans="6:7" x14ac:dyDescent="0.35">
      <c r="F2093"/>
      <c r="G2093"/>
    </row>
    <row r="2094" spans="6:7" x14ac:dyDescent="0.35">
      <c r="F2094"/>
      <c r="G2094"/>
    </row>
    <row r="2095" spans="6:7" x14ac:dyDescent="0.35">
      <c r="F2095"/>
      <c r="G2095"/>
    </row>
    <row r="2096" spans="6:7" x14ac:dyDescent="0.35">
      <c r="F2096"/>
      <c r="G2096"/>
    </row>
    <row r="2097" spans="6:7" x14ac:dyDescent="0.35">
      <c r="F2097"/>
      <c r="G2097"/>
    </row>
    <row r="2098" spans="6:7" x14ac:dyDescent="0.35">
      <c r="F2098"/>
      <c r="G2098"/>
    </row>
    <row r="2099" spans="6:7" x14ac:dyDescent="0.35">
      <c r="F2099"/>
      <c r="G2099"/>
    </row>
    <row r="2100" spans="6:7" x14ac:dyDescent="0.35">
      <c r="F2100"/>
      <c r="G2100"/>
    </row>
    <row r="2101" spans="6:7" x14ac:dyDescent="0.35">
      <c r="F2101"/>
      <c r="G2101"/>
    </row>
    <row r="2102" spans="6:7" x14ac:dyDescent="0.35">
      <c r="F2102"/>
      <c r="G2102"/>
    </row>
    <row r="2103" spans="6:7" x14ac:dyDescent="0.35">
      <c r="F2103"/>
      <c r="G2103"/>
    </row>
    <row r="2104" spans="6:7" x14ac:dyDescent="0.35">
      <c r="F2104"/>
      <c r="G2104"/>
    </row>
    <row r="2105" spans="6:7" x14ac:dyDescent="0.35">
      <c r="F2105"/>
      <c r="G2105"/>
    </row>
    <row r="2106" spans="6:7" x14ac:dyDescent="0.35">
      <c r="F2106"/>
      <c r="G2106"/>
    </row>
    <row r="2107" spans="6:7" x14ac:dyDescent="0.35">
      <c r="F2107"/>
      <c r="G2107"/>
    </row>
    <row r="2108" spans="6:7" x14ac:dyDescent="0.35">
      <c r="F2108"/>
      <c r="G2108"/>
    </row>
    <row r="2109" spans="6:7" x14ac:dyDescent="0.35">
      <c r="F2109"/>
      <c r="G2109"/>
    </row>
    <row r="2110" spans="6:7" x14ac:dyDescent="0.35">
      <c r="F2110"/>
      <c r="G2110"/>
    </row>
    <row r="2111" spans="6:7" x14ac:dyDescent="0.35">
      <c r="F2111"/>
      <c r="G2111"/>
    </row>
    <row r="2112" spans="6:7" x14ac:dyDescent="0.35">
      <c r="F2112"/>
      <c r="G2112"/>
    </row>
    <row r="2113" spans="6:7" x14ac:dyDescent="0.35">
      <c r="F2113"/>
      <c r="G2113"/>
    </row>
    <row r="2114" spans="6:7" x14ac:dyDescent="0.35">
      <c r="F2114"/>
      <c r="G2114"/>
    </row>
    <row r="2115" spans="6:7" x14ac:dyDescent="0.35">
      <c r="F2115"/>
      <c r="G2115"/>
    </row>
    <row r="2116" spans="6:7" x14ac:dyDescent="0.35">
      <c r="F2116"/>
      <c r="G2116"/>
    </row>
    <row r="2117" spans="6:7" x14ac:dyDescent="0.35">
      <c r="F2117"/>
      <c r="G2117"/>
    </row>
    <row r="2118" spans="6:7" x14ac:dyDescent="0.35">
      <c r="F2118"/>
      <c r="G2118"/>
    </row>
    <row r="2119" spans="6:7" x14ac:dyDescent="0.35">
      <c r="F2119"/>
      <c r="G2119"/>
    </row>
    <row r="2120" spans="6:7" x14ac:dyDescent="0.35">
      <c r="F2120"/>
      <c r="G2120"/>
    </row>
    <row r="2121" spans="6:7" x14ac:dyDescent="0.35">
      <c r="F2121"/>
      <c r="G2121"/>
    </row>
    <row r="2122" spans="6:7" x14ac:dyDescent="0.35">
      <c r="F2122"/>
      <c r="G2122"/>
    </row>
    <row r="2123" spans="6:7" x14ac:dyDescent="0.35">
      <c r="F2123"/>
      <c r="G2123"/>
    </row>
    <row r="2124" spans="6:7" x14ac:dyDescent="0.35">
      <c r="F2124"/>
      <c r="G2124"/>
    </row>
    <row r="2125" spans="6:7" x14ac:dyDescent="0.35">
      <c r="F2125"/>
      <c r="G2125"/>
    </row>
    <row r="2126" spans="6:7" x14ac:dyDescent="0.35">
      <c r="F2126"/>
      <c r="G2126"/>
    </row>
    <row r="2127" spans="6:7" x14ac:dyDescent="0.35">
      <c r="F2127"/>
      <c r="G2127"/>
    </row>
    <row r="2128" spans="6:7" x14ac:dyDescent="0.35">
      <c r="F2128"/>
      <c r="G2128"/>
    </row>
    <row r="2129" spans="6:7" x14ac:dyDescent="0.35">
      <c r="F2129"/>
      <c r="G2129"/>
    </row>
    <row r="2130" spans="6:7" x14ac:dyDescent="0.35">
      <c r="F2130"/>
      <c r="G2130"/>
    </row>
    <row r="2131" spans="6:7" x14ac:dyDescent="0.35">
      <c r="F2131"/>
      <c r="G2131"/>
    </row>
    <row r="2132" spans="6:7" x14ac:dyDescent="0.35">
      <c r="F2132"/>
      <c r="G2132"/>
    </row>
    <row r="2133" spans="6:7" x14ac:dyDescent="0.35">
      <c r="F2133"/>
      <c r="G2133"/>
    </row>
    <row r="2134" spans="6:7" x14ac:dyDescent="0.35">
      <c r="F2134"/>
      <c r="G2134"/>
    </row>
    <row r="2135" spans="6:7" x14ac:dyDescent="0.35">
      <c r="F2135"/>
      <c r="G2135"/>
    </row>
    <row r="2136" spans="6:7" x14ac:dyDescent="0.35">
      <c r="F2136"/>
      <c r="G2136"/>
    </row>
    <row r="2137" spans="6:7" x14ac:dyDescent="0.35">
      <c r="F2137"/>
      <c r="G2137"/>
    </row>
    <row r="2138" spans="6:7" x14ac:dyDescent="0.35">
      <c r="F2138"/>
      <c r="G2138"/>
    </row>
    <row r="2139" spans="6:7" x14ac:dyDescent="0.35">
      <c r="F2139"/>
      <c r="G2139"/>
    </row>
    <row r="2140" spans="6:7" x14ac:dyDescent="0.35">
      <c r="F2140"/>
      <c r="G2140"/>
    </row>
    <row r="2141" spans="6:7" x14ac:dyDescent="0.35">
      <c r="F2141"/>
      <c r="G2141"/>
    </row>
    <row r="2142" spans="6:7" x14ac:dyDescent="0.35">
      <c r="F2142"/>
      <c r="G2142"/>
    </row>
    <row r="2143" spans="6:7" x14ac:dyDescent="0.35">
      <c r="F2143"/>
      <c r="G2143"/>
    </row>
    <row r="2144" spans="6:7" x14ac:dyDescent="0.35">
      <c r="F2144"/>
      <c r="G2144"/>
    </row>
    <row r="2145" spans="6:7" x14ac:dyDescent="0.35">
      <c r="F2145"/>
      <c r="G2145"/>
    </row>
    <row r="2146" spans="6:7" x14ac:dyDescent="0.35">
      <c r="F2146"/>
      <c r="G2146"/>
    </row>
    <row r="2147" spans="6:7" x14ac:dyDescent="0.35">
      <c r="F2147"/>
      <c r="G2147"/>
    </row>
    <row r="2148" spans="6:7" x14ac:dyDescent="0.35">
      <c r="F2148"/>
      <c r="G2148"/>
    </row>
    <row r="2149" spans="6:7" x14ac:dyDescent="0.35">
      <c r="F2149"/>
      <c r="G2149"/>
    </row>
    <row r="2150" spans="6:7" x14ac:dyDescent="0.35">
      <c r="F2150"/>
      <c r="G2150"/>
    </row>
    <row r="2151" spans="6:7" x14ac:dyDescent="0.35">
      <c r="F2151"/>
      <c r="G2151"/>
    </row>
    <row r="2152" spans="6:7" x14ac:dyDescent="0.35">
      <c r="F2152"/>
      <c r="G2152"/>
    </row>
    <row r="2153" spans="6:7" x14ac:dyDescent="0.35">
      <c r="F2153"/>
      <c r="G2153"/>
    </row>
    <row r="2154" spans="6:7" x14ac:dyDescent="0.35">
      <c r="F2154"/>
      <c r="G2154"/>
    </row>
    <row r="2155" spans="6:7" x14ac:dyDescent="0.35">
      <c r="F2155"/>
      <c r="G2155"/>
    </row>
    <row r="2156" spans="6:7" x14ac:dyDescent="0.35">
      <c r="F2156"/>
      <c r="G2156"/>
    </row>
    <row r="2157" spans="6:7" x14ac:dyDescent="0.35">
      <c r="F2157"/>
      <c r="G2157"/>
    </row>
    <row r="2158" spans="6:7" x14ac:dyDescent="0.35">
      <c r="F2158"/>
      <c r="G2158"/>
    </row>
    <row r="2159" spans="6:7" x14ac:dyDescent="0.35">
      <c r="F2159"/>
      <c r="G2159"/>
    </row>
    <row r="2160" spans="6:7" x14ac:dyDescent="0.35">
      <c r="F2160"/>
      <c r="G2160"/>
    </row>
    <row r="2161" spans="6:7" x14ac:dyDescent="0.35">
      <c r="F2161"/>
      <c r="G2161"/>
    </row>
    <row r="2162" spans="6:7" x14ac:dyDescent="0.35">
      <c r="F2162"/>
      <c r="G2162"/>
    </row>
    <row r="2163" spans="6:7" x14ac:dyDescent="0.35">
      <c r="F2163"/>
      <c r="G2163"/>
    </row>
    <row r="2164" spans="6:7" x14ac:dyDescent="0.35">
      <c r="F2164"/>
      <c r="G2164"/>
    </row>
    <row r="2165" spans="6:7" x14ac:dyDescent="0.35">
      <c r="F2165"/>
      <c r="G2165"/>
    </row>
    <row r="2166" spans="6:7" x14ac:dyDescent="0.35">
      <c r="F2166"/>
      <c r="G2166"/>
    </row>
    <row r="2167" spans="6:7" x14ac:dyDescent="0.35">
      <c r="F2167"/>
      <c r="G2167"/>
    </row>
    <row r="2168" spans="6:7" x14ac:dyDescent="0.35">
      <c r="F2168"/>
      <c r="G2168"/>
    </row>
    <row r="2169" spans="6:7" x14ac:dyDescent="0.35">
      <c r="F2169"/>
      <c r="G2169"/>
    </row>
    <row r="2170" spans="6:7" x14ac:dyDescent="0.35">
      <c r="F2170"/>
      <c r="G2170"/>
    </row>
    <row r="2171" spans="6:7" x14ac:dyDescent="0.35">
      <c r="F2171"/>
      <c r="G2171"/>
    </row>
    <row r="2172" spans="6:7" x14ac:dyDescent="0.35">
      <c r="F2172"/>
      <c r="G2172"/>
    </row>
    <row r="2173" spans="6:7" x14ac:dyDescent="0.35">
      <c r="F2173"/>
      <c r="G2173"/>
    </row>
    <row r="2174" spans="6:7" x14ac:dyDescent="0.35">
      <c r="F2174"/>
      <c r="G2174"/>
    </row>
    <row r="2175" spans="6:7" x14ac:dyDescent="0.35">
      <c r="F2175"/>
      <c r="G2175"/>
    </row>
    <row r="2176" spans="6:7" x14ac:dyDescent="0.35">
      <c r="F2176"/>
      <c r="G2176"/>
    </row>
    <row r="2177" spans="6:7" x14ac:dyDescent="0.35">
      <c r="F2177"/>
      <c r="G2177"/>
    </row>
    <row r="2178" spans="6:7" x14ac:dyDescent="0.35">
      <c r="F2178"/>
      <c r="G2178"/>
    </row>
    <row r="2179" spans="6:7" x14ac:dyDescent="0.35">
      <c r="F2179"/>
      <c r="G2179"/>
    </row>
    <row r="2180" spans="6:7" x14ac:dyDescent="0.35">
      <c r="F2180"/>
      <c r="G2180"/>
    </row>
    <row r="2181" spans="6:7" x14ac:dyDescent="0.35">
      <c r="F2181"/>
      <c r="G2181"/>
    </row>
    <row r="2182" spans="6:7" x14ac:dyDescent="0.35">
      <c r="F2182"/>
      <c r="G2182"/>
    </row>
    <row r="2183" spans="6:7" x14ac:dyDescent="0.35">
      <c r="F2183"/>
      <c r="G2183"/>
    </row>
    <row r="2184" spans="6:7" x14ac:dyDescent="0.35">
      <c r="F2184"/>
      <c r="G2184"/>
    </row>
    <row r="2185" spans="6:7" x14ac:dyDescent="0.35">
      <c r="F2185"/>
      <c r="G2185"/>
    </row>
    <row r="2186" spans="6:7" x14ac:dyDescent="0.35">
      <c r="F2186"/>
      <c r="G2186"/>
    </row>
    <row r="2187" spans="6:7" x14ac:dyDescent="0.35">
      <c r="F2187"/>
      <c r="G2187"/>
    </row>
    <row r="2188" spans="6:7" x14ac:dyDescent="0.35">
      <c r="F2188"/>
      <c r="G2188"/>
    </row>
    <row r="2189" spans="6:7" x14ac:dyDescent="0.35">
      <c r="F2189"/>
      <c r="G2189"/>
    </row>
    <row r="2190" spans="6:7" x14ac:dyDescent="0.35">
      <c r="F2190"/>
      <c r="G2190"/>
    </row>
    <row r="2191" spans="6:7" x14ac:dyDescent="0.35">
      <c r="F2191"/>
      <c r="G2191"/>
    </row>
    <row r="2192" spans="6:7" x14ac:dyDescent="0.35">
      <c r="F2192"/>
      <c r="G2192"/>
    </row>
    <row r="2193" spans="6:7" x14ac:dyDescent="0.35">
      <c r="F2193"/>
      <c r="G2193"/>
    </row>
    <row r="2194" spans="6:7" x14ac:dyDescent="0.35">
      <c r="F2194"/>
      <c r="G2194"/>
    </row>
    <row r="2195" spans="6:7" x14ac:dyDescent="0.35">
      <c r="F2195"/>
      <c r="G2195"/>
    </row>
    <row r="2196" spans="6:7" x14ac:dyDescent="0.35">
      <c r="F2196"/>
      <c r="G2196"/>
    </row>
    <row r="2197" spans="6:7" x14ac:dyDescent="0.35">
      <c r="F2197"/>
      <c r="G2197"/>
    </row>
    <row r="2198" spans="6:7" x14ac:dyDescent="0.35">
      <c r="F2198"/>
      <c r="G2198"/>
    </row>
    <row r="2199" spans="6:7" x14ac:dyDescent="0.35">
      <c r="F2199"/>
      <c r="G2199"/>
    </row>
    <row r="2200" spans="6:7" x14ac:dyDescent="0.35">
      <c r="F2200"/>
      <c r="G2200"/>
    </row>
    <row r="2201" spans="6:7" x14ac:dyDescent="0.35">
      <c r="F2201"/>
      <c r="G2201"/>
    </row>
    <row r="2202" spans="6:7" x14ac:dyDescent="0.35">
      <c r="F2202"/>
      <c r="G2202"/>
    </row>
    <row r="2203" spans="6:7" x14ac:dyDescent="0.35">
      <c r="F2203"/>
      <c r="G2203"/>
    </row>
    <row r="2204" spans="6:7" x14ac:dyDescent="0.35">
      <c r="F2204"/>
      <c r="G2204"/>
    </row>
    <row r="2205" spans="6:7" x14ac:dyDescent="0.35">
      <c r="F2205"/>
      <c r="G2205"/>
    </row>
    <row r="2206" spans="6:7" x14ac:dyDescent="0.35">
      <c r="F2206"/>
      <c r="G2206"/>
    </row>
    <row r="2207" spans="6:7" x14ac:dyDescent="0.35">
      <c r="F2207"/>
      <c r="G2207"/>
    </row>
    <row r="2208" spans="6:7" x14ac:dyDescent="0.35">
      <c r="F2208"/>
      <c r="G2208"/>
    </row>
    <row r="2209" spans="6:7" x14ac:dyDescent="0.35">
      <c r="F2209"/>
      <c r="G2209"/>
    </row>
    <row r="2210" spans="6:7" x14ac:dyDescent="0.35">
      <c r="F2210"/>
      <c r="G2210"/>
    </row>
    <row r="2211" spans="6:7" x14ac:dyDescent="0.35">
      <c r="F2211"/>
      <c r="G2211"/>
    </row>
    <row r="2212" spans="6:7" x14ac:dyDescent="0.35">
      <c r="F2212"/>
      <c r="G2212"/>
    </row>
    <row r="2213" spans="6:7" x14ac:dyDescent="0.35">
      <c r="F2213"/>
      <c r="G2213"/>
    </row>
    <row r="2214" spans="6:7" x14ac:dyDescent="0.35">
      <c r="F2214"/>
      <c r="G2214"/>
    </row>
    <row r="2215" spans="6:7" x14ac:dyDescent="0.35">
      <c r="F2215"/>
      <c r="G2215"/>
    </row>
    <row r="2216" spans="6:7" x14ac:dyDescent="0.35">
      <c r="F2216"/>
      <c r="G2216"/>
    </row>
    <row r="2217" spans="6:7" x14ac:dyDescent="0.35">
      <c r="F2217"/>
      <c r="G2217"/>
    </row>
    <row r="2218" spans="6:7" x14ac:dyDescent="0.35">
      <c r="F2218"/>
      <c r="G2218"/>
    </row>
    <row r="2219" spans="6:7" x14ac:dyDescent="0.35">
      <c r="F2219"/>
      <c r="G2219"/>
    </row>
    <row r="2220" spans="6:7" x14ac:dyDescent="0.35">
      <c r="F2220"/>
      <c r="G2220"/>
    </row>
    <row r="2221" spans="6:7" x14ac:dyDescent="0.35">
      <c r="F2221"/>
      <c r="G2221"/>
    </row>
    <row r="2222" spans="6:7" x14ac:dyDescent="0.35">
      <c r="F2222"/>
      <c r="G2222"/>
    </row>
    <row r="2223" spans="6:7" x14ac:dyDescent="0.35">
      <c r="F2223"/>
      <c r="G2223"/>
    </row>
    <row r="2224" spans="6:7" x14ac:dyDescent="0.35">
      <c r="F2224"/>
      <c r="G2224"/>
    </row>
    <row r="2225" spans="6:7" x14ac:dyDescent="0.35">
      <c r="F2225"/>
      <c r="G2225"/>
    </row>
    <row r="2226" spans="6:7" x14ac:dyDescent="0.35">
      <c r="F2226"/>
      <c r="G2226"/>
    </row>
    <row r="2227" spans="6:7" x14ac:dyDescent="0.35">
      <c r="F2227"/>
      <c r="G2227"/>
    </row>
    <row r="2228" spans="6:7" x14ac:dyDescent="0.35">
      <c r="F2228"/>
      <c r="G2228"/>
    </row>
    <row r="2229" spans="6:7" x14ac:dyDescent="0.35">
      <c r="F2229"/>
      <c r="G2229"/>
    </row>
    <row r="2230" spans="6:7" x14ac:dyDescent="0.35">
      <c r="F2230"/>
      <c r="G2230"/>
    </row>
    <row r="2231" spans="6:7" x14ac:dyDescent="0.35">
      <c r="F2231"/>
      <c r="G2231"/>
    </row>
    <row r="2232" spans="6:7" x14ac:dyDescent="0.35">
      <c r="F2232"/>
      <c r="G2232"/>
    </row>
    <row r="2233" spans="6:7" x14ac:dyDescent="0.35">
      <c r="F2233"/>
      <c r="G2233"/>
    </row>
    <row r="2234" spans="6:7" x14ac:dyDescent="0.35">
      <c r="F2234"/>
      <c r="G2234"/>
    </row>
    <row r="2235" spans="6:7" x14ac:dyDescent="0.35">
      <c r="F2235"/>
      <c r="G2235"/>
    </row>
    <row r="2236" spans="6:7" x14ac:dyDescent="0.35">
      <c r="F2236"/>
      <c r="G2236"/>
    </row>
    <row r="2237" spans="6:7" x14ac:dyDescent="0.35">
      <c r="F2237"/>
      <c r="G2237"/>
    </row>
    <row r="2238" spans="6:7" x14ac:dyDescent="0.35">
      <c r="F2238"/>
      <c r="G2238"/>
    </row>
    <row r="2239" spans="6:7" x14ac:dyDescent="0.35">
      <c r="F2239"/>
      <c r="G2239"/>
    </row>
    <row r="2240" spans="6:7" x14ac:dyDescent="0.35">
      <c r="F2240"/>
      <c r="G2240"/>
    </row>
    <row r="2241" spans="6:7" x14ac:dyDescent="0.35">
      <c r="F2241"/>
      <c r="G2241"/>
    </row>
    <row r="2242" spans="6:7" x14ac:dyDescent="0.35">
      <c r="F2242"/>
      <c r="G2242"/>
    </row>
    <row r="2243" spans="6:7" x14ac:dyDescent="0.35">
      <c r="F2243"/>
      <c r="G2243"/>
    </row>
    <row r="2244" spans="6:7" x14ac:dyDescent="0.35">
      <c r="F2244"/>
      <c r="G2244"/>
    </row>
    <row r="2245" spans="6:7" x14ac:dyDescent="0.35">
      <c r="F2245"/>
      <c r="G2245"/>
    </row>
    <row r="2246" spans="6:7" x14ac:dyDescent="0.35">
      <c r="F2246"/>
      <c r="G2246"/>
    </row>
    <row r="2247" spans="6:7" x14ac:dyDescent="0.35">
      <c r="F2247"/>
      <c r="G2247"/>
    </row>
    <row r="2248" spans="6:7" x14ac:dyDescent="0.35">
      <c r="F2248"/>
      <c r="G2248"/>
    </row>
    <row r="2249" spans="6:7" x14ac:dyDescent="0.35">
      <c r="F2249"/>
      <c r="G2249"/>
    </row>
    <row r="2250" spans="6:7" x14ac:dyDescent="0.35">
      <c r="F2250"/>
      <c r="G2250"/>
    </row>
    <row r="2251" spans="6:7" x14ac:dyDescent="0.35">
      <c r="F2251"/>
      <c r="G2251"/>
    </row>
    <row r="2252" spans="6:7" x14ac:dyDescent="0.35">
      <c r="F2252"/>
      <c r="G2252"/>
    </row>
    <row r="2253" spans="6:7" x14ac:dyDescent="0.35">
      <c r="F2253"/>
      <c r="G2253"/>
    </row>
    <row r="2254" spans="6:7" x14ac:dyDescent="0.35">
      <c r="F2254"/>
      <c r="G2254"/>
    </row>
    <row r="2255" spans="6:7" x14ac:dyDescent="0.35">
      <c r="F2255"/>
      <c r="G2255"/>
    </row>
    <row r="2256" spans="6:7" x14ac:dyDescent="0.35">
      <c r="F2256"/>
      <c r="G2256"/>
    </row>
    <row r="2257" spans="6:7" x14ac:dyDescent="0.35">
      <c r="F2257"/>
      <c r="G2257"/>
    </row>
    <row r="2258" spans="6:7" x14ac:dyDescent="0.35">
      <c r="F2258"/>
      <c r="G2258"/>
    </row>
    <row r="2259" spans="6:7" x14ac:dyDescent="0.35">
      <c r="F2259"/>
      <c r="G2259"/>
    </row>
    <row r="2260" spans="6:7" x14ac:dyDescent="0.35">
      <c r="F2260"/>
      <c r="G2260"/>
    </row>
    <row r="2261" spans="6:7" x14ac:dyDescent="0.35">
      <c r="F2261"/>
      <c r="G2261"/>
    </row>
    <row r="2262" spans="6:7" x14ac:dyDescent="0.35">
      <c r="F2262"/>
      <c r="G2262"/>
    </row>
    <row r="2263" spans="6:7" x14ac:dyDescent="0.35">
      <c r="F2263"/>
      <c r="G2263"/>
    </row>
    <row r="2264" spans="6:7" x14ac:dyDescent="0.35">
      <c r="F2264"/>
      <c r="G2264"/>
    </row>
    <row r="2265" spans="6:7" x14ac:dyDescent="0.35">
      <c r="F2265"/>
      <c r="G2265"/>
    </row>
    <row r="2266" spans="6:7" x14ac:dyDescent="0.35">
      <c r="F2266"/>
      <c r="G2266"/>
    </row>
    <row r="2267" spans="6:7" x14ac:dyDescent="0.35">
      <c r="F2267"/>
      <c r="G2267"/>
    </row>
    <row r="2268" spans="6:7" x14ac:dyDescent="0.35">
      <c r="F2268"/>
      <c r="G2268"/>
    </row>
    <row r="2269" spans="6:7" x14ac:dyDescent="0.35">
      <c r="F2269"/>
      <c r="G2269"/>
    </row>
    <row r="2270" spans="6:7" x14ac:dyDescent="0.35">
      <c r="F2270"/>
      <c r="G2270"/>
    </row>
    <row r="2271" spans="6:7" x14ac:dyDescent="0.35">
      <c r="F2271"/>
      <c r="G2271"/>
    </row>
    <row r="2272" spans="6:7" x14ac:dyDescent="0.35">
      <c r="F2272"/>
      <c r="G2272"/>
    </row>
    <row r="2273" spans="6:7" x14ac:dyDescent="0.35">
      <c r="F2273"/>
      <c r="G2273"/>
    </row>
    <row r="2274" spans="6:7" x14ac:dyDescent="0.35">
      <c r="F2274"/>
      <c r="G2274"/>
    </row>
    <row r="2275" spans="6:7" x14ac:dyDescent="0.35">
      <c r="F2275"/>
      <c r="G2275"/>
    </row>
    <row r="2276" spans="6:7" x14ac:dyDescent="0.35">
      <c r="F2276"/>
      <c r="G2276"/>
    </row>
    <row r="2277" spans="6:7" x14ac:dyDescent="0.35">
      <c r="F2277"/>
      <c r="G2277"/>
    </row>
    <row r="2278" spans="6:7" x14ac:dyDescent="0.35">
      <c r="F2278"/>
      <c r="G2278"/>
    </row>
    <row r="2279" spans="6:7" x14ac:dyDescent="0.35">
      <c r="F2279"/>
      <c r="G2279"/>
    </row>
    <row r="2280" spans="6:7" x14ac:dyDescent="0.35">
      <c r="F2280"/>
      <c r="G2280"/>
    </row>
    <row r="2281" spans="6:7" x14ac:dyDescent="0.35">
      <c r="F2281"/>
      <c r="G2281"/>
    </row>
    <row r="2282" spans="6:7" x14ac:dyDescent="0.35">
      <c r="F2282"/>
      <c r="G2282"/>
    </row>
    <row r="2283" spans="6:7" x14ac:dyDescent="0.35">
      <c r="F2283"/>
      <c r="G2283"/>
    </row>
    <row r="2284" spans="6:7" x14ac:dyDescent="0.35">
      <c r="F2284"/>
      <c r="G2284"/>
    </row>
    <row r="2285" spans="6:7" x14ac:dyDescent="0.35">
      <c r="F2285"/>
      <c r="G2285"/>
    </row>
    <row r="2286" spans="6:7" x14ac:dyDescent="0.35">
      <c r="F2286"/>
      <c r="G2286"/>
    </row>
    <row r="2287" spans="6:7" x14ac:dyDescent="0.35">
      <c r="F2287"/>
      <c r="G2287"/>
    </row>
    <row r="2288" spans="6:7" x14ac:dyDescent="0.35">
      <c r="F2288"/>
      <c r="G2288"/>
    </row>
    <row r="2289" spans="6:7" x14ac:dyDescent="0.35">
      <c r="F2289"/>
      <c r="G2289"/>
    </row>
    <row r="2290" spans="6:7" x14ac:dyDescent="0.35">
      <c r="F2290"/>
      <c r="G2290"/>
    </row>
    <row r="2291" spans="6:7" x14ac:dyDescent="0.35">
      <c r="F2291"/>
      <c r="G2291"/>
    </row>
    <row r="2292" spans="6:7" x14ac:dyDescent="0.35">
      <c r="F2292"/>
      <c r="G2292"/>
    </row>
    <row r="2293" spans="6:7" x14ac:dyDescent="0.35">
      <c r="F2293"/>
      <c r="G2293"/>
    </row>
    <row r="2294" spans="6:7" x14ac:dyDescent="0.35">
      <c r="F2294"/>
      <c r="G2294"/>
    </row>
    <row r="2295" spans="6:7" x14ac:dyDescent="0.35">
      <c r="F2295"/>
      <c r="G2295"/>
    </row>
    <row r="2296" spans="6:7" x14ac:dyDescent="0.35">
      <c r="F2296"/>
      <c r="G2296"/>
    </row>
    <row r="2297" spans="6:7" x14ac:dyDescent="0.35">
      <c r="F2297"/>
      <c r="G2297"/>
    </row>
    <row r="2298" spans="6:7" x14ac:dyDescent="0.35">
      <c r="F2298"/>
      <c r="G2298"/>
    </row>
    <row r="2299" spans="6:7" x14ac:dyDescent="0.35">
      <c r="F2299"/>
      <c r="G2299"/>
    </row>
    <row r="2300" spans="6:7" x14ac:dyDescent="0.35">
      <c r="F2300"/>
      <c r="G2300"/>
    </row>
    <row r="2301" spans="6:7" x14ac:dyDescent="0.35">
      <c r="F2301"/>
      <c r="G2301"/>
    </row>
    <row r="2302" spans="6:7" x14ac:dyDescent="0.35">
      <c r="F2302"/>
      <c r="G2302"/>
    </row>
    <row r="2303" spans="6:7" x14ac:dyDescent="0.35">
      <c r="F2303"/>
      <c r="G2303"/>
    </row>
    <row r="2304" spans="6:7" x14ac:dyDescent="0.35">
      <c r="F2304"/>
      <c r="G2304"/>
    </row>
    <row r="2305" spans="6:7" x14ac:dyDescent="0.35">
      <c r="F2305"/>
      <c r="G2305"/>
    </row>
    <row r="2306" spans="6:7" x14ac:dyDescent="0.35">
      <c r="F2306"/>
      <c r="G2306"/>
    </row>
    <row r="2307" spans="6:7" x14ac:dyDescent="0.35">
      <c r="F2307"/>
      <c r="G2307"/>
    </row>
    <row r="2308" spans="6:7" x14ac:dyDescent="0.35">
      <c r="F2308"/>
      <c r="G2308"/>
    </row>
    <row r="2309" spans="6:7" x14ac:dyDescent="0.35">
      <c r="F2309"/>
      <c r="G2309"/>
    </row>
    <row r="2310" spans="6:7" x14ac:dyDescent="0.35">
      <c r="F2310"/>
      <c r="G2310"/>
    </row>
    <row r="2311" spans="6:7" x14ac:dyDescent="0.35">
      <c r="F2311"/>
      <c r="G2311"/>
    </row>
    <row r="2312" spans="6:7" x14ac:dyDescent="0.35">
      <c r="F2312"/>
      <c r="G2312"/>
    </row>
    <row r="2313" spans="6:7" x14ac:dyDescent="0.35">
      <c r="F2313"/>
      <c r="G2313"/>
    </row>
    <row r="2314" spans="6:7" x14ac:dyDescent="0.35">
      <c r="F2314"/>
      <c r="G2314"/>
    </row>
    <row r="2315" spans="6:7" x14ac:dyDescent="0.35">
      <c r="F2315"/>
      <c r="G2315"/>
    </row>
    <row r="2316" spans="6:7" x14ac:dyDescent="0.35">
      <c r="F2316"/>
      <c r="G2316"/>
    </row>
    <row r="2317" spans="6:7" x14ac:dyDescent="0.35">
      <c r="F2317"/>
      <c r="G2317"/>
    </row>
    <row r="2318" spans="6:7" x14ac:dyDescent="0.35">
      <c r="F2318"/>
      <c r="G2318"/>
    </row>
    <row r="2319" spans="6:7" x14ac:dyDescent="0.35">
      <c r="F2319"/>
      <c r="G2319"/>
    </row>
    <row r="2320" spans="6:7" x14ac:dyDescent="0.35">
      <c r="F2320"/>
      <c r="G2320"/>
    </row>
    <row r="2321" spans="6:7" x14ac:dyDescent="0.35">
      <c r="F2321"/>
      <c r="G2321"/>
    </row>
    <row r="2322" spans="6:7" x14ac:dyDescent="0.35">
      <c r="F2322"/>
      <c r="G2322"/>
    </row>
    <row r="2323" spans="6:7" x14ac:dyDescent="0.35">
      <c r="F2323"/>
      <c r="G2323"/>
    </row>
    <row r="2324" spans="6:7" x14ac:dyDescent="0.35">
      <c r="F2324"/>
      <c r="G2324"/>
    </row>
    <row r="2325" spans="6:7" x14ac:dyDescent="0.35">
      <c r="F2325"/>
      <c r="G2325"/>
    </row>
    <row r="2326" spans="6:7" x14ac:dyDescent="0.35">
      <c r="F2326"/>
      <c r="G2326"/>
    </row>
    <row r="2327" spans="6:7" x14ac:dyDescent="0.35">
      <c r="F2327"/>
      <c r="G2327"/>
    </row>
    <row r="2328" spans="6:7" x14ac:dyDescent="0.35">
      <c r="F2328"/>
      <c r="G2328"/>
    </row>
    <row r="2329" spans="6:7" x14ac:dyDescent="0.35">
      <c r="F2329"/>
      <c r="G2329"/>
    </row>
    <row r="2330" spans="6:7" x14ac:dyDescent="0.35">
      <c r="F2330"/>
      <c r="G2330"/>
    </row>
    <row r="2331" spans="6:7" x14ac:dyDescent="0.35">
      <c r="F2331"/>
      <c r="G2331"/>
    </row>
    <row r="2332" spans="6:7" x14ac:dyDescent="0.35">
      <c r="F2332"/>
      <c r="G2332"/>
    </row>
    <row r="2333" spans="6:7" x14ac:dyDescent="0.35">
      <c r="F2333"/>
      <c r="G2333"/>
    </row>
    <row r="2334" spans="6:7" x14ac:dyDescent="0.35">
      <c r="F2334"/>
      <c r="G2334"/>
    </row>
    <row r="2335" spans="6:7" x14ac:dyDescent="0.35">
      <c r="F2335"/>
      <c r="G2335"/>
    </row>
    <row r="2336" spans="6:7" x14ac:dyDescent="0.35">
      <c r="F2336"/>
      <c r="G2336"/>
    </row>
    <row r="2337" spans="6:7" x14ac:dyDescent="0.35">
      <c r="F2337"/>
      <c r="G2337"/>
    </row>
    <row r="2338" spans="6:7" x14ac:dyDescent="0.35">
      <c r="F2338"/>
      <c r="G2338"/>
    </row>
    <row r="2339" spans="6:7" x14ac:dyDescent="0.35">
      <c r="F2339"/>
      <c r="G2339"/>
    </row>
    <row r="2340" spans="6:7" x14ac:dyDescent="0.35">
      <c r="F2340"/>
      <c r="G2340"/>
    </row>
    <row r="2341" spans="6:7" x14ac:dyDescent="0.35">
      <c r="F2341"/>
      <c r="G2341"/>
    </row>
    <row r="2342" spans="6:7" x14ac:dyDescent="0.35">
      <c r="F2342"/>
      <c r="G2342"/>
    </row>
    <row r="2343" spans="6:7" x14ac:dyDescent="0.35">
      <c r="F2343"/>
      <c r="G2343"/>
    </row>
    <row r="2344" spans="6:7" x14ac:dyDescent="0.35">
      <c r="F2344"/>
      <c r="G2344"/>
    </row>
    <row r="2345" spans="6:7" x14ac:dyDescent="0.35">
      <c r="F2345"/>
      <c r="G2345"/>
    </row>
    <row r="2346" spans="6:7" x14ac:dyDescent="0.35">
      <c r="F2346"/>
      <c r="G2346"/>
    </row>
    <row r="2347" spans="6:7" x14ac:dyDescent="0.35">
      <c r="F2347"/>
      <c r="G2347"/>
    </row>
    <row r="2348" spans="6:7" x14ac:dyDescent="0.35">
      <c r="F2348"/>
      <c r="G2348"/>
    </row>
    <row r="2349" spans="6:7" x14ac:dyDescent="0.35">
      <c r="F2349"/>
      <c r="G2349"/>
    </row>
    <row r="2350" spans="6:7" x14ac:dyDescent="0.35">
      <c r="F2350"/>
      <c r="G2350"/>
    </row>
    <row r="2351" spans="6:7" x14ac:dyDescent="0.35">
      <c r="F2351"/>
      <c r="G2351"/>
    </row>
    <row r="2352" spans="6:7" x14ac:dyDescent="0.35">
      <c r="F2352"/>
      <c r="G2352"/>
    </row>
    <row r="2353" spans="6:7" x14ac:dyDescent="0.35">
      <c r="F2353"/>
      <c r="G2353"/>
    </row>
    <row r="2354" spans="6:7" x14ac:dyDescent="0.35">
      <c r="F2354"/>
      <c r="G2354"/>
    </row>
    <row r="2355" spans="6:7" x14ac:dyDescent="0.35">
      <c r="F2355"/>
      <c r="G2355"/>
    </row>
    <row r="2356" spans="6:7" x14ac:dyDescent="0.35">
      <c r="F2356"/>
      <c r="G2356"/>
    </row>
    <row r="2357" spans="6:7" x14ac:dyDescent="0.35">
      <c r="F2357"/>
      <c r="G2357"/>
    </row>
    <row r="2358" spans="6:7" x14ac:dyDescent="0.35">
      <c r="F2358"/>
      <c r="G2358"/>
    </row>
    <row r="2359" spans="6:7" x14ac:dyDescent="0.35">
      <c r="F2359"/>
      <c r="G2359"/>
    </row>
    <row r="2360" spans="6:7" x14ac:dyDescent="0.35">
      <c r="F2360"/>
      <c r="G2360"/>
    </row>
    <row r="2361" spans="6:7" x14ac:dyDescent="0.35">
      <c r="F2361"/>
      <c r="G2361"/>
    </row>
    <row r="2362" spans="6:7" x14ac:dyDescent="0.35">
      <c r="F2362"/>
      <c r="G2362"/>
    </row>
    <row r="2363" spans="6:7" x14ac:dyDescent="0.35">
      <c r="F2363"/>
      <c r="G2363"/>
    </row>
    <row r="2364" spans="6:7" x14ac:dyDescent="0.35">
      <c r="F2364"/>
      <c r="G2364"/>
    </row>
    <row r="2365" spans="6:7" x14ac:dyDescent="0.35">
      <c r="F2365"/>
      <c r="G2365"/>
    </row>
    <row r="2366" spans="6:7" x14ac:dyDescent="0.35">
      <c r="F2366"/>
      <c r="G2366"/>
    </row>
    <row r="2367" spans="6:7" x14ac:dyDescent="0.35">
      <c r="F2367"/>
      <c r="G2367"/>
    </row>
    <row r="2368" spans="6:7" x14ac:dyDescent="0.35">
      <c r="F2368"/>
      <c r="G2368"/>
    </row>
    <row r="2369" spans="6:7" x14ac:dyDescent="0.35">
      <c r="F2369"/>
      <c r="G2369"/>
    </row>
    <row r="2370" spans="6:7" x14ac:dyDescent="0.35">
      <c r="F2370"/>
      <c r="G2370"/>
    </row>
    <row r="2371" spans="6:7" x14ac:dyDescent="0.35">
      <c r="F2371"/>
      <c r="G2371"/>
    </row>
    <row r="2372" spans="6:7" x14ac:dyDescent="0.35">
      <c r="F2372"/>
      <c r="G2372"/>
    </row>
    <row r="2373" spans="6:7" x14ac:dyDescent="0.35">
      <c r="F2373"/>
      <c r="G2373"/>
    </row>
    <row r="2374" spans="6:7" x14ac:dyDescent="0.35">
      <c r="F2374"/>
      <c r="G2374"/>
    </row>
    <row r="2375" spans="6:7" x14ac:dyDescent="0.35">
      <c r="F2375"/>
      <c r="G2375"/>
    </row>
    <row r="2376" spans="6:7" x14ac:dyDescent="0.35">
      <c r="F2376"/>
      <c r="G2376"/>
    </row>
    <row r="2377" spans="6:7" x14ac:dyDescent="0.35">
      <c r="F2377"/>
      <c r="G2377"/>
    </row>
    <row r="2378" spans="6:7" x14ac:dyDescent="0.35">
      <c r="F2378"/>
      <c r="G2378"/>
    </row>
    <row r="2379" spans="6:7" x14ac:dyDescent="0.35">
      <c r="F2379"/>
      <c r="G2379"/>
    </row>
    <row r="2380" spans="6:7" x14ac:dyDescent="0.35">
      <c r="F2380"/>
      <c r="G2380"/>
    </row>
    <row r="2381" spans="6:7" x14ac:dyDescent="0.35">
      <c r="F2381"/>
      <c r="G2381"/>
    </row>
    <row r="2382" spans="6:7" x14ac:dyDescent="0.35">
      <c r="F2382"/>
      <c r="G2382"/>
    </row>
    <row r="2383" spans="6:7" x14ac:dyDescent="0.35">
      <c r="F2383"/>
      <c r="G2383"/>
    </row>
    <row r="2384" spans="6:7" x14ac:dyDescent="0.35">
      <c r="F2384"/>
      <c r="G2384"/>
    </row>
    <row r="2385" spans="6:7" x14ac:dyDescent="0.35">
      <c r="F2385"/>
      <c r="G2385"/>
    </row>
    <row r="2386" spans="6:7" x14ac:dyDescent="0.35">
      <c r="F2386"/>
      <c r="G2386"/>
    </row>
    <row r="2387" spans="6:7" x14ac:dyDescent="0.35">
      <c r="F2387"/>
      <c r="G2387"/>
    </row>
    <row r="2388" spans="6:7" x14ac:dyDescent="0.35">
      <c r="F2388"/>
      <c r="G2388"/>
    </row>
    <row r="2389" spans="6:7" x14ac:dyDescent="0.35">
      <c r="F2389"/>
      <c r="G2389"/>
    </row>
    <row r="2390" spans="6:7" x14ac:dyDescent="0.35">
      <c r="F2390"/>
      <c r="G2390"/>
    </row>
    <row r="2391" spans="6:7" x14ac:dyDescent="0.35">
      <c r="F2391"/>
      <c r="G2391"/>
    </row>
    <row r="2392" spans="6:7" x14ac:dyDescent="0.35">
      <c r="F2392"/>
      <c r="G2392"/>
    </row>
    <row r="2393" spans="6:7" x14ac:dyDescent="0.35">
      <c r="F2393"/>
      <c r="G2393"/>
    </row>
    <row r="2394" spans="6:7" x14ac:dyDescent="0.35">
      <c r="F2394"/>
      <c r="G2394"/>
    </row>
    <row r="2395" spans="6:7" x14ac:dyDescent="0.35">
      <c r="F2395"/>
      <c r="G2395"/>
    </row>
    <row r="2396" spans="6:7" x14ac:dyDescent="0.35">
      <c r="F2396"/>
      <c r="G2396"/>
    </row>
    <row r="2397" spans="6:7" x14ac:dyDescent="0.35">
      <c r="F2397"/>
      <c r="G2397"/>
    </row>
    <row r="2398" spans="6:7" x14ac:dyDescent="0.35">
      <c r="F2398"/>
      <c r="G2398"/>
    </row>
    <row r="2399" spans="6:7" x14ac:dyDescent="0.35">
      <c r="F2399"/>
      <c r="G2399"/>
    </row>
    <row r="2400" spans="6:7" x14ac:dyDescent="0.35">
      <c r="F2400"/>
      <c r="G2400"/>
    </row>
    <row r="2401" spans="6:7" x14ac:dyDescent="0.35">
      <c r="F2401"/>
      <c r="G2401"/>
    </row>
    <row r="2402" spans="6:7" x14ac:dyDescent="0.35">
      <c r="F2402"/>
      <c r="G2402"/>
    </row>
    <row r="2403" spans="6:7" x14ac:dyDescent="0.35">
      <c r="F2403"/>
      <c r="G2403"/>
    </row>
    <row r="2404" spans="6:7" x14ac:dyDescent="0.35">
      <c r="F2404"/>
      <c r="G2404"/>
    </row>
    <row r="2405" spans="6:7" x14ac:dyDescent="0.35">
      <c r="F2405"/>
      <c r="G2405"/>
    </row>
    <row r="2406" spans="6:7" x14ac:dyDescent="0.35">
      <c r="F2406"/>
      <c r="G2406"/>
    </row>
    <row r="2407" spans="6:7" x14ac:dyDescent="0.35">
      <c r="F2407"/>
      <c r="G2407"/>
    </row>
    <row r="2408" spans="6:7" x14ac:dyDescent="0.35">
      <c r="F2408"/>
      <c r="G2408"/>
    </row>
    <row r="2409" spans="6:7" x14ac:dyDescent="0.35">
      <c r="F2409"/>
      <c r="G2409"/>
    </row>
    <row r="2410" spans="6:7" x14ac:dyDescent="0.35">
      <c r="F2410"/>
      <c r="G2410"/>
    </row>
    <row r="2411" spans="6:7" x14ac:dyDescent="0.35">
      <c r="F2411"/>
      <c r="G2411"/>
    </row>
    <row r="2412" spans="6:7" x14ac:dyDescent="0.35">
      <c r="F2412"/>
      <c r="G2412"/>
    </row>
    <row r="2413" spans="6:7" x14ac:dyDescent="0.35">
      <c r="F2413"/>
      <c r="G2413"/>
    </row>
    <row r="2414" spans="6:7" x14ac:dyDescent="0.35">
      <c r="F2414"/>
      <c r="G2414"/>
    </row>
    <row r="2415" spans="6:7" x14ac:dyDescent="0.35">
      <c r="F2415"/>
      <c r="G2415"/>
    </row>
    <row r="2416" spans="6:7" x14ac:dyDescent="0.35">
      <c r="F2416"/>
      <c r="G2416"/>
    </row>
    <row r="2417" spans="6:7" x14ac:dyDescent="0.35">
      <c r="F2417"/>
      <c r="G2417"/>
    </row>
    <row r="2418" spans="6:7" x14ac:dyDescent="0.35">
      <c r="F2418"/>
      <c r="G2418"/>
    </row>
    <row r="2419" spans="6:7" x14ac:dyDescent="0.35">
      <c r="F2419"/>
      <c r="G2419"/>
    </row>
    <row r="2420" spans="6:7" x14ac:dyDescent="0.35">
      <c r="F2420"/>
      <c r="G2420"/>
    </row>
    <row r="2421" spans="6:7" x14ac:dyDescent="0.35">
      <c r="F2421"/>
      <c r="G2421"/>
    </row>
    <row r="2422" spans="6:7" x14ac:dyDescent="0.35">
      <c r="F2422"/>
      <c r="G2422"/>
    </row>
    <row r="2423" spans="6:7" x14ac:dyDescent="0.35">
      <c r="F2423"/>
      <c r="G2423"/>
    </row>
    <row r="2424" spans="6:7" x14ac:dyDescent="0.35">
      <c r="F2424"/>
      <c r="G2424"/>
    </row>
    <row r="2425" spans="6:7" x14ac:dyDescent="0.35">
      <c r="F2425"/>
      <c r="G2425"/>
    </row>
    <row r="2426" spans="6:7" x14ac:dyDescent="0.35">
      <c r="F2426"/>
      <c r="G2426"/>
    </row>
    <row r="2427" spans="6:7" x14ac:dyDescent="0.35">
      <c r="F2427"/>
      <c r="G2427"/>
    </row>
    <row r="2428" spans="6:7" x14ac:dyDescent="0.35">
      <c r="F2428"/>
      <c r="G2428"/>
    </row>
    <row r="2429" spans="6:7" x14ac:dyDescent="0.35">
      <c r="F2429"/>
      <c r="G2429"/>
    </row>
    <row r="2430" spans="6:7" x14ac:dyDescent="0.35">
      <c r="F2430"/>
      <c r="G2430"/>
    </row>
    <row r="2431" spans="6:7" x14ac:dyDescent="0.35">
      <c r="F2431"/>
      <c r="G2431"/>
    </row>
    <row r="2432" spans="6:7" x14ac:dyDescent="0.35">
      <c r="F2432"/>
      <c r="G2432"/>
    </row>
    <row r="2433" spans="6:7" x14ac:dyDescent="0.35">
      <c r="F2433"/>
      <c r="G2433"/>
    </row>
    <row r="2434" spans="6:7" x14ac:dyDescent="0.35">
      <c r="F2434"/>
      <c r="G2434"/>
    </row>
    <row r="2435" spans="6:7" x14ac:dyDescent="0.35">
      <c r="F2435"/>
      <c r="G2435"/>
    </row>
    <row r="2436" spans="6:7" x14ac:dyDescent="0.35">
      <c r="F2436"/>
      <c r="G2436"/>
    </row>
    <row r="2437" spans="6:7" x14ac:dyDescent="0.35">
      <c r="F2437"/>
      <c r="G2437"/>
    </row>
    <row r="2438" spans="6:7" x14ac:dyDescent="0.35">
      <c r="F2438"/>
      <c r="G2438"/>
    </row>
    <row r="2439" spans="6:7" x14ac:dyDescent="0.35">
      <c r="F2439"/>
      <c r="G2439"/>
    </row>
    <row r="2440" spans="6:7" x14ac:dyDescent="0.35">
      <c r="F2440"/>
      <c r="G2440"/>
    </row>
    <row r="2441" spans="6:7" x14ac:dyDescent="0.35">
      <c r="F2441"/>
      <c r="G2441"/>
    </row>
    <row r="2442" spans="6:7" x14ac:dyDescent="0.35">
      <c r="F2442"/>
      <c r="G2442"/>
    </row>
    <row r="2443" spans="6:7" x14ac:dyDescent="0.35">
      <c r="F2443"/>
      <c r="G2443"/>
    </row>
    <row r="2444" spans="6:7" x14ac:dyDescent="0.35">
      <c r="F2444"/>
      <c r="G2444"/>
    </row>
    <row r="2445" spans="6:7" x14ac:dyDescent="0.35">
      <c r="F2445"/>
      <c r="G2445"/>
    </row>
    <row r="2446" spans="6:7" x14ac:dyDescent="0.35">
      <c r="F2446"/>
      <c r="G2446"/>
    </row>
    <row r="2447" spans="6:7" x14ac:dyDescent="0.35">
      <c r="F2447"/>
      <c r="G2447"/>
    </row>
    <row r="2448" spans="6:7" x14ac:dyDescent="0.35">
      <c r="F2448"/>
      <c r="G2448"/>
    </row>
    <row r="2449" spans="6:7" x14ac:dyDescent="0.35">
      <c r="F2449"/>
      <c r="G2449"/>
    </row>
    <row r="2450" spans="6:7" x14ac:dyDescent="0.35">
      <c r="F2450"/>
      <c r="G2450"/>
    </row>
    <row r="2451" spans="6:7" x14ac:dyDescent="0.35">
      <c r="F2451"/>
      <c r="G2451"/>
    </row>
    <row r="2452" spans="6:7" x14ac:dyDescent="0.35">
      <c r="F2452"/>
      <c r="G2452"/>
    </row>
    <row r="2453" spans="6:7" x14ac:dyDescent="0.35">
      <c r="F2453"/>
      <c r="G2453"/>
    </row>
    <row r="2454" spans="6:7" x14ac:dyDescent="0.35">
      <c r="F2454"/>
      <c r="G2454"/>
    </row>
    <row r="2455" spans="6:7" x14ac:dyDescent="0.35">
      <c r="F2455"/>
      <c r="G2455"/>
    </row>
    <row r="2456" spans="6:7" x14ac:dyDescent="0.35">
      <c r="F2456"/>
      <c r="G2456"/>
    </row>
    <row r="2457" spans="6:7" x14ac:dyDescent="0.35">
      <c r="F2457"/>
      <c r="G2457"/>
    </row>
    <row r="2458" spans="6:7" x14ac:dyDescent="0.35">
      <c r="F2458"/>
      <c r="G2458"/>
    </row>
    <row r="2459" spans="6:7" x14ac:dyDescent="0.35">
      <c r="F2459"/>
      <c r="G2459"/>
    </row>
    <row r="2460" spans="6:7" x14ac:dyDescent="0.35">
      <c r="F2460"/>
      <c r="G2460"/>
    </row>
    <row r="2461" spans="6:7" x14ac:dyDescent="0.35">
      <c r="F2461"/>
      <c r="G2461"/>
    </row>
    <row r="2462" spans="6:7" x14ac:dyDescent="0.35">
      <c r="F2462"/>
      <c r="G2462"/>
    </row>
    <row r="2463" spans="6:7" x14ac:dyDescent="0.35">
      <c r="F2463"/>
      <c r="G2463"/>
    </row>
    <row r="2464" spans="6:7" x14ac:dyDescent="0.35">
      <c r="F2464"/>
      <c r="G2464"/>
    </row>
    <row r="2465" spans="6:7" x14ac:dyDescent="0.35">
      <c r="F2465"/>
      <c r="G2465"/>
    </row>
    <row r="2466" spans="6:7" x14ac:dyDescent="0.35">
      <c r="F2466"/>
      <c r="G2466"/>
    </row>
    <row r="2467" spans="6:7" x14ac:dyDescent="0.35">
      <c r="F2467"/>
      <c r="G2467"/>
    </row>
    <row r="2468" spans="6:7" x14ac:dyDescent="0.35">
      <c r="F2468"/>
      <c r="G2468"/>
    </row>
    <row r="2469" spans="6:7" x14ac:dyDescent="0.35">
      <c r="F2469"/>
      <c r="G2469"/>
    </row>
    <row r="2470" spans="6:7" x14ac:dyDescent="0.35">
      <c r="F2470"/>
      <c r="G2470"/>
    </row>
    <row r="2471" spans="6:7" x14ac:dyDescent="0.35">
      <c r="F2471"/>
      <c r="G2471"/>
    </row>
    <row r="2472" spans="6:7" x14ac:dyDescent="0.35">
      <c r="F2472"/>
      <c r="G2472"/>
    </row>
    <row r="2473" spans="6:7" x14ac:dyDescent="0.35">
      <c r="F2473"/>
      <c r="G2473"/>
    </row>
    <row r="2474" spans="6:7" x14ac:dyDescent="0.35">
      <c r="F2474"/>
      <c r="G2474"/>
    </row>
    <row r="2475" spans="6:7" x14ac:dyDescent="0.35">
      <c r="F2475"/>
      <c r="G2475"/>
    </row>
    <row r="2476" spans="6:7" x14ac:dyDescent="0.35">
      <c r="F2476"/>
      <c r="G2476"/>
    </row>
    <row r="2477" spans="6:7" x14ac:dyDescent="0.35">
      <c r="F2477"/>
      <c r="G2477"/>
    </row>
    <row r="2478" spans="6:7" x14ac:dyDescent="0.35">
      <c r="F2478"/>
      <c r="G2478"/>
    </row>
    <row r="2479" spans="6:7" x14ac:dyDescent="0.35">
      <c r="F2479"/>
      <c r="G2479"/>
    </row>
    <row r="2480" spans="6:7" x14ac:dyDescent="0.35">
      <c r="F2480"/>
      <c r="G2480"/>
    </row>
    <row r="2481" spans="6:7" x14ac:dyDescent="0.35">
      <c r="F2481"/>
      <c r="G2481"/>
    </row>
    <row r="2482" spans="6:7" x14ac:dyDescent="0.35">
      <c r="F2482"/>
      <c r="G2482"/>
    </row>
    <row r="2483" spans="6:7" x14ac:dyDescent="0.35">
      <c r="F2483"/>
      <c r="G2483"/>
    </row>
    <row r="2484" spans="6:7" x14ac:dyDescent="0.35">
      <c r="F2484"/>
      <c r="G2484"/>
    </row>
    <row r="2485" spans="6:7" x14ac:dyDescent="0.35">
      <c r="F2485"/>
      <c r="G2485"/>
    </row>
    <row r="2486" spans="6:7" x14ac:dyDescent="0.35">
      <c r="F2486"/>
      <c r="G2486"/>
    </row>
    <row r="2487" spans="6:7" x14ac:dyDescent="0.35">
      <c r="F2487"/>
      <c r="G2487"/>
    </row>
    <row r="2488" spans="6:7" x14ac:dyDescent="0.35">
      <c r="F2488"/>
      <c r="G2488"/>
    </row>
    <row r="2489" spans="6:7" x14ac:dyDescent="0.35">
      <c r="F2489"/>
      <c r="G2489"/>
    </row>
    <row r="2490" spans="6:7" x14ac:dyDescent="0.35">
      <c r="F2490"/>
      <c r="G2490"/>
    </row>
    <row r="2491" spans="6:7" x14ac:dyDescent="0.35">
      <c r="F2491"/>
      <c r="G2491"/>
    </row>
    <row r="2492" spans="6:7" x14ac:dyDescent="0.35">
      <c r="F2492"/>
      <c r="G2492"/>
    </row>
    <row r="2493" spans="6:7" x14ac:dyDescent="0.35">
      <c r="F2493"/>
      <c r="G2493"/>
    </row>
    <row r="2494" spans="6:7" x14ac:dyDescent="0.35">
      <c r="F2494"/>
      <c r="G2494"/>
    </row>
    <row r="2495" spans="6:7" x14ac:dyDescent="0.35">
      <c r="F2495"/>
      <c r="G2495"/>
    </row>
    <row r="2496" spans="6:7" x14ac:dyDescent="0.35">
      <c r="F2496"/>
      <c r="G2496"/>
    </row>
    <row r="2497" spans="6:7" x14ac:dyDescent="0.35">
      <c r="F2497"/>
      <c r="G2497"/>
    </row>
    <row r="2498" spans="6:7" x14ac:dyDescent="0.35">
      <c r="F2498"/>
      <c r="G2498"/>
    </row>
    <row r="2499" spans="6:7" x14ac:dyDescent="0.35">
      <c r="F2499"/>
      <c r="G2499"/>
    </row>
    <row r="2500" spans="6:7" x14ac:dyDescent="0.35">
      <c r="F2500"/>
      <c r="G2500"/>
    </row>
    <row r="2501" spans="6:7" x14ac:dyDescent="0.35">
      <c r="F2501"/>
      <c r="G2501"/>
    </row>
    <row r="2502" spans="6:7" x14ac:dyDescent="0.35">
      <c r="F2502"/>
      <c r="G2502"/>
    </row>
    <row r="2503" spans="6:7" x14ac:dyDescent="0.35">
      <c r="F2503"/>
      <c r="G2503"/>
    </row>
    <row r="2504" spans="6:7" x14ac:dyDescent="0.35">
      <c r="F2504"/>
      <c r="G2504"/>
    </row>
    <row r="2505" spans="6:7" x14ac:dyDescent="0.35">
      <c r="F2505"/>
      <c r="G2505"/>
    </row>
    <row r="2506" spans="6:7" x14ac:dyDescent="0.35">
      <c r="F2506"/>
      <c r="G2506"/>
    </row>
    <row r="2507" spans="6:7" x14ac:dyDescent="0.35">
      <c r="F2507"/>
      <c r="G2507"/>
    </row>
    <row r="2508" spans="6:7" x14ac:dyDescent="0.35">
      <c r="F2508"/>
      <c r="G2508"/>
    </row>
    <row r="2509" spans="6:7" x14ac:dyDescent="0.35">
      <c r="F2509"/>
      <c r="G2509"/>
    </row>
    <row r="2510" spans="6:7" x14ac:dyDescent="0.35">
      <c r="F2510"/>
      <c r="G2510"/>
    </row>
    <row r="2511" spans="6:7" x14ac:dyDescent="0.35">
      <c r="F2511"/>
      <c r="G2511"/>
    </row>
    <row r="2512" spans="6:7" x14ac:dyDescent="0.35">
      <c r="F2512"/>
      <c r="G2512"/>
    </row>
    <row r="2513" spans="6:7" x14ac:dyDescent="0.35">
      <c r="F2513"/>
      <c r="G2513"/>
    </row>
    <row r="2514" spans="6:7" x14ac:dyDescent="0.35">
      <c r="F2514"/>
      <c r="G2514"/>
    </row>
    <row r="2515" spans="6:7" x14ac:dyDescent="0.35">
      <c r="F2515"/>
      <c r="G2515"/>
    </row>
    <row r="2516" spans="6:7" x14ac:dyDescent="0.35">
      <c r="F2516"/>
      <c r="G2516"/>
    </row>
    <row r="2517" spans="6:7" x14ac:dyDescent="0.35">
      <c r="F2517"/>
      <c r="G2517"/>
    </row>
    <row r="2518" spans="6:7" x14ac:dyDescent="0.35">
      <c r="F2518"/>
      <c r="G2518"/>
    </row>
    <row r="2519" spans="6:7" x14ac:dyDescent="0.35">
      <c r="F2519"/>
      <c r="G2519"/>
    </row>
    <row r="2520" spans="6:7" x14ac:dyDescent="0.35">
      <c r="F2520"/>
      <c r="G2520"/>
    </row>
    <row r="2521" spans="6:7" x14ac:dyDescent="0.35">
      <c r="F2521"/>
      <c r="G2521"/>
    </row>
    <row r="2522" spans="6:7" x14ac:dyDescent="0.35">
      <c r="F2522"/>
      <c r="G2522"/>
    </row>
    <row r="2523" spans="6:7" x14ac:dyDescent="0.35">
      <c r="F2523"/>
      <c r="G2523"/>
    </row>
    <row r="2524" spans="6:7" x14ac:dyDescent="0.35">
      <c r="F2524"/>
      <c r="G2524"/>
    </row>
    <row r="2525" spans="6:7" x14ac:dyDescent="0.35">
      <c r="F2525"/>
      <c r="G2525"/>
    </row>
    <row r="2526" spans="6:7" x14ac:dyDescent="0.35">
      <c r="F2526"/>
      <c r="G2526"/>
    </row>
    <row r="2527" spans="6:7" x14ac:dyDescent="0.35">
      <c r="F2527"/>
      <c r="G2527"/>
    </row>
    <row r="2528" spans="6:7" x14ac:dyDescent="0.35">
      <c r="F2528"/>
      <c r="G2528"/>
    </row>
    <row r="2529" spans="6:7" x14ac:dyDescent="0.35">
      <c r="F2529"/>
      <c r="G2529"/>
    </row>
    <row r="2530" spans="6:7" x14ac:dyDescent="0.35">
      <c r="F2530"/>
      <c r="G2530"/>
    </row>
    <row r="2531" spans="6:7" x14ac:dyDescent="0.35">
      <c r="F2531"/>
      <c r="G2531"/>
    </row>
    <row r="2532" spans="6:7" x14ac:dyDescent="0.35">
      <c r="F2532"/>
      <c r="G2532"/>
    </row>
    <row r="2533" spans="6:7" x14ac:dyDescent="0.35">
      <c r="F2533"/>
      <c r="G2533"/>
    </row>
    <row r="2534" spans="6:7" x14ac:dyDescent="0.35">
      <c r="F2534"/>
      <c r="G2534"/>
    </row>
    <row r="2535" spans="6:7" x14ac:dyDescent="0.35">
      <c r="F2535"/>
      <c r="G2535"/>
    </row>
    <row r="2536" spans="6:7" x14ac:dyDescent="0.35">
      <c r="F2536"/>
      <c r="G2536"/>
    </row>
    <row r="2537" spans="6:7" x14ac:dyDescent="0.35">
      <c r="F2537"/>
      <c r="G2537"/>
    </row>
    <row r="2538" spans="6:7" x14ac:dyDescent="0.35">
      <c r="F2538"/>
      <c r="G2538"/>
    </row>
    <row r="2539" spans="6:7" x14ac:dyDescent="0.35">
      <c r="F2539"/>
      <c r="G2539"/>
    </row>
    <row r="2540" spans="6:7" x14ac:dyDescent="0.35">
      <c r="F2540"/>
      <c r="G2540"/>
    </row>
    <row r="2541" spans="6:7" x14ac:dyDescent="0.35">
      <c r="F2541"/>
      <c r="G2541"/>
    </row>
    <row r="2542" spans="6:7" x14ac:dyDescent="0.35">
      <c r="F2542"/>
      <c r="G2542"/>
    </row>
    <row r="2543" spans="6:7" x14ac:dyDescent="0.35">
      <c r="F2543"/>
      <c r="G2543"/>
    </row>
    <row r="2544" spans="6:7" x14ac:dyDescent="0.35">
      <c r="F2544"/>
      <c r="G2544"/>
    </row>
    <row r="2545" spans="6:7" x14ac:dyDescent="0.35">
      <c r="F2545"/>
      <c r="G2545"/>
    </row>
    <row r="2546" spans="6:7" x14ac:dyDescent="0.35">
      <c r="F2546"/>
      <c r="G2546"/>
    </row>
    <row r="2547" spans="6:7" x14ac:dyDescent="0.35">
      <c r="F2547"/>
      <c r="G2547"/>
    </row>
    <row r="2548" spans="6:7" x14ac:dyDescent="0.35">
      <c r="F2548"/>
      <c r="G2548"/>
    </row>
    <row r="2549" spans="6:7" x14ac:dyDescent="0.35">
      <c r="F2549"/>
      <c r="G2549"/>
    </row>
    <row r="2550" spans="6:7" x14ac:dyDescent="0.35">
      <c r="F2550"/>
      <c r="G2550"/>
    </row>
    <row r="2551" spans="6:7" x14ac:dyDescent="0.35">
      <c r="F2551"/>
      <c r="G2551"/>
    </row>
    <row r="2552" spans="6:7" x14ac:dyDescent="0.35">
      <c r="F2552"/>
      <c r="G2552"/>
    </row>
    <row r="2553" spans="6:7" x14ac:dyDescent="0.35">
      <c r="F2553"/>
      <c r="G2553"/>
    </row>
    <row r="2554" spans="6:7" x14ac:dyDescent="0.35">
      <c r="F2554"/>
      <c r="G2554"/>
    </row>
    <row r="2555" spans="6:7" x14ac:dyDescent="0.35">
      <c r="F2555"/>
      <c r="G2555"/>
    </row>
    <row r="2556" spans="6:7" x14ac:dyDescent="0.35">
      <c r="F2556"/>
      <c r="G2556"/>
    </row>
    <row r="2557" spans="6:7" x14ac:dyDescent="0.35">
      <c r="F2557"/>
      <c r="G2557"/>
    </row>
    <row r="2558" spans="6:7" x14ac:dyDescent="0.35">
      <c r="F2558"/>
      <c r="G2558"/>
    </row>
    <row r="2559" spans="6:7" x14ac:dyDescent="0.35">
      <c r="F2559"/>
      <c r="G2559"/>
    </row>
    <row r="2560" spans="6:7" x14ac:dyDescent="0.35">
      <c r="F2560"/>
      <c r="G2560"/>
    </row>
    <row r="2561" spans="6:7" x14ac:dyDescent="0.35">
      <c r="F2561"/>
      <c r="G2561"/>
    </row>
    <row r="2562" spans="6:7" x14ac:dyDescent="0.35">
      <c r="F2562"/>
      <c r="G2562"/>
    </row>
    <row r="2563" spans="6:7" x14ac:dyDescent="0.35">
      <c r="F2563"/>
      <c r="G2563"/>
    </row>
    <row r="2564" spans="6:7" x14ac:dyDescent="0.35">
      <c r="F2564"/>
      <c r="G2564"/>
    </row>
    <row r="2565" spans="6:7" x14ac:dyDescent="0.35">
      <c r="F2565"/>
      <c r="G2565"/>
    </row>
    <row r="2566" spans="6:7" x14ac:dyDescent="0.35">
      <c r="F2566"/>
      <c r="G2566"/>
    </row>
    <row r="2567" spans="6:7" x14ac:dyDescent="0.35">
      <c r="F2567"/>
      <c r="G2567"/>
    </row>
    <row r="2568" spans="6:7" x14ac:dyDescent="0.35">
      <c r="F2568"/>
      <c r="G2568"/>
    </row>
    <row r="2569" spans="6:7" x14ac:dyDescent="0.35">
      <c r="F2569"/>
      <c r="G2569"/>
    </row>
    <row r="2570" spans="6:7" x14ac:dyDescent="0.35">
      <c r="F2570"/>
      <c r="G2570"/>
    </row>
    <row r="2571" spans="6:7" x14ac:dyDescent="0.35">
      <c r="F2571"/>
      <c r="G2571"/>
    </row>
    <row r="2572" spans="6:7" x14ac:dyDescent="0.35">
      <c r="F2572"/>
      <c r="G2572"/>
    </row>
    <row r="2573" spans="6:7" x14ac:dyDescent="0.35">
      <c r="F2573"/>
      <c r="G2573"/>
    </row>
    <row r="2574" spans="6:7" x14ac:dyDescent="0.35">
      <c r="F2574"/>
      <c r="G2574"/>
    </row>
    <row r="2575" spans="6:7" x14ac:dyDescent="0.35">
      <c r="F2575"/>
      <c r="G2575"/>
    </row>
    <row r="2576" spans="6:7" x14ac:dyDescent="0.35">
      <c r="F2576"/>
      <c r="G2576"/>
    </row>
    <row r="2577" spans="6:7" x14ac:dyDescent="0.35">
      <c r="F2577"/>
      <c r="G2577"/>
    </row>
    <row r="2578" spans="6:7" x14ac:dyDescent="0.35">
      <c r="F2578"/>
      <c r="G2578"/>
    </row>
    <row r="2579" spans="6:7" x14ac:dyDescent="0.35">
      <c r="F2579"/>
      <c r="G2579"/>
    </row>
    <row r="2580" spans="6:7" x14ac:dyDescent="0.35">
      <c r="F2580"/>
      <c r="G2580"/>
    </row>
    <row r="2581" spans="6:7" x14ac:dyDescent="0.35">
      <c r="F2581"/>
      <c r="G2581"/>
    </row>
    <row r="2582" spans="6:7" x14ac:dyDescent="0.35">
      <c r="F2582"/>
      <c r="G2582"/>
    </row>
    <row r="2583" spans="6:7" x14ac:dyDescent="0.35">
      <c r="F2583"/>
      <c r="G2583"/>
    </row>
    <row r="2584" spans="6:7" x14ac:dyDescent="0.35">
      <c r="F2584"/>
      <c r="G2584"/>
    </row>
    <row r="2585" spans="6:7" x14ac:dyDescent="0.35">
      <c r="F2585"/>
      <c r="G2585"/>
    </row>
    <row r="2586" spans="6:7" x14ac:dyDescent="0.35">
      <c r="F2586"/>
      <c r="G2586"/>
    </row>
    <row r="2587" spans="6:7" x14ac:dyDescent="0.35">
      <c r="F2587"/>
      <c r="G2587"/>
    </row>
    <row r="2588" spans="6:7" x14ac:dyDescent="0.35">
      <c r="F2588"/>
      <c r="G2588"/>
    </row>
    <row r="2589" spans="6:7" x14ac:dyDescent="0.35">
      <c r="F2589"/>
      <c r="G2589"/>
    </row>
    <row r="2590" spans="6:7" x14ac:dyDescent="0.35">
      <c r="F2590"/>
      <c r="G2590"/>
    </row>
    <row r="2591" spans="6:7" x14ac:dyDescent="0.35">
      <c r="F2591"/>
      <c r="G2591"/>
    </row>
    <row r="2592" spans="6:7" x14ac:dyDescent="0.35">
      <c r="F2592"/>
      <c r="G2592"/>
    </row>
    <row r="2593" spans="6:7" x14ac:dyDescent="0.35">
      <c r="F2593"/>
      <c r="G2593"/>
    </row>
    <row r="2594" spans="6:7" x14ac:dyDescent="0.35">
      <c r="F2594"/>
      <c r="G2594"/>
    </row>
    <row r="2595" spans="6:7" x14ac:dyDescent="0.35">
      <c r="F2595"/>
      <c r="G2595"/>
    </row>
    <row r="2596" spans="6:7" x14ac:dyDescent="0.35">
      <c r="F2596"/>
      <c r="G2596"/>
    </row>
    <row r="2597" spans="6:7" x14ac:dyDescent="0.35">
      <c r="F2597"/>
      <c r="G2597"/>
    </row>
    <row r="2598" spans="6:7" x14ac:dyDescent="0.35">
      <c r="F2598"/>
      <c r="G2598"/>
    </row>
    <row r="2599" spans="6:7" x14ac:dyDescent="0.35">
      <c r="F2599"/>
      <c r="G2599"/>
    </row>
    <row r="2600" spans="6:7" x14ac:dyDescent="0.35">
      <c r="F2600"/>
      <c r="G2600"/>
    </row>
    <row r="2601" spans="6:7" x14ac:dyDescent="0.35">
      <c r="F2601"/>
      <c r="G2601"/>
    </row>
    <row r="2602" spans="6:7" x14ac:dyDescent="0.35">
      <c r="F2602"/>
      <c r="G2602"/>
    </row>
    <row r="2603" spans="6:7" x14ac:dyDescent="0.35">
      <c r="F2603"/>
      <c r="G2603"/>
    </row>
    <row r="2604" spans="6:7" x14ac:dyDescent="0.35">
      <c r="F2604"/>
      <c r="G2604"/>
    </row>
    <row r="2605" spans="6:7" x14ac:dyDescent="0.35">
      <c r="F2605"/>
      <c r="G2605"/>
    </row>
    <row r="2606" spans="6:7" x14ac:dyDescent="0.35">
      <c r="F2606"/>
      <c r="G2606"/>
    </row>
    <row r="2607" spans="6:7" x14ac:dyDescent="0.35">
      <c r="F2607"/>
      <c r="G2607"/>
    </row>
    <row r="2608" spans="6:7" x14ac:dyDescent="0.35">
      <c r="F2608"/>
      <c r="G2608"/>
    </row>
    <row r="2609" spans="6:7" x14ac:dyDescent="0.35">
      <c r="F2609"/>
      <c r="G2609"/>
    </row>
    <row r="2610" spans="6:7" x14ac:dyDescent="0.35">
      <c r="F2610"/>
      <c r="G2610"/>
    </row>
    <row r="2611" spans="6:7" x14ac:dyDescent="0.35">
      <c r="F2611"/>
      <c r="G2611"/>
    </row>
    <row r="2612" spans="6:7" x14ac:dyDescent="0.35">
      <c r="F2612"/>
      <c r="G2612"/>
    </row>
    <row r="2613" spans="6:7" x14ac:dyDescent="0.35">
      <c r="F2613"/>
      <c r="G2613"/>
    </row>
    <row r="2614" spans="6:7" x14ac:dyDescent="0.35">
      <c r="F2614"/>
      <c r="G2614"/>
    </row>
    <row r="2615" spans="6:7" x14ac:dyDescent="0.35">
      <c r="F2615"/>
      <c r="G2615"/>
    </row>
    <row r="2616" spans="6:7" x14ac:dyDescent="0.35">
      <c r="F2616"/>
      <c r="G2616"/>
    </row>
    <row r="2617" spans="6:7" x14ac:dyDescent="0.35">
      <c r="F2617"/>
      <c r="G2617"/>
    </row>
    <row r="2618" spans="6:7" x14ac:dyDescent="0.35">
      <c r="F2618"/>
      <c r="G2618"/>
    </row>
    <row r="2619" spans="6:7" x14ac:dyDescent="0.35">
      <c r="F2619"/>
      <c r="G2619"/>
    </row>
    <row r="2620" spans="6:7" x14ac:dyDescent="0.35">
      <c r="F2620"/>
      <c r="G2620"/>
    </row>
    <row r="2621" spans="6:7" x14ac:dyDescent="0.35">
      <c r="F2621"/>
      <c r="G2621"/>
    </row>
    <row r="2622" spans="6:7" x14ac:dyDescent="0.35">
      <c r="F2622"/>
      <c r="G2622"/>
    </row>
    <row r="2623" spans="6:7" x14ac:dyDescent="0.35">
      <c r="F2623"/>
      <c r="G2623"/>
    </row>
    <row r="2624" spans="6:7" x14ac:dyDescent="0.35">
      <c r="F2624"/>
      <c r="G2624"/>
    </row>
    <row r="2625" spans="6:7" x14ac:dyDescent="0.35">
      <c r="F2625"/>
      <c r="G2625"/>
    </row>
    <row r="2626" spans="6:7" x14ac:dyDescent="0.35">
      <c r="F2626"/>
      <c r="G2626"/>
    </row>
    <row r="2627" spans="6:7" x14ac:dyDescent="0.35">
      <c r="F2627"/>
      <c r="G2627"/>
    </row>
    <row r="2628" spans="6:7" x14ac:dyDescent="0.35">
      <c r="F2628"/>
      <c r="G2628"/>
    </row>
    <row r="2629" spans="6:7" x14ac:dyDescent="0.35">
      <c r="F2629"/>
      <c r="G2629"/>
    </row>
    <row r="2630" spans="6:7" x14ac:dyDescent="0.35">
      <c r="F2630"/>
      <c r="G2630"/>
    </row>
    <row r="2631" spans="6:7" x14ac:dyDescent="0.35">
      <c r="F2631"/>
      <c r="G2631"/>
    </row>
    <row r="2632" spans="6:7" x14ac:dyDescent="0.35">
      <c r="F2632"/>
      <c r="G2632"/>
    </row>
    <row r="2633" spans="6:7" x14ac:dyDescent="0.35">
      <c r="F2633"/>
      <c r="G2633"/>
    </row>
    <row r="2634" spans="6:7" x14ac:dyDescent="0.35">
      <c r="F2634"/>
      <c r="G2634"/>
    </row>
    <row r="2635" spans="6:7" x14ac:dyDescent="0.35">
      <c r="F2635"/>
      <c r="G2635"/>
    </row>
    <row r="2636" spans="6:7" x14ac:dyDescent="0.35">
      <c r="F2636"/>
      <c r="G2636"/>
    </row>
    <row r="2637" spans="6:7" x14ac:dyDescent="0.35">
      <c r="F2637"/>
      <c r="G2637"/>
    </row>
    <row r="2638" spans="6:7" x14ac:dyDescent="0.35">
      <c r="F2638"/>
      <c r="G2638"/>
    </row>
    <row r="2639" spans="6:7" x14ac:dyDescent="0.35">
      <c r="F2639"/>
      <c r="G2639"/>
    </row>
    <row r="2640" spans="6:7" x14ac:dyDescent="0.35">
      <c r="F2640"/>
      <c r="G2640"/>
    </row>
    <row r="2641" spans="6:7" x14ac:dyDescent="0.35">
      <c r="F2641"/>
      <c r="G2641"/>
    </row>
    <row r="2642" spans="6:7" x14ac:dyDescent="0.35">
      <c r="F2642"/>
      <c r="G2642"/>
    </row>
    <row r="2643" spans="6:7" x14ac:dyDescent="0.35">
      <c r="F2643"/>
      <c r="G2643"/>
    </row>
    <row r="2644" spans="6:7" x14ac:dyDescent="0.35">
      <c r="F2644"/>
      <c r="G2644"/>
    </row>
    <row r="2645" spans="6:7" x14ac:dyDescent="0.35">
      <c r="F2645"/>
      <c r="G2645"/>
    </row>
    <row r="2646" spans="6:7" x14ac:dyDescent="0.35">
      <c r="F2646"/>
      <c r="G2646"/>
    </row>
    <row r="2647" spans="6:7" x14ac:dyDescent="0.35">
      <c r="F2647"/>
      <c r="G2647"/>
    </row>
    <row r="2648" spans="6:7" x14ac:dyDescent="0.35">
      <c r="F2648"/>
      <c r="G2648"/>
    </row>
    <row r="2649" spans="6:7" x14ac:dyDescent="0.35">
      <c r="F2649"/>
      <c r="G2649"/>
    </row>
    <row r="2650" spans="6:7" x14ac:dyDescent="0.35">
      <c r="F2650"/>
      <c r="G2650"/>
    </row>
    <row r="2651" spans="6:7" x14ac:dyDescent="0.35">
      <c r="F2651"/>
      <c r="G2651"/>
    </row>
    <row r="2652" spans="6:7" x14ac:dyDescent="0.35">
      <c r="F2652"/>
      <c r="G2652"/>
    </row>
    <row r="2653" spans="6:7" x14ac:dyDescent="0.35">
      <c r="F2653"/>
      <c r="G2653"/>
    </row>
    <row r="2654" spans="6:7" x14ac:dyDescent="0.35">
      <c r="F2654"/>
      <c r="G2654"/>
    </row>
    <row r="2655" spans="6:7" x14ac:dyDescent="0.35">
      <c r="F2655"/>
      <c r="G2655"/>
    </row>
    <row r="2656" spans="6:7" x14ac:dyDescent="0.35">
      <c r="F2656"/>
      <c r="G2656"/>
    </row>
    <row r="2657" spans="6:7" x14ac:dyDescent="0.35">
      <c r="F2657"/>
      <c r="G2657"/>
    </row>
    <row r="2658" spans="6:7" x14ac:dyDescent="0.35">
      <c r="F2658"/>
      <c r="G2658"/>
    </row>
    <row r="2659" spans="6:7" x14ac:dyDescent="0.35">
      <c r="F2659"/>
      <c r="G2659"/>
    </row>
    <row r="2660" spans="6:7" x14ac:dyDescent="0.35">
      <c r="F2660"/>
      <c r="G2660"/>
    </row>
    <row r="2661" spans="6:7" x14ac:dyDescent="0.35">
      <c r="F2661"/>
      <c r="G2661"/>
    </row>
    <row r="2662" spans="6:7" x14ac:dyDescent="0.35">
      <c r="F2662"/>
      <c r="G2662"/>
    </row>
    <row r="2663" spans="6:7" x14ac:dyDescent="0.35">
      <c r="F2663"/>
      <c r="G2663"/>
    </row>
    <row r="2664" spans="6:7" x14ac:dyDescent="0.35">
      <c r="F2664"/>
      <c r="G2664"/>
    </row>
    <row r="2665" spans="6:7" x14ac:dyDescent="0.35">
      <c r="F2665"/>
      <c r="G2665"/>
    </row>
    <row r="2666" spans="6:7" x14ac:dyDescent="0.35">
      <c r="F2666"/>
      <c r="G2666"/>
    </row>
    <row r="2667" spans="6:7" x14ac:dyDescent="0.35">
      <c r="F2667"/>
      <c r="G2667"/>
    </row>
    <row r="2668" spans="6:7" x14ac:dyDescent="0.35">
      <c r="F2668"/>
      <c r="G2668"/>
    </row>
    <row r="2669" spans="6:7" x14ac:dyDescent="0.35">
      <c r="F2669"/>
      <c r="G2669"/>
    </row>
    <row r="2670" spans="6:7" x14ac:dyDescent="0.35">
      <c r="F2670"/>
      <c r="G2670"/>
    </row>
    <row r="2671" spans="6:7" x14ac:dyDescent="0.35">
      <c r="F2671"/>
      <c r="G2671"/>
    </row>
    <row r="2672" spans="6:7" x14ac:dyDescent="0.35">
      <c r="F2672"/>
      <c r="G2672"/>
    </row>
    <row r="2673" spans="6:7" x14ac:dyDescent="0.35">
      <c r="F2673"/>
      <c r="G2673"/>
    </row>
    <row r="2674" spans="6:7" x14ac:dyDescent="0.35">
      <c r="F2674"/>
      <c r="G2674"/>
    </row>
    <row r="2675" spans="6:7" x14ac:dyDescent="0.35">
      <c r="F2675"/>
      <c r="G2675"/>
    </row>
    <row r="2676" spans="6:7" x14ac:dyDescent="0.35">
      <c r="F2676"/>
      <c r="G2676"/>
    </row>
    <row r="2677" spans="6:7" x14ac:dyDescent="0.35">
      <c r="F2677"/>
      <c r="G2677"/>
    </row>
    <row r="2678" spans="6:7" x14ac:dyDescent="0.35">
      <c r="F2678"/>
      <c r="G2678"/>
    </row>
    <row r="2679" spans="6:7" x14ac:dyDescent="0.35">
      <c r="F2679"/>
      <c r="G2679"/>
    </row>
    <row r="2680" spans="6:7" x14ac:dyDescent="0.35">
      <c r="F2680"/>
      <c r="G2680"/>
    </row>
    <row r="2681" spans="6:7" x14ac:dyDescent="0.35">
      <c r="F2681"/>
      <c r="G2681"/>
    </row>
    <row r="2682" spans="6:7" x14ac:dyDescent="0.35">
      <c r="F2682"/>
      <c r="G2682"/>
    </row>
    <row r="2683" spans="6:7" x14ac:dyDescent="0.35">
      <c r="F2683"/>
      <c r="G2683"/>
    </row>
    <row r="2684" spans="6:7" x14ac:dyDescent="0.35">
      <c r="F2684"/>
      <c r="G2684"/>
    </row>
    <row r="2685" spans="6:7" x14ac:dyDescent="0.35">
      <c r="F2685"/>
      <c r="G2685"/>
    </row>
    <row r="2686" spans="6:7" x14ac:dyDescent="0.35">
      <c r="F2686"/>
      <c r="G2686"/>
    </row>
    <row r="2687" spans="6:7" x14ac:dyDescent="0.35">
      <c r="F2687"/>
      <c r="G2687"/>
    </row>
    <row r="2688" spans="6:7" x14ac:dyDescent="0.35">
      <c r="F2688"/>
      <c r="G2688"/>
    </row>
    <row r="2689" spans="6:7" x14ac:dyDescent="0.35">
      <c r="F2689"/>
      <c r="G2689"/>
    </row>
    <row r="2690" spans="6:7" x14ac:dyDescent="0.35">
      <c r="F2690"/>
      <c r="G2690"/>
    </row>
    <row r="2691" spans="6:7" x14ac:dyDescent="0.35">
      <c r="F2691"/>
      <c r="G2691"/>
    </row>
    <row r="2692" spans="6:7" x14ac:dyDescent="0.35">
      <c r="F2692"/>
      <c r="G2692"/>
    </row>
    <row r="2693" spans="6:7" x14ac:dyDescent="0.35">
      <c r="F2693"/>
      <c r="G2693"/>
    </row>
    <row r="2694" spans="6:7" x14ac:dyDescent="0.35">
      <c r="F2694"/>
      <c r="G2694"/>
    </row>
    <row r="2695" spans="6:7" x14ac:dyDescent="0.35">
      <c r="F2695"/>
      <c r="G2695"/>
    </row>
    <row r="2696" spans="6:7" x14ac:dyDescent="0.35">
      <c r="F2696"/>
      <c r="G2696"/>
    </row>
    <row r="2697" spans="6:7" x14ac:dyDescent="0.35">
      <c r="F2697"/>
      <c r="G2697"/>
    </row>
    <row r="2698" spans="6:7" x14ac:dyDescent="0.35">
      <c r="F2698"/>
      <c r="G2698"/>
    </row>
    <row r="2699" spans="6:7" x14ac:dyDescent="0.35">
      <c r="F2699"/>
      <c r="G2699"/>
    </row>
    <row r="2700" spans="6:7" x14ac:dyDescent="0.35">
      <c r="F2700"/>
      <c r="G2700"/>
    </row>
    <row r="2701" spans="6:7" x14ac:dyDescent="0.35">
      <c r="F2701"/>
      <c r="G2701"/>
    </row>
    <row r="2702" spans="6:7" x14ac:dyDescent="0.35">
      <c r="F2702"/>
      <c r="G2702"/>
    </row>
    <row r="2703" spans="6:7" x14ac:dyDescent="0.35">
      <c r="F2703"/>
      <c r="G2703"/>
    </row>
    <row r="2704" spans="6:7" x14ac:dyDescent="0.35">
      <c r="F2704"/>
      <c r="G2704"/>
    </row>
    <row r="2705" spans="6:7" x14ac:dyDescent="0.35">
      <c r="F2705"/>
      <c r="G2705"/>
    </row>
    <row r="2706" spans="6:7" x14ac:dyDescent="0.35">
      <c r="F2706"/>
      <c r="G2706"/>
    </row>
    <row r="2707" spans="6:7" x14ac:dyDescent="0.35">
      <c r="F2707"/>
      <c r="G2707"/>
    </row>
    <row r="2708" spans="6:7" x14ac:dyDescent="0.35">
      <c r="F2708"/>
      <c r="G2708"/>
    </row>
    <row r="2709" spans="6:7" x14ac:dyDescent="0.35">
      <c r="F2709"/>
      <c r="G2709"/>
    </row>
    <row r="2710" spans="6:7" x14ac:dyDescent="0.35">
      <c r="F2710"/>
      <c r="G2710"/>
    </row>
    <row r="2711" spans="6:7" x14ac:dyDescent="0.35">
      <c r="F2711"/>
      <c r="G2711"/>
    </row>
    <row r="2712" spans="6:7" x14ac:dyDescent="0.35">
      <c r="F2712"/>
      <c r="G2712"/>
    </row>
    <row r="2713" spans="6:7" x14ac:dyDescent="0.35">
      <c r="F2713"/>
      <c r="G2713"/>
    </row>
    <row r="2714" spans="6:7" x14ac:dyDescent="0.35">
      <c r="F2714"/>
      <c r="G2714"/>
    </row>
    <row r="2715" spans="6:7" x14ac:dyDescent="0.35">
      <c r="F2715"/>
      <c r="G2715"/>
    </row>
    <row r="2716" spans="6:7" x14ac:dyDescent="0.35">
      <c r="F2716"/>
      <c r="G2716"/>
    </row>
    <row r="2717" spans="6:7" x14ac:dyDescent="0.35">
      <c r="F2717"/>
      <c r="G2717"/>
    </row>
    <row r="2718" spans="6:7" x14ac:dyDescent="0.35">
      <c r="F2718"/>
      <c r="G2718"/>
    </row>
    <row r="2719" spans="6:7" x14ac:dyDescent="0.35">
      <c r="F2719"/>
      <c r="G2719"/>
    </row>
    <row r="2720" spans="6:7" x14ac:dyDescent="0.35">
      <c r="F2720"/>
      <c r="G2720"/>
    </row>
    <row r="2721" spans="6:7" x14ac:dyDescent="0.35">
      <c r="F2721"/>
      <c r="G2721"/>
    </row>
    <row r="2722" spans="6:7" x14ac:dyDescent="0.35">
      <c r="F2722"/>
      <c r="G2722"/>
    </row>
    <row r="2723" spans="6:7" x14ac:dyDescent="0.35">
      <c r="F2723"/>
      <c r="G2723"/>
    </row>
    <row r="2724" spans="6:7" x14ac:dyDescent="0.35">
      <c r="F2724"/>
      <c r="G2724"/>
    </row>
    <row r="2725" spans="6:7" x14ac:dyDescent="0.35">
      <c r="F2725"/>
      <c r="G2725"/>
    </row>
    <row r="2726" spans="6:7" x14ac:dyDescent="0.35">
      <c r="F2726"/>
      <c r="G2726"/>
    </row>
    <row r="2727" spans="6:7" x14ac:dyDescent="0.35">
      <c r="F2727"/>
      <c r="G2727"/>
    </row>
    <row r="2728" spans="6:7" x14ac:dyDescent="0.35">
      <c r="F2728"/>
      <c r="G2728"/>
    </row>
    <row r="2729" spans="6:7" x14ac:dyDescent="0.35">
      <c r="F2729"/>
      <c r="G2729"/>
    </row>
    <row r="2730" spans="6:7" x14ac:dyDescent="0.35">
      <c r="F2730"/>
      <c r="G2730"/>
    </row>
    <row r="2731" spans="6:7" x14ac:dyDescent="0.35">
      <c r="F2731"/>
      <c r="G2731"/>
    </row>
    <row r="2732" spans="6:7" x14ac:dyDescent="0.35">
      <c r="F2732"/>
      <c r="G2732"/>
    </row>
    <row r="2733" spans="6:7" x14ac:dyDescent="0.35">
      <c r="F2733"/>
      <c r="G2733"/>
    </row>
    <row r="2734" spans="6:7" x14ac:dyDescent="0.35">
      <c r="F2734"/>
      <c r="G2734"/>
    </row>
    <row r="2735" spans="6:7" x14ac:dyDescent="0.35">
      <c r="F2735"/>
      <c r="G2735"/>
    </row>
    <row r="2736" spans="6:7" x14ac:dyDescent="0.35">
      <c r="F2736"/>
      <c r="G2736"/>
    </row>
    <row r="2737" spans="6:7" x14ac:dyDescent="0.35">
      <c r="F2737"/>
      <c r="G2737"/>
    </row>
    <row r="2738" spans="6:7" x14ac:dyDescent="0.35">
      <c r="F2738"/>
      <c r="G2738"/>
    </row>
    <row r="2739" spans="6:7" x14ac:dyDescent="0.35">
      <c r="F2739"/>
      <c r="G2739"/>
    </row>
    <row r="2740" spans="6:7" x14ac:dyDescent="0.35">
      <c r="F2740"/>
      <c r="G2740"/>
    </row>
    <row r="2741" spans="6:7" x14ac:dyDescent="0.35">
      <c r="F2741"/>
      <c r="G2741"/>
    </row>
    <row r="2742" spans="6:7" x14ac:dyDescent="0.35">
      <c r="F2742"/>
      <c r="G2742"/>
    </row>
    <row r="2743" spans="6:7" x14ac:dyDescent="0.35">
      <c r="F2743"/>
      <c r="G2743"/>
    </row>
    <row r="2744" spans="6:7" x14ac:dyDescent="0.35">
      <c r="F2744"/>
      <c r="G2744"/>
    </row>
    <row r="2745" spans="6:7" x14ac:dyDescent="0.35">
      <c r="F2745"/>
      <c r="G2745"/>
    </row>
    <row r="2746" spans="6:7" x14ac:dyDescent="0.35">
      <c r="F2746"/>
      <c r="G2746"/>
    </row>
    <row r="2747" spans="6:7" x14ac:dyDescent="0.35">
      <c r="F2747"/>
      <c r="G2747"/>
    </row>
    <row r="2748" spans="6:7" x14ac:dyDescent="0.35">
      <c r="F2748"/>
      <c r="G2748"/>
    </row>
    <row r="2749" spans="6:7" x14ac:dyDescent="0.35">
      <c r="F2749"/>
      <c r="G2749"/>
    </row>
    <row r="2750" spans="6:7" x14ac:dyDescent="0.35">
      <c r="F2750"/>
      <c r="G2750"/>
    </row>
    <row r="2751" spans="6:7" x14ac:dyDescent="0.35">
      <c r="F2751"/>
      <c r="G2751"/>
    </row>
    <row r="2752" spans="6:7" x14ac:dyDescent="0.35">
      <c r="F2752"/>
      <c r="G2752"/>
    </row>
    <row r="2753" spans="6:7" x14ac:dyDescent="0.35">
      <c r="F2753"/>
      <c r="G2753"/>
    </row>
    <row r="2754" spans="6:7" x14ac:dyDescent="0.35">
      <c r="F2754"/>
      <c r="G2754"/>
    </row>
    <row r="2755" spans="6:7" x14ac:dyDescent="0.35">
      <c r="F2755"/>
      <c r="G2755"/>
    </row>
    <row r="2756" spans="6:7" x14ac:dyDescent="0.35">
      <c r="F2756"/>
      <c r="G2756"/>
    </row>
    <row r="2757" spans="6:7" x14ac:dyDescent="0.35">
      <c r="F2757"/>
      <c r="G2757"/>
    </row>
    <row r="2758" spans="6:7" x14ac:dyDescent="0.35">
      <c r="F2758"/>
      <c r="G2758"/>
    </row>
    <row r="2759" spans="6:7" x14ac:dyDescent="0.35">
      <c r="F2759"/>
      <c r="G2759"/>
    </row>
    <row r="2760" spans="6:7" x14ac:dyDescent="0.35">
      <c r="F2760"/>
      <c r="G2760"/>
    </row>
    <row r="2761" spans="6:7" x14ac:dyDescent="0.35">
      <c r="F2761"/>
      <c r="G2761"/>
    </row>
    <row r="2762" spans="6:7" x14ac:dyDescent="0.35">
      <c r="F2762"/>
      <c r="G2762"/>
    </row>
    <row r="2763" spans="6:7" x14ac:dyDescent="0.35">
      <c r="F2763"/>
      <c r="G2763"/>
    </row>
    <row r="2764" spans="6:7" x14ac:dyDescent="0.35">
      <c r="F2764"/>
      <c r="G2764"/>
    </row>
    <row r="2765" spans="6:7" x14ac:dyDescent="0.35">
      <c r="F2765"/>
      <c r="G2765"/>
    </row>
    <row r="2766" spans="6:7" x14ac:dyDescent="0.35">
      <c r="F2766"/>
      <c r="G2766"/>
    </row>
    <row r="2767" spans="6:7" x14ac:dyDescent="0.35">
      <c r="F2767"/>
      <c r="G2767"/>
    </row>
    <row r="2768" spans="6:7" x14ac:dyDescent="0.35">
      <c r="F2768"/>
      <c r="G2768"/>
    </row>
    <row r="2769" spans="6:7" x14ac:dyDescent="0.35">
      <c r="F2769"/>
      <c r="G2769"/>
    </row>
    <row r="2770" spans="6:7" x14ac:dyDescent="0.35">
      <c r="F2770"/>
      <c r="G2770"/>
    </row>
    <row r="2771" spans="6:7" x14ac:dyDescent="0.35">
      <c r="F2771"/>
      <c r="G2771"/>
    </row>
    <row r="2772" spans="6:7" x14ac:dyDescent="0.35">
      <c r="F2772"/>
      <c r="G2772"/>
    </row>
    <row r="2773" spans="6:7" x14ac:dyDescent="0.35">
      <c r="F2773"/>
      <c r="G2773"/>
    </row>
    <row r="2774" spans="6:7" x14ac:dyDescent="0.35">
      <c r="F2774"/>
      <c r="G2774"/>
    </row>
    <row r="2775" spans="6:7" x14ac:dyDescent="0.35">
      <c r="F2775"/>
      <c r="G2775"/>
    </row>
    <row r="2776" spans="6:7" x14ac:dyDescent="0.35">
      <c r="F2776"/>
      <c r="G2776"/>
    </row>
    <row r="2777" spans="6:7" x14ac:dyDescent="0.35">
      <c r="F2777"/>
      <c r="G2777"/>
    </row>
    <row r="2778" spans="6:7" x14ac:dyDescent="0.35">
      <c r="F2778"/>
      <c r="G2778"/>
    </row>
    <row r="2779" spans="6:7" x14ac:dyDescent="0.35">
      <c r="F2779"/>
      <c r="G2779"/>
    </row>
    <row r="2780" spans="6:7" x14ac:dyDescent="0.35">
      <c r="F2780"/>
      <c r="G2780"/>
    </row>
    <row r="2781" spans="6:7" x14ac:dyDescent="0.35">
      <c r="F2781"/>
      <c r="G2781"/>
    </row>
    <row r="2782" spans="6:7" x14ac:dyDescent="0.35">
      <c r="F2782"/>
      <c r="G2782"/>
    </row>
    <row r="2783" spans="6:7" x14ac:dyDescent="0.35">
      <c r="F2783"/>
      <c r="G2783"/>
    </row>
    <row r="2784" spans="6:7" x14ac:dyDescent="0.35">
      <c r="F2784"/>
      <c r="G2784"/>
    </row>
    <row r="2785" spans="6:7" x14ac:dyDescent="0.35">
      <c r="F2785"/>
      <c r="G2785"/>
    </row>
    <row r="2786" spans="6:7" x14ac:dyDescent="0.35">
      <c r="F2786"/>
      <c r="G2786"/>
    </row>
    <row r="2787" spans="6:7" x14ac:dyDescent="0.35">
      <c r="F2787"/>
      <c r="G2787"/>
    </row>
    <row r="2788" spans="6:7" x14ac:dyDescent="0.35">
      <c r="F2788"/>
      <c r="G2788"/>
    </row>
    <row r="2789" spans="6:7" x14ac:dyDescent="0.35">
      <c r="F2789"/>
      <c r="G2789"/>
    </row>
    <row r="2790" spans="6:7" x14ac:dyDescent="0.35">
      <c r="F2790"/>
      <c r="G2790"/>
    </row>
    <row r="2791" spans="6:7" x14ac:dyDescent="0.35">
      <c r="F2791"/>
      <c r="G2791"/>
    </row>
    <row r="2792" spans="6:7" x14ac:dyDescent="0.35">
      <c r="F2792"/>
      <c r="G2792"/>
    </row>
    <row r="2793" spans="6:7" x14ac:dyDescent="0.35">
      <c r="F2793"/>
      <c r="G2793"/>
    </row>
    <row r="2794" spans="6:7" x14ac:dyDescent="0.35">
      <c r="F2794"/>
      <c r="G2794"/>
    </row>
    <row r="2795" spans="6:7" x14ac:dyDescent="0.35">
      <c r="F2795"/>
      <c r="G2795"/>
    </row>
    <row r="2796" spans="6:7" x14ac:dyDescent="0.35">
      <c r="F2796"/>
      <c r="G2796"/>
    </row>
    <row r="2797" spans="6:7" x14ac:dyDescent="0.35">
      <c r="F2797"/>
      <c r="G2797"/>
    </row>
    <row r="2798" spans="6:7" x14ac:dyDescent="0.35">
      <c r="F2798"/>
      <c r="G2798"/>
    </row>
    <row r="2799" spans="6:7" x14ac:dyDescent="0.35">
      <c r="F2799"/>
      <c r="G2799"/>
    </row>
    <row r="2800" spans="6:7" x14ac:dyDescent="0.35">
      <c r="F2800"/>
      <c r="G2800"/>
    </row>
    <row r="2801" spans="6:7" x14ac:dyDescent="0.35">
      <c r="F2801"/>
      <c r="G2801"/>
    </row>
    <row r="2802" spans="6:7" x14ac:dyDescent="0.35">
      <c r="F2802"/>
      <c r="G2802"/>
    </row>
    <row r="2803" spans="6:7" x14ac:dyDescent="0.35">
      <c r="F2803"/>
      <c r="G2803"/>
    </row>
    <row r="2804" spans="6:7" x14ac:dyDescent="0.35">
      <c r="F2804"/>
      <c r="G2804"/>
    </row>
    <row r="2805" spans="6:7" x14ac:dyDescent="0.35">
      <c r="F2805"/>
      <c r="G2805"/>
    </row>
    <row r="2806" spans="6:7" x14ac:dyDescent="0.35">
      <c r="F2806"/>
      <c r="G2806"/>
    </row>
    <row r="2807" spans="6:7" x14ac:dyDescent="0.35">
      <c r="F2807"/>
      <c r="G2807"/>
    </row>
    <row r="2808" spans="6:7" x14ac:dyDescent="0.35">
      <c r="F2808"/>
      <c r="G2808"/>
    </row>
    <row r="2809" spans="6:7" x14ac:dyDescent="0.35">
      <c r="F2809"/>
      <c r="G2809"/>
    </row>
    <row r="2810" spans="6:7" x14ac:dyDescent="0.35">
      <c r="F2810"/>
      <c r="G2810"/>
    </row>
    <row r="2811" spans="6:7" x14ac:dyDescent="0.35">
      <c r="F2811"/>
      <c r="G2811"/>
    </row>
    <row r="2812" spans="6:7" x14ac:dyDescent="0.35">
      <c r="F2812"/>
      <c r="G2812"/>
    </row>
    <row r="2813" spans="6:7" x14ac:dyDescent="0.35">
      <c r="F2813"/>
      <c r="G2813"/>
    </row>
    <row r="2814" spans="6:7" x14ac:dyDescent="0.35">
      <c r="F2814"/>
      <c r="G2814"/>
    </row>
    <row r="2815" spans="6:7" x14ac:dyDescent="0.35">
      <c r="F2815"/>
      <c r="G2815"/>
    </row>
    <row r="2816" spans="6:7" x14ac:dyDescent="0.35">
      <c r="F2816"/>
      <c r="G2816"/>
    </row>
    <row r="2817" spans="6:7" x14ac:dyDescent="0.35">
      <c r="F2817"/>
      <c r="G2817"/>
    </row>
    <row r="2818" spans="6:7" x14ac:dyDescent="0.35">
      <c r="F2818"/>
      <c r="G2818"/>
    </row>
    <row r="2819" spans="6:7" x14ac:dyDescent="0.35">
      <c r="F2819"/>
      <c r="G2819"/>
    </row>
    <row r="2820" spans="6:7" x14ac:dyDescent="0.35">
      <c r="F2820"/>
      <c r="G2820"/>
    </row>
    <row r="2821" spans="6:7" x14ac:dyDescent="0.35">
      <c r="F2821"/>
      <c r="G2821"/>
    </row>
    <row r="2822" spans="6:7" x14ac:dyDescent="0.35">
      <c r="F2822"/>
      <c r="G2822"/>
    </row>
    <row r="2823" spans="6:7" x14ac:dyDescent="0.35">
      <c r="F2823"/>
      <c r="G2823"/>
    </row>
    <row r="2824" spans="6:7" x14ac:dyDescent="0.35">
      <c r="F2824"/>
      <c r="G2824"/>
    </row>
    <row r="2825" spans="6:7" x14ac:dyDescent="0.35">
      <c r="F2825"/>
      <c r="G2825"/>
    </row>
    <row r="2826" spans="6:7" x14ac:dyDescent="0.35">
      <c r="F2826"/>
      <c r="G2826"/>
    </row>
    <row r="2827" spans="6:7" x14ac:dyDescent="0.35">
      <c r="F2827"/>
      <c r="G2827"/>
    </row>
    <row r="2828" spans="6:7" x14ac:dyDescent="0.35">
      <c r="F2828"/>
      <c r="G2828"/>
    </row>
    <row r="2829" spans="6:7" x14ac:dyDescent="0.35">
      <c r="F2829"/>
      <c r="G2829"/>
    </row>
    <row r="2830" spans="6:7" x14ac:dyDescent="0.35">
      <c r="F2830"/>
      <c r="G2830"/>
    </row>
    <row r="2831" spans="6:7" x14ac:dyDescent="0.35">
      <c r="F2831"/>
      <c r="G2831"/>
    </row>
    <row r="2832" spans="6:7" x14ac:dyDescent="0.35">
      <c r="F2832"/>
      <c r="G2832"/>
    </row>
    <row r="2833" spans="6:7" x14ac:dyDescent="0.35">
      <c r="F2833"/>
      <c r="G2833"/>
    </row>
    <row r="2834" spans="6:7" x14ac:dyDescent="0.35">
      <c r="F2834"/>
      <c r="G2834"/>
    </row>
    <row r="2835" spans="6:7" x14ac:dyDescent="0.35">
      <c r="F2835"/>
      <c r="G2835"/>
    </row>
    <row r="2836" spans="6:7" x14ac:dyDescent="0.35">
      <c r="F2836"/>
      <c r="G2836"/>
    </row>
    <row r="2837" spans="6:7" x14ac:dyDescent="0.35">
      <c r="F2837"/>
      <c r="G2837"/>
    </row>
    <row r="2838" spans="6:7" x14ac:dyDescent="0.35">
      <c r="F2838"/>
      <c r="G2838"/>
    </row>
    <row r="2839" spans="6:7" x14ac:dyDescent="0.35">
      <c r="F2839"/>
      <c r="G2839"/>
    </row>
    <row r="2840" spans="6:7" x14ac:dyDescent="0.35">
      <c r="F2840"/>
      <c r="G2840"/>
    </row>
    <row r="2841" spans="6:7" x14ac:dyDescent="0.35">
      <c r="F2841"/>
      <c r="G2841"/>
    </row>
    <row r="2842" spans="6:7" x14ac:dyDescent="0.35">
      <c r="F2842"/>
      <c r="G2842"/>
    </row>
    <row r="2843" spans="6:7" x14ac:dyDescent="0.35">
      <c r="F2843"/>
      <c r="G2843"/>
    </row>
    <row r="2844" spans="6:7" x14ac:dyDescent="0.35">
      <c r="F2844"/>
      <c r="G2844"/>
    </row>
    <row r="2845" spans="6:7" x14ac:dyDescent="0.35">
      <c r="F2845"/>
      <c r="G2845"/>
    </row>
    <row r="2846" spans="6:7" x14ac:dyDescent="0.35">
      <c r="F2846"/>
      <c r="G2846"/>
    </row>
    <row r="2847" spans="6:7" x14ac:dyDescent="0.35">
      <c r="F2847"/>
      <c r="G2847"/>
    </row>
    <row r="2848" spans="6:7" x14ac:dyDescent="0.35">
      <c r="F2848"/>
      <c r="G2848"/>
    </row>
    <row r="2849" spans="6:7" x14ac:dyDescent="0.35">
      <c r="F2849"/>
      <c r="G2849"/>
    </row>
    <row r="2850" spans="6:7" x14ac:dyDescent="0.35">
      <c r="F2850"/>
      <c r="G2850"/>
    </row>
    <row r="2851" spans="6:7" x14ac:dyDescent="0.35">
      <c r="F2851"/>
      <c r="G2851"/>
    </row>
    <row r="2852" spans="6:7" x14ac:dyDescent="0.35">
      <c r="F2852"/>
      <c r="G2852"/>
    </row>
    <row r="2853" spans="6:7" x14ac:dyDescent="0.35">
      <c r="F2853"/>
      <c r="G2853"/>
    </row>
    <row r="2854" spans="6:7" x14ac:dyDescent="0.35">
      <c r="F2854"/>
      <c r="G2854"/>
    </row>
    <row r="2855" spans="6:7" x14ac:dyDescent="0.35">
      <c r="F2855"/>
      <c r="G2855"/>
    </row>
    <row r="2856" spans="6:7" x14ac:dyDescent="0.35">
      <c r="F2856"/>
      <c r="G2856"/>
    </row>
    <row r="2857" spans="6:7" x14ac:dyDescent="0.35">
      <c r="F2857"/>
      <c r="G2857"/>
    </row>
    <row r="2858" spans="6:7" x14ac:dyDescent="0.35">
      <c r="F2858"/>
      <c r="G2858"/>
    </row>
    <row r="2859" spans="6:7" x14ac:dyDescent="0.35">
      <c r="F2859"/>
      <c r="G2859"/>
    </row>
    <row r="2860" spans="6:7" x14ac:dyDescent="0.35">
      <c r="F2860"/>
      <c r="G2860"/>
    </row>
    <row r="2861" spans="6:7" x14ac:dyDescent="0.35">
      <c r="F2861"/>
      <c r="G2861"/>
    </row>
    <row r="2862" spans="6:7" x14ac:dyDescent="0.35">
      <c r="F2862"/>
      <c r="G2862"/>
    </row>
    <row r="2863" spans="6:7" x14ac:dyDescent="0.35">
      <c r="F2863"/>
      <c r="G2863"/>
    </row>
    <row r="2864" spans="6:7" x14ac:dyDescent="0.35">
      <c r="F2864"/>
      <c r="G2864"/>
    </row>
    <row r="2865" spans="6:7" x14ac:dyDescent="0.35">
      <c r="F2865"/>
      <c r="G2865"/>
    </row>
    <row r="2866" spans="6:7" x14ac:dyDescent="0.35">
      <c r="F2866"/>
      <c r="G2866"/>
    </row>
    <row r="2867" spans="6:7" x14ac:dyDescent="0.35">
      <c r="F2867"/>
      <c r="G2867"/>
    </row>
    <row r="2868" spans="6:7" x14ac:dyDescent="0.35">
      <c r="F2868"/>
      <c r="G2868"/>
    </row>
    <row r="2869" spans="6:7" x14ac:dyDescent="0.35">
      <c r="F2869"/>
      <c r="G2869"/>
    </row>
    <row r="2870" spans="6:7" x14ac:dyDescent="0.35">
      <c r="F2870"/>
      <c r="G2870"/>
    </row>
    <row r="2871" spans="6:7" x14ac:dyDescent="0.35">
      <c r="F2871"/>
      <c r="G2871"/>
    </row>
    <row r="2872" spans="6:7" x14ac:dyDescent="0.35">
      <c r="F2872"/>
      <c r="G2872"/>
    </row>
    <row r="2873" spans="6:7" x14ac:dyDescent="0.35">
      <c r="F2873"/>
      <c r="G2873"/>
    </row>
    <row r="2874" spans="6:7" x14ac:dyDescent="0.35">
      <c r="F2874"/>
      <c r="G2874"/>
    </row>
    <row r="2875" spans="6:7" x14ac:dyDescent="0.35">
      <c r="F2875"/>
      <c r="G2875"/>
    </row>
    <row r="2876" spans="6:7" x14ac:dyDescent="0.35">
      <c r="F2876"/>
      <c r="G2876"/>
    </row>
    <row r="2877" spans="6:7" x14ac:dyDescent="0.35">
      <c r="F2877"/>
      <c r="G2877"/>
    </row>
    <row r="2878" spans="6:7" x14ac:dyDescent="0.35">
      <c r="F2878"/>
      <c r="G2878"/>
    </row>
    <row r="2879" spans="6:7" x14ac:dyDescent="0.35">
      <c r="F2879"/>
      <c r="G2879"/>
    </row>
    <row r="2880" spans="6:7" x14ac:dyDescent="0.35">
      <c r="F2880"/>
      <c r="G2880"/>
    </row>
    <row r="2881" spans="6:7" x14ac:dyDescent="0.35">
      <c r="F2881"/>
      <c r="G2881"/>
    </row>
    <row r="2882" spans="6:7" x14ac:dyDescent="0.35">
      <c r="F2882"/>
      <c r="G2882"/>
    </row>
    <row r="2883" spans="6:7" x14ac:dyDescent="0.35">
      <c r="F2883"/>
      <c r="G2883"/>
    </row>
    <row r="2884" spans="6:7" x14ac:dyDescent="0.35">
      <c r="F2884"/>
      <c r="G2884"/>
    </row>
    <row r="2885" spans="6:7" x14ac:dyDescent="0.35">
      <c r="F2885"/>
      <c r="G2885"/>
    </row>
    <row r="2886" spans="6:7" x14ac:dyDescent="0.35">
      <c r="F2886"/>
      <c r="G2886"/>
    </row>
    <row r="2887" spans="6:7" x14ac:dyDescent="0.35">
      <c r="F2887"/>
      <c r="G2887"/>
    </row>
    <row r="2888" spans="6:7" x14ac:dyDescent="0.35">
      <c r="F2888"/>
      <c r="G2888"/>
    </row>
    <row r="2889" spans="6:7" x14ac:dyDescent="0.35">
      <c r="F2889"/>
      <c r="G2889"/>
    </row>
    <row r="2890" spans="6:7" x14ac:dyDescent="0.35">
      <c r="F2890"/>
      <c r="G2890"/>
    </row>
    <row r="2891" spans="6:7" x14ac:dyDescent="0.35">
      <c r="F2891"/>
      <c r="G2891"/>
    </row>
    <row r="2892" spans="6:7" x14ac:dyDescent="0.35">
      <c r="F2892"/>
      <c r="G2892"/>
    </row>
    <row r="2893" spans="6:7" x14ac:dyDescent="0.35">
      <c r="F2893"/>
      <c r="G2893"/>
    </row>
    <row r="2894" spans="6:7" x14ac:dyDescent="0.35">
      <c r="F2894"/>
      <c r="G2894"/>
    </row>
    <row r="2895" spans="6:7" x14ac:dyDescent="0.35">
      <c r="F2895"/>
      <c r="G2895"/>
    </row>
    <row r="2896" spans="6:7" x14ac:dyDescent="0.35">
      <c r="F2896"/>
      <c r="G2896"/>
    </row>
    <row r="2897" spans="6:7" x14ac:dyDescent="0.35">
      <c r="F2897"/>
      <c r="G2897"/>
    </row>
    <row r="2898" spans="6:7" x14ac:dyDescent="0.35">
      <c r="F2898"/>
      <c r="G2898"/>
    </row>
    <row r="2899" spans="6:7" x14ac:dyDescent="0.35">
      <c r="F2899"/>
      <c r="G2899"/>
    </row>
    <row r="2900" spans="6:7" x14ac:dyDescent="0.35">
      <c r="F2900"/>
      <c r="G2900"/>
    </row>
    <row r="2901" spans="6:7" x14ac:dyDescent="0.35">
      <c r="F2901"/>
      <c r="G2901"/>
    </row>
    <row r="2902" spans="6:7" x14ac:dyDescent="0.35">
      <c r="F2902"/>
      <c r="G2902"/>
    </row>
    <row r="2903" spans="6:7" x14ac:dyDescent="0.35">
      <c r="F2903"/>
      <c r="G2903"/>
    </row>
    <row r="2904" spans="6:7" x14ac:dyDescent="0.35">
      <c r="F2904"/>
      <c r="G2904"/>
    </row>
    <row r="2905" spans="6:7" x14ac:dyDescent="0.35">
      <c r="F2905"/>
      <c r="G2905"/>
    </row>
    <row r="2906" spans="6:7" x14ac:dyDescent="0.35">
      <c r="F2906"/>
      <c r="G2906"/>
    </row>
    <row r="2907" spans="6:7" x14ac:dyDescent="0.35">
      <c r="F2907"/>
      <c r="G2907"/>
    </row>
    <row r="2908" spans="6:7" x14ac:dyDescent="0.35">
      <c r="F2908"/>
      <c r="G2908"/>
    </row>
    <row r="2909" spans="6:7" x14ac:dyDescent="0.35">
      <c r="F2909"/>
      <c r="G2909"/>
    </row>
    <row r="2910" spans="6:7" x14ac:dyDescent="0.35">
      <c r="F2910"/>
      <c r="G2910"/>
    </row>
    <row r="2911" spans="6:7" x14ac:dyDescent="0.35">
      <c r="F2911"/>
      <c r="G2911"/>
    </row>
    <row r="2912" spans="6:7" x14ac:dyDescent="0.35">
      <c r="F2912"/>
      <c r="G2912"/>
    </row>
    <row r="2913" spans="6:7" x14ac:dyDescent="0.35">
      <c r="F2913"/>
      <c r="G2913"/>
    </row>
    <row r="2914" spans="6:7" x14ac:dyDescent="0.35">
      <c r="F2914"/>
      <c r="G2914"/>
    </row>
    <row r="2915" spans="6:7" x14ac:dyDescent="0.35">
      <c r="F2915"/>
      <c r="G2915"/>
    </row>
    <row r="2916" spans="6:7" x14ac:dyDescent="0.35">
      <c r="F2916"/>
      <c r="G2916"/>
    </row>
    <row r="2917" spans="6:7" x14ac:dyDescent="0.35">
      <c r="F2917"/>
      <c r="G2917"/>
    </row>
    <row r="2918" spans="6:7" x14ac:dyDescent="0.35">
      <c r="F2918"/>
      <c r="G2918"/>
    </row>
    <row r="2919" spans="6:7" x14ac:dyDescent="0.35">
      <c r="F2919"/>
      <c r="G2919"/>
    </row>
    <row r="2920" spans="6:7" x14ac:dyDescent="0.35">
      <c r="F2920"/>
      <c r="G2920"/>
    </row>
    <row r="2921" spans="6:7" x14ac:dyDescent="0.35">
      <c r="F2921"/>
      <c r="G2921"/>
    </row>
    <row r="2922" spans="6:7" x14ac:dyDescent="0.35">
      <c r="F2922"/>
      <c r="G2922"/>
    </row>
    <row r="2923" spans="6:7" x14ac:dyDescent="0.35">
      <c r="F2923"/>
      <c r="G2923"/>
    </row>
    <row r="2924" spans="6:7" x14ac:dyDescent="0.35">
      <c r="F2924"/>
      <c r="G2924"/>
    </row>
    <row r="2925" spans="6:7" x14ac:dyDescent="0.35">
      <c r="F2925"/>
      <c r="G2925"/>
    </row>
    <row r="2926" spans="6:7" x14ac:dyDescent="0.35">
      <c r="F2926"/>
      <c r="G2926"/>
    </row>
    <row r="2927" spans="6:7" x14ac:dyDescent="0.35">
      <c r="F2927"/>
      <c r="G2927"/>
    </row>
    <row r="2928" spans="6:7" x14ac:dyDescent="0.35">
      <c r="F2928"/>
      <c r="G2928"/>
    </row>
    <row r="2929" spans="6:7" x14ac:dyDescent="0.35">
      <c r="F2929"/>
      <c r="G2929"/>
    </row>
    <row r="2930" spans="6:7" x14ac:dyDescent="0.35">
      <c r="F2930"/>
      <c r="G2930"/>
    </row>
    <row r="2931" spans="6:7" x14ac:dyDescent="0.35">
      <c r="F2931"/>
      <c r="G2931"/>
    </row>
    <row r="2932" spans="6:7" x14ac:dyDescent="0.35">
      <c r="F2932"/>
      <c r="G2932"/>
    </row>
    <row r="2933" spans="6:7" x14ac:dyDescent="0.35">
      <c r="F2933"/>
      <c r="G2933"/>
    </row>
    <row r="2934" spans="6:7" x14ac:dyDescent="0.35">
      <c r="F2934"/>
      <c r="G2934"/>
    </row>
    <row r="2935" spans="6:7" x14ac:dyDescent="0.35">
      <c r="F2935"/>
      <c r="G2935"/>
    </row>
    <row r="2936" spans="6:7" x14ac:dyDescent="0.35">
      <c r="F2936"/>
      <c r="G2936"/>
    </row>
    <row r="2937" spans="6:7" x14ac:dyDescent="0.35">
      <c r="F2937"/>
      <c r="G2937"/>
    </row>
    <row r="2938" spans="6:7" x14ac:dyDescent="0.35">
      <c r="F2938"/>
      <c r="G2938"/>
    </row>
    <row r="2939" spans="6:7" x14ac:dyDescent="0.35">
      <c r="F2939"/>
      <c r="G2939"/>
    </row>
    <row r="2940" spans="6:7" x14ac:dyDescent="0.35">
      <c r="F2940"/>
      <c r="G2940"/>
    </row>
    <row r="2941" spans="6:7" x14ac:dyDescent="0.35">
      <c r="F2941"/>
      <c r="G2941"/>
    </row>
    <row r="2942" spans="6:7" x14ac:dyDescent="0.35">
      <c r="F2942"/>
      <c r="G2942"/>
    </row>
    <row r="2943" spans="6:7" x14ac:dyDescent="0.35">
      <c r="F2943"/>
      <c r="G2943"/>
    </row>
    <row r="2944" spans="6:7" x14ac:dyDescent="0.35">
      <c r="F2944"/>
      <c r="G2944"/>
    </row>
    <row r="2945" spans="6:7" x14ac:dyDescent="0.35">
      <c r="F2945"/>
      <c r="G2945"/>
    </row>
    <row r="2946" spans="6:7" x14ac:dyDescent="0.35">
      <c r="F2946"/>
      <c r="G2946"/>
    </row>
    <row r="2947" spans="6:7" x14ac:dyDescent="0.35">
      <c r="F2947"/>
      <c r="G2947"/>
    </row>
    <row r="2948" spans="6:7" x14ac:dyDescent="0.35">
      <c r="F2948"/>
      <c r="G2948"/>
    </row>
    <row r="2949" spans="6:7" x14ac:dyDescent="0.35">
      <c r="F2949"/>
      <c r="G2949"/>
    </row>
    <row r="2950" spans="6:7" x14ac:dyDescent="0.35">
      <c r="F2950"/>
      <c r="G2950"/>
    </row>
    <row r="2951" spans="6:7" x14ac:dyDescent="0.35">
      <c r="F2951"/>
      <c r="G2951"/>
    </row>
    <row r="2952" spans="6:7" x14ac:dyDescent="0.35">
      <c r="F2952"/>
      <c r="G2952"/>
    </row>
    <row r="2953" spans="6:7" x14ac:dyDescent="0.35">
      <c r="F2953"/>
      <c r="G2953"/>
    </row>
    <row r="2954" spans="6:7" x14ac:dyDescent="0.35">
      <c r="F2954"/>
      <c r="G2954"/>
    </row>
    <row r="2955" spans="6:7" x14ac:dyDescent="0.35">
      <c r="F2955"/>
      <c r="G2955"/>
    </row>
    <row r="2956" spans="6:7" x14ac:dyDescent="0.35">
      <c r="F2956"/>
      <c r="G2956"/>
    </row>
    <row r="2957" spans="6:7" x14ac:dyDescent="0.35">
      <c r="F2957"/>
      <c r="G2957"/>
    </row>
    <row r="2958" spans="6:7" x14ac:dyDescent="0.35">
      <c r="F2958"/>
      <c r="G2958"/>
    </row>
    <row r="2959" spans="6:7" x14ac:dyDescent="0.35">
      <c r="F2959"/>
      <c r="G2959"/>
    </row>
    <row r="2960" spans="6:7" x14ac:dyDescent="0.35">
      <c r="F2960"/>
      <c r="G2960"/>
    </row>
    <row r="2961" spans="6:7" x14ac:dyDescent="0.35">
      <c r="F2961"/>
      <c r="G2961"/>
    </row>
    <row r="2962" spans="6:7" x14ac:dyDescent="0.35">
      <c r="F2962"/>
      <c r="G2962"/>
    </row>
    <row r="2963" spans="6:7" x14ac:dyDescent="0.35">
      <c r="F2963"/>
      <c r="G2963"/>
    </row>
    <row r="2964" spans="6:7" x14ac:dyDescent="0.35">
      <c r="F2964"/>
      <c r="G2964"/>
    </row>
    <row r="2965" spans="6:7" x14ac:dyDescent="0.35">
      <c r="F2965"/>
      <c r="G2965"/>
    </row>
    <row r="2966" spans="6:7" x14ac:dyDescent="0.35">
      <c r="F2966"/>
      <c r="G2966"/>
    </row>
    <row r="2967" spans="6:7" x14ac:dyDescent="0.35">
      <c r="F2967"/>
      <c r="G2967"/>
    </row>
    <row r="2968" spans="6:7" x14ac:dyDescent="0.35">
      <c r="F2968"/>
      <c r="G2968"/>
    </row>
    <row r="2969" spans="6:7" x14ac:dyDescent="0.35">
      <c r="F2969"/>
      <c r="G2969"/>
    </row>
    <row r="2970" spans="6:7" x14ac:dyDescent="0.35">
      <c r="F2970"/>
      <c r="G2970"/>
    </row>
    <row r="2971" spans="6:7" x14ac:dyDescent="0.35">
      <c r="F2971"/>
      <c r="G2971"/>
    </row>
    <row r="2972" spans="6:7" x14ac:dyDescent="0.35">
      <c r="F2972"/>
      <c r="G2972"/>
    </row>
    <row r="2973" spans="6:7" x14ac:dyDescent="0.35">
      <c r="F2973"/>
      <c r="G2973"/>
    </row>
    <row r="2974" spans="6:7" x14ac:dyDescent="0.35">
      <c r="F2974"/>
      <c r="G2974"/>
    </row>
    <row r="2975" spans="6:7" x14ac:dyDescent="0.35">
      <c r="F2975"/>
      <c r="G2975"/>
    </row>
    <row r="2976" spans="6:7" x14ac:dyDescent="0.35">
      <c r="F2976"/>
      <c r="G2976"/>
    </row>
    <row r="2977" spans="6:7" x14ac:dyDescent="0.35">
      <c r="F2977"/>
      <c r="G2977"/>
    </row>
    <row r="2978" spans="6:7" x14ac:dyDescent="0.35">
      <c r="F2978"/>
      <c r="G2978"/>
    </row>
    <row r="2979" spans="6:7" x14ac:dyDescent="0.35">
      <c r="F2979"/>
      <c r="G2979"/>
    </row>
    <row r="2980" spans="6:7" x14ac:dyDescent="0.35">
      <c r="F2980"/>
      <c r="G2980"/>
    </row>
    <row r="2981" spans="6:7" x14ac:dyDescent="0.35">
      <c r="F2981"/>
      <c r="G2981"/>
    </row>
    <row r="2982" spans="6:7" x14ac:dyDescent="0.35">
      <c r="F2982"/>
      <c r="G2982"/>
    </row>
    <row r="2983" spans="6:7" x14ac:dyDescent="0.35">
      <c r="F2983"/>
      <c r="G2983"/>
    </row>
    <row r="2984" spans="6:7" x14ac:dyDescent="0.35">
      <c r="F2984"/>
      <c r="G2984"/>
    </row>
    <row r="2985" spans="6:7" x14ac:dyDescent="0.35">
      <c r="F2985"/>
      <c r="G2985"/>
    </row>
    <row r="2986" spans="6:7" x14ac:dyDescent="0.35">
      <c r="F2986"/>
      <c r="G2986"/>
    </row>
    <row r="2987" spans="6:7" x14ac:dyDescent="0.35">
      <c r="F2987"/>
      <c r="G2987"/>
    </row>
    <row r="2988" spans="6:7" x14ac:dyDescent="0.35">
      <c r="F2988"/>
      <c r="G2988"/>
    </row>
    <row r="2989" spans="6:7" x14ac:dyDescent="0.35">
      <c r="F2989"/>
      <c r="G2989"/>
    </row>
    <row r="2990" spans="6:7" x14ac:dyDescent="0.35">
      <c r="F2990"/>
      <c r="G2990"/>
    </row>
    <row r="2991" spans="6:7" x14ac:dyDescent="0.35">
      <c r="F2991"/>
      <c r="G2991"/>
    </row>
    <row r="2992" spans="6:7" x14ac:dyDescent="0.35">
      <c r="F2992"/>
      <c r="G2992"/>
    </row>
    <row r="2993" spans="6:7" x14ac:dyDescent="0.35">
      <c r="F2993"/>
      <c r="G2993"/>
    </row>
    <row r="2994" spans="6:7" x14ac:dyDescent="0.35">
      <c r="F2994"/>
      <c r="G2994"/>
    </row>
    <row r="2995" spans="6:7" x14ac:dyDescent="0.35">
      <c r="F2995"/>
      <c r="G2995"/>
    </row>
    <row r="2996" spans="6:7" x14ac:dyDescent="0.35">
      <c r="F2996"/>
      <c r="G2996"/>
    </row>
    <row r="2997" spans="6:7" x14ac:dyDescent="0.35">
      <c r="F2997"/>
      <c r="G2997"/>
    </row>
    <row r="2998" spans="6:7" x14ac:dyDescent="0.35">
      <c r="F2998"/>
      <c r="G2998"/>
    </row>
    <row r="2999" spans="6:7" x14ac:dyDescent="0.35">
      <c r="F2999"/>
      <c r="G2999"/>
    </row>
    <row r="3000" spans="6:7" x14ac:dyDescent="0.35">
      <c r="F3000"/>
      <c r="G3000"/>
    </row>
    <row r="3001" spans="6:7" x14ac:dyDescent="0.35">
      <c r="F3001"/>
      <c r="G3001"/>
    </row>
    <row r="3002" spans="6:7" x14ac:dyDescent="0.35">
      <c r="F3002"/>
      <c r="G3002"/>
    </row>
    <row r="3003" spans="6:7" x14ac:dyDescent="0.35">
      <c r="F3003"/>
      <c r="G3003"/>
    </row>
    <row r="3004" spans="6:7" x14ac:dyDescent="0.35">
      <c r="F3004"/>
      <c r="G3004"/>
    </row>
    <row r="3005" spans="6:7" x14ac:dyDescent="0.35">
      <c r="F3005"/>
      <c r="G3005"/>
    </row>
    <row r="3006" spans="6:7" x14ac:dyDescent="0.35">
      <c r="F3006"/>
      <c r="G3006"/>
    </row>
    <row r="3007" spans="6:7" x14ac:dyDescent="0.35">
      <c r="F3007"/>
      <c r="G3007"/>
    </row>
    <row r="3008" spans="6:7" x14ac:dyDescent="0.35">
      <c r="F3008"/>
      <c r="G3008"/>
    </row>
    <row r="3009" spans="6:7" x14ac:dyDescent="0.35">
      <c r="F3009"/>
      <c r="G3009"/>
    </row>
    <row r="3010" spans="6:7" x14ac:dyDescent="0.35">
      <c r="F3010"/>
      <c r="G3010"/>
    </row>
    <row r="3011" spans="6:7" x14ac:dyDescent="0.35">
      <c r="F3011"/>
      <c r="G3011"/>
    </row>
    <row r="3012" spans="6:7" x14ac:dyDescent="0.35">
      <c r="F3012"/>
      <c r="G3012"/>
    </row>
    <row r="3013" spans="6:7" x14ac:dyDescent="0.35">
      <c r="F3013"/>
      <c r="G3013"/>
    </row>
    <row r="3014" spans="6:7" x14ac:dyDescent="0.35">
      <c r="F3014"/>
      <c r="G3014"/>
    </row>
    <row r="3015" spans="6:7" x14ac:dyDescent="0.35">
      <c r="F3015"/>
      <c r="G3015"/>
    </row>
    <row r="3016" spans="6:7" x14ac:dyDescent="0.35">
      <c r="F3016"/>
      <c r="G3016"/>
    </row>
    <row r="3017" spans="6:7" x14ac:dyDescent="0.35">
      <c r="F3017"/>
      <c r="G3017"/>
    </row>
    <row r="3018" spans="6:7" x14ac:dyDescent="0.35">
      <c r="F3018"/>
      <c r="G3018"/>
    </row>
    <row r="3019" spans="6:7" x14ac:dyDescent="0.35">
      <c r="F3019"/>
      <c r="G3019"/>
    </row>
    <row r="3020" spans="6:7" x14ac:dyDescent="0.35">
      <c r="F3020"/>
      <c r="G3020"/>
    </row>
    <row r="3021" spans="6:7" x14ac:dyDescent="0.35">
      <c r="F3021"/>
      <c r="G3021"/>
    </row>
    <row r="3022" spans="6:7" x14ac:dyDescent="0.35">
      <c r="F3022"/>
      <c r="G3022"/>
    </row>
    <row r="3023" spans="6:7" x14ac:dyDescent="0.35">
      <c r="F3023"/>
      <c r="G3023"/>
    </row>
    <row r="3024" spans="6:7" x14ac:dyDescent="0.35">
      <c r="F3024"/>
      <c r="G3024"/>
    </row>
    <row r="3025" spans="6:7" x14ac:dyDescent="0.35">
      <c r="F3025"/>
      <c r="G3025"/>
    </row>
    <row r="3026" spans="6:7" x14ac:dyDescent="0.35">
      <c r="F3026"/>
      <c r="G3026"/>
    </row>
    <row r="3027" spans="6:7" x14ac:dyDescent="0.35">
      <c r="F3027"/>
      <c r="G3027"/>
    </row>
    <row r="3028" spans="6:7" x14ac:dyDescent="0.35">
      <c r="F3028"/>
      <c r="G3028"/>
    </row>
    <row r="3029" spans="6:7" x14ac:dyDescent="0.35">
      <c r="F3029"/>
      <c r="G3029"/>
    </row>
    <row r="3030" spans="6:7" x14ac:dyDescent="0.35">
      <c r="F3030"/>
      <c r="G3030"/>
    </row>
    <row r="3031" spans="6:7" x14ac:dyDescent="0.35">
      <c r="F3031"/>
      <c r="G3031"/>
    </row>
    <row r="3032" spans="6:7" x14ac:dyDescent="0.35">
      <c r="F3032"/>
      <c r="G3032"/>
    </row>
    <row r="3033" spans="6:7" x14ac:dyDescent="0.35">
      <c r="F3033"/>
      <c r="G3033"/>
    </row>
    <row r="3034" spans="6:7" x14ac:dyDescent="0.35">
      <c r="F3034"/>
      <c r="G3034"/>
    </row>
    <row r="3035" spans="6:7" x14ac:dyDescent="0.35">
      <c r="F3035"/>
      <c r="G3035"/>
    </row>
    <row r="3036" spans="6:7" x14ac:dyDescent="0.35">
      <c r="F3036"/>
      <c r="G3036"/>
    </row>
    <row r="3037" spans="6:7" x14ac:dyDescent="0.35">
      <c r="F3037"/>
      <c r="G3037"/>
    </row>
    <row r="3038" spans="6:7" x14ac:dyDescent="0.35">
      <c r="F3038"/>
      <c r="G3038"/>
    </row>
    <row r="3039" spans="6:7" x14ac:dyDescent="0.35">
      <c r="F3039"/>
      <c r="G3039"/>
    </row>
    <row r="3040" spans="6:7" x14ac:dyDescent="0.35">
      <c r="F3040"/>
      <c r="G3040"/>
    </row>
    <row r="3041" spans="6:7" x14ac:dyDescent="0.35">
      <c r="F3041"/>
      <c r="G3041"/>
    </row>
    <row r="3042" spans="6:7" x14ac:dyDescent="0.35">
      <c r="F3042"/>
      <c r="G3042"/>
    </row>
    <row r="3043" spans="6:7" x14ac:dyDescent="0.35">
      <c r="F3043"/>
      <c r="G3043"/>
    </row>
    <row r="3044" spans="6:7" x14ac:dyDescent="0.35">
      <c r="F3044"/>
      <c r="G3044"/>
    </row>
    <row r="3045" spans="6:7" x14ac:dyDescent="0.35">
      <c r="F3045"/>
      <c r="G3045"/>
    </row>
    <row r="3046" spans="6:7" x14ac:dyDescent="0.35">
      <c r="F3046"/>
      <c r="G3046"/>
    </row>
    <row r="3047" spans="6:7" x14ac:dyDescent="0.35">
      <c r="F3047"/>
      <c r="G3047"/>
    </row>
    <row r="3048" spans="6:7" x14ac:dyDescent="0.35">
      <c r="F3048"/>
      <c r="G3048"/>
    </row>
    <row r="3049" spans="6:7" x14ac:dyDescent="0.35">
      <c r="F3049"/>
      <c r="G3049"/>
    </row>
    <row r="3050" spans="6:7" x14ac:dyDescent="0.35">
      <c r="F3050"/>
      <c r="G3050"/>
    </row>
    <row r="3051" spans="6:7" x14ac:dyDescent="0.35">
      <c r="F3051"/>
      <c r="G3051"/>
    </row>
    <row r="3052" spans="6:7" x14ac:dyDescent="0.35">
      <c r="F3052"/>
      <c r="G3052"/>
    </row>
    <row r="3053" spans="6:7" x14ac:dyDescent="0.35">
      <c r="F3053"/>
      <c r="G3053"/>
    </row>
    <row r="3054" spans="6:7" x14ac:dyDescent="0.35">
      <c r="F3054"/>
      <c r="G3054"/>
    </row>
    <row r="3055" spans="6:7" x14ac:dyDescent="0.35">
      <c r="F3055"/>
      <c r="G3055"/>
    </row>
    <row r="3056" spans="6:7" x14ac:dyDescent="0.35">
      <c r="F3056"/>
      <c r="G3056"/>
    </row>
    <row r="3057" spans="6:7" x14ac:dyDescent="0.35">
      <c r="F3057"/>
      <c r="G3057"/>
    </row>
    <row r="3058" spans="6:7" x14ac:dyDescent="0.35">
      <c r="F3058"/>
      <c r="G3058"/>
    </row>
    <row r="3059" spans="6:7" x14ac:dyDescent="0.35">
      <c r="F3059"/>
      <c r="G3059"/>
    </row>
    <row r="3060" spans="6:7" x14ac:dyDescent="0.35">
      <c r="F3060"/>
      <c r="G3060"/>
    </row>
    <row r="3061" spans="6:7" x14ac:dyDescent="0.35">
      <c r="F3061"/>
      <c r="G3061"/>
    </row>
    <row r="3062" spans="6:7" x14ac:dyDescent="0.35">
      <c r="F3062"/>
      <c r="G3062"/>
    </row>
    <row r="3063" spans="6:7" x14ac:dyDescent="0.35">
      <c r="F3063"/>
      <c r="G3063"/>
    </row>
    <row r="3064" spans="6:7" x14ac:dyDescent="0.35">
      <c r="F3064"/>
      <c r="G3064"/>
    </row>
    <row r="3065" spans="6:7" x14ac:dyDescent="0.35">
      <c r="F3065"/>
      <c r="G3065"/>
    </row>
    <row r="3066" spans="6:7" x14ac:dyDescent="0.35">
      <c r="F3066"/>
      <c r="G3066"/>
    </row>
    <row r="3067" spans="6:7" x14ac:dyDescent="0.35">
      <c r="F3067"/>
      <c r="G3067"/>
    </row>
    <row r="3068" spans="6:7" x14ac:dyDescent="0.35">
      <c r="F3068"/>
      <c r="G3068"/>
    </row>
    <row r="3069" spans="6:7" x14ac:dyDescent="0.35">
      <c r="F3069"/>
      <c r="G3069"/>
    </row>
    <row r="3070" spans="6:7" x14ac:dyDescent="0.35">
      <c r="F3070"/>
      <c r="G3070"/>
    </row>
    <row r="3071" spans="6:7" x14ac:dyDescent="0.35">
      <c r="F3071"/>
      <c r="G3071"/>
    </row>
    <row r="3072" spans="6:7" x14ac:dyDescent="0.35">
      <c r="F3072"/>
      <c r="G3072"/>
    </row>
    <row r="3073" spans="6:7" x14ac:dyDescent="0.35">
      <c r="F3073"/>
      <c r="G3073"/>
    </row>
    <row r="3074" spans="6:7" x14ac:dyDescent="0.35">
      <c r="F3074"/>
      <c r="G3074"/>
    </row>
    <row r="3075" spans="6:7" x14ac:dyDescent="0.35">
      <c r="F3075"/>
      <c r="G3075"/>
    </row>
    <row r="3076" spans="6:7" x14ac:dyDescent="0.35">
      <c r="F3076"/>
      <c r="G3076"/>
    </row>
    <row r="3077" spans="6:7" x14ac:dyDescent="0.35">
      <c r="F3077"/>
      <c r="G3077"/>
    </row>
    <row r="3078" spans="6:7" x14ac:dyDescent="0.35">
      <c r="F3078"/>
      <c r="G3078"/>
    </row>
    <row r="3079" spans="6:7" x14ac:dyDescent="0.35">
      <c r="F3079"/>
      <c r="G3079"/>
    </row>
    <row r="3080" spans="6:7" x14ac:dyDescent="0.35">
      <c r="F3080"/>
      <c r="G3080"/>
    </row>
    <row r="3081" spans="6:7" x14ac:dyDescent="0.35">
      <c r="F3081"/>
      <c r="G3081"/>
    </row>
    <row r="3082" spans="6:7" x14ac:dyDescent="0.35">
      <c r="F3082"/>
      <c r="G3082"/>
    </row>
    <row r="3083" spans="6:7" x14ac:dyDescent="0.35">
      <c r="F3083"/>
      <c r="G3083"/>
    </row>
    <row r="3084" spans="6:7" x14ac:dyDescent="0.35">
      <c r="F3084"/>
      <c r="G3084"/>
    </row>
    <row r="3085" spans="6:7" x14ac:dyDescent="0.35">
      <c r="F3085"/>
      <c r="G3085"/>
    </row>
    <row r="3086" spans="6:7" x14ac:dyDescent="0.35">
      <c r="F3086"/>
      <c r="G3086"/>
    </row>
    <row r="3087" spans="6:7" x14ac:dyDescent="0.35">
      <c r="F3087"/>
      <c r="G3087"/>
    </row>
    <row r="3088" spans="6:7" x14ac:dyDescent="0.35">
      <c r="F3088"/>
      <c r="G3088"/>
    </row>
    <row r="3089" spans="6:7" x14ac:dyDescent="0.35">
      <c r="F3089"/>
      <c r="G3089"/>
    </row>
    <row r="3090" spans="6:7" x14ac:dyDescent="0.35">
      <c r="F3090"/>
      <c r="G3090"/>
    </row>
    <row r="3091" spans="6:7" x14ac:dyDescent="0.35">
      <c r="F3091"/>
      <c r="G3091"/>
    </row>
    <row r="3092" spans="6:7" x14ac:dyDescent="0.35">
      <c r="F3092"/>
      <c r="G3092"/>
    </row>
    <row r="3093" spans="6:7" x14ac:dyDescent="0.35">
      <c r="F3093"/>
      <c r="G3093"/>
    </row>
    <row r="3094" spans="6:7" x14ac:dyDescent="0.35">
      <c r="F3094"/>
      <c r="G3094"/>
    </row>
    <row r="3095" spans="6:7" x14ac:dyDescent="0.35">
      <c r="F3095"/>
      <c r="G3095"/>
    </row>
    <row r="3096" spans="6:7" x14ac:dyDescent="0.35">
      <c r="F3096"/>
      <c r="G3096"/>
    </row>
    <row r="3097" spans="6:7" x14ac:dyDescent="0.35">
      <c r="F3097"/>
      <c r="G3097"/>
    </row>
    <row r="3098" spans="6:7" x14ac:dyDescent="0.35">
      <c r="F3098"/>
      <c r="G3098"/>
    </row>
    <row r="3099" spans="6:7" x14ac:dyDescent="0.35">
      <c r="F3099"/>
      <c r="G3099"/>
    </row>
    <row r="3100" spans="6:7" x14ac:dyDescent="0.35">
      <c r="F3100"/>
      <c r="G3100"/>
    </row>
    <row r="3101" spans="6:7" x14ac:dyDescent="0.35">
      <c r="F3101"/>
      <c r="G3101"/>
    </row>
    <row r="3102" spans="6:7" x14ac:dyDescent="0.35">
      <c r="F3102"/>
      <c r="G3102"/>
    </row>
    <row r="3103" spans="6:7" x14ac:dyDescent="0.35">
      <c r="F3103"/>
      <c r="G3103"/>
    </row>
    <row r="3104" spans="6:7" x14ac:dyDescent="0.35">
      <c r="F3104"/>
      <c r="G3104"/>
    </row>
    <row r="3105" spans="6:7" x14ac:dyDescent="0.35">
      <c r="F3105"/>
      <c r="G3105"/>
    </row>
    <row r="3106" spans="6:7" x14ac:dyDescent="0.35">
      <c r="F3106"/>
      <c r="G3106"/>
    </row>
    <row r="3107" spans="6:7" x14ac:dyDescent="0.35">
      <c r="F3107"/>
      <c r="G3107"/>
    </row>
    <row r="3108" spans="6:7" x14ac:dyDescent="0.35">
      <c r="F3108"/>
      <c r="G3108"/>
    </row>
    <row r="3109" spans="6:7" x14ac:dyDescent="0.35">
      <c r="F3109"/>
      <c r="G3109"/>
    </row>
    <row r="3110" spans="6:7" x14ac:dyDescent="0.35">
      <c r="F3110"/>
      <c r="G3110"/>
    </row>
    <row r="3111" spans="6:7" x14ac:dyDescent="0.35">
      <c r="F3111"/>
      <c r="G3111"/>
    </row>
    <row r="3112" spans="6:7" x14ac:dyDescent="0.35">
      <c r="F3112"/>
      <c r="G3112"/>
    </row>
    <row r="3113" spans="6:7" x14ac:dyDescent="0.35">
      <c r="F3113"/>
      <c r="G3113"/>
    </row>
    <row r="3114" spans="6:7" x14ac:dyDescent="0.35">
      <c r="F3114"/>
      <c r="G3114"/>
    </row>
    <row r="3115" spans="6:7" x14ac:dyDescent="0.35">
      <c r="F3115"/>
      <c r="G3115"/>
    </row>
    <row r="3116" spans="6:7" x14ac:dyDescent="0.35">
      <c r="F3116"/>
      <c r="G3116"/>
    </row>
    <row r="3117" spans="6:7" x14ac:dyDescent="0.35">
      <c r="F3117"/>
      <c r="G3117"/>
    </row>
    <row r="3118" spans="6:7" x14ac:dyDescent="0.35">
      <c r="F3118"/>
      <c r="G3118"/>
    </row>
    <row r="3119" spans="6:7" x14ac:dyDescent="0.35">
      <c r="F3119"/>
      <c r="G3119"/>
    </row>
    <row r="3120" spans="6:7" x14ac:dyDescent="0.35">
      <c r="F3120"/>
      <c r="G3120"/>
    </row>
    <row r="3121" spans="6:7" x14ac:dyDescent="0.35">
      <c r="F3121"/>
      <c r="G3121"/>
    </row>
    <row r="3122" spans="6:7" x14ac:dyDescent="0.35">
      <c r="F3122"/>
      <c r="G3122"/>
    </row>
    <row r="3123" spans="6:7" x14ac:dyDescent="0.35">
      <c r="F3123"/>
      <c r="G3123"/>
    </row>
    <row r="3124" spans="6:7" x14ac:dyDescent="0.35">
      <c r="F3124"/>
      <c r="G3124"/>
    </row>
    <row r="3125" spans="6:7" x14ac:dyDescent="0.35">
      <c r="F3125"/>
      <c r="G3125"/>
    </row>
    <row r="3126" spans="6:7" x14ac:dyDescent="0.35">
      <c r="F3126"/>
      <c r="G3126"/>
    </row>
    <row r="3127" spans="6:7" x14ac:dyDescent="0.35">
      <c r="F3127"/>
      <c r="G3127"/>
    </row>
    <row r="3128" spans="6:7" x14ac:dyDescent="0.35">
      <c r="F3128"/>
      <c r="G3128"/>
    </row>
    <row r="3129" spans="6:7" x14ac:dyDescent="0.35">
      <c r="F3129"/>
      <c r="G3129"/>
    </row>
    <row r="3130" spans="6:7" x14ac:dyDescent="0.35">
      <c r="F3130"/>
      <c r="G3130"/>
    </row>
    <row r="3131" spans="6:7" x14ac:dyDescent="0.35">
      <c r="F3131"/>
      <c r="G3131"/>
    </row>
    <row r="3132" spans="6:7" x14ac:dyDescent="0.35">
      <c r="F3132"/>
      <c r="G3132"/>
    </row>
    <row r="3133" spans="6:7" x14ac:dyDescent="0.35">
      <c r="F3133"/>
      <c r="G3133"/>
    </row>
    <row r="3134" spans="6:7" x14ac:dyDescent="0.35">
      <c r="F3134"/>
      <c r="G3134"/>
    </row>
    <row r="3135" spans="6:7" x14ac:dyDescent="0.35">
      <c r="F3135"/>
      <c r="G3135"/>
    </row>
    <row r="3136" spans="6:7" x14ac:dyDescent="0.35">
      <c r="F3136"/>
      <c r="G3136"/>
    </row>
    <row r="3137" spans="6:7" x14ac:dyDescent="0.35">
      <c r="F3137"/>
      <c r="G3137"/>
    </row>
    <row r="3138" spans="6:7" x14ac:dyDescent="0.35">
      <c r="F3138"/>
      <c r="G3138"/>
    </row>
    <row r="3139" spans="6:7" x14ac:dyDescent="0.35">
      <c r="F3139"/>
      <c r="G3139"/>
    </row>
    <row r="3140" spans="6:7" x14ac:dyDescent="0.35">
      <c r="F3140"/>
      <c r="G3140"/>
    </row>
    <row r="3141" spans="6:7" x14ac:dyDescent="0.35">
      <c r="F3141"/>
      <c r="G3141"/>
    </row>
    <row r="3142" spans="6:7" x14ac:dyDescent="0.35">
      <c r="F3142"/>
      <c r="G3142"/>
    </row>
    <row r="3143" spans="6:7" x14ac:dyDescent="0.35">
      <c r="F3143"/>
      <c r="G3143"/>
    </row>
    <row r="3144" spans="6:7" x14ac:dyDescent="0.35">
      <c r="F3144"/>
      <c r="G3144"/>
    </row>
    <row r="3145" spans="6:7" x14ac:dyDescent="0.35">
      <c r="F3145"/>
      <c r="G3145"/>
    </row>
    <row r="3146" spans="6:7" x14ac:dyDescent="0.35">
      <c r="F3146"/>
      <c r="G3146"/>
    </row>
    <row r="3147" spans="6:7" x14ac:dyDescent="0.35">
      <c r="F3147"/>
      <c r="G3147"/>
    </row>
    <row r="3148" spans="6:7" x14ac:dyDescent="0.35">
      <c r="F3148"/>
      <c r="G3148"/>
    </row>
    <row r="3149" spans="6:7" x14ac:dyDescent="0.35">
      <c r="F3149"/>
      <c r="G3149"/>
    </row>
    <row r="3150" spans="6:7" x14ac:dyDescent="0.35">
      <c r="F3150"/>
      <c r="G3150"/>
    </row>
    <row r="3151" spans="6:7" x14ac:dyDescent="0.35">
      <c r="F3151"/>
      <c r="G3151"/>
    </row>
    <row r="3152" spans="6:7" x14ac:dyDescent="0.35">
      <c r="F3152"/>
      <c r="G3152"/>
    </row>
    <row r="3153" spans="6:7" x14ac:dyDescent="0.35">
      <c r="F3153"/>
      <c r="G3153"/>
    </row>
    <row r="3154" spans="6:7" x14ac:dyDescent="0.35">
      <c r="F3154"/>
      <c r="G3154"/>
    </row>
    <row r="3155" spans="6:7" x14ac:dyDescent="0.35">
      <c r="F3155"/>
      <c r="G3155"/>
    </row>
    <row r="3156" spans="6:7" x14ac:dyDescent="0.35">
      <c r="F3156"/>
      <c r="G3156"/>
    </row>
    <row r="3157" spans="6:7" x14ac:dyDescent="0.35">
      <c r="F3157"/>
      <c r="G3157"/>
    </row>
    <row r="3158" spans="6:7" x14ac:dyDescent="0.35">
      <c r="F3158"/>
      <c r="G3158"/>
    </row>
    <row r="3159" spans="6:7" x14ac:dyDescent="0.35">
      <c r="F3159"/>
      <c r="G3159"/>
    </row>
    <row r="3160" spans="6:7" x14ac:dyDescent="0.35">
      <c r="F3160"/>
      <c r="G3160"/>
    </row>
    <row r="3161" spans="6:7" x14ac:dyDescent="0.35">
      <c r="F3161"/>
      <c r="G3161"/>
    </row>
    <row r="3162" spans="6:7" x14ac:dyDescent="0.35">
      <c r="F3162"/>
      <c r="G3162"/>
    </row>
    <row r="3163" spans="6:7" x14ac:dyDescent="0.35">
      <c r="F3163"/>
      <c r="G3163"/>
    </row>
    <row r="3164" spans="6:7" x14ac:dyDescent="0.35">
      <c r="F3164"/>
      <c r="G3164"/>
    </row>
    <row r="3165" spans="6:7" x14ac:dyDescent="0.35">
      <c r="F3165"/>
      <c r="G3165"/>
    </row>
    <row r="3166" spans="6:7" x14ac:dyDescent="0.35">
      <c r="F3166"/>
      <c r="G3166"/>
    </row>
    <row r="3167" spans="6:7" x14ac:dyDescent="0.35">
      <c r="F3167"/>
      <c r="G3167"/>
    </row>
    <row r="3168" spans="6:7" x14ac:dyDescent="0.35">
      <c r="F3168"/>
      <c r="G3168"/>
    </row>
    <row r="3169" spans="6:7" x14ac:dyDescent="0.35">
      <c r="F3169"/>
      <c r="G3169"/>
    </row>
    <row r="3170" spans="6:7" x14ac:dyDescent="0.35">
      <c r="F3170"/>
      <c r="G3170"/>
    </row>
    <row r="3171" spans="6:7" x14ac:dyDescent="0.35">
      <c r="F3171"/>
      <c r="G3171"/>
    </row>
    <row r="3172" spans="6:7" x14ac:dyDescent="0.35">
      <c r="F3172"/>
      <c r="G3172"/>
    </row>
    <row r="3173" spans="6:7" x14ac:dyDescent="0.35">
      <c r="F3173"/>
      <c r="G3173"/>
    </row>
    <row r="3174" spans="6:7" x14ac:dyDescent="0.35">
      <c r="F3174"/>
      <c r="G3174"/>
    </row>
    <row r="3175" spans="6:7" x14ac:dyDescent="0.35">
      <c r="F3175"/>
      <c r="G3175"/>
    </row>
    <row r="3176" spans="6:7" x14ac:dyDescent="0.35">
      <c r="F3176"/>
      <c r="G3176"/>
    </row>
    <row r="3177" spans="6:7" x14ac:dyDescent="0.35">
      <c r="F3177"/>
      <c r="G3177"/>
    </row>
    <row r="3178" spans="6:7" x14ac:dyDescent="0.35">
      <c r="F3178"/>
      <c r="G3178"/>
    </row>
    <row r="3179" spans="6:7" x14ac:dyDescent="0.35">
      <c r="F3179"/>
      <c r="G3179"/>
    </row>
    <row r="3180" spans="6:7" x14ac:dyDescent="0.35">
      <c r="F3180"/>
      <c r="G3180"/>
    </row>
    <row r="3181" spans="6:7" x14ac:dyDescent="0.35">
      <c r="F3181"/>
      <c r="G3181"/>
    </row>
    <row r="3182" spans="6:7" x14ac:dyDescent="0.35">
      <c r="F3182"/>
      <c r="G3182"/>
    </row>
    <row r="3183" spans="6:7" x14ac:dyDescent="0.35">
      <c r="F3183"/>
      <c r="G3183"/>
    </row>
    <row r="3184" spans="6:7" x14ac:dyDescent="0.35">
      <c r="F3184"/>
      <c r="G3184"/>
    </row>
    <row r="3185" spans="6:7" x14ac:dyDescent="0.35">
      <c r="F3185"/>
      <c r="G3185"/>
    </row>
    <row r="3186" spans="6:7" x14ac:dyDescent="0.35">
      <c r="F3186"/>
      <c r="G3186"/>
    </row>
    <row r="3187" spans="6:7" x14ac:dyDescent="0.35">
      <c r="F3187"/>
      <c r="G3187"/>
    </row>
    <row r="3188" spans="6:7" x14ac:dyDescent="0.35">
      <c r="F3188"/>
      <c r="G3188"/>
    </row>
    <row r="3189" spans="6:7" x14ac:dyDescent="0.35">
      <c r="F3189"/>
      <c r="G3189"/>
    </row>
    <row r="3190" spans="6:7" x14ac:dyDescent="0.35">
      <c r="F3190"/>
      <c r="G3190"/>
    </row>
    <row r="3191" spans="6:7" x14ac:dyDescent="0.35">
      <c r="F3191"/>
      <c r="G3191"/>
    </row>
    <row r="3192" spans="6:7" x14ac:dyDescent="0.35">
      <c r="F3192"/>
      <c r="G3192"/>
    </row>
    <row r="3193" spans="6:7" x14ac:dyDescent="0.35">
      <c r="F3193"/>
      <c r="G3193"/>
    </row>
    <row r="3194" spans="6:7" x14ac:dyDescent="0.35">
      <c r="F3194"/>
      <c r="G3194"/>
    </row>
    <row r="3195" spans="6:7" x14ac:dyDescent="0.35">
      <c r="F3195"/>
      <c r="G3195"/>
    </row>
    <row r="3196" spans="6:7" x14ac:dyDescent="0.35">
      <c r="F3196"/>
      <c r="G3196"/>
    </row>
    <row r="3197" spans="6:7" x14ac:dyDescent="0.35">
      <c r="F3197"/>
      <c r="G3197"/>
    </row>
    <row r="3198" spans="6:7" x14ac:dyDescent="0.35">
      <c r="F3198"/>
      <c r="G3198"/>
    </row>
    <row r="3199" spans="6:7" x14ac:dyDescent="0.35">
      <c r="F3199"/>
      <c r="G3199"/>
    </row>
    <row r="3200" spans="6:7" x14ac:dyDescent="0.35">
      <c r="F3200"/>
      <c r="G3200"/>
    </row>
    <row r="3201" spans="6:7" x14ac:dyDescent="0.35">
      <c r="F3201"/>
      <c r="G3201"/>
    </row>
    <row r="3202" spans="6:7" x14ac:dyDescent="0.35">
      <c r="F3202"/>
      <c r="G3202"/>
    </row>
    <row r="3203" spans="6:7" x14ac:dyDescent="0.35">
      <c r="F3203"/>
      <c r="G3203"/>
    </row>
    <row r="3204" spans="6:7" x14ac:dyDescent="0.35">
      <c r="F3204"/>
      <c r="G3204"/>
    </row>
    <row r="3205" spans="6:7" x14ac:dyDescent="0.35">
      <c r="F3205"/>
      <c r="G3205"/>
    </row>
    <row r="3206" spans="6:7" x14ac:dyDescent="0.35">
      <c r="F3206"/>
      <c r="G3206"/>
    </row>
    <row r="3207" spans="6:7" x14ac:dyDescent="0.35">
      <c r="F3207"/>
      <c r="G3207"/>
    </row>
    <row r="3208" spans="6:7" x14ac:dyDescent="0.35">
      <c r="F3208"/>
      <c r="G3208"/>
    </row>
    <row r="3209" spans="6:7" x14ac:dyDescent="0.35">
      <c r="F3209"/>
      <c r="G3209"/>
    </row>
    <row r="3210" spans="6:7" x14ac:dyDescent="0.35">
      <c r="F3210"/>
      <c r="G3210"/>
    </row>
    <row r="3211" spans="6:7" x14ac:dyDescent="0.35">
      <c r="F3211"/>
      <c r="G3211"/>
    </row>
    <row r="3212" spans="6:7" x14ac:dyDescent="0.35">
      <c r="F3212"/>
      <c r="G3212"/>
    </row>
    <row r="3213" spans="6:7" x14ac:dyDescent="0.35">
      <c r="F3213"/>
      <c r="G3213"/>
    </row>
    <row r="3214" spans="6:7" x14ac:dyDescent="0.35">
      <c r="F3214"/>
      <c r="G3214"/>
    </row>
    <row r="3215" spans="6:7" x14ac:dyDescent="0.35">
      <c r="F3215"/>
      <c r="G3215"/>
    </row>
    <row r="3216" spans="6:7" x14ac:dyDescent="0.35">
      <c r="F3216"/>
      <c r="G3216"/>
    </row>
    <row r="3217" spans="6:7" x14ac:dyDescent="0.35">
      <c r="F3217"/>
      <c r="G3217"/>
    </row>
    <row r="3218" spans="6:7" x14ac:dyDescent="0.35">
      <c r="F3218"/>
      <c r="G3218"/>
    </row>
    <row r="3219" spans="6:7" x14ac:dyDescent="0.35">
      <c r="F3219"/>
      <c r="G3219"/>
    </row>
    <row r="3220" spans="6:7" x14ac:dyDescent="0.35">
      <c r="F3220"/>
      <c r="G3220"/>
    </row>
    <row r="3221" spans="6:7" x14ac:dyDescent="0.35">
      <c r="F3221"/>
      <c r="G3221"/>
    </row>
    <row r="3222" spans="6:7" x14ac:dyDescent="0.35">
      <c r="F3222"/>
      <c r="G3222"/>
    </row>
    <row r="3223" spans="6:7" x14ac:dyDescent="0.35">
      <c r="F3223"/>
      <c r="G3223"/>
    </row>
    <row r="3224" spans="6:7" x14ac:dyDescent="0.35">
      <c r="F3224"/>
      <c r="G3224"/>
    </row>
    <row r="3225" spans="6:7" x14ac:dyDescent="0.35">
      <c r="F3225"/>
      <c r="G3225"/>
    </row>
    <row r="3226" spans="6:7" x14ac:dyDescent="0.35">
      <c r="F3226"/>
      <c r="G3226"/>
    </row>
    <row r="3227" spans="6:7" x14ac:dyDescent="0.35">
      <c r="F3227"/>
      <c r="G3227"/>
    </row>
    <row r="3228" spans="6:7" x14ac:dyDescent="0.35">
      <c r="F3228"/>
      <c r="G3228"/>
    </row>
    <row r="3229" spans="6:7" x14ac:dyDescent="0.35">
      <c r="F3229"/>
      <c r="G3229"/>
    </row>
    <row r="3230" spans="6:7" x14ac:dyDescent="0.35">
      <c r="F3230"/>
      <c r="G3230"/>
    </row>
    <row r="3231" spans="6:7" x14ac:dyDescent="0.35">
      <c r="F3231"/>
      <c r="G3231"/>
    </row>
    <row r="3232" spans="6:7" x14ac:dyDescent="0.35">
      <c r="F3232"/>
      <c r="G3232"/>
    </row>
    <row r="3233" spans="6:7" x14ac:dyDescent="0.35">
      <c r="F3233"/>
      <c r="G3233"/>
    </row>
    <row r="3234" spans="6:7" x14ac:dyDescent="0.35">
      <c r="F3234"/>
      <c r="G3234"/>
    </row>
    <row r="3235" spans="6:7" x14ac:dyDescent="0.35">
      <c r="F3235"/>
      <c r="G3235"/>
    </row>
    <row r="3236" spans="6:7" x14ac:dyDescent="0.35">
      <c r="F3236"/>
      <c r="G3236"/>
    </row>
    <row r="3237" spans="6:7" x14ac:dyDescent="0.35">
      <c r="F3237"/>
      <c r="G3237"/>
    </row>
    <row r="3238" spans="6:7" x14ac:dyDescent="0.35">
      <c r="F3238"/>
      <c r="G3238"/>
    </row>
    <row r="3239" spans="6:7" x14ac:dyDescent="0.35">
      <c r="F3239"/>
      <c r="G3239"/>
    </row>
    <row r="3240" spans="6:7" x14ac:dyDescent="0.35">
      <c r="F3240"/>
      <c r="G3240"/>
    </row>
    <row r="3241" spans="6:7" x14ac:dyDescent="0.35">
      <c r="F3241"/>
      <c r="G3241"/>
    </row>
    <row r="3242" spans="6:7" x14ac:dyDescent="0.35">
      <c r="F3242"/>
      <c r="G3242"/>
    </row>
    <row r="3243" spans="6:7" x14ac:dyDescent="0.35">
      <c r="F3243"/>
      <c r="G3243"/>
    </row>
    <row r="3244" spans="6:7" x14ac:dyDescent="0.35">
      <c r="F3244"/>
      <c r="G3244"/>
    </row>
    <row r="3245" spans="6:7" x14ac:dyDescent="0.35">
      <c r="F3245"/>
      <c r="G3245"/>
    </row>
    <row r="3246" spans="6:7" x14ac:dyDescent="0.35">
      <c r="F3246"/>
      <c r="G3246"/>
    </row>
    <row r="3247" spans="6:7" x14ac:dyDescent="0.35">
      <c r="F3247"/>
      <c r="G3247"/>
    </row>
    <row r="3248" spans="6:7" x14ac:dyDescent="0.35">
      <c r="F3248"/>
      <c r="G3248"/>
    </row>
    <row r="3249" spans="6:7" x14ac:dyDescent="0.35">
      <c r="F3249"/>
      <c r="G3249"/>
    </row>
    <row r="3250" spans="6:7" x14ac:dyDescent="0.35">
      <c r="F3250"/>
      <c r="G3250"/>
    </row>
    <row r="3251" spans="6:7" x14ac:dyDescent="0.35">
      <c r="F3251"/>
      <c r="G3251"/>
    </row>
    <row r="3252" spans="6:7" x14ac:dyDescent="0.35">
      <c r="F3252"/>
      <c r="G3252"/>
    </row>
    <row r="3253" spans="6:7" x14ac:dyDescent="0.35">
      <c r="F3253"/>
      <c r="G3253"/>
    </row>
    <row r="3254" spans="6:7" x14ac:dyDescent="0.35">
      <c r="F3254"/>
      <c r="G3254"/>
    </row>
    <row r="3255" spans="6:7" x14ac:dyDescent="0.35">
      <c r="F3255"/>
      <c r="G3255"/>
    </row>
    <row r="3256" spans="6:7" x14ac:dyDescent="0.35">
      <c r="F3256"/>
      <c r="G3256"/>
    </row>
    <row r="3257" spans="6:7" x14ac:dyDescent="0.35">
      <c r="F3257"/>
      <c r="G3257"/>
    </row>
    <row r="3258" spans="6:7" x14ac:dyDescent="0.35">
      <c r="F3258"/>
      <c r="G3258"/>
    </row>
    <row r="3259" spans="6:7" x14ac:dyDescent="0.35">
      <c r="F3259"/>
      <c r="G3259"/>
    </row>
    <row r="3260" spans="6:7" x14ac:dyDescent="0.35">
      <c r="F3260"/>
      <c r="G3260"/>
    </row>
    <row r="3261" spans="6:7" x14ac:dyDescent="0.35">
      <c r="F3261"/>
      <c r="G3261"/>
    </row>
    <row r="3262" spans="6:7" x14ac:dyDescent="0.35">
      <c r="F3262"/>
      <c r="G3262"/>
    </row>
    <row r="3263" spans="6:7" x14ac:dyDescent="0.35">
      <c r="F3263"/>
      <c r="G3263"/>
    </row>
    <row r="3264" spans="6:7" x14ac:dyDescent="0.35">
      <c r="F3264"/>
      <c r="G3264"/>
    </row>
    <row r="3265" spans="6:7" x14ac:dyDescent="0.35">
      <c r="F3265"/>
      <c r="G3265"/>
    </row>
    <row r="3266" spans="6:7" x14ac:dyDescent="0.35">
      <c r="F3266"/>
      <c r="G3266"/>
    </row>
    <row r="3267" spans="6:7" x14ac:dyDescent="0.35">
      <c r="F3267"/>
      <c r="G3267"/>
    </row>
    <row r="3268" spans="6:7" x14ac:dyDescent="0.35">
      <c r="F3268"/>
      <c r="G3268"/>
    </row>
    <row r="3269" spans="6:7" x14ac:dyDescent="0.35">
      <c r="F3269"/>
      <c r="G3269"/>
    </row>
    <row r="3270" spans="6:7" x14ac:dyDescent="0.35">
      <c r="F3270"/>
      <c r="G3270"/>
    </row>
    <row r="3271" spans="6:7" x14ac:dyDescent="0.35">
      <c r="F3271"/>
      <c r="G3271"/>
    </row>
    <row r="3272" spans="6:7" x14ac:dyDescent="0.35">
      <c r="F3272"/>
      <c r="G3272"/>
    </row>
    <row r="3273" spans="6:7" x14ac:dyDescent="0.35">
      <c r="F3273"/>
      <c r="G3273"/>
    </row>
    <row r="3274" spans="6:7" x14ac:dyDescent="0.35">
      <c r="F3274"/>
      <c r="G3274"/>
    </row>
    <row r="3275" spans="6:7" x14ac:dyDescent="0.35">
      <c r="F3275"/>
      <c r="G3275"/>
    </row>
    <row r="3276" spans="6:7" x14ac:dyDescent="0.35">
      <c r="F3276"/>
      <c r="G3276"/>
    </row>
    <row r="3277" spans="6:7" x14ac:dyDescent="0.35">
      <c r="F3277"/>
      <c r="G3277"/>
    </row>
    <row r="3278" spans="6:7" x14ac:dyDescent="0.35">
      <c r="F3278"/>
      <c r="G3278"/>
    </row>
    <row r="3279" spans="6:7" x14ac:dyDescent="0.35">
      <c r="F3279"/>
      <c r="G3279"/>
    </row>
    <row r="3280" spans="6:7" x14ac:dyDescent="0.35">
      <c r="F3280"/>
      <c r="G3280"/>
    </row>
    <row r="3281" spans="6:7" x14ac:dyDescent="0.35">
      <c r="F3281"/>
      <c r="G3281"/>
    </row>
    <row r="3282" spans="6:7" x14ac:dyDescent="0.35">
      <c r="F3282"/>
      <c r="G3282"/>
    </row>
    <row r="3283" spans="6:7" x14ac:dyDescent="0.35">
      <c r="F3283"/>
      <c r="G3283"/>
    </row>
    <row r="3284" spans="6:7" x14ac:dyDescent="0.35">
      <c r="F3284"/>
      <c r="G3284"/>
    </row>
    <row r="3285" spans="6:7" x14ac:dyDescent="0.35">
      <c r="F3285"/>
      <c r="G3285"/>
    </row>
    <row r="3286" spans="6:7" x14ac:dyDescent="0.35">
      <c r="F3286"/>
      <c r="G3286"/>
    </row>
    <row r="3287" spans="6:7" x14ac:dyDescent="0.35">
      <c r="F3287"/>
      <c r="G3287"/>
    </row>
    <row r="3288" spans="6:7" x14ac:dyDescent="0.35">
      <c r="F3288"/>
      <c r="G3288"/>
    </row>
    <row r="3289" spans="6:7" x14ac:dyDescent="0.35">
      <c r="F3289"/>
      <c r="G3289"/>
    </row>
    <row r="3290" spans="6:7" x14ac:dyDescent="0.35">
      <c r="F3290"/>
      <c r="G3290"/>
    </row>
    <row r="3291" spans="6:7" x14ac:dyDescent="0.35">
      <c r="F3291"/>
      <c r="G3291"/>
    </row>
    <row r="3292" spans="6:7" x14ac:dyDescent="0.35">
      <c r="F3292"/>
      <c r="G3292"/>
    </row>
    <row r="3293" spans="6:7" x14ac:dyDescent="0.35">
      <c r="F3293"/>
      <c r="G3293"/>
    </row>
    <row r="3294" spans="6:7" x14ac:dyDescent="0.35">
      <c r="F3294"/>
      <c r="G3294"/>
    </row>
    <row r="3295" spans="6:7" x14ac:dyDescent="0.35">
      <c r="F3295"/>
      <c r="G3295"/>
    </row>
    <row r="3296" spans="6:7" x14ac:dyDescent="0.35">
      <c r="F3296"/>
      <c r="G3296"/>
    </row>
    <row r="3297" spans="6:7" x14ac:dyDescent="0.35">
      <c r="F3297"/>
      <c r="G3297"/>
    </row>
    <row r="3298" spans="6:7" x14ac:dyDescent="0.35">
      <c r="F3298"/>
      <c r="G3298"/>
    </row>
    <row r="3299" spans="6:7" x14ac:dyDescent="0.35">
      <c r="F3299"/>
      <c r="G3299"/>
    </row>
    <row r="3300" spans="6:7" x14ac:dyDescent="0.35">
      <c r="F3300"/>
      <c r="G3300"/>
    </row>
    <row r="3301" spans="6:7" x14ac:dyDescent="0.35">
      <c r="F3301"/>
      <c r="G3301"/>
    </row>
    <row r="3302" spans="6:7" x14ac:dyDescent="0.35">
      <c r="F3302"/>
      <c r="G3302"/>
    </row>
    <row r="3303" spans="6:7" x14ac:dyDescent="0.35">
      <c r="F3303"/>
      <c r="G3303"/>
    </row>
    <row r="3304" spans="6:7" x14ac:dyDescent="0.35">
      <c r="F3304"/>
      <c r="G3304"/>
    </row>
    <row r="3305" spans="6:7" x14ac:dyDescent="0.35">
      <c r="F3305"/>
      <c r="G3305"/>
    </row>
    <row r="3306" spans="6:7" x14ac:dyDescent="0.35">
      <c r="F3306"/>
      <c r="G3306"/>
    </row>
    <row r="3307" spans="6:7" x14ac:dyDescent="0.35">
      <c r="F3307"/>
      <c r="G3307"/>
    </row>
    <row r="3308" spans="6:7" x14ac:dyDescent="0.35">
      <c r="F3308"/>
      <c r="G3308"/>
    </row>
    <row r="3309" spans="6:7" x14ac:dyDescent="0.35">
      <c r="F3309"/>
      <c r="G3309"/>
    </row>
    <row r="3310" spans="6:7" x14ac:dyDescent="0.35">
      <c r="F3310"/>
      <c r="G3310"/>
    </row>
    <row r="3311" spans="6:7" x14ac:dyDescent="0.35">
      <c r="F3311"/>
      <c r="G3311"/>
    </row>
    <row r="3312" spans="6:7" x14ac:dyDescent="0.35">
      <c r="F3312"/>
      <c r="G3312"/>
    </row>
    <row r="3313" spans="6:7" x14ac:dyDescent="0.35">
      <c r="F3313"/>
      <c r="G3313"/>
    </row>
    <row r="3314" spans="6:7" x14ac:dyDescent="0.35">
      <c r="F3314"/>
      <c r="G3314"/>
    </row>
    <row r="3315" spans="6:7" x14ac:dyDescent="0.35">
      <c r="F3315"/>
      <c r="G3315"/>
    </row>
    <row r="3316" spans="6:7" x14ac:dyDescent="0.35">
      <c r="F3316"/>
      <c r="G3316"/>
    </row>
    <row r="3317" spans="6:7" x14ac:dyDescent="0.35">
      <c r="F3317"/>
      <c r="G3317"/>
    </row>
    <row r="3318" spans="6:7" x14ac:dyDescent="0.35">
      <c r="F3318"/>
      <c r="G3318"/>
    </row>
    <row r="3319" spans="6:7" x14ac:dyDescent="0.35">
      <c r="F3319"/>
      <c r="G3319"/>
    </row>
    <row r="3320" spans="6:7" x14ac:dyDescent="0.35">
      <c r="F3320"/>
      <c r="G3320"/>
    </row>
    <row r="3321" spans="6:7" x14ac:dyDescent="0.35">
      <c r="F3321"/>
      <c r="G3321"/>
    </row>
    <row r="3322" spans="6:7" x14ac:dyDescent="0.35">
      <c r="F3322"/>
      <c r="G3322"/>
    </row>
    <row r="3323" spans="6:7" x14ac:dyDescent="0.35">
      <c r="F3323"/>
      <c r="G3323"/>
    </row>
    <row r="3324" spans="6:7" x14ac:dyDescent="0.35">
      <c r="F3324"/>
      <c r="G3324"/>
    </row>
    <row r="3325" spans="6:7" x14ac:dyDescent="0.35">
      <c r="F3325"/>
      <c r="G3325"/>
    </row>
    <row r="3326" spans="6:7" x14ac:dyDescent="0.35">
      <c r="F3326"/>
      <c r="G3326"/>
    </row>
    <row r="3327" spans="6:7" x14ac:dyDescent="0.35">
      <c r="F3327"/>
      <c r="G3327"/>
    </row>
    <row r="3328" spans="6:7" x14ac:dyDescent="0.35">
      <c r="F3328"/>
      <c r="G3328"/>
    </row>
    <row r="3329" spans="6:7" x14ac:dyDescent="0.35">
      <c r="F3329"/>
      <c r="G3329"/>
    </row>
    <row r="3330" spans="6:7" x14ac:dyDescent="0.35">
      <c r="F3330"/>
      <c r="G3330"/>
    </row>
    <row r="3331" spans="6:7" x14ac:dyDescent="0.35">
      <c r="F3331"/>
      <c r="G3331"/>
    </row>
    <row r="3332" spans="6:7" x14ac:dyDescent="0.35">
      <c r="F3332"/>
      <c r="G3332"/>
    </row>
    <row r="3333" spans="6:7" x14ac:dyDescent="0.35">
      <c r="F3333"/>
      <c r="G3333"/>
    </row>
    <row r="3334" spans="6:7" x14ac:dyDescent="0.35">
      <c r="F3334"/>
      <c r="G3334"/>
    </row>
    <row r="3335" spans="6:7" x14ac:dyDescent="0.35">
      <c r="F3335"/>
      <c r="G3335"/>
    </row>
    <row r="3336" spans="6:7" x14ac:dyDescent="0.35">
      <c r="F3336"/>
      <c r="G3336"/>
    </row>
    <row r="3337" spans="6:7" x14ac:dyDescent="0.35">
      <c r="F3337"/>
      <c r="G3337"/>
    </row>
    <row r="3338" spans="6:7" x14ac:dyDescent="0.35">
      <c r="F3338"/>
      <c r="G3338"/>
    </row>
    <row r="3339" spans="6:7" x14ac:dyDescent="0.35">
      <c r="F3339"/>
      <c r="G3339"/>
    </row>
    <row r="3340" spans="6:7" x14ac:dyDescent="0.35">
      <c r="F3340"/>
      <c r="G3340"/>
    </row>
    <row r="3341" spans="6:7" x14ac:dyDescent="0.35">
      <c r="F3341"/>
      <c r="G3341"/>
    </row>
    <row r="3342" spans="6:7" x14ac:dyDescent="0.35">
      <c r="F3342"/>
      <c r="G3342"/>
    </row>
    <row r="3343" spans="6:7" x14ac:dyDescent="0.35">
      <c r="F3343"/>
      <c r="G3343"/>
    </row>
    <row r="3344" spans="6:7" x14ac:dyDescent="0.35">
      <c r="F3344"/>
      <c r="G3344"/>
    </row>
    <row r="3345" spans="6:7" x14ac:dyDescent="0.35">
      <c r="F3345"/>
      <c r="G3345"/>
    </row>
    <row r="3346" spans="6:7" x14ac:dyDescent="0.35">
      <c r="F3346"/>
      <c r="G3346"/>
    </row>
    <row r="3347" spans="6:7" x14ac:dyDescent="0.35">
      <c r="F3347"/>
      <c r="G3347"/>
    </row>
    <row r="3348" spans="6:7" x14ac:dyDescent="0.35">
      <c r="F3348"/>
      <c r="G3348"/>
    </row>
    <row r="3349" spans="6:7" x14ac:dyDescent="0.35">
      <c r="F3349"/>
      <c r="G3349"/>
    </row>
    <row r="3350" spans="6:7" x14ac:dyDescent="0.35">
      <c r="F3350"/>
      <c r="G3350"/>
    </row>
    <row r="3351" spans="6:7" x14ac:dyDescent="0.35">
      <c r="F3351"/>
      <c r="G3351"/>
    </row>
    <row r="3352" spans="6:7" x14ac:dyDescent="0.35">
      <c r="F3352"/>
      <c r="G3352"/>
    </row>
    <row r="3353" spans="6:7" x14ac:dyDescent="0.35">
      <c r="F3353"/>
      <c r="G3353"/>
    </row>
    <row r="3354" spans="6:7" x14ac:dyDescent="0.35">
      <c r="F3354"/>
      <c r="G3354"/>
    </row>
    <row r="3355" spans="6:7" x14ac:dyDescent="0.35">
      <c r="F3355"/>
      <c r="G3355"/>
    </row>
    <row r="3356" spans="6:7" x14ac:dyDescent="0.35">
      <c r="F3356"/>
      <c r="G3356"/>
    </row>
    <row r="3357" spans="6:7" x14ac:dyDescent="0.35">
      <c r="F3357"/>
      <c r="G3357"/>
    </row>
    <row r="3358" spans="6:7" x14ac:dyDescent="0.35">
      <c r="F3358"/>
      <c r="G3358"/>
    </row>
    <row r="3359" spans="6:7" x14ac:dyDescent="0.35">
      <c r="F3359"/>
      <c r="G3359"/>
    </row>
    <row r="3360" spans="6:7" x14ac:dyDescent="0.35">
      <c r="F3360"/>
      <c r="G3360"/>
    </row>
    <row r="3361" spans="6:7" x14ac:dyDescent="0.35">
      <c r="F3361"/>
      <c r="G3361"/>
    </row>
    <row r="3362" spans="6:7" x14ac:dyDescent="0.35">
      <c r="F3362"/>
      <c r="G3362"/>
    </row>
    <row r="3363" spans="6:7" x14ac:dyDescent="0.35">
      <c r="F3363"/>
      <c r="G3363"/>
    </row>
    <row r="3364" spans="6:7" x14ac:dyDescent="0.35">
      <c r="F3364"/>
      <c r="G3364"/>
    </row>
    <row r="3365" spans="6:7" x14ac:dyDescent="0.35">
      <c r="F3365"/>
      <c r="G3365"/>
    </row>
    <row r="3366" spans="6:7" x14ac:dyDescent="0.35">
      <c r="F3366"/>
      <c r="G3366"/>
    </row>
    <row r="3367" spans="6:7" x14ac:dyDescent="0.35">
      <c r="F3367"/>
      <c r="G3367"/>
    </row>
    <row r="3368" spans="6:7" x14ac:dyDescent="0.35">
      <c r="F3368"/>
      <c r="G3368"/>
    </row>
    <row r="3369" spans="6:7" x14ac:dyDescent="0.35">
      <c r="F3369"/>
      <c r="G3369"/>
    </row>
    <row r="3370" spans="6:7" x14ac:dyDescent="0.35">
      <c r="F3370"/>
      <c r="G3370"/>
    </row>
    <row r="3371" spans="6:7" x14ac:dyDescent="0.35">
      <c r="F3371"/>
      <c r="G3371"/>
    </row>
    <row r="3372" spans="6:7" x14ac:dyDescent="0.35">
      <c r="F3372"/>
      <c r="G3372"/>
    </row>
    <row r="3373" spans="6:7" x14ac:dyDescent="0.35">
      <c r="F3373"/>
      <c r="G3373"/>
    </row>
    <row r="3374" spans="6:7" x14ac:dyDescent="0.35">
      <c r="F3374"/>
      <c r="G3374"/>
    </row>
    <row r="3375" spans="6:7" x14ac:dyDescent="0.35">
      <c r="F3375"/>
      <c r="G3375"/>
    </row>
    <row r="3376" spans="6:7" x14ac:dyDescent="0.35">
      <c r="F3376"/>
      <c r="G3376"/>
    </row>
    <row r="3377" spans="6:7" x14ac:dyDescent="0.35">
      <c r="F3377"/>
      <c r="G3377"/>
    </row>
    <row r="3378" spans="6:7" x14ac:dyDescent="0.35">
      <c r="F3378"/>
      <c r="G3378"/>
    </row>
    <row r="3379" spans="6:7" x14ac:dyDescent="0.35">
      <c r="F3379"/>
      <c r="G3379"/>
    </row>
    <row r="3380" spans="6:7" x14ac:dyDescent="0.35">
      <c r="F3380"/>
      <c r="G3380"/>
    </row>
    <row r="3381" spans="6:7" x14ac:dyDescent="0.35">
      <c r="F3381"/>
      <c r="G3381"/>
    </row>
    <row r="3382" spans="6:7" x14ac:dyDescent="0.35">
      <c r="F3382"/>
      <c r="G3382"/>
    </row>
    <row r="3383" spans="6:7" x14ac:dyDescent="0.35">
      <c r="F3383"/>
      <c r="G3383"/>
    </row>
    <row r="3384" spans="6:7" x14ac:dyDescent="0.35">
      <c r="F3384"/>
      <c r="G3384"/>
    </row>
    <row r="3385" spans="6:7" x14ac:dyDescent="0.35">
      <c r="F3385"/>
      <c r="G3385"/>
    </row>
    <row r="3386" spans="6:7" x14ac:dyDescent="0.35">
      <c r="F3386"/>
      <c r="G3386"/>
    </row>
    <row r="3387" spans="6:7" x14ac:dyDescent="0.35">
      <c r="F3387"/>
      <c r="G3387"/>
    </row>
    <row r="3388" spans="6:7" x14ac:dyDescent="0.35">
      <c r="F3388"/>
      <c r="G3388"/>
    </row>
    <row r="3389" spans="6:7" x14ac:dyDescent="0.35">
      <c r="F3389"/>
      <c r="G3389"/>
    </row>
    <row r="3390" spans="6:7" x14ac:dyDescent="0.35">
      <c r="F3390"/>
      <c r="G3390"/>
    </row>
    <row r="3391" spans="6:7" x14ac:dyDescent="0.35">
      <c r="F3391"/>
      <c r="G3391"/>
    </row>
    <row r="3392" spans="6:7" x14ac:dyDescent="0.35">
      <c r="F3392"/>
      <c r="G3392"/>
    </row>
    <row r="3393" spans="6:7" x14ac:dyDescent="0.35">
      <c r="F3393"/>
      <c r="G3393"/>
    </row>
    <row r="3394" spans="6:7" x14ac:dyDescent="0.35">
      <c r="F3394"/>
      <c r="G3394"/>
    </row>
    <row r="3395" spans="6:7" x14ac:dyDescent="0.35">
      <c r="F3395"/>
      <c r="G3395"/>
    </row>
    <row r="3396" spans="6:7" x14ac:dyDescent="0.35">
      <c r="F3396"/>
      <c r="G3396"/>
    </row>
    <row r="3397" spans="6:7" x14ac:dyDescent="0.35">
      <c r="F3397"/>
      <c r="G3397"/>
    </row>
    <row r="3398" spans="6:7" x14ac:dyDescent="0.35">
      <c r="F3398"/>
      <c r="G3398"/>
    </row>
    <row r="3399" spans="6:7" x14ac:dyDescent="0.35">
      <c r="F3399"/>
      <c r="G3399"/>
    </row>
    <row r="3400" spans="6:7" x14ac:dyDescent="0.35">
      <c r="F3400"/>
      <c r="G3400"/>
    </row>
    <row r="3401" spans="6:7" x14ac:dyDescent="0.35">
      <c r="F3401"/>
      <c r="G3401"/>
    </row>
    <row r="3402" spans="6:7" x14ac:dyDescent="0.35">
      <c r="F3402"/>
      <c r="G3402"/>
    </row>
    <row r="3403" spans="6:7" x14ac:dyDescent="0.35">
      <c r="F3403"/>
      <c r="G3403"/>
    </row>
    <row r="3404" spans="6:7" x14ac:dyDescent="0.35">
      <c r="F3404"/>
      <c r="G3404"/>
    </row>
    <row r="3405" spans="6:7" x14ac:dyDescent="0.35">
      <c r="F3405"/>
      <c r="G3405"/>
    </row>
    <row r="3406" spans="6:7" x14ac:dyDescent="0.35">
      <c r="F3406"/>
      <c r="G3406"/>
    </row>
    <row r="3407" spans="6:7" x14ac:dyDescent="0.35">
      <c r="F3407"/>
      <c r="G3407"/>
    </row>
    <row r="3408" spans="6:7" x14ac:dyDescent="0.35">
      <c r="F3408"/>
      <c r="G3408"/>
    </row>
    <row r="3409" spans="6:7" x14ac:dyDescent="0.35">
      <c r="F3409"/>
      <c r="G3409"/>
    </row>
    <row r="3410" spans="6:7" x14ac:dyDescent="0.35">
      <c r="F3410"/>
      <c r="G3410"/>
    </row>
    <row r="3411" spans="6:7" x14ac:dyDescent="0.35">
      <c r="F3411"/>
      <c r="G3411"/>
    </row>
    <row r="3412" spans="6:7" x14ac:dyDescent="0.35">
      <c r="F3412"/>
      <c r="G3412"/>
    </row>
    <row r="3413" spans="6:7" x14ac:dyDescent="0.35">
      <c r="F3413"/>
      <c r="G3413"/>
    </row>
    <row r="3414" spans="6:7" x14ac:dyDescent="0.35">
      <c r="F3414"/>
      <c r="G3414"/>
    </row>
    <row r="3415" spans="6:7" x14ac:dyDescent="0.35">
      <c r="F3415"/>
      <c r="G3415"/>
    </row>
    <row r="3416" spans="6:7" x14ac:dyDescent="0.35">
      <c r="F3416"/>
      <c r="G3416"/>
    </row>
    <row r="3417" spans="6:7" x14ac:dyDescent="0.35">
      <c r="F3417"/>
      <c r="G3417"/>
    </row>
    <row r="3418" spans="6:7" x14ac:dyDescent="0.35">
      <c r="F3418"/>
      <c r="G3418"/>
    </row>
    <row r="3419" spans="6:7" x14ac:dyDescent="0.35">
      <c r="F3419"/>
      <c r="G3419"/>
    </row>
    <row r="3420" spans="6:7" x14ac:dyDescent="0.35">
      <c r="F3420"/>
      <c r="G3420"/>
    </row>
    <row r="3421" spans="6:7" x14ac:dyDescent="0.35">
      <c r="F3421"/>
      <c r="G3421"/>
    </row>
    <row r="3422" spans="6:7" x14ac:dyDescent="0.35">
      <c r="F3422"/>
      <c r="G3422"/>
    </row>
    <row r="3423" spans="6:7" x14ac:dyDescent="0.35">
      <c r="F3423"/>
      <c r="G3423"/>
    </row>
    <row r="3424" spans="6:7" x14ac:dyDescent="0.35">
      <c r="F3424"/>
      <c r="G3424"/>
    </row>
    <row r="3425" spans="6:7" x14ac:dyDescent="0.35">
      <c r="F3425"/>
      <c r="G3425"/>
    </row>
    <row r="3426" spans="6:7" x14ac:dyDescent="0.35">
      <c r="F3426"/>
      <c r="G3426"/>
    </row>
    <row r="3427" spans="6:7" x14ac:dyDescent="0.35">
      <c r="F3427"/>
      <c r="G3427"/>
    </row>
    <row r="3428" spans="6:7" x14ac:dyDescent="0.35">
      <c r="F3428"/>
      <c r="G3428"/>
    </row>
    <row r="3429" spans="6:7" x14ac:dyDescent="0.35">
      <c r="F3429"/>
      <c r="G3429"/>
    </row>
    <row r="3430" spans="6:7" x14ac:dyDescent="0.35">
      <c r="F3430"/>
      <c r="G3430"/>
    </row>
    <row r="3431" spans="6:7" x14ac:dyDescent="0.35">
      <c r="F3431"/>
      <c r="G3431"/>
    </row>
    <row r="3432" spans="6:7" x14ac:dyDescent="0.35">
      <c r="F3432"/>
      <c r="G3432"/>
    </row>
    <row r="3433" spans="6:7" x14ac:dyDescent="0.35">
      <c r="F3433"/>
      <c r="G3433"/>
    </row>
    <row r="3434" spans="6:7" x14ac:dyDescent="0.35">
      <c r="F3434"/>
      <c r="G3434"/>
    </row>
    <row r="3435" spans="6:7" x14ac:dyDescent="0.35">
      <c r="F3435"/>
      <c r="G3435"/>
    </row>
    <row r="3436" spans="6:7" x14ac:dyDescent="0.35">
      <c r="F3436"/>
      <c r="G3436"/>
    </row>
    <row r="3437" spans="6:7" x14ac:dyDescent="0.35">
      <c r="F3437"/>
      <c r="G3437"/>
    </row>
    <row r="3438" spans="6:7" x14ac:dyDescent="0.35">
      <c r="F3438"/>
      <c r="G3438"/>
    </row>
    <row r="3439" spans="6:7" x14ac:dyDescent="0.35">
      <c r="F3439"/>
      <c r="G3439"/>
    </row>
    <row r="3440" spans="6:7" x14ac:dyDescent="0.35">
      <c r="F3440"/>
      <c r="G3440"/>
    </row>
    <row r="3441" spans="6:7" x14ac:dyDescent="0.35">
      <c r="F3441"/>
      <c r="G3441"/>
    </row>
    <row r="3442" spans="6:7" x14ac:dyDescent="0.35">
      <c r="F3442"/>
      <c r="G3442"/>
    </row>
    <row r="3443" spans="6:7" x14ac:dyDescent="0.35">
      <c r="F3443"/>
      <c r="G3443"/>
    </row>
    <row r="3444" spans="6:7" x14ac:dyDescent="0.35">
      <c r="F3444"/>
      <c r="G3444"/>
    </row>
    <row r="3445" spans="6:7" x14ac:dyDescent="0.35">
      <c r="F3445"/>
      <c r="G3445"/>
    </row>
    <row r="3446" spans="6:7" x14ac:dyDescent="0.35">
      <c r="F3446"/>
      <c r="G3446"/>
    </row>
    <row r="3447" spans="6:7" x14ac:dyDescent="0.35">
      <c r="F3447"/>
      <c r="G3447"/>
    </row>
    <row r="3448" spans="6:7" x14ac:dyDescent="0.35">
      <c r="F3448"/>
      <c r="G3448"/>
    </row>
    <row r="3449" spans="6:7" x14ac:dyDescent="0.35">
      <c r="F3449"/>
      <c r="G3449"/>
    </row>
    <row r="3450" spans="6:7" x14ac:dyDescent="0.35">
      <c r="F3450"/>
      <c r="G3450"/>
    </row>
    <row r="3451" spans="6:7" x14ac:dyDescent="0.35">
      <c r="F3451"/>
      <c r="G3451"/>
    </row>
    <row r="3452" spans="6:7" x14ac:dyDescent="0.35">
      <c r="F3452"/>
      <c r="G3452"/>
    </row>
    <row r="3453" spans="6:7" x14ac:dyDescent="0.35">
      <c r="F3453"/>
      <c r="G3453"/>
    </row>
    <row r="3454" spans="6:7" x14ac:dyDescent="0.35">
      <c r="F3454"/>
      <c r="G3454"/>
    </row>
    <row r="3455" spans="6:7" x14ac:dyDescent="0.35">
      <c r="F3455"/>
      <c r="G3455"/>
    </row>
    <row r="3456" spans="6:7" x14ac:dyDescent="0.35">
      <c r="F3456"/>
      <c r="G3456"/>
    </row>
    <row r="3457" spans="6:7" x14ac:dyDescent="0.35">
      <c r="F3457"/>
      <c r="G3457"/>
    </row>
    <row r="3458" spans="6:7" x14ac:dyDescent="0.35">
      <c r="F3458"/>
      <c r="G3458"/>
    </row>
    <row r="3459" spans="6:7" x14ac:dyDescent="0.35">
      <c r="F3459"/>
      <c r="G3459"/>
    </row>
    <row r="3460" spans="6:7" x14ac:dyDescent="0.35">
      <c r="F3460"/>
      <c r="G3460"/>
    </row>
    <row r="3461" spans="6:7" x14ac:dyDescent="0.35">
      <c r="F3461"/>
      <c r="G3461"/>
    </row>
    <row r="3462" spans="6:7" x14ac:dyDescent="0.35">
      <c r="F3462"/>
      <c r="G3462"/>
    </row>
    <row r="3463" spans="6:7" x14ac:dyDescent="0.35">
      <c r="F3463"/>
      <c r="G3463"/>
    </row>
    <row r="3464" spans="6:7" x14ac:dyDescent="0.35">
      <c r="F3464"/>
      <c r="G3464"/>
    </row>
    <row r="3465" spans="6:7" x14ac:dyDescent="0.35">
      <c r="F3465"/>
      <c r="G3465"/>
    </row>
    <row r="3466" spans="6:7" x14ac:dyDescent="0.35">
      <c r="F3466"/>
      <c r="G3466"/>
    </row>
    <row r="3467" spans="6:7" x14ac:dyDescent="0.35">
      <c r="F3467"/>
      <c r="G3467"/>
    </row>
    <row r="3468" spans="6:7" x14ac:dyDescent="0.35">
      <c r="F3468"/>
      <c r="G3468"/>
    </row>
    <row r="3469" spans="6:7" x14ac:dyDescent="0.35">
      <c r="F3469"/>
      <c r="G3469"/>
    </row>
    <row r="3470" spans="6:7" x14ac:dyDescent="0.35">
      <c r="F3470"/>
      <c r="G3470"/>
    </row>
    <row r="3471" spans="6:7" x14ac:dyDescent="0.35">
      <c r="F3471"/>
      <c r="G3471"/>
    </row>
    <row r="3472" spans="6:7" x14ac:dyDescent="0.35">
      <c r="F3472"/>
      <c r="G3472"/>
    </row>
    <row r="3473" spans="6:7" x14ac:dyDescent="0.35">
      <c r="F3473"/>
      <c r="G3473"/>
    </row>
    <row r="3474" spans="6:7" x14ac:dyDescent="0.35">
      <c r="F3474"/>
      <c r="G3474"/>
    </row>
    <row r="3475" spans="6:7" x14ac:dyDescent="0.35">
      <c r="F3475"/>
      <c r="G3475"/>
    </row>
    <row r="3476" spans="6:7" x14ac:dyDescent="0.35">
      <c r="F3476"/>
      <c r="G3476"/>
    </row>
    <row r="3477" spans="6:7" x14ac:dyDescent="0.35">
      <c r="F3477"/>
      <c r="G3477"/>
    </row>
    <row r="3478" spans="6:7" x14ac:dyDescent="0.35">
      <c r="F3478"/>
      <c r="G3478"/>
    </row>
    <row r="3479" spans="6:7" x14ac:dyDescent="0.35">
      <c r="F3479"/>
      <c r="G3479"/>
    </row>
    <row r="3480" spans="6:7" x14ac:dyDescent="0.35">
      <c r="F3480"/>
      <c r="G3480"/>
    </row>
    <row r="3481" spans="6:7" x14ac:dyDescent="0.35">
      <c r="F3481"/>
      <c r="G3481"/>
    </row>
    <row r="3482" spans="6:7" x14ac:dyDescent="0.35">
      <c r="F3482"/>
      <c r="G3482"/>
    </row>
    <row r="3483" spans="6:7" x14ac:dyDescent="0.35">
      <c r="F3483"/>
      <c r="G3483"/>
    </row>
    <row r="3484" spans="6:7" x14ac:dyDescent="0.35">
      <c r="F3484"/>
      <c r="G3484"/>
    </row>
    <row r="3485" spans="6:7" x14ac:dyDescent="0.35">
      <c r="F3485"/>
      <c r="G3485"/>
    </row>
    <row r="3486" spans="6:7" x14ac:dyDescent="0.35">
      <c r="F3486"/>
      <c r="G3486"/>
    </row>
    <row r="3487" spans="6:7" x14ac:dyDescent="0.35">
      <c r="F3487"/>
      <c r="G3487"/>
    </row>
    <row r="3488" spans="6:7" x14ac:dyDescent="0.35">
      <c r="F3488"/>
      <c r="G3488"/>
    </row>
    <row r="3489" spans="6:7" x14ac:dyDescent="0.35">
      <c r="F3489"/>
      <c r="G3489"/>
    </row>
    <row r="3490" spans="6:7" x14ac:dyDescent="0.35">
      <c r="F3490"/>
      <c r="G3490"/>
    </row>
    <row r="3491" spans="6:7" x14ac:dyDescent="0.35">
      <c r="F3491"/>
      <c r="G3491"/>
    </row>
    <row r="3492" spans="6:7" x14ac:dyDescent="0.35">
      <c r="F3492"/>
      <c r="G3492"/>
    </row>
    <row r="3493" spans="6:7" x14ac:dyDescent="0.35">
      <c r="F3493"/>
      <c r="G3493"/>
    </row>
    <row r="3494" spans="6:7" x14ac:dyDescent="0.35">
      <c r="F3494"/>
      <c r="G3494"/>
    </row>
    <row r="3495" spans="6:7" x14ac:dyDescent="0.35">
      <c r="F3495"/>
      <c r="G3495"/>
    </row>
    <row r="3496" spans="6:7" x14ac:dyDescent="0.35">
      <c r="F3496"/>
      <c r="G3496"/>
    </row>
    <row r="3497" spans="6:7" x14ac:dyDescent="0.35">
      <c r="F3497"/>
      <c r="G3497"/>
    </row>
    <row r="3498" spans="6:7" x14ac:dyDescent="0.35">
      <c r="F3498"/>
      <c r="G3498"/>
    </row>
    <row r="3499" spans="6:7" x14ac:dyDescent="0.35">
      <c r="F3499"/>
      <c r="G3499"/>
    </row>
    <row r="3500" spans="6:7" x14ac:dyDescent="0.35">
      <c r="F3500"/>
      <c r="G3500"/>
    </row>
    <row r="3501" spans="6:7" x14ac:dyDescent="0.35">
      <c r="F3501"/>
      <c r="G3501"/>
    </row>
    <row r="3502" spans="6:7" x14ac:dyDescent="0.35">
      <c r="F3502"/>
      <c r="G3502"/>
    </row>
    <row r="3503" spans="6:7" x14ac:dyDescent="0.35">
      <c r="F3503"/>
      <c r="G3503"/>
    </row>
    <row r="3504" spans="6:7" x14ac:dyDescent="0.35">
      <c r="F3504"/>
      <c r="G3504"/>
    </row>
    <row r="3505" spans="6:7" x14ac:dyDescent="0.35">
      <c r="F3505"/>
      <c r="G3505"/>
    </row>
    <row r="3506" spans="6:7" x14ac:dyDescent="0.35">
      <c r="F3506"/>
      <c r="G3506"/>
    </row>
    <row r="3507" spans="6:7" x14ac:dyDescent="0.35">
      <c r="F3507"/>
      <c r="G3507"/>
    </row>
    <row r="3508" spans="6:7" x14ac:dyDescent="0.35">
      <c r="F3508"/>
      <c r="G3508"/>
    </row>
    <row r="3509" spans="6:7" x14ac:dyDescent="0.35">
      <c r="F3509"/>
      <c r="G3509"/>
    </row>
    <row r="3510" spans="6:7" x14ac:dyDescent="0.35">
      <c r="F3510"/>
      <c r="G3510"/>
    </row>
    <row r="3511" spans="6:7" x14ac:dyDescent="0.35">
      <c r="F3511"/>
      <c r="G3511"/>
    </row>
    <row r="3512" spans="6:7" x14ac:dyDescent="0.35">
      <c r="F3512"/>
      <c r="G3512"/>
    </row>
    <row r="3513" spans="6:7" x14ac:dyDescent="0.35">
      <c r="F3513"/>
      <c r="G3513"/>
    </row>
    <row r="3514" spans="6:7" x14ac:dyDescent="0.35">
      <c r="F3514"/>
      <c r="G3514"/>
    </row>
    <row r="3515" spans="6:7" x14ac:dyDescent="0.35">
      <c r="F3515"/>
      <c r="G3515"/>
    </row>
    <row r="3516" spans="6:7" x14ac:dyDescent="0.35">
      <c r="F3516"/>
      <c r="G3516"/>
    </row>
    <row r="3517" spans="6:7" x14ac:dyDescent="0.35">
      <c r="F3517"/>
      <c r="G3517"/>
    </row>
    <row r="3518" spans="6:7" x14ac:dyDescent="0.35">
      <c r="F3518"/>
      <c r="G3518"/>
    </row>
    <row r="3519" spans="6:7" x14ac:dyDescent="0.35">
      <c r="F3519"/>
      <c r="G3519"/>
    </row>
    <row r="3520" spans="6:7" x14ac:dyDescent="0.35">
      <c r="F3520"/>
      <c r="G3520"/>
    </row>
    <row r="3521" spans="6:7" x14ac:dyDescent="0.35">
      <c r="F3521"/>
      <c r="G3521"/>
    </row>
    <row r="3522" spans="6:7" x14ac:dyDescent="0.35">
      <c r="F3522"/>
      <c r="G3522"/>
    </row>
    <row r="3523" spans="6:7" x14ac:dyDescent="0.35">
      <c r="F3523"/>
      <c r="G3523"/>
    </row>
    <row r="3524" spans="6:7" x14ac:dyDescent="0.35">
      <c r="F3524"/>
      <c r="G3524"/>
    </row>
    <row r="3525" spans="6:7" x14ac:dyDescent="0.35">
      <c r="F3525"/>
      <c r="G3525"/>
    </row>
    <row r="3526" spans="6:7" x14ac:dyDescent="0.35">
      <c r="F3526"/>
      <c r="G3526"/>
    </row>
    <row r="3527" spans="6:7" x14ac:dyDescent="0.35">
      <c r="F3527"/>
      <c r="G3527"/>
    </row>
    <row r="3528" spans="6:7" x14ac:dyDescent="0.35">
      <c r="F3528"/>
      <c r="G3528"/>
    </row>
    <row r="3529" spans="6:7" x14ac:dyDescent="0.35">
      <c r="F3529"/>
      <c r="G3529"/>
    </row>
    <row r="3530" spans="6:7" x14ac:dyDescent="0.35">
      <c r="F3530"/>
      <c r="G3530"/>
    </row>
    <row r="3531" spans="6:7" x14ac:dyDescent="0.35">
      <c r="F3531"/>
      <c r="G3531"/>
    </row>
    <row r="3532" spans="6:7" x14ac:dyDescent="0.35">
      <c r="F3532"/>
      <c r="G3532"/>
    </row>
    <row r="3533" spans="6:7" x14ac:dyDescent="0.35">
      <c r="F3533"/>
      <c r="G3533"/>
    </row>
    <row r="3534" spans="6:7" x14ac:dyDescent="0.35">
      <c r="F3534"/>
      <c r="G3534"/>
    </row>
    <row r="3535" spans="6:7" x14ac:dyDescent="0.35">
      <c r="F3535"/>
      <c r="G3535"/>
    </row>
    <row r="3536" spans="6:7" x14ac:dyDescent="0.35">
      <c r="F3536"/>
      <c r="G3536"/>
    </row>
    <row r="3537" spans="6:7" x14ac:dyDescent="0.35">
      <c r="F3537"/>
      <c r="G3537"/>
    </row>
    <row r="3538" spans="6:7" x14ac:dyDescent="0.35">
      <c r="F3538"/>
      <c r="G3538"/>
    </row>
    <row r="3539" spans="6:7" x14ac:dyDescent="0.35">
      <c r="F3539"/>
      <c r="G3539"/>
    </row>
    <row r="3540" spans="6:7" x14ac:dyDescent="0.35">
      <c r="F3540"/>
      <c r="G3540"/>
    </row>
    <row r="3541" spans="6:7" x14ac:dyDescent="0.35">
      <c r="F3541"/>
      <c r="G3541"/>
    </row>
    <row r="3542" spans="6:7" x14ac:dyDescent="0.35">
      <c r="F3542"/>
      <c r="G3542"/>
    </row>
    <row r="3543" spans="6:7" x14ac:dyDescent="0.35">
      <c r="F3543"/>
      <c r="G3543"/>
    </row>
    <row r="3544" spans="6:7" x14ac:dyDescent="0.35">
      <c r="F3544"/>
      <c r="G3544"/>
    </row>
    <row r="3545" spans="6:7" x14ac:dyDescent="0.35">
      <c r="F3545"/>
      <c r="G3545"/>
    </row>
    <row r="3546" spans="6:7" x14ac:dyDescent="0.35">
      <c r="F3546"/>
      <c r="G3546"/>
    </row>
    <row r="3547" spans="6:7" x14ac:dyDescent="0.35">
      <c r="F3547"/>
      <c r="G3547"/>
    </row>
    <row r="3548" spans="6:7" x14ac:dyDescent="0.35">
      <c r="F3548"/>
      <c r="G3548"/>
    </row>
    <row r="3549" spans="6:7" x14ac:dyDescent="0.35">
      <c r="F3549"/>
      <c r="G3549"/>
    </row>
    <row r="3550" spans="6:7" x14ac:dyDescent="0.35">
      <c r="F3550"/>
      <c r="G3550"/>
    </row>
    <row r="3551" spans="6:7" x14ac:dyDescent="0.35">
      <c r="F3551"/>
      <c r="G3551"/>
    </row>
    <row r="3552" spans="6:7" x14ac:dyDescent="0.35">
      <c r="F3552"/>
      <c r="G3552"/>
    </row>
    <row r="3553" spans="6:7" x14ac:dyDescent="0.35">
      <c r="F3553"/>
      <c r="G3553"/>
    </row>
    <row r="3554" spans="6:7" x14ac:dyDescent="0.35">
      <c r="F3554"/>
      <c r="G3554"/>
    </row>
    <row r="3555" spans="6:7" x14ac:dyDescent="0.35">
      <c r="F3555"/>
      <c r="G3555"/>
    </row>
    <row r="3556" spans="6:7" x14ac:dyDescent="0.35">
      <c r="F3556"/>
      <c r="G3556"/>
    </row>
    <row r="3557" spans="6:7" x14ac:dyDescent="0.35">
      <c r="F3557"/>
      <c r="G3557"/>
    </row>
    <row r="3558" spans="6:7" x14ac:dyDescent="0.35">
      <c r="F3558"/>
      <c r="G3558"/>
    </row>
    <row r="3559" spans="6:7" x14ac:dyDescent="0.35">
      <c r="F3559"/>
      <c r="G3559"/>
    </row>
    <row r="3560" spans="6:7" x14ac:dyDescent="0.35">
      <c r="F3560"/>
      <c r="G3560"/>
    </row>
    <row r="3561" spans="6:7" x14ac:dyDescent="0.35">
      <c r="F3561"/>
      <c r="G3561"/>
    </row>
    <row r="3562" spans="6:7" x14ac:dyDescent="0.35">
      <c r="F3562"/>
      <c r="G3562"/>
    </row>
    <row r="3563" spans="6:7" x14ac:dyDescent="0.35">
      <c r="F3563"/>
      <c r="G3563"/>
    </row>
    <row r="3564" spans="6:7" x14ac:dyDescent="0.35">
      <c r="F3564"/>
      <c r="G3564"/>
    </row>
    <row r="3565" spans="6:7" x14ac:dyDescent="0.35">
      <c r="F3565"/>
      <c r="G3565"/>
    </row>
    <row r="3566" spans="6:7" x14ac:dyDescent="0.35">
      <c r="F3566"/>
      <c r="G3566"/>
    </row>
    <row r="3567" spans="6:7" x14ac:dyDescent="0.35">
      <c r="F3567"/>
      <c r="G3567"/>
    </row>
    <row r="3568" spans="6:7" x14ac:dyDescent="0.35">
      <c r="F3568"/>
      <c r="G3568"/>
    </row>
    <row r="3569" spans="6:7" x14ac:dyDescent="0.35">
      <c r="F3569"/>
      <c r="G3569"/>
    </row>
    <row r="3570" spans="6:7" x14ac:dyDescent="0.35">
      <c r="F3570"/>
      <c r="G3570"/>
    </row>
    <row r="3571" spans="6:7" x14ac:dyDescent="0.35">
      <c r="F3571"/>
      <c r="G3571"/>
    </row>
    <row r="3572" spans="6:7" x14ac:dyDescent="0.35">
      <c r="F3572"/>
      <c r="G3572"/>
    </row>
    <row r="3573" spans="6:7" x14ac:dyDescent="0.35">
      <c r="F3573"/>
      <c r="G3573"/>
    </row>
    <row r="3574" spans="6:7" x14ac:dyDescent="0.35">
      <c r="F3574"/>
      <c r="G3574"/>
    </row>
    <row r="3575" spans="6:7" x14ac:dyDescent="0.35">
      <c r="F3575"/>
      <c r="G3575"/>
    </row>
    <row r="3576" spans="6:7" x14ac:dyDescent="0.35">
      <c r="F3576"/>
      <c r="G3576"/>
    </row>
    <row r="3577" spans="6:7" x14ac:dyDescent="0.35">
      <c r="F3577"/>
      <c r="G3577"/>
    </row>
    <row r="3578" spans="6:7" x14ac:dyDescent="0.35">
      <c r="F3578"/>
      <c r="G3578"/>
    </row>
    <row r="3579" spans="6:7" x14ac:dyDescent="0.35">
      <c r="F3579"/>
      <c r="G3579"/>
    </row>
    <row r="3580" spans="6:7" x14ac:dyDescent="0.35">
      <c r="F3580"/>
      <c r="G3580"/>
    </row>
    <row r="3581" spans="6:7" x14ac:dyDescent="0.35">
      <c r="F3581"/>
      <c r="G3581"/>
    </row>
    <row r="3582" spans="6:7" x14ac:dyDescent="0.35">
      <c r="F3582"/>
      <c r="G3582"/>
    </row>
    <row r="3583" spans="6:7" x14ac:dyDescent="0.35">
      <c r="F3583"/>
      <c r="G3583"/>
    </row>
    <row r="3584" spans="6:7" x14ac:dyDescent="0.35">
      <c r="F3584"/>
      <c r="G3584"/>
    </row>
    <row r="3585" spans="6:7" x14ac:dyDescent="0.35">
      <c r="F3585"/>
      <c r="G3585"/>
    </row>
    <row r="3586" spans="6:7" x14ac:dyDescent="0.35">
      <c r="F3586"/>
      <c r="G3586"/>
    </row>
    <row r="3587" spans="6:7" x14ac:dyDescent="0.35">
      <c r="F3587"/>
      <c r="G3587"/>
    </row>
    <row r="3588" spans="6:7" x14ac:dyDescent="0.35">
      <c r="F3588"/>
      <c r="G3588"/>
    </row>
    <row r="3589" spans="6:7" x14ac:dyDescent="0.35">
      <c r="F3589"/>
      <c r="G3589"/>
    </row>
    <row r="3590" spans="6:7" x14ac:dyDescent="0.35">
      <c r="F3590"/>
      <c r="G3590"/>
    </row>
    <row r="3591" spans="6:7" x14ac:dyDescent="0.35">
      <c r="F3591"/>
      <c r="G3591"/>
    </row>
    <row r="3592" spans="6:7" x14ac:dyDescent="0.35">
      <c r="F3592"/>
      <c r="G3592"/>
    </row>
    <row r="3593" spans="6:7" x14ac:dyDescent="0.35">
      <c r="F3593"/>
      <c r="G3593"/>
    </row>
    <row r="3594" spans="6:7" x14ac:dyDescent="0.35">
      <c r="F3594"/>
      <c r="G3594"/>
    </row>
    <row r="3595" spans="6:7" x14ac:dyDescent="0.35">
      <c r="F3595"/>
      <c r="G3595"/>
    </row>
    <row r="3596" spans="6:7" x14ac:dyDescent="0.35">
      <c r="F3596"/>
      <c r="G3596"/>
    </row>
    <row r="3597" spans="6:7" x14ac:dyDescent="0.35">
      <c r="F3597"/>
      <c r="G3597"/>
    </row>
    <row r="3598" spans="6:7" x14ac:dyDescent="0.35">
      <c r="F3598"/>
      <c r="G3598"/>
    </row>
    <row r="3599" spans="6:7" x14ac:dyDescent="0.35">
      <c r="F3599"/>
      <c r="G3599"/>
    </row>
    <row r="3600" spans="6:7" x14ac:dyDescent="0.35">
      <c r="F3600"/>
      <c r="G3600"/>
    </row>
    <row r="3601" spans="6:7" x14ac:dyDescent="0.35">
      <c r="F3601"/>
      <c r="G3601"/>
    </row>
    <row r="3602" spans="6:7" x14ac:dyDescent="0.35">
      <c r="F3602"/>
      <c r="G3602"/>
    </row>
    <row r="3603" spans="6:7" x14ac:dyDescent="0.35">
      <c r="F3603"/>
      <c r="G3603"/>
    </row>
    <row r="3604" spans="6:7" x14ac:dyDescent="0.35">
      <c r="F3604"/>
      <c r="G3604"/>
    </row>
    <row r="3605" spans="6:7" x14ac:dyDescent="0.35">
      <c r="F3605"/>
      <c r="G3605"/>
    </row>
    <row r="3606" spans="6:7" x14ac:dyDescent="0.35">
      <c r="F3606"/>
      <c r="G3606"/>
    </row>
    <row r="3607" spans="6:7" x14ac:dyDescent="0.35">
      <c r="F3607"/>
      <c r="G3607"/>
    </row>
    <row r="3608" spans="6:7" x14ac:dyDescent="0.35">
      <c r="F3608"/>
      <c r="G3608"/>
    </row>
    <row r="3609" spans="6:7" x14ac:dyDescent="0.35">
      <c r="F3609"/>
      <c r="G3609"/>
    </row>
    <row r="3610" spans="6:7" x14ac:dyDescent="0.35">
      <c r="F3610"/>
      <c r="G3610"/>
    </row>
    <row r="3611" spans="6:7" x14ac:dyDescent="0.35">
      <c r="F3611"/>
      <c r="G3611"/>
    </row>
    <row r="3612" spans="6:7" x14ac:dyDescent="0.35">
      <c r="F3612"/>
      <c r="G3612"/>
    </row>
    <row r="3613" spans="6:7" x14ac:dyDescent="0.35">
      <c r="F3613"/>
      <c r="G3613"/>
    </row>
    <row r="3614" spans="6:7" x14ac:dyDescent="0.35">
      <c r="F3614"/>
      <c r="G3614"/>
    </row>
    <row r="3615" spans="6:7" x14ac:dyDescent="0.35">
      <c r="F3615"/>
      <c r="G3615"/>
    </row>
    <row r="3616" spans="6:7" x14ac:dyDescent="0.35">
      <c r="F3616"/>
      <c r="G3616"/>
    </row>
    <row r="3617" spans="6:7" x14ac:dyDescent="0.35">
      <c r="F3617"/>
      <c r="G3617"/>
    </row>
    <row r="3618" spans="6:7" x14ac:dyDescent="0.35">
      <c r="F3618"/>
      <c r="G3618"/>
    </row>
    <row r="3619" spans="6:7" x14ac:dyDescent="0.35">
      <c r="F3619"/>
      <c r="G3619"/>
    </row>
    <row r="3620" spans="6:7" x14ac:dyDescent="0.35">
      <c r="F3620"/>
      <c r="G3620"/>
    </row>
    <row r="3621" spans="6:7" x14ac:dyDescent="0.35">
      <c r="F3621"/>
      <c r="G3621"/>
    </row>
    <row r="3622" spans="6:7" x14ac:dyDescent="0.35">
      <c r="F3622"/>
      <c r="G3622"/>
    </row>
    <row r="3623" spans="6:7" x14ac:dyDescent="0.35">
      <c r="F3623"/>
      <c r="G3623"/>
    </row>
    <row r="3624" spans="6:7" x14ac:dyDescent="0.35">
      <c r="F3624"/>
      <c r="G3624"/>
    </row>
    <row r="3625" spans="6:7" x14ac:dyDescent="0.35">
      <c r="F3625"/>
      <c r="G3625"/>
    </row>
    <row r="3626" spans="6:7" x14ac:dyDescent="0.35">
      <c r="F3626"/>
      <c r="G3626"/>
    </row>
    <row r="3627" spans="6:7" x14ac:dyDescent="0.35">
      <c r="F3627"/>
      <c r="G3627"/>
    </row>
    <row r="3628" spans="6:7" x14ac:dyDescent="0.35">
      <c r="F3628"/>
      <c r="G3628"/>
    </row>
    <row r="3629" spans="6:7" x14ac:dyDescent="0.35">
      <c r="F3629"/>
      <c r="G3629"/>
    </row>
    <row r="3630" spans="6:7" x14ac:dyDescent="0.35">
      <c r="F3630"/>
      <c r="G3630"/>
    </row>
    <row r="3631" spans="6:7" x14ac:dyDescent="0.35">
      <c r="F3631"/>
      <c r="G3631"/>
    </row>
    <row r="3632" spans="6:7" x14ac:dyDescent="0.35">
      <c r="F3632"/>
      <c r="G3632"/>
    </row>
    <row r="3633" spans="6:7" x14ac:dyDescent="0.35">
      <c r="F3633"/>
      <c r="G3633"/>
    </row>
    <row r="3634" spans="6:7" x14ac:dyDescent="0.35">
      <c r="F3634"/>
      <c r="G3634"/>
    </row>
    <row r="3635" spans="6:7" x14ac:dyDescent="0.35">
      <c r="F3635"/>
      <c r="G3635"/>
    </row>
    <row r="3636" spans="6:7" x14ac:dyDescent="0.35">
      <c r="F3636"/>
      <c r="G3636"/>
    </row>
    <row r="3637" spans="6:7" x14ac:dyDescent="0.35">
      <c r="F3637"/>
      <c r="G3637"/>
    </row>
    <row r="3638" spans="6:7" x14ac:dyDescent="0.35">
      <c r="F3638"/>
      <c r="G3638"/>
    </row>
    <row r="3639" spans="6:7" x14ac:dyDescent="0.35">
      <c r="F3639"/>
      <c r="G3639"/>
    </row>
    <row r="3640" spans="6:7" x14ac:dyDescent="0.35">
      <c r="F3640"/>
      <c r="G3640"/>
    </row>
    <row r="3641" spans="6:7" x14ac:dyDescent="0.35">
      <c r="F3641"/>
      <c r="G3641"/>
    </row>
    <row r="3642" spans="6:7" x14ac:dyDescent="0.35">
      <c r="F3642"/>
      <c r="G3642"/>
    </row>
    <row r="3643" spans="6:7" x14ac:dyDescent="0.35">
      <c r="F3643"/>
      <c r="G3643"/>
    </row>
    <row r="3644" spans="6:7" x14ac:dyDescent="0.35">
      <c r="F3644"/>
      <c r="G3644"/>
    </row>
    <row r="3645" spans="6:7" x14ac:dyDescent="0.35">
      <c r="F3645"/>
      <c r="G3645"/>
    </row>
    <row r="3646" spans="6:7" x14ac:dyDescent="0.35">
      <c r="F3646"/>
      <c r="G3646"/>
    </row>
    <row r="3647" spans="6:7" x14ac:dyDescent="0.35">
      <c r="F3647"/>
      <c r="G3647"/>
    </row>
    <row r="3648" spans="6:7" x14ac:dyDescent="0.35">
      <c r="F3648"/>
      <c r="G3648"/>
    </row>
    <row r="3649" spans="6:7" x14ac:dyDescent="0.35">
      <c r="F3649"/>
      <c r="G3649"/>
    </row>
    <row r="3650" spans="6:7" x14ac:dyDescent="0.35">
      <c r="F3650"/>
      <c r="G3650"/>
    </row>
    <row r="3651" spans="6:7" x14ac:dyDescent="0.35">
      <c r="F3651"/>
      <c r="G3651"/>
    </row>
    <row r="3652" spans="6:7" x14ac:dyDescent="0.35">
      <c r="F3652"/>
      <c r="G3652"/>
    </row>
    <row r="3653" spans="6:7" x14ac:dyDescent="0.35">
      <c r="F3653"/>
      <c r="G3653"/>
    </row>
    <row r="3654" spans="6:7" x14ac:dyDescent="0.35">
      <c r="F3654"/>
      <c r="G3654"/>
    </row>
    <row r="3655" spans="6:7" x14ac:dyDescent="0.35">
      <c r="F3655"/>
      <c r="G3655"/>
    </row>
    <row r="3656" spans="6:7" x14ac:dyDescent="0.35">
      <c r="F3656"/>
      <c r="G3656"/>
    </row>
    <row r="3657" spans="6:7" x14ac:dyDescent="0.35">
      <c r="F3657"/>
      <c r="G3657"/>
    </row>
    <row r="3658" spans="6:7" x14ac:dyDescent="0.35">
      <c r="F3658"/>
      <c r="G3658"/>
    </row>
    <row r="3659" spans="6:7" x14ac:dyDescent="0.35">
      <c r="F3659"/>
      <c r="G3659"/>
    </row>
    <row r="3660" spans="6:7" x14ac:dyDescent="0.35">
      <c r="F3660"/>
      <c r="G3660"/>
    </row>
    <row r="3661" spans="6:7" x14ac:dyDescent="0.35">
      <c r="F3661"/>
      <c r="G3661"/>
    </row>
    <row r="3662" spans="6:7" x14ac:dyDescent="0.35">
      <c r="F3662"/>
      <c r="G3662"/>
    </row>
    <row r="3663" spans="6:7" x14ac:dyDescent="0.35">
      <c r="F3663"/>
      <c r="G3663"/>
    </row>
    <row r="3664" spans="6:7" x14ac:dyDescent="0.35">
      <c r="F3664"/>
      <c r="G3664"/>
    </row>
    <row r="3665" spans="6:7" x14ac:dyDescent="0.35">
      <c r="F3665"/>
      <c r="G3665"/>
    </row>
    <row r="3666" spans="6:7" x14ac:dyDescent="0.35">
      <c r="F3666"/>
      <c r="G3666"/>
    </row>
    <row r="3667" spans="6:7" x14ac:dyDescent="0.35">
      <c r="F3667"/>
      <c r="G3667"/>
    </row>
    <row r="3668" spans="6:7" x14ac:dyDescent="0.35">
      <c r="F3668"/>
      <c r="G3668"/>
    </row>
    <row r="3669" spans="6:7" x14ac:dyDescent="0.35">
      <c r="F3669"/>
      <c r="G3669"/>
    </row>
    <row r="3670" spans="6:7" x14ac:dyDescent="0.35">
      <c r="F3670"/>
      <c r="G3670"/>
    </row>
    <row r="3671" spans="6:7" x14ac:dyDescent="0.35">
      <c r="F3671"/>
      <c r="G3671"/>
    </row>
    <row r="3672" spans="6:7" x14ac:dyDescent="0.35">
      <c r="F3672"/>
      <c r="G3672"/>
    </row>
    <row r="3673" spans="6:7" x14ac:dyDescent="0.35">
      <c r="F3673"/>
      <c r="G3673"/>
    </row>
    <row r="3674" spans="6:7" x14ac:dyDescent="0.35">
      <c r="F3674"/>
      <c r="G3674"/>
    </row>
    <row r="3675" spans="6:7" x14ac:dyDescent="0.35">
      <c r="F3675"/>
      <c r="G3675"/>
    </row>
    <row r="3676" spans="6:7" x14ac:dyDescent="0.35">
      <c r="F3676"/>
      <c r="G3676"/>
    </row>
    <row r="3677" spans="6:7" x14ac:dyDescent="0.35">
      <c r="F3677"/>
      <c r="G3677"/>
    </row>
    <row r="3678" spans="6:7" x14ac:dyDescent="0.35">
      <c r="F3678"/>
      <c r="G3678"/>
    </row>
    <row r="3679" spans="6:7" x14ac:dyDescent="0.35">
      <c r="F3679"/>
      <c r="G3679"/>
    </row>
    <row r="3680" spans="6:7" x14ac:dyDescent="0.35">
      <c r="F3680"/>
      <c r="G3680"/>
    </row>
    <row r="3681" spans="6:7" x14ac:dyDescent="0.35">
      <c r="F3681"/>
      <c r="G3681"/>
    </row>
    <row r="3682" spans="6:7" x14ac:dyDescent="0.35">
      <c r="F3682"/>
      <c r="G3682"/>
    </row>
    <row r="3683" spans="6:7" x14ac:dyDescent="0.35">
      <c r="F3683"/>
      <c r="G3683"/>
    </row>
    <row r="3684" spans="6:7" x14ac:dyDescent="0.35">
      <c r="F3684"/>
      <c r="G3684"/>
    </row>
    <row r="3685" spans="6:7" x14ac:dyDescent="0.35">
      <c r="F3685"/>
      <c r="G3685"/>
    </row>
    <row r="3686" spans="6:7" x14ac:dyDescent="0.35">
      <c r="F3686"/>
      <c r="G3686"/>
    </row>
    <row r="3687" spans="6:7" x14ac:dyDescent="0.35">
      <c r="F3687"/>
      <c r="G3687"/>
    </row>
    <row r="3688" spans="6:7" x14ac:dyDescent="0.35">
      <c r="F3688"/>
      <c r="G3688"/>
    </row>
    <row r="3689" spans="6:7" x14ac:dyDescent="0.35">
      <c r="F3689"/>
      <c r="G3689"/>
    </row>
    <row r="3690" spans="6:7" x14ac:dyDescent="0.35">
      <c r="F3690"/>
      <c r="G3690"/>
    </row>
    <row r="3691" spans="6:7" x14ac:dyDescent="0.35">
      <c r="F3691"/>
      <c r="G3691"/>
    </row>
    <row r="3692" spans="6:7" x14ac:dyDescent="0.35">
      <c r="F3692"/>
      <c r="G3692"/>
    </row>
    <row r="3693" spans="6:7" x14ac:dyDescent="0.35">
      <c r="F3693"/>
      <c r="G3693"/>
    </row>
    <row r="3694" spans="6:7" x14ac:dyDescent="0.35">
      <c r="F3694"/>
      <c r="G3694"/>
    </row>
    <row r="3695" spans="6:7" x14ac:dyDescent="0.35">
      <c r="F3695"/>
      <c r="G3695"/>
    </row>
    <row r="3696" spans="6:7" x14ac:dyDescent="0.35">
      <c r="F3696"/>
      <c r="G3696"/>
    </row>
    <row r="3697" spans="6:7" x14ac:dyDescent="0.35">
      <c r="F3697"/>
      <c r="G3697"/>
    </row>
    <row r="3698" spans="6:7" x14ac:dyDescent="0.35">
      <c r="F3698"/>
      <c r="G3698"/>
    </row>
    <row r="3699" spans="6:7" x14ac:dyDescent="0.35">
      <c r="F3699"/>
      <c r="G3699"/>
    </row>
    <row r="3700" spans="6:7" x14ac:dyDescent="0.35">
      <c r="F3700"/>
      <c r="G3700"/>
    </row>
    <row r="3701" spans="6:7" x14ac:dyDescent="0.35">
      <c r="F3701"/>
      <c r="G3701"/>
    </row>
    <row r="3702" spans="6:7" x14ac:dyDescent="0.35">
      <c r="F3702"/>
      <c r="G3702"/>
    </row>
    <row r="3703" spans="6:7" x14ac:dyDescent="0.35">
      <c r="F3703"/>
      <c r="G3703"/>
    </row>
    <row r="3704" spans="6:7" x14ac:dyDescent="0.35">
      <c r="F3704"/>
      <c r="G3704"/>
    </row>
    <row r="3705" spans="6:7" x14ac:dyDescent="0.35">
      <c r="F3705"/>
      <c r="G3705"/>
    </row>
    <row r="3706" spans="6:7" x14ac:dyDescent="0.35">
      <c r="F3706"/>
      <c r="G3706"/>
    </row>
    <row r="3707" spans="6:7" x14ac:dyDescent="0.35">
      <c r="F3707"/>
      <c r="G3707"/>
    </row>
    <row r="3708" spans="6:7" x14ac:dyDescent="0.35">
      <c r="F3708"/>
      <c r="G3708"/>
    </row>
    <row r="3709" spans="6:7" x14ac:dyDescent="0.35">
      <c r="F3709"/>
      <c r="G3709"/>
    </row>
    <row r="3710" spans="6:7" x14ac:dyDescent="0.35">
      <c r="F3710"/>
      <c r="G3710"/>
    </row>
    <row r="3711" spans="6:7" x14ac:dyDescent="0.35">
      <c r="F3711"/>
      <c r="G3711"/>
    </row>
    <row r="3712" spans="6:7" x14ac:dyDescent="0.35">
      <c r="F3712"/>
      <c r="G3712"/>
    </row>
    <row r="3713" spans="6:7" x14ac:dyDescent="0.35">
      <c r="F3713"/>
      <c r="G3713"/>
    </row>
    <row r="3714" spans="6:7" x14ac:dyDescent="0.35">
      <c r="F3714"/>
      <c r="G3714"/>
    </row>
    <row r="3715" spans="6:7" x14ac:dyDescent="0.35">
      <c r="F3715"/>
      <c r="G3715"/>
    </row>
    <row r="3716" spans="6:7" x14ac:dyDescent="0.35">
      <c r="F3716"/>
      <c r="G3716"/>
    </row>
    <row r="3717" spans="6:7" x14ac:dyDescent="0.35">
      <c r="F3717"/>
      <c r="G3717"/>
    </row>
    <row r="3718" spans="6:7" x14ac:dyDescent="0.35">
      <c r="F3718"/>
      <c r="G3718"/>
    </row>
    <row r="3719" spans="6:7" x14ac:dyDescent="0.35">
      <c r="F3719"/>
      <c r="G3719"/>
    </row>
    <row r="3720" spans="6:7" x14ac:dyDescent="0.35">
      <c r="F3720"/>
      <c r="G3720"/>
    </row>
    <row r="3721" spans="6:7" x14ac:dyDescent="0.35">
      <c r="F3721"/>
      <c r="G3721"/>
    </row>
    <row r="3722" spans="6:7" x14ac:dyDescent="0.35">
      <c r="F3722"/>
      <c r="G3722"/>
    </row>
    <row r="3723" spans="6:7" x14ac:dyDescent="0.35">
      <c r="F3723"/>
      <c r="G3723"/>
    </row>
    <row r="3724" spans="6:7" x14ac:dyDescent="0.35">
      <c r="F3724"/>
      <c r="G3724"/>
    </row>
    <row r="3725" spans="6:7" x14ac:dyDescent="0.35">
      <c r="F3725"/>
      <c r="G3725"/>
    </row>
    <row r="3726" spans="6:7" x14ac:dyDescent="0.35">
      <c r="F3726"/>
      <c r="G3726"/>
    </row>
    <row r="3727" spans="6:7" x14ac:dyDescent="0.35">
      <c r="F3727"/>
      <c r="G3727"/>
    </row>
    <row r="3728" spans="6:7" x14ac:dyDescent="0.35">
      <c r="F3728"/>
      <c r="G3728"/>
    </row>
    <row r="3729" spans="6:7" x14ac:dyDescent="0.35">
      <c r="F3729"/>
      <c r="G3729"/>
    </row>
    <row r="3730" spans="6:7" x14ac:dyDescent="0.35">
      <c r="F3730"/>
      <c r="G3730"/>
    </row>
    <row r="3731" spans="6:7" x14ac:dyDescent="0.35">
      <c r="F3731"/>
      <c r="G3731"/>
    </row>
    <row r="3732" spans="6:7" x14ac:dyDescent="0.35">
      <c r="F3732"/>
      <c r="G3732"/>
    </row>
    <row r="3733" spans="6:7" x14ac:dyDescent="0.35">
      <c r="F3733"/>
      <c r="G3733"/>
    </row>
    <row r="3734" spans="6:7" x14ac:dyDescent="0.35">
      <c r="F3734"/>
      <c r="G3734"/>
    </row>
    <row r="3735" spans="6:7" x14ac:dyDescent="0.35">
      <c r="F3735"/>
      <c r="G3735"/>
    </row>
    <row r="3736" spans="6:7" x14ac:dyDescent="0.35">
      <c r="F3736"/>
      <c r="G3736"/>
    </row>
    <row r="3737" spans="6:7" x14ac:dyDescent="0.35">
      <c r="F3737"/>
      <c r="G3737"/>
    </row>
    <row r="3738" spans="6:7" x14ac:dyDescent="0.35">
      <c r="F3738"/>
      <c r="G3738"/>
    </row>
    <row r="3739" spans="6:7" x14ac:dyDescent="0.35">
      <c r="F3739"/>
      <c r="G3739"/>
    </row>
    <row r="3740" spans="6:7" x14ac:dyDescent="0.35">
      <c r="F3740"/>
      <c r="G3740"/>
    </row>
    <row r="3741" spans="6:7" x14ac:dyDescent="0.35">
      <c r="F3741"/>
      <c r="G3741"/>
    </row>
    <row r="3742" spans="6:7" x14ac:dyDescent="0.35">
      <c r="F3742"/>
      <c r="G3742"/>
    </row>
    <row r="3743" spans="6:7" x14ac:dyDescent="0.35">
      <c r="F3743"/>
      <c r="G3743"/>
    </row>
    <row r="3744" spans="6:7" x14ac:dyDescent="0.35">
      <c r="F3744"/>
      <c r="G3744"/>
    </row>
    <row r="3745" spans="6:7" x14ac:dyDescent="0.35">
      <c r="F3745"/>
      <c r="G3745"/>
    </row>
    <row r="3746" spans="6:7" x14ac:dyDescent="0.35">
      <c r="F3746"/>
      <c r="G3746"/>
    </row>
    <row r="3747" spans="6:7" x14ac:dyDescent="0.35">
      <c r="F3747"/>
      <c r="G3747"/>
    </row>
    <row r="3748" spans="6:7" x14ac:dyDescent="0.35">
      <c r="F3748"/>
      <c r="G3748"/>
    </row>
    <row r="3749" spans="6:7" x14ac:dyDescent="0.35">
      <c r="F3749"/>
      <c r="G3749"/>
    </row>
    <row r="3750" spans="6:7" x14ac:dyDescent="0.35">
      <c r="F3750"/>
      <c r="G3750"/>
    </row>
    <row r="3751" spans="6:7" x14ac:dyDescent="0.35">
      <c r="F3751"/>
      <c r="G3751"/>
    </row>
    <row r="3752" spans="6:7" x14ac:dyDescent="0.35">
      <c r="F3752"/>
      <c r="G3752"/>
    </row>
    <row r="3753" spans="6:7" x14ac:dyDescent="0.35">
      <c r="F3753"/>
      <c r="G3753"/>
    </row>
    <row r="3754" spans="6:7" x14ac:dyDescent="0.35">
      <c r="F3754"/>
      <c r="G3754"/>
    </row>
    <row r="3755" spans="6:7" x14ac:dyDescent="0.35">
      <c r="F3755"/>
      <c r="G3755"/>
    </row>
    <row r="3756" spans="6:7" x14ac:dyDescent="0.35">
      <c r="F3756"/>
      <c r="G3756"/>
    </row>
    <row r="3757" spans="6:7" x14ac:dyDescent="0.35">
      <c r="F3757"/>
      <c r="G3757"/>
    </row>
    <row r="3758" spans="6:7" x14ac:dyDescent="0.35">
      <c r="F3758"/>
      <c r="G3758"/>
    </row>
    <row r="3759" spans="6:7" x14ac:dyDescent="0.35">
      <c r="F3759"/>
      <c r="G3759"/>
    </row>
    <row r="3760" spans="6:7" x14ac:dyDescent="0.35">
      <c r="F3760"/>
      <c r="G3760"/>
    </row>
    <row r="3761" spans="6:7" x14ac:dyDescent="0.35">
      <c r="F3761"/>
      <c r="G3761"/>
    </row>
    <row r="3762" spans="6:7" x14ac:dyDescent="0.35">
      <c r="F3762"/>
      <c r="G3762"/>
    </row>
    <row r="3763" spans="6:7" x14ac:dyDescent="0.35">
      <c r="F3763"/>
      <c r="G3763"/>
    </row>
    <row r="3764" spans="6:7" x14ac:dyDescent="0.35">
      <c r="F3764"/>
      <c r="G3764"/>
    </row>
    <row r="3765" spans="6:7" x14ac:dyDescent="0.35">
      <c r="F3765"/>
      <c r="G3765"/>
    </row>
    <row r="3766" spans="6:7" x14ac:dyDescent="0.35">
      <c r="F3766"/>
      <c r="G3766"/>
    </row>
    <row r="3767" spans="6:7" x14ac:dyDescent="0.35">
      <c r="F3767"/>
      <c r="G3767"/>
    </row>
    <row r="3768" spans="6:7" x14ac:dyDescent="0.35">
      <c r="F3768"/>
      <c r="G3768"/>
    </row>
    <row r="3769" spans="6:7" x14ac:dyDescent="0.35">
      <c r="F3769"/>
      <c r="G3769"/>
    </row>
    <row r="3770" spans="6:7" x14ac:dyDescent="0.35">
      <c r="F3770"/>
      <c r="G3770"/>
    </row>
    <row r="3771" spans="6:7" x14ac:dyDescent="0.35">
      <c r="F3771"/>
      <c r="G3771"/>
    </row>
    <row r="3772" spans="6:7" x14ac:dyDescent="0.35">
      <c r="F3772"/>
      <c r="G3772"/>
    </row>
    <row r="3773" spans="6:7" x14ac:dyDescent="0.35">
      <c r="F3773"/>
      <c r="G3773"/>
    </row>
    <row r="3774" spans="6:7" x14ac:dyDescent="0.35">
      <c r="F3774"/>
      <c r="G3774"/>
    </row>
    <row r="3775" spans="6:7" x14ac:dyDescent="0.35">
      <c r="F3775"/>
      <c r="G3775"/>
    </row>
    <row r="3776" spans="6:7" x14ac:dyDescent="0.35">
      <c r="F3776"/>
      <c r="G3776"/>
    </row>
    <row r="3777" spans="6:7" x14ac:dyDescent="0.35">
      <c r="F3777"/>
      <c r="G3777"/>
    </row>
    <row r="3778" spans="6:7" x14ac:dyDescent="0.35">
      <c r="F3778"/>
      <c r="G3778"/>
    </row>
    <row r="3779" spans="6:7" x14ac:dyDescent="0.35">
      <c r="F3779"/>
      <c r="G3779"/>
    </row>
    <row r="3780" spans="6:7" x14ac:dyDescent="0.35">
      <c r="F3780"/>
      <c r="G3780"/>
    </row>
    <row r="3781" spans="6:7" x14ac:dyDescent="0.35">
      <c r="F3781"/>
      <c r="G3781"/>
    </row>
    <row r="3782" spans="6:7" x14ac:dyDescent="0.35">
      <c r="F3782"/>
      <c r="G3782"/>
    </row>
    <row r="3783" spans="6:7" x14ac:dyDescent="0.35">
      <c r="F3783"/>
      <c r="G3783"/>
    </row>
    <row r="3784" spans="6:7" x14ac:dyDescent="0.35">
      <c r="F3784"/>
      <c r="G3784"/>
    </row>
    <row r="3785" spans="6:7" x14ac:dyDescent="0.35">
      <c r="F3785"/>
      <c r="G3785"/>
    </row>
    <row r="3786" spans="6:7" x14ac:dyDescent="0.35">
      <c r="F3786"/>
      <c r="G3786"/>
    </row>
    <row r="3787" spans="6:7" x14ac:dyDescent="0.35">
      <c r="F3787"/>
      <c r="G3787"/>
    </row>
    <row r="3788" spans="6:7" x14ac:dyDescent="0.35">
      <c r="F3788"/>
      <c r="G3788"/>
    </row>
    <row r="3789" spans="6:7" x14ac:dyDescent="0.35">
      <c r="F3789"/>
      <c r="G3789"/>
    </row>
    <row r="3790" spans="6:7" x14ac:dyDescent="0.35">
      <c r="F3790"/>
      <c r="G3790"/>
    </row>
    <row r="3791" spans="6:7" x14ac:dyDescent="0.35">
      <c r="F3791"/>
      <c r="G3791"/>
    </row>
    <row r="3792" spans="6:7" x14ac:dyDescent="0.35">
      <c r="F3792"/>
      <c r="G3792"/>
    </row>
    <row r="3793" spans="6:7" x14ac:dyDescent="0.35">
      <c r="F3793"/>
      <c r="G3793"/>
    </row>
    <row r="3794" spans="6:7" x14ac:dyDescent="0.35">
      <c r="F3794"/>
      <c r="G3794"/>
    </row>
    <row r="3795" spans="6:7" x14ac:dyDescent="0.35">
      <c r="F3795"/>
      <c r="G3795"/>
    </row>
    <row r="3796" spans="6:7" x14ac:dyDescent="0.35">
      <c r="F3796"/>
      <c r="G3796"/>
    </row>
    <row r="3797" spans="6:7" x14ac:dyDescent="0.35">
      <c r="F3797"/>
      <c r="G3797"/>
    </row>
    <row r="3798" spans="6:7" x14ac:dyDescent="0.35">
      <c r="F3798"/>
      <c r="G3798"/>
    </row>
    <row r="3799" spans="6:7" x14ac:dyDescent="0.35">
      <c r="F3799"/>
      <c r="G3799"/>
    </row>
    <row r="3800" spans="6:7" x14ac:dyDescent="0.35">
      <c r="F3800"/>
      <c r="G3800"/>
    </row>
    <row r="3801" spans="6:7" x14ac:dyDescent="0.35">
      <c r="F3801"/>
      <c r="G3801"/>
    </row>
    <row r="3802" spans="6:7" x14ac:dyDescent="0.35">
      <c r="F3802"/>
      <c r="G3802"/>
    </row>
    <row r="3803" spans="6:7" x14ac:dyDescent="0.35">
      <c r="F3803"/>
      <c r="G3803"/>
    </row>
    <row r="3804" spans="6:7" x14ac:dyDescent="0.35">
      <c r="F3804"/>
      <c r="G3804"/>
    </row>
    <row r="3805" spans="6:7" x14ac:dyDescent="0.35">
      <c r="F3805"/>
      <c r="G3805"/>
    </row>
    <row r="3806" spans="6:7" x14ac:dyDescent="0.35">
      <c r="F3806"/>
      <c r="G3806"/>
    </row>
    <row r="3807" spans="6:7" x14ac:dyDescent="0.35">
      <c r="F3807"/>
      <c r="G3807"/>
    </row>
    <row r="3808" spans="6:7" x14ac:dyDescent="0.35">
      <c r="F3808"/>
      <c r="G3808"/>
    </row>
    <row r="3809" spans="6:7" x14ac:dyDescent="0.35">
      <c r="F3809"/>
      <c r="G3809"/>
    </row>
    <row r="3810" spans="6:7" x14ac:dyDescent="0.35">
      <c r="F3810"/>
      <c r="G3810"/>
    </row>
    <row r="3811" spans="6:7" x14ac:dyDescent="0.35">
      <c r="F3811"/>
      <c r="G3811"/>
    </row>
    <row r="3812" spans="6:7" x14ac:dyDescent="0.35">
      <c r="F3812"/>
      <c r="G3812"/>
    </row>
    <row r="3813" spans="6:7" x14ac:dyDescent="0.35">
      <c r="F3813"/>
      <c r="G3813"/>
    </row>
    <row r="3814" spans="6:7" x14ac:dyDescent="0.35">
      <c r="F3814"/>
      <c r="G3814"/>
    </row>
    <row r="3815" spans="6:7" x14ac:dyDescent="0.35">
      <c r="F3815"/>
      <c r="G3815"/>
    </row>
    <row r="3816" spans="6:7" x14ac:dyDescent="0.35">
      <c r="F3816"/>
      <c r="G3816"/>
    </row>
    <row r="3817" spans="6:7" x14ac:dyDescent="0.35">
      <c r="F3817"/>
      <c r="G3817"/>
    </row>
    <row r="3818" spans="6:7" x14ac:dyDescent="0.35">
      <c r="F3818"/>
      <c r="G3818"/>
    </row>
    <row r="3819" spans="6:7" x14ac:dyDescent="0.35">
      <c r="F3819"/>
      <c r="G3819"/>
    </row>
    <row r="3820" spans="6:7" x14ac:dyDescent="0.35">
      <c r="F3820"/>
      <c r="G3820"/>
    </row>
    <row r="3821" spans="6:7" x14ac:dyDescent="0.35">
      <c r="F3821"/>
      <c r="G3821"/>
    </row>
    <row r="3822" spans="6:7" x14ac:dyDescent="0.35">
      <c r="F3822"/>
      <c r="G3822"/>
    </row>
    <row r="3823" spans="6:7" x14ac:dyDescent="0.35">
      <c r="F3823"/>
      <c r="G3823"/>
    </row>
    <row r="65257" spans="205:215" x14ac:dyDescent="0.35">
      <c r="HA65257" s="1">
        <f>IF(H5="","",VLOOKUP(H5,$GZ$65258:$HA$65270,2,FALSE))</f>
        <v>13</v>
      </c>
    </row>
    <row r="65258" spans="205:215" x14ac:dyDescent="0.35">
      <c r="GZ65258" s="26">
        <v>0.23</v>
      </c>
      <c r="HA65258" s="27">
        <v>15</v>
      </c>
      <c r="HD65258" t="s">
        <v>88</v>
      </c>
    </row>
    <row r="65259" spans="205:215" x14ac:dyDescent="0.35">
      <c r="GW65259" s="18"/>
      <c r="GZ65259" s="26">
        <v>0.22500000000000001</v>
      </c>
      <c r="HA65259" s="27">
        <v>16</v>
      </c>
      <c r="HC65259" s="28"/>
      <c r="HD65259" s="29" t="s">
        <v>89</v>
      </c>
      <c r="HE65259" s="30" t="s">
        <v>90</v>
      </c>
      <c r="HF65259" s="31">
        <v>0.19</v>
      </c>
      <c r="HG65259" s="31">
        <v>0.129</v>
      </c>
    </row>
    <row r="65260" spans="205:215" x14ac:dyDescent="0.35">
      <c r="GW65260" s="32">
        <v>1</v>
      </c>
      <c r="GX65260" s="33" t="s">
        <v>91</v>
      </c>
      <c r="GZ65260" s="26">
        <v>0.22</v>
      </c>
      <c r="HA65260" s="27">
        <v>5</v>
      </c>
      <c r="HC65260" s="34"/>
      <c r="HD65260" s="35" t="s">
        <v>92</v>
      </c>
      <c r="HE65260" s="36" t="s">
        <v>93</v>
      </c>
      <c r="HF65260" s="37">
        <v>0.19</v>
      </c>
      <c r="HG65260" s="37">
        <v>0.129</v>
      </c>
    </row>
    <row r="65261" spans="205:215" x14ac:dyDescent="0.35">
      <c r="GW65261" s="38">
        <v>1</v>
      </c>
      <c r="GX65261" s="39">
        <v>0.48</v>
      </c>
      <c r="GZ65261" s="26">
        <v>0.21</v>
      </c>
      <c r="HA65261" s="27">
        <v>6</v>
      </c>
      <c r="HC65261" s="28"/>
      <c r="HD65261" s="29" t="s">
        <v>94</v>
      </c>
      <c r="HE65261" s="30" t="s">
        <v>95</v>
      </c>
      <c r="HF65261" s="31">
        <v>0.2</v>
      </c>
      <c r="HG65261" s="31">
        <v>0.13980000000000001</v>
      </c>
    </row>
    <row r="65262" spans="205:215" x14ac:dyDescent="0.35">
      <c r="GW65262" s="40">
        <v>2</v>
      </c>
      <c r="GX65262" s="39">
        <v>0.35</v>
      </c>
      <c r="GZ65262" s="26">
        <v>0.20499999999999999</v>
      </c>
      <c r="HA65262" s="27">
        <v>7</v>
      </c>
      <c r="HC65262" s="28"/>
      <c r="HD65262" s="29" t="s">
        <v>96</v>
      </c>
      <c r="HE65262" s="30" t="s">
        <v>97</v>
      </c>
      <c r="HF65262" s="31">
        <v>0.18</v>
      </c>
      <c r="HG65262" s="31">
        <v>0.1183</v>
      </c>
    </row>
    <row r="65263" spans="205:215" x14ac:dyDescent="0.35">
      <c r="GW65263" s="41">
        <v>3</v>
      </c>
      <c r="GX65263" s="39">
        <v>0.4</v>
      </c>
      <c r="GZ65263" s="26">
        <v>0.2</v>
      </c>
      <c r="HA65263" s="27">
        <v>8</v>
      </c>
      <c r="HC65263" s="34"/>
      <c r="HD65263" s="35" t="s">
        <v>98</v>
      </c>
      <c r="HE65263" s="36" t="s">
        <v>99</v>
      </c>
      <c r="HF65263" s="37">
        <v>0.20499999999999999</v>
      </c>
      <c r="HG65263" s="37">
        <v>0.1452</v>
      </c>
    </row>
    <row r="65264" spans="205:215" x14ac:dyDescent="0.35">
      <c r="GW65264" s="41"/>
      <c r="GX65264" s="39"/>
      <c r="GZ65264" s="26">
        <v>0.19500000000000001</v>
      </c>
      <c r="HA65264" s="27">
        <v>9</v>
      </c>
      <c r="HC65264" s="34"/>
      <c r="HD65264" s="35" t="s">
        <v>100</v>
      </c>
      <c r="HE65264" s="36" t="s">
        <v>101</v>
      </c>
      <c r="HF65264" s="37">
        <v>0.2</v>
      </c>
      <c r="HG65264" s="37">
        <v>0.13980000000000001</v>
      </c>
    </row>
    <row r="65265" spans="205:215" x14ac:dyDescent="0.35">
      <c r="GW65265" s="25"/>
      <c r="GZ65265" s="26">
        <v>0.19</v>
      </c>
      <c r="HA65265" s="27">
        <v>10</v>
      </c>
      <c r="HC65265" s="42"/>
      <c r="HD65265" s="43" t="s">
        <v>102</v>
      </c>
      <c r="HE65265" s="44" t="s">
        <v>103</v>
      </c>
      <c r="HF65265" s="45">
        <v>0.2</v>
      </c>
      <c r="HG65265" s="45">
        <v>0.13980000000000001</v>
      </c>
    </row>
    <row r="65266" spans="205:215" x14ac:dyDescent="0.35">
      <c r="GW65266" s="25"/>
      <c r="GZ65266" s="26">
        <v>0.18</v>
      </c>
      <c r="HA65266" s="27">
        <v>11</v>
      </c>
      <c r="HC65266" s="46"/>
      <c r="HD65266" s="47" t="s">
        <v>104</v>
      </c>
      <c r="HE65266" s="48" t="s">
        <v>105</v>
      </c>
      <c r="HF65266" s="49">
        <v>0.17</v>
      </c>
      <c r="HG65266" s="49">
        <v>0.1075</v>
      </c>
    </row>
    <row r="65267" spans="205:215" x14ac:dyDescent="0.35">
      <c r="GW65267" s="25"/>
      <c r="GZ65267" s="26">
        <v>0.17499999999999999</v>
      </c>
      <c r="HA65267" s="27">
        <v>12</v>
      </c>
      <c r="HC65267" s="42"/>
      <c r="HD65267" s="43" t="s">
        <v>106</v>
      </c>
      <c r="HE65267" s="44" t="s">
        <v>107</v>
      </c>
      <c r="HF65267" s="45">
        <v>0.19</v>
      </c>
      <c r="HG65267" s="45">
        <v>0.129</v>
      </c>
    </row>
    <row r="65268" spans="205:215" x14ac:dyDescent="0.35">
      <c r="GZ65268" s="26">
        <v>0.17</v>
      </c>
      <c r="HA65268" s="27">
        <v>13</v>
      </c>
      <c r="HC65268" s="34" t="s">
        <v>108</v>
      </c>
      <c r="HD65268" s="35" t="s">
        <v>109</v>
      </c>
      <c r="HE65268" s="36" t="s">
        <v>110</v>
      </c>
      <c r="HF65268" s="37">
        <v>0.23</v>
      </c>
      <c r="HG65268" s="37">
        <v>0.17199999999999999</v>
      </c>
    </row>
    <row r="65269" spans="205:215" x14ac:dyDescent="0.35">
      <c r="GY65269">
        <f>19-12.83</f>
        <v>6.17</v>
      </c>
      <c r="GZ65269" s="26">
        <v>0.12</v>
      </c>
      <c r="HA65269" s="27">
        <v>14</v>
      </c>
      <c r="HB65269" s="50" t="str">
        <f>IF(HA65271=1,"P",IF(HA65271=2,"N"))</f>
        <v>P</v>
      </c>
      <c r="HC65269" s="46"/>
      <c r="HD65269" s="47" t="s">
        <v>111</v>
      </c>
      <c r="HE65269" s="48" t="s">
        <v>112</v>
      </c>
      <c r="HF65269" s="49">
        <v>0.18</v>
      </c>
      <c r="HG65269" s="49">
        <v>6.8199999999999997E-2</v>
      </c>
    </row>
    <row r="65270" spans="205:215" x14ac:dyDescent="0.35">
      <c r="GZ65270" s="51" t="s">
        <v>113</v>
      </c>
      <c r="HA65270" s="27">
        <v>4</v>
      </c>
      <c r="HB65270" s="50"/>
      <c r="HC65270" s="42"/>
      <c r="HD65270" s="43" t="s">
        <v>114</v>
      </c>
      <c r="HE65270" s="44" t="s">
        <v>115</v>
      </c>
      <c r="HF65270" s="45">
        <v>0.17</v>
      </c>
      <c r="HG65270" s="45">
        <v>0.1075</v>
      </c>
    </row>
    <row r="65271" spans="205:215" x14ac:dyDescent="0.35">
      <c r="GZ65271" s="51"/>
      <c r="HA65271" s="50">
        <v>1</v>
      </c>
      <c r="HC65271" s="42" t="s">
        <v>116</v>
      </c>
      <c r="HD65271" s="43" t="s">
        <v>117</v>
      </c>
      <c r="HE65271" s="44" t="s">
        <v>118</v>
      </c>
      <c r="HF65271" s="45">
        <v>0.17</v>
      </c>
      <c r="HG65271" s="45">
        <v>0.1075</v>
      </c>
    </row>
    <row r="65272" spans="205:215" x14ac:dyDescent="0.35">
      <c r="GY65272" s="50"/>
      <c r="HA65272" s="50"/>
      <c r="HC65272" s="28"/>
      <c r="HD65272" s="29" t="s">
        <v>119</v>
      </c>
      <c r="HE65272" s="30" t="s">
        <v>120</v>
      </c>
      <c r="HF65272" s="31">
        <v>0.19</v>
      </c>
      <c r="HG65272" s="31">
        <v>0.129</v>
      </c>
    </row>
    <row r="65273" spans="205:215" x14ac:dyDescent="0.35">
      <c r="GZ65273" s="52" t="s">
        <v>121</v>
      </c>
      <c r="HC65273" s="34"/>
      <c r="HD65273" s="35" t="s">
        <v>122</v>
      </c>
      <c r="HE65273" s="36" t="s">
        <v>123</v>
      </c>
      <c r="HF65273" s="37">
        <v>0.2</v>
      </c>
      <c r="HG65273" s="37">
        <v>0.13980000000000001</v>
      </c>
    </row>
    <row r="65274" spans="205:215" x14ac:dyDescent="0.35">
      <c r="GZ65274" s="52" t="s">
        <v>124</v>
      </c>
      <c r="HC65274" s="34"/>
      <c r="HD65274" s="35" t="s">
        <v>125</v>
      </c>
      <c r="HE65274" s="36" t="s">
        <v>126</v>
      </c>
      <c r="HF65274" s="37">
        <v>0.20499999999999999</v>
      </c>
      <c r="HG65274" s="37">
        <v>0.1452</v>
      </c>
    </row>
    <row r="65275" spans="205:215" x14ac:dyDescent="0.35">
      <c r="HC65275" s="34"/>
      <c r="HD65275" s="35" t="s">
        <v>127</v>
      </c>
      <c r="HE65275" s="36" t="s">
        <v>128</v>
      </c>
      <c r="HF65275" s="37">
        <v>0.22500000000000001</v>
      </c>
      <c r="HG65275" s="37">
        <v>0.16669999999999999</v>
      </c>
    </row>
    <row r="65276" spans="205:215" x14ac:dyDescent="0.35">
      <c r="HC65276" s="53" t="s">
        <v>129</v>
      </c>
      <c r="HD65276" s="54" t="s">
        <v>130</v>
      </c>
      <c r="HE65276" s="55" t="s">
        <v>131</v>
      </c>
      <c r="HF65276" s="56">
        <v>0.19500000000000001</v>
      </c>
      <c r="HG65276" s="56">
        <v>8.5199999999999998E-2</v>
      </c>
    </row>
    <row r="65277" spans="205:215" x14ac:dyDescent="0.35">
      <c r="HC65277" s="46"/>
      <c r="HD65277" s="47" t="s">
        <v>132</v>
      </c>
      <c r="HE65277" s="48" t="s">
        <v>133</v>
      </c>
      <c r="HF65277" s="49">
        <v>0.22</v>
      </c>
      <c r="HG65277" s="49">
        <v>0.11363636363636365</v>
      </c>
    </row>
    <row r="65278" spans="205:215" x14ac:dyDescent="0.35">
      <c r="HC65278" s="34"/>
      <c r="HD65278" s="35" t="s">
        <v>134</v>
      </c>
      <c r="HE65278" s="36" t="s">
        <v>135</v>
      </c>
      <c r="HF65278" s="37">
        <v>0.2</v>
      </c>
      <c r="HG65278" s="37">
        <v>0.13980000000000001</v>
      </c>
    </row>
    <row r="65279" spans="205:215" x14ac:dyDescent="0.35">
      <c r="HC65279" s="28" t="s">
        <v>136</v>
      </c>
      <c r="HD65279" s="29" t="s">
        <v>137</v>
      </c>
      <c r="HE65279" s="30" t="s">
        <v>138</v>
      </c>
      <c r="HF65279" s="31">
        <v>0.19500000000000001</v>
      </c>
      <c r="HG65279" s="31">
        <v>0.13439999999999999</v>
      </c>
    </row>
    <row r="65280" spans="205:215" x14ac:dyDescent="0.35">
      <c r="HC65280" s="28"/>
      <c r="HD65280" s="29" t="s">
        <v>139</v>
      </c>
      <c r="HE65280" s="30" t="s">
        <v>140</v>
      </c>
      <c r="HF65280" s="31">
        <v>0.2</v>
      </c>
      <c r="HG65280" s="31">
        <v>0.13980000000000001</v>
      </c>
    </row>
    <row r="65281" spans="6:215" x14ac:dyDescent="0.35">
      <c r="HC65281" s="53"/>
      <c r="HD65281" s="54" t="s">
        <v>141</v>
      </c>
      <c r="HE65281" s="55" t="s">
        <v>142</v>
      </c>
      <c r="HF65281" s="56">
        <v>0.17</v>
      </c>
      <c r="HG65281" s="56">
        <v>5.6800000000000003E-2</v>
      </c>
    </row>
    <row r="65282" spans="6:215" x14ac:dyDescent="0.35">
      <c r="HC65282" s="53"/>
      <c r="HD65282" s="54" t="s">
        <v>2</v>
      </c>
      <c r="HE65282" s="55" t="s">
        <v>143</v>
      </c>
      <c r="HF65282" s="56">
        <v>0.17</v>
      </c>
      <c r="HG65282" s="56">
        <v>5.6800000000000003E-2</v>
      </c>
    </row>
    <row r="65283" spans="6:215" x14ac:dyDescent="0.35">
      <c r="HC65283" s="34"/>
      <c r="HD65283" s="35" t="s">
        <v>144</v>
      </c>
      <c r="HE65283" s="36" t="s">
        <v>145</v>
      </c>
      <c r="HF65283" s="37">
        <v>0.19</v>
      </c>
      <c r="HG65283" s="37">
        <v>0.129</v>
      </c>
    </row>
    <row r="65284" spans="6:215" x14ac:dyDescent="0.35">
      <c r="HC65284" s="46" t="s">
        <v>146</v>
      </c>
      <c r="HD65284" s="47" t="s">
        <v>147</v>
      </c>
      <c r="HE65284" s="48" t="s">
        <v>148</v>
      </c>
      <c r="HF65284" s="49">
        <v>0.18</v>
      </c>
      <c r="HG65284" s="49">
        <v>0</v>
      </c>
    </row>
    <row r="65285" spans="6:215" x14ac:dyDescent="0.35">
      <c r="HC65285" s="28"/>
      <c r="HD65285" s="29" t="s">
        <v>149</v>
      </c>
      <c r="HE65285" s="30" t="s">
        <v>150</v>
      </c>
      <c r="HF65285" s="31">
        <v>0.2</v>
      </c>
      <c r="HG65285" s="31">
        <v>0.13980000000000001</v>
      </c>
    </row>
    <row r="65286" spans="6:215" x14ac:dyDescent="0.35">
      <c r="HD65286" s="29" t="s">
        <v>151</v>
      </c>
      <c r="HE65286" s="30" t="s">
        <v>152</v>
      </c>
      <c r="HF65286" s="31">
        <v>0.17</v>
      </c>
      <c r="HG65286" s="31">
        <v>0</v>
      </c>
    </row>
    <row r="65287" spans="6:215" x14ac:dyDescent="0.35">
      <c r="HD65287" s="29" t="s">
        <v>153</v>
      </c>
      <c r="HE65287" s="30" t="s">
        <v>154</v>
      </c>
      <c r="HF65287" s="31">
        <v>0.17</v>
      </c>
      <c r="HG65287" s="31">
        <v>5.6799999999999996E-2</v>
      </c>
    </row>
    <row r="65288" spans="6:215" x14ac:dyDescent="0.35">
      <c r="HD65288" s="29" t="s">
        <v>155</v>
      </c>
      <c r="HE65288" s="30" t="s">
        <v>156</v>
      </c>
      <c r="HF65288" s="31">
        <v>0.17</v>
      </c>
      <c r="HG65288" s="31">
        <v>0.09</v>
      </c>
    </row>
    <row r="65289" spans="6:215" x14ac:dyDescent="0.35">
      <c r="GY65289" s="51"/>
      <c r="HD65289" s="29" t="s">
        <v>155</v>
      </c>
      <c r="HE65289" s="30" t="s">
        <v>156</v>
      </c>
      <c r="HF65289" s="31">
        <v>0.17</v>
      </c>
      <c r="HG65289" s="31">
        <v>0.09</v>
      </c>
    </row>
    <row r="65295" spans="6:215" x14ac:dyDescent="0.35">
      <c r="F65295"/>
      <c r="G65295"/>
    </row>
    <row r="65296" spans="6:215" x14ac:dyDescent="0.35">
      <c r="F65296"/>
      <c r="G65296"/>
    </row>
    <row r="65297" spans="6:7" x14ac:dyDescent="0.35">
      <c r="F65297"/>
      <c r="G65297"/>
    </row>
    <row r="65298" spans="6:7" x14ac:dyDescent="0.35">
      <c r="F65298"/>
      <c r="G65298"/>
    </row>
    <row r="65299" spans="6:7" x14ac:dyDescent="0.35">
      <c r="F65299"/>
      <c r="G65299"/>
    </row>
    <row r="65300" spans="6:7" x14ac:dyDescent="0.35">
      <c r="F65300"/>
      <c r="G65300"/>
    </row>
    <row r="65301" spans="6:7" x14ac:dyDescent="0.35">
      <c r="F65301"/>
      <c r="G65301"/>
    </row>
    <row r="65302" spans="6:7" x14ac:dyDescent="0.35">
      <c r="F65302"/>
      <c r="G65302"/>
    </row>
    <row r="65303" spans="6:7" x14ac:dyDescent="0.35">
      <c r="F65303"/>
      <c r="G65303"/>
    </row>
    <row r="65304" spans="6:7" x14ac:dyDescent="0.35">
      <c r="F65304"/>
      <c r="G65304"/>
    </row>
    <row r="65305" spans="6:7" x14ac:dyDescent="0.35">
      <c r="F65305"/>
      <c r="G65305"/>
    </row>
    <row r="65306" spans="6:7" x14ac:dyDescent="0.35">
      <c r="F65306"/>
      <c r="G65306"/>
    </row>
    <row r="65307" spans="6:7" x14ac:dyDescent="0.35">
      <c r="F65307"/>
      <c r="G65307"/>
    </row>
    <row r="65308" spans="6:7" x14ac:dyDescent="0.35">
      <c r="F65308"/>
      <c r="G65308"/>
    </row>
    <row r="65309" spans="6:7" x14ac:dyDescent="0.35">
      <c r="F65309"/>
      <c r="G65309"/>
    </row>
    <row r="65310" spans="6:7" x14ac:dyDescent="0.35">
      <c r="F65310"/>
      <c r="G65310"/>
    </row>
    <row r="65311" spans="6:7" x14ac:dyDescent="0.35">
      <c r="F65311"/>
      <c r="G65311"/>
    </row>
    <row r="65312" spans="6:7" x14ac:dyDescent="0.35">
      <c r="F65312"/>
      <c r="G65312"/>
    </row>
    <row r="65313" spans="6:7" x14ac:dyDescent="0.35">
      <c r="F65313"/>
      <c r="G65313"/>
    </row>
    <row r="65314" spans="6:7" x14ac:dyDescent="0.35">
      <c r="F65314"/>
      <c r="G65314"/>
    </row>
    <row r="65315" spans="6:7" x14ac:dyDescent="0.35">
      <c r="F65315"/>
      <c r="G65315"/>
    </row>
    <row r="65316" spans="6:7" x14ac:dyDescent="0.35">
      <c r="F65316"/>
      <c r="G65316"/>
    </row>
    <row r="65317" spans="6:7" x14ac:dyDescent="0.35">
      <c r="F65317"/>
      <c r="G65317"/>
    </row>
    <row r="65318" spans="6:7" x14ac:dyDescent="0.35">
      <c r="F65318"/>
      <c r="G65318"/>
    </row>
    <row r="65319" spans="6:7" x14ac:dyDescent="0.35">
      <c r="F65319"/>
      <c r="G65319"/>
    </row>
    <row r="65320" spans="6:7" x14ac:dyDescent="0.35">
      <c r="F65320"/>
      <c r="G65320"/>
    </row>
    <row r="65321" spans="6:7" x14ac:dyDescent="0.35">
      <c r="F65321"/>
      <c r="G65321"/>
    </row>
    <row r="65322" spans="6:7" x14ac:dyDescent="0.35">
      <c r="F65322"/>
      <c r="G65322"/>
    </row>
    <row r="65323" spans="6:7" x14ac:dyDescent="0.35">
      <c r="F65323"/>
      <c r="G65323"/>
    </row>
    <row r="65324" spans="6:7" x14ac:dyDescent="0.35">
      <c r="F65324"/>
      <c r="G65324"/>
    </row>
    <row r="65325" spans="6:7" x14ac:dyDescent="0.35">
      <c r="F65325"/>
      <c r="G65325"/>
    </row>
    <row r="65326" spans="6:7" x14ac:dyDescent="0.35">
      <c r="F65326"/>
      <c r="G65326"/>
    </row>
    <row r="65327" spans="6:7" x14ac:dyDescent="0.35">
      <c r="F65327"/>
      <c r="G65327"/>
    </row>
    <row r="65328" spans="6:7" x14ac:dyDescent="0.35">
      <c r="F65328"/>
      <c r="G65328"/>
    </row>
    <row r="65329" spans="6:7" x14ac:dyDescent="0.35">
      <c r="F65329"/>
      <c r="G65329"/>
    </row>
    <row r="65330" spans="6:7" x14ac:dyDescent="0.35">
      <c r="F65330"/>
      <c r="G65330"/>
    </row>
    <row r="65331" spans="6:7" x14ac:dyDescent="0.35">
      <c r="F65331"/>
      <c r="G65331"/>
    </row>
    <row r="65332" spans="6:7" x14ac:dyDescent="0.35">
      <c r="F65332"/>
      <c r="G65332"/>
    </row>
    <row r="65333" spans="6:7" x14ac:dyDescent="0.35">
      <c r="F65333"/>
      <c r="G65333"/>
    </row>
    <row r="65334" spans="6:7" x14ac:dyDescent="0.35">
      <c r="F65334"/>
      <c r="G65334"/>
    </row>
    <row r="65335" spans="6:7" x14ac:dyDescent="0.35">
      <c r="F65335"/>
      <c r="G65335"/>
    </row>
    <row r="65336" spans="6:7" x14ac:dyDescent="0.35">
      <c r="F65336"/>
      <c r="G65336"/>
    </row>
    <row r="65337" spans="6:7" x14ac:dyDescent="0.35">
      <c r="F65337"/>
      <c r="G65337"/>
    </row>
    <row r="65338" spans="6:7" x14ac:dyDescent="0.35">
      <c r="F65338"/>
      <c r="G65338"/>
    </row>
    <row r="65339" spans="6:7" x14ac:dyDescent="0.35">
      <c r="F65339"/>
      <c r="G65339"/>
    </row>
    <row r="65340" spans="6:7" x14ac:dyDescent="0.35">
      <c r="F65340"/>
      <c r="G65340"/>
    </row>
    <row r="65341" spans="6:7" x14ac:dyDescent="0.35">
      <c r="F65341"/>
      <c r="G65341"/>
    </row>
    <row r="65342" spans="6:7" x14ac:dyDescent="0.35">
      <c r="F65342"/>
      <c r="G65342"/>
    </row>
    <row r="65343" spans="6:7" x14ac:dyDescent="0.35">
      <c r="F65343"/>
      <c r="G65343"/>
    </row>
    <row r="65344" spans="6:7" x14ac:dyDescent="0.35">
      <c r="F65344"/>
      <c r="G65344"/>
    </row>
    <row r="65345" spans="6:7" x14ac:dyDescent="0.35">
      <c r="F65345"/>
      <c r="G65345"/>
    </row>
    <row r="65346" spans="6:7" x14ac:dyDescent="0.35">
      <c r="F65346"/>
      <c r="G65346"/>
    </row>
    <row r="65347" spans="6:7" x14ac:dyDescent="0.35">
      <c r="F65347"/>
      <c r="G65347"/>
    </row>
    <row r="65348" spans="6:7" x14ac:dyDescent="0.35">
      <c r="F65348"/>
      <c r="G65348"/>
    </row>
    <row r="65349" spans="6:7" x14ac:dyDescent="0.35">
      <c r="F65349"/>
      <c r="G65349"/>
    </row>
    <row r="65350" spans="6:7" x14ac:dyDescent="0.35">
      <c r="F65350"/>
      <c r="G65350"/>
    </row>
    <row r="65351" spans="6:7" x14ac:dyDescent="0.35">
      <c r="F65351"/>
      <c r="G65351"/>
    </row>
    <row r="65352" spans="6:7" x14ac:dyDescent="0.35">
      <c r="F65352"/>
      <c r="G65352"/>
    </row>
    <row r="65353" spans="6:7" x14ac:dyDescent="0.35">
      <c r="F65353"/>
      <c r="G65353"/>
    </row>
    <row r="65354" spans="6:7" x14ac:dyDescent="0.35">
      <c r="F65354"/>
      <c r="G65354"/>
    </row>
    <row r="65355" spans="6:7" x14ac:dyDescent="0.35">
      <c r="F65355"/>
      <c r="G65355"/>
    </row>
    <row r="65356" spans="6:7" x14ac:dyDescent="0.35">
      <c r="F65356"/>
      <c r="G65356"/>
    </row>
    <row r="65357" spans="6:7" x14ac:dyDescent="0.35">
      <c r="F65357"/>
      <c r="G65357"/>
    </row>
    <row r="65358" spans="6:7" x14ac:dyDescent="0.35">
      <c r="F65358"/>
      <c r="G65358"/>
    </row>
    <row r="65359" spans="6:7" x14ac:dyDescent="0.35">
      <c r="F65359"/>
      <c r="G65359"/>
    </row>
    <row r="65360" spans="6:7" x14ac:dyDescent="0.35">
      <c r="F65360"/>
      <c r="G65360"/>
    </row>
  </sheetData>
  <mergeCells count="6">
    <mergeCell ref="I6:J6"/>
    <mergeCell ref="I3:J3"/>
    <mergeCell ref="B4:B5"/>
    <mergeCell ref="D4:E4"/>
    <mergeCell ref="I4:J4"/>
    <mergeCell ref="I5:J5"/>
  </mergeCells>
  <conditionalFormatting sqref="D9:D54">
    <cfRule type="cellIs" dxfId="3" priority="1" stopIfTrue="1" operator="equal">
      <formula>#REF!</formula>
    </cfRule>
    <cfRule type="cellIs" dxfId="2" priority="2" stopIfTrue="1" operator="equal">
      <formula>#REF!</formula>
    </cfRule>
    <cfRule type="cellIs" dxfId="1" priority="3" stopIfTrue="1" operator="equal">
      <formula>#REF!</formula>
    </cfRule>
  </conditionalFormatting>
  <conditionalFormatting sqref="I9:I54">
    <cfRule type="cellIs" dxfId="0" priority="4" stopIfTrue="1" operator="lessThan">
      <formula>#REF!</formula>
    </cfRule>
  </conditionalFormatting>
  <dataValidations count="19">
    <dataValidation type="list" allowBlank="1" showInputMessage="1" showErrorMessage="1" errorTitle="O VALOR NÃO É VÁLIDO" error="DIGITE A SIGLA OU SELECINE NA LISTA_x000a_" sqref="I4:J4" xr:uid="{33E8C807-DC8D-4FEC-BB26-6E0CC717D194}">
      <formula1>$HD$65259:$HD$65290</formula1>
    </dataValidation>
    <dataValidation type="custom" allowBlank="1" showInputMessage="1" showErrorMessage="1" sqref="D13:D14" xr:uid="{3E2EB833-2F41-4D39-B2C9-D90F95E10178}">
      <formula1>HA65258</formula1>
    </dataValidation>
    <dataValidation type="custom" allowBlank="1" showInputMessage="1" showErrorMessage="1" sqref="D22" xr:uid="{D83C6B4E-2783-42F0-9C14-0118E2FFD8FD}">
      <formula1>HA65287</formula1>
    </dataValidation>
    <dataValidation type="custom" allowBlank="1" showInputMessage="1" showErrorMessage="1" sqref="D20:D21" xr:uid="{5C200765-CE74-4233-8A75-3DF55567425B}">
      <formula1>HA65282</formula1>
    </dataValidation>
    <dataValidation type="custom" allowBlank="1" showInputMessage="1" showErrorMessage="1" sqref="D23:D26" xr:uid="{F6832E07-E1C1-40D0-8929-828AED4A7154}">
      <formula1>HA65290</formula1>
    </dataValidation>
    <dataValidation type="custom" allowBlank="1" showInputMessage="1" showErrorMessage="1" sqref="D27:D28" xr:uid="{969C92AA-E780-4F6A-BFFA-7BE0467D3525}">
      <formula1>HA65302</formula1>
    </dataValidation>
    <dataValidation type="custom" allowBlank="1" showInputMessage="1" showErrorMessage="1" sqref="D42:D48" xr:uid="{262ED5FB-3A6E-4844-9707-AE137E5256A2}">
      <formula1>HA65347</formula1>
    </dataValidation>
    <dataValidation type="custom" showInputMessage="1" showErrorMessage="1" errorTitle="NÃO.. É POSSÍVEL INICIAR " error="PRIMEIRO VOCÊ DEVE INFORMAR O ESTADO, NO CAMPO: UF DO CLIENTE..." sqref="B54 C51:C54 B9:C34 B35:B50 C36:C49" xr:uid="{43D5DD6A-8ACE-43AF-870E-792A5690E611}">
      <formula1>IF($I$4="",0,1)</formula1>
    </dataValidation>
    <dataValidation type="custom" allowBlank="1" showInputMessage="1" showErrorMessage="1" sqref="GW65262 D9:D12 D49 D51:D53" xr:uid="{49B02A43-F690-45C7-8C71-6B4F74895DCE}">
      <formula1>#REF!</formula1>
    </dataValidation>
    <dataValidation type="whole" operator="notEqual" showInputMessage="1" showErrorMessage="1" sqref="A5" xr:uid="{330555FF-25B1-4037-B26D-46E118176188}">
      <formula1>2</formula1>
    </dataValidation>
    <dataValidation type="custom" allowBlank="1" showInputMessage="1" showErrorMessage="1" sqref="D15" xr:uid="{2DE7D4EE-B821-4FE4-9362-E32BBF08F7A9}">
      <formula1>HA65265</formula1>
    </dataValidation>
    <dataValidation type="custom" allowBlank="1" showInputMessage="1" showErrorMessage="1" sqref="D18:D19" xr:uid="{8FDD0DD5-7DCF-4E85-A744-5F8AF04D741E}">
      <formula1>HA65273</formula1>
    </dataValidation>
    <dataValidation type="custom" allowBlank="1" showInputMessage="1" showErrorMessage="1" sqref="D38:D41" xr:uid="{2B6C64F0-9684-4506-9C4B-D44411E05EEB}">
      <formula1>HA65335</formula1>
    </dataValidation>
    <dataValidation type="custom" allowBlank="1" showInputMessage="1" showErrorMessage="1" sqref="D16:D17" xr:uid="{245407E4-1D8B-4FF0-A644-587C707712B1}">
      <formula1>HA65270</formula1>
    </dataValidation>
    <dataValidation type="custom" allowBlank="1" showInputMessage="1" showErrorMessage="1" sqref="D29:D31" xr:uid="{41D3A849-18FC-474A-836F-C99C607F67EC}">
      <formula1>HA65317</formula1>
    </dataValidation>
    <dataValidation type="custom" allowBlank="1" showInputMessage="1" showErrorMessage="1" sqref="D32:D33" xr:uid="{D4942283-13BA-4A25-A5C9-88D47D31B878}">
      <formula1>HA65322</formula1>
    </dataValidation>
    <dataValidation type="custom" allowBlank="1" showInputMessage="1" showErrorMessage="1" sqref="D36:D37" xr:uid="{F05973E3-A742-4C4D-8CA2-E1E6132F0E26}">
      <formula1>HA65329</formula1>
    </dataValidation>
    <dataValidation type="custom" allowBlank="1" showInputMessage="1" showErrorMessage="1" sqref="D34" xr:uid="{B7B769E2-78C7-45A2-8F75-24D07E6C864B}">
      <formula1>HA65328</formula1>
    </dataValidation>
    <dataValidation type="custom" allowBlank="1" showInputMessage="1" showErrorMessage="1" sqref="D35 D50" xr:uid="{1CC7D64F-1A51-47D8-BB21-5E4AC10BAE5A}">
      <formula1>GY65330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Atacado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Oscar - EMS</dc:creator>
  <cp:lastModifiedBy>Willian Oscar - EMS</cp:lastModifiedBy>
  <dcterms:created xsi:type="dcterms:W3CDTF">2025-06-03T12:13:20Z</dcterms:created>
  <dcterms:modified xsi:type="dcterms:W3CDTF">2026-07-06T19:33:38Z</dcterms:modified>
</cp:coreProperties>
</file>