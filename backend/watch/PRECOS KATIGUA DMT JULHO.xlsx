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aa2489783ba5ddf/Sacal/Ktg/Tabelas/"/>
    </mc:Choice>
  </mc:AlternateContent>
  <xr:revisionPtr revIDLastSave="130" documentId="8_{7ED5C21F-626C-4057-8E68-D873EAB4C570}" xr6:coauthVersionLast="47" xr6:coauthVersionMax="47" xr10:uidLastSave="{69D4FAE9-7784-40AE-8698-755C27EBFD54}"/>
  <bookViews>
    <workbookView xWindow="-108" yWindow="-108" windowWidth="23256" windowHeight="12456" xr2:uid="{00000000-000D-0000-FFFF-FFFF00000000}"/>
  </bookViews>
  <sheets>
    <sheet name="Tabela de Pedidos" sheetId="1" r:id="rId1"/>
    <sheet name="&gt;&gt;Matriz Importação Pedido&lt;&lt;" sheetId="2" r:id="rId2"/>
    <sheet name="Planilha1" sheetId="3" state="hidden" r:id="rId3"/>
  </sheets>
  <externalReferences>
    <externalReference r:id="rId4"/>
  </externalReferences>
  <definedNames>
    <definedName name="_xlnm._FilterDatabase" localSheetId="0" hidden="1">'Tabela de Pedidos'!$C$9:$P$241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11" i="1"/>
  <c r="N241" i="1"/>
  <c r="P241" i="1" s="1"/>
  <c r="N239" i="1"/>
  <c r="N204" i="1"/>
  <c r="N203" i="1"/>
  <c r="N202" i="1"/>
  <c r="N240" i="1"/>
  <c r="N238" i="1"/>
  <c r="N237" i="1"/>
  <c r="N11" i="1"/>
  <c r="N18" i="1"/>
  <c r="N23" i="1"/>
  <c r="P239" i="1" l="1"/>
  <c r="P204" i="1"/>
  <c r="P203" i="1"/>
  <c r="P240" i="1"/>
  <c r="P237" i="1"/>
  <c r="P238" i="1"/>
  <c r="P202" i="1"/>
  <c r="N235" i="1"/>
  <c r="P235" i="1" l="1"/>
  <c r="N234" i="1"/>
  <c r="N233" i="1"/>
  <c r="N232" i="1"/>
  <c r="N231" i="1"/>
  <c r="N230" i="1"/>
  <c r="N229" i="1"/>
  <c r="P229" i="1" l="1"/>
  <c r="P231" i="1"/>
  <c r="P232" i="1"/>
  <c r="P230" i="1"/>
  <c r="P233" i="1"/>
  <c r="P234" i="1"/>
  <c r="N177" i="1"/>
  <c r="N178" i="1"/>
  <c r="N179" i="1"/>
  <c r="N180" i="1"/>
  <c r="N176" i="1"/>
  <c r="N193" i="1"/>
  <c r="N191" i="1"/>
  <c r="N192" i="1"/>
  <c r="N194" i="1"/>
  <c r="N195" i="1"/>
  <c r="N196" i="1"/>
  <c r="N101" i="1"/>
  <c r="N102" i="1"/>
  <c r="N124" i="1"/>
  <c r="N125" i="1"/>
  <c r="N126" i="1"/>
  <c r="N127" i="1"/>
  <c r="N19" i="1"/>
  <c r="N20" i="1"/>
  <c r="P124" i="1" l="1"/>
  <c r="P191" i="1"/>
  <c r="P193" i="1"/>
  <c r="P177" i="1"/>
  <c r="P101" i="1"/>
  <c r="P19" i="1"/>
  <c r="P196" i="1"/>
  <c r="P192" i="1"/>
  <c r="P176" i="1"/>
  <c r="P180" i="1"/>
  <c r="P127" i="1"/>
  <c r="P195" i="1"/>
  <c r="P179" i="1"/>
  <c r="P125" i="1"/>
  <c r="P102" i="1"/>
  <c r="P20" i="1"/>
  <c r="P126" i="1"/>
  <c r="P194" i="1"/>
  <c r="P178" i="1"/>
  <c r="N130" i="1"/>
  <c r="N118" i="1"/>
  <c r="N207" i="1" l="1"/>
  <c r="N208" i="1"/>
  <c r="N209" i="1"/>
  <c r="N210" i="1"/>
  <c r="N211" i="1"/>
  <c r="N212" i="1"/>
  <c r="N213" i="1"/>
  <c r="N214" i="1"/>
  <c r="N215" i="1"/>
  <c r="N216" i="1"/>
  <c r="N217" i="1"/>
  <c r="N183" i="1"/>
  <c r="N184" i="1"/>
  <c r="N185" i="1"/>
  <c r="N186" i="1"/>
  <c r="N187" i="1"/>
  <c r="N188" i="1"/>
  <c r="N189" i="1"/>
  <c r="N190" i="1"/>
  <c r="N197" i="1"/>
  <c r="N198" i="1"/>
  <c r="N199" i="1"/>
  <c r="N200" i="1"/>
  <c r="N201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2" i="1"/>
  <c r="N13" i="1"/>
  <c r="N14" i="1"/>
  <c r="N15" i="1"/>
  <c r="N16" i="1"/>
  <c r="N17" i="1"/>
  <c r="N21" i="1"/>
  <c r="N22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P118" i="1"/>
  <c r="N119" i="1"/>
  <c r="N120" i="1"/>
  <c r="N121" i="1"/>
  <c r="N122" i="1"/>
  <c r="N123" i="1"/>
  <c r="N128" i="1"/>
  <c r="N129" i="1"/>
  <c r="P130" i="1"/>
  <c r="N131" i="1"/>
  <c r="N132" i="1"/>
  <c r="N133" i="1"/>
  <c r="N134" i="1"/>
  <c r="N135" i="1"/>
  <c r="N136" i="1"/>
  <c r="N137" i="1"/>
  <c r="N138" i="1"/>
  <c r="N139" i="1"/>
  <c r="N219" i="1"/>
  <c r="N220" i="1"/>
  <c r="N221" i="1"/>
  <c r="N222" i="1"/>
  <c r="N223" i="1"/>
  <c r="N224" i="1"/>
  <c r="N225" i="1"/>
  <c r="N226" i="1"/>
  <c r="N227" i="1"/>
  <c r="N140" i="1"/>
  <c r="N141" i="1"/>
  <c r="N142" i="1"/>
  <c r="N143" i="1"/>
  <c r="P109" i="1" l="1"/>
  <c r="P94" i="1"/>
  <c r="P168" i="1"/>
  <c r="P123" i="1"/>
  <c r="P93" i="1"/>
  <c r="P155" i="1"/>
  <c r="P216" i="1"/>
  <c r="P122" i="1"/>
  <c r="P92" i="1"/>
  <c r="P66" i="1"/>
  <c r="P50" i="1"/>
  <c r="P174" i="1"/>
  <c r="P166" i="1"/>
  <c r="P159" i="1"/>
  <c r="P154" i="1"/>
  <c r="P148" i="1"/>
  <c r="P200" i="1"/>
  <c r="P187" i="1"/>
  <c r="P215" i="1"/>
  <c r="P136" i="1"/>
  <c r="P80" i="1"/>
  <c r="P23" i="1"/>
  <c r="P189" i="1"/>
  <c r="P135" i="1"/>
  <c r="P108" i="1"/>
  <c r="P51" i="1"/>
  <c r="P141" i="1"/>
  <c r="P115" i="1"/>
  <c r="P220" i="1"/>
  <c r="P133" i="1"/>
  <c r="P121" i="1"/>
  <c r="P114" i="1"/>
  <c r="P99" i="1"/>
  <c r="P91" i="1"/>
  <c r="P84" i="1"/>
  <c r="P78" i="1"/>
  <c r="P65" i="1"/>
  <c r="P49" i="1"/>
  <c r="P173" i="1"/>
  <c r="P165" i="1"/>
  <c r="P158" i="1"/>
  <c r="P153" i="1"/>
  <c r="P199" i="1"/>
  <c r="P186" i="1"/>
  <c r="P214" i="1"/>
  <c r="P209" i="1"/>
  <c r="P117" i="1"/>
  <c r="P217" i="1"/>
  <c r="P142" i="1"/>
  <c r="P116" i="1"/>
  <c r="P86" i="1"/>
  <c r="P59" i="1"/>
  <c r="P167" i="1"/>
  <c r="P149" i="1"/>
  <c r="P210" i="1"/>
  <c r="P134" i="1"/>
  <c r="P85" i="1"/>
  <c r="P140" i="1"/>
  <c r="P227" i="1"/>
  <c r="P219" i="1"/>
  <c r="P132" i="1"/>
  <c r="P120" i="1"/>
  <c r="P113" i="1"/>
  <c r="P106" i="1"/>
  <c r="P98" i="1"/>
  <c r="P90" i="1"/>
  <c r="P48" i="1"/>
  <c r="P40" i="1"/>
  <c r="P172" i="1"/>
  <c r="P164" i="1"/>
  <c r="P157" i="1"/>
  <c r="P147" i="1"/>
  <c r="P185" i="1"/>
  <c r="P213" i="1"/>
  <c r="P143" i="1"/>
  <c r="P222" i="1"/>
  <c r="P100" i="1"/>
  <c r="P160" i="1"/>
  <c r="P188" i="1"/>
  <c r="P221" i="1"/>
  <c r="P107" i="1"/>
  <c r="P226" i="1"/>
  <c r="P139" i="1"/>
  <c r="P131" i="1"/>
  <c r="P112" i="1"/>
  <c r="P105" i="1"/>
  <c r="P97" i="1"/>
  <c r="P89" i="1"/>
  <c r="P83" i="1"/>
  <c r="P47" i="1"/>
  <c r="P171" i="1"/>
  <c r="P163" i="1"/>
  <c r="P152" i="1"/>
  <c r="P146" i="1"/>
  <c r="P198" i="1"/>
  <c r="P212" i="1"/>
  <c r="P223" i="1"/>
  <c r="P156" i="1"/>
  <c r="P225" i="1"/>
  <c r="P104" i="1"/>
  <c r="P128" i="1"/>
  <c r="P87" i="1"/>
  <c r="P138" i="1"/>
  <c r="P119" i="1"/>
  <c r="P111" i="1"/>
  <c r="P96" i="1"/>
  <c r="P82" i="1"/>
  <c r="P75" i="1"/>
  <c r="P70" i="1"/>
  <c r="P46" i="1"/>
  <c r="P15" i="1"/>
  <c r="P170" i="1"/>
  <c r="P162" i="1"/>
  <c r="P151" i="1"/>
  <c r="P197" i="1"/>
  <c r="P184" i="1"/>
  <c r="P208" i="1"/>
  <c r="P224" i="1"/>
  <c r="P137" i="1"/>
  <c r="P129" i="1"/>
  <c r="P110" i="1"/>
  <c r="P103" i="1"/>
  <c r="P95" i="1"/>
  <c r="P88" i="1"/>
  <c r="P81" i="1"/>
  <c r="P61" i="1"/>
  <c r="P24" i="1"/>
  <c r="P169" i="1"/>
  <c r="P161" i="1"/>
  <c r="P150" i="1"/>
  <c r="P201" i="1"/>
  <c r="P190" i="1"/>
  <c r="P183" i="1"/>
  <c r="P211" i="1"/>
  <c r="P207" i="1"/>
  <c r="P79" i="1"/>
  <c r="P77" i="1"/>
  <c r="P76" i="1"/>
  <c r="P74" i="1"/>
  <c r="P73" i="1"/>
  <c r="P72" i="1"/>
  <c r="P71" i="1"/>
  <c r="P69" i="1"/>
  <c r="P68" i="1"/>
  <c r="P67" i="1"/>
  <c r="P64" i="1"/>
  <c r="P63" i="1"/>
  <c r="P62" i="1"/>
  <c r="P60" i="1"/>
  <c r="P58" i="1"/>
  <c r="P57" i="1"/>
  <c r="P56" i="1"/>
  <c r="P55" i="1"/>
  <c r="P54" i="1"/>
  <c r="P53" i="1"/>
  <c r="P52" i="1"/>
  <c r="P44" i="1"/>
  <c r="P43" i="1"/>
  <c r="P42" i="1"/>
  <c r="P41" i="1"/>
  <c r="P45" i="1"/>
  <c r="P35" i="1"/>
  <c r="P38" i="1"/>
  <c r="P34" i="1"/>
  <c r="P36" i="1"/>
  <c r="P33" i="1"/>
  <c r="P31" i="1"/>
  <c r="P32" i="1"/>
  <c r="P39" i="1"/>
  <c r="P30" i="1"/>
  <c r="P37" i="1"/>
  <c r="P29" i="1"/>
  <c r="P28" i="1"/>
  <c r="P27" i="1"/>
  <c r="P26" i="1"/>
  <c r="P25" i="1"/>
  <c r="P22" i="1"/>
  <c r="P21" i="1"/>
  <c r="P18" i="1"/>
  <c r="P17" i="1"/>
  <c r="P16" i="1"/>
  <c r="P14" i="1"/>
  <c r="P13" i="1"/>
  <c r="P12" i="1"/>
  <c r="N206" i="1"/>
  <c r="P206" i="1" l="1"/>
  <c r="D5" i="2"/>
  <c r="F5" i="2"/>
  <c r="E5" i="2"/>
  <c r="D6" i="2"/>
  <c r="F6" i="2"/>
  <c r="E6" i="2"/>
  <c r="D7" i="2"/>
  <c r="F7" i="2"/>
  <c r="E7" i="2"/>
  <c r="D8" i="2"/>
  <c r="F8" i="2"/>
  <c r="E8" i="2"/>
  <c r="D9" i="2"/>
  <c r="F9" i="2"/>
  <c r="E9" i="2"/>
  <c r="D10" i="2"/>
  <c r="F10" i="2"/>
  <c r="E10" i="2"/>
  <c r="D11" i="2"/>
  <c r="F11" i="2"/>
  <c r="E11" i="2"/>
  <c r="D12" i="2"/>
  <c r="F12" i="2"/>
  <c r="E12" i="2"/>
  <c r="D13" i="2"/>
  <c r="F13" i="2"/>
  <c r="E13" i="2"/>
  <c r="D14" i="2"/>
  <c r="F14" i="2"/>
  <c r="E14" i="2"/>
  <c r="D15" i="2"/>
  <c r="F15" i="2"/>
  <c r="E15" i="2"/>
  <c r="D16" i="2"/>
  <c r="F16" i="2"/>
  <c r="E16" i="2"/>
  <c r="D17" i="2"/>
  <c r="F17" i="2"/>
  <c r="E17" i="2"/>
  <c r="D18" i="2"/>
  <c r="F18" i="2"/>
  <c r="E18" i="2"/>
  <c r="D19" i="2"/>
  <c r="F19" i="2"/>
  <c r="E19" i="2"/>
  <c r="D20" i="2"/>
  <c r="F20" i="2"/>
  <c r="E20" i="2"/>
  <c r="D21" i="2"/>
  <c r="F21" i="2"/>
  <c r="E21" i="2"/>
  <c r="D22" i="2"/>
  <c r="F22" i="2"/>
  <c r="E22" i="2"/>
  <c r="D23" i="2"/>
  <c r="F23" i="2"/>
  <c r="E23" i="2"/>
  <c r="D24" i="2"/>
  <c r="F24" i="2"/>
  <c r="E24" i="2"/>
  <c r="D25" i="2"/>
  <c r="F25" i="2"/>
  <c r="E25" i="2"/>
  <c r="D26" i="2"/>
  <c r="F26" i="2"/>
  <c r="E26" i="2"/>
  <c r="D27" i="2"/>
  <c r="F27" i="2"/>
  <c r="E27" i="2"/>
  <c r="D28" i="2"/>
  <c r="F28" i="2"/>
  <c r="E28" i="2"/>
  <c r="D29" i="2"/>
  <c r="F29" i="2"/>
  <c r="E29" i="2"/>
  <c r="D30" i="2"/>
  <c r="F30" i="2"/>
  <c r="E30" i="2"/>
  <c r="D31" i="2"/>
  <c r="F31" i="2"/>
  <c r="E31" i="2"/>
  <c r="D32" i="2"/>
  <c r="F32" i="2"/>
  <c r="E32" i="2"/>
  <c r="D33" i="2"/>
  <c r="F33" i="2"/>
  <c r="E33" i="2"/>
  <c r="D34" i="2"/>
  <c r="F34" i="2"/>
  <c r="E34" i="2"/>
  <c r="D35" i="2"/>
  <c r="F35" i="2"/>
  <c r="E35" i="2"/>
  <c r="D36" i="2"/>
  <c r="F36" i="2"/>
  <c r="E36" i="2"/>
  <c r="D37" i="2"/>
  <c r="F37" i="2"/>
  <c r="E37" i="2"/>
  <c r="D38" i="2"/>
  <c r="F38" i="2"/>
  <c r="E38" i="2"/>
  <c r="D39" i="2"/>
  <c r="F39" i="2"/>
  <c r="E39" i="2"/>
  <c r="D40" i="2"/>
  <c r="F40" i="2"/>
  <c r="E40" i="2"/>
  <c r="D41" i="2"/>
  <c r="F41" i="2"/>
  <c r="E41" i="2"/>
  <c r="D42" i="2"/>
  <c r="F42" i="2"/>
  <c r="E42" i="2"/>
  <c r="D43" i="2"/>
  <c r="F43" i="2"/>
  <c r="E43" i="2"/>
  <c r="D44" i="2"/>
  <c r="F44" i="2"/>
  <c r="E44" i="2"/>
  <c r="D45" i="2"/>
  <c r="F45" i="2"/>
  <c r="E45" i="2"/>
  <c r="D46" i="2"/>
  <c r="F46" i="2"/>
  <c r="E46" i="2"/>
  <c r="D47" i="2"/>
  <c r="F47" i="2"/>
  <c r="E47" i="2"/>
  <c r="D48" i="2"/>
  <c r="F48" i="2"/>
  <c r="E48" i="2"/>
  <c r="D49" i="2"/>
  <c r="F49" i="2"/>
  <c r="E49" i="2"/>
  <c r="D50" i="2"/>
  <c r="F50" i="2"/>
  <c r="E50" i="2"/>
  <c r="D51" i="2"/>
  <c r="F51" i="2"/>
  <c r="E51" i="2"/>
  <c r="D52" i="2"/>
  <c r="F52" i="2"/>
  <c r="E52" i="2"/>
  <c r="D53" i="2"/>
  <c r="F53" i="2"/>
  <c r="E53" i="2"/>
  <c r="D54" i="2"/>
  <c r="F54" i="2"/>
  <c r="E54" i="2"/>
  <c r="D55" i="2"/>
  <c r="F55" i="2"/>
  <c r="E55" i="2"/>
  <c r="D56" i="2"/>
  <c r="F56" i="2"/>
  <c r="E56" i="2"/>
  <c r="D57" i="2"/>
  <c r="F57" i="2"/>
  <c r="E57" i="2"/>
  <c r="D58" i="2"/>
  <c r="F58" i="2"/>
  <c r="E58" i="2"/>
  <c r="D59" i="2"/>
  <c r="F59" i="2"/>
  <c r="E59" i="2"/>
  <c r="D60" i="2"/>
  <c r="F60" i="2"/>
  <c r="E60" i="2"/>
  <c r="D61" i="2"/>
  <c r="F61" i="2"/>
  <c r="E61" i="2"/>
  <c r="D62" i="2"/>
  <c r="F62" i="2"/>
  <c r="E62" i="2"/>
  <c r="D63" i="2"/>
  <c r="F63" i="2"/>
  <c r="E63" i="2"/>
  <c r="D64" i="2"/>
  <c r="F64" i="2"/>
  <c r="E64" i="2"/>
  <c r="D65" i="2"/>
  <c r="F65" i="2"/>
  <c r="E65" i="2"/>
  <c r="D66" i="2"/>
  <c r="F66" i="2"/>
  <c r="E66" i="2"/>
  <c r="D67" i="2"/>
  <c r="F67" i="2"/>
  <c r="E67" i="2"/>
  <c r="D68" i="2"/>
  <c r="F68" i="2"/>
  <c r="E68" i="2"/>
  <c r="D69" i="2"/>
  <c r="F69" i="2"/>
  <c r="E69" i="2"/>
  <c r="D70" i="2"/>
  <c r="F70" i="2"/>
  <c r="E70" i="2"/>
  <c r="D71" i="2"/>
  <c r="F71" i="2"/>
  <c r="E71" i="2"/>
  <c r="D72" i="2"/>
  <c r="F72" i="2"/>
  <c r="E72" i="2"/>
  <c r="D73" i="2"/>
  <c r="F73" i="2"/>
  <c r="E73" i="2"/>
  <c r="D74" i="2"/>
  <c r="F74" i="2"/>
  <c r="E74" i="2"/>
  <c r="D75" i="2"/>
  <c r="F75" i="2"/>
  <c r="E75" i="2"/>
  <c r="D76" i="2"/>
  <c r="F76" i="2"/>
  <c r="E76" i="2"/>
  <c r="D77" i="2"/>
  <c r="F77" i="2"/>
  <c r="E77" i="2"/>
  <c r="D78" i="2"/>
  <c r="F78" i="2"/>
  <c r="E78" i="2"/>
  <c r="E4" i="2"/>
  <c r="F4" i="2"/>
  <c r="D4" i="2"/>
  <c r="N182" i="1"/>
  <c r="N145" i="1"/>
  <c r="P145" i="1" l="1"/>
  <c r="P182" i="1"/>
  <c r="P11" i="1" l="1"/>
  <c r="O6" i="1" s="1"/>
</calcChain>
</file>

<file path=xl/sharedStrings.xml><?xml version="1.0" encoding="utf-8"?>
<sst xmlns="http://schemas.openxmlformats.org/spreadsheetml/2006/main" count="867" uniqueCount="336">
  <si>
    <t>Cod</t>
  </si>
  <si>
    <t>Produto</t>
  </si>
  <si>
    <t>Cx Padrão</t>
  </si>
  <si>
    <t>Apresentação</t>
  </si>
  <si>
    <t>NCM</t>
  </si>
  <si>
    <t>EAN</t>
  </si>
  <si>
    <t>PSC</t>
  </si>
  <si>
    <t>Preço Fábrica</t>
  </si>
  <si>
    <t>FRASCO 60CAPS</t>
  </si>
  <si>
    <t>CALCIGEL MDK 750MG 60CAPS</t>
  </si>
  <si>
    <t>COGMED 60CAPS</t>
  </si>
  <si>
    <t>FRASCO 30CAPS</t>
  </si>
  <si>
    <t>DILATAFLUX 560MG 60CAPS</t>
  </si>
  <si>
    <t>GLICOPREV 500MG 60CAPS</t>
  </si>
  <si>
    <t>MENOTATINA 500MG 60CAPS</t>
  </si>
  <si>
    <t>CALMORELAX 500MG 60CAPS</t>
  </si>
  <si>
    <t>FRASCO 120CAPS</t>
  </si>
  <si>
    <t>MELATONINA + B6 210MCG 240CAPS</t>
  </si>
  <si>
    <t>FRASCO 240CAPS</t>
  </si>
  <si>
    <t>16 SACHES X 5G</t>
  </si>
  <si>
    <t>MEN 40 POTENCY 500MG 30CAPS</t>
  </si>
  <si>
    <t>MEN 40 PROTEC 640MG 60CAPS</t>
  </si>
  <si>
    <t>MEN 40 VIKING 500MG 30CAPS</t>
  </si>
  <si>
    <t>TESTOGERON  500MG 60CAPS</t>
  </si>
  <si>
    <t>CICLOALIVE 1000MG 30CAPS</t>
  </si>
  <si>
    <t>FORTEGESTAN 650MG 30CAPS</t>
  </si>
  <si>
    <t>LIBIDELA 500MG 30CAPS</t>
  </si>
  <si>
    <t>PRIMULA MAX 1000MG 60CAPS</t>
  </si>
  <si>
    <t xml:space="preserve">LIPOSALINA 500MG 60CAPS </t>
  </si>
  <si>
    <t>PÓ 275G</t>
  </si>
  <si>
    <t>TRI COL. VERIS+TIPOII+HIDR 275G LIMAO</t>
  </si>
  <si>
    <t>TRI COL. VERIS+TIPOII+HIDR 275G NATURAL</t>
  </si>
  <si>
    <t>OMEGA 3 TRIPLA FONTE 1000MG 60CAPS</t>
  </si>
  <si>
    <t>OMEGA 3 TRIPLA FONTE 1000MG 120CAPS</t>
  </si>
  <si>
    <t>OMEGA 3 TRIPLA FONTE 1000MG 180CAPS</t>
  </si>
  <si>
    <t>FRASCO 180CAPS</t>
  </si>
  <si>
    <t>OMEGA 3 TRIPLA FONTE 1000MG 240CAPS</t>
  </si>
  <si>
    <t>CHIA CART COCO 1000MG 60CAPS</t>
  </si>
  <si>
    <t>LICOPENO MAX 60CAPS</t>
  </si>
  <si>
    <t>OLEO DE ABACATE 1000MG 60CAPS</t>
  </si>
  <si>
    <t>OLEO DE ALHO 60CAPS</t>
  </si>
  <si>
    <t xml:space="preserve">OLEO DE CARTAMO 1000MG 60CAPS </t>
  </si>
  <si>
    <t xml:space="preserve">OLEO DE CHIA 1000MG 60CAPS </t>
  </si>
  <si>
    <t xml:space="preserve">OLEO DE COCO 1000MG 60CAPS </t>
  </si>
  <si>
    <t xml:space="preserve">OLEO DE LINHACA1000MG 60CAPS </t>
  </si>
  <si>
    <t>OLEO DE PRIMULA 60CAPS</t>
  </si>
  <si>
    <t>OLEO DE SEMENTE DE ABOBORA 1000G 120CAPS</t>
  </si>
  <si>
    <t xml:space="preserve">OLEO DE SEMENTE DE ABOBORA 1000G 60CAPS </t>
  </si>
  <si>
    <t>CALCIO MDK 750MG 60CAPS</t>
  </si>
  <si>
    <t>CLORETO DE MAGNESIO 120CAPS</t>
  </si>
  <si>
    <t>CLORETO DE MAGNESIO 60CAPS</t>
  </si>
  <si>
    <t>COENZIMA Q10 60CAPS</t>
  </si>
  <si>
    <t>CURCUMA 30CAPS</t>
  </si>
  <si>
    <t>GUARANA 60CAPS</t>
  </si>
  <si>
    <t>LICOPENO DE TOMATE + SELENIO 60CAPS</t>
  </si>
  <si>
    <t>PICOLINATO DE CROMO 30CAPS</t>
  </si>
  <si>
    <t>BCAA SPORTS 120CAPS</t>
  </si>
  <si>
    <t>BORO + ZMA SPORTS 60CAPS</t>
  </si>
  <si>
    <t>CAFFEINE SPORTS 60CAPS</t>
  </si>
  <si>
    <t>DILATAFLUX SPORTS 60CAPS</t>
  </si>
  <si>
    <t>TESTOGERON SPORTS 60CAPS</t>
  </si>
  <si>
    <t>FRASCO 60 CAPS</t>
  </si>
  <si>
    <t>CARTUCHO 30CAPS</t>
  </si>
  <si>
    <t>Preço c/ Desc</t>
  </si>
  <si>
    <t>Quant</t>
  </si>
  <si>
    <t>Sub Total</t>
  </si>
  <si>
    <t xml:space="preserve">  Linha Naturais</t>
  </si>
  <si>
    <t>Cliente</t>
  </si>
  <si>
    <t>CNPJ</t>
  </si>
  <si>
    <t>Representante</t>
  </si>
  <si>
    <t>Prazo</t>
  </si>
  <si>
    <t>Desc</t>
  </si>
  <si>
    <t>Vlr Total do Pedido</t>
  </si>
  <si>
    <t>Desconto</t>
  </si>
  <si>
    <t>B12 9,94MCG ULTRA 60 GELCAPS</t>
  </si>
  <si>
    <t>CABELOS E UNHAS 60 CAPS</t>
  </si>
  <si>
    <t>FEMINITA 30 GELCAPS</t>
  </si>
  <si>
    <t>K2 149MCG + D3 2000UI MAX 30 GELCAPS</t>
  </si>
  <si>
    <t>K2 149MCG PLUS 30 GELCAPS</t>
  </si>
  <si>
    <t>SKIN HAIR &amp; NAILS 500MG 60CAPS</t>
  </si>
  <si>
    <t>COENZIMA Q10 + OMEGA 3 600MG 30CAPS</t>
  </si>
  <si>
    <t>COLAGENO TIPO II 400MG 90CAPS</t>
  </si>
  <si>
    <t>COLAGENO TIPO II 40MG 30CAPS</t>
  </si>
  <si>
    <t>MAGNESIO TRIPLA FONTE 500MG 60CAPS</t>
  </si>
  <si>
    <t>MEMORIA 1000MG 60CAPS</t>
  </si>
  <si>
    <t>OLEO DE SEM ABOBORA + VIT 500MG 60CAPS</t>
  </si>
  <si>
    <t>FRASCO 90CAPS</t>
  </si>
  <si>
    <t>CARTUCHO 60CAPS</t>
  </si>
  <si>
    <t>LARANJA MORO 60 CAPS</t>
  </si>
  <si>
    <t>OMEGA 3 6 9 60 CAPS 1000MG</t>
  </si>
  <si>
    <t>DORIDADE 60CAPS</t>
  </si>
  <si>
    <t>TRIMUNE 30 CAPS 500MG</t>
  </si>
  <si>
    <t>CARTUCHO 16 CAPS</t>
  </si>
  <si>
    <t>PÓ 240G</t>
  </si>
  <si>
    <t>Rótulos de Linha</t>
  </si>
  <si>
    <t>Total Geral</t>
  </si>
  <si>
    <t>Linha Farma</t>
  </si>
  <si>
    <t>Soma de Quant</t>
  </si>
  <si>
    <t xml:space="preserve">  Linha STD</t>
  </si>
  <si>
    <t>CARTUCHO 30CPR</t>
  </si>
  <si>
    <t>CURCUMA + PROPOLIS 30CAPS</t>
  </si>
  <si>
    <t>CONDRO-K COLAGENO TIPO II 30CAPS</t>
  </si>
  <si>
    <t>CONDRO-K COLAGENO TIPOII+CURCUMA FLEXFLAN 30CAPS</t>
  </si>
  <si>
    <t>CARTUCHO 90CAPS</t>
  </si>
  <si>
    <t>CURCUMA DOSE MAXIMA 30CAPS</t>
  </si>
  <si>
    <t>COENZIMA Q10 50MG 30CAPS</t>
  </si>
  <si>
    <t>DORIDADE EXTREME HMB+BETA-ALAN+COL 30CAP</t>
  </si>
  <si>
    <t>CAFFEINE SPORTS 100MG 120CAPS</t>
  </si>
  <si>
    <t>PÓ 120G</t>
  </si>
  <si>
    <t>PÓ 225G</t>
  </si>
  <si>
    <t>IODO 200% IDR 30CAPS</t>
  </si>
  <si>
    <t>METILFOLATO + VITAMINAS 30CAPS</t>
  </si>
  <si>
    <t>OMEGA 3 1000MG GESTAN 120CAPS MEG3</t>
  </si>
  <si>
    <t>FRASCO 60CPR</t>
  </si>
  <si>
    <t>FRASCO 30CPR</t>
  </si>
  <si>
    <t>LARANSIL LARANJA MORO 60CAPS</t>
  </si>
  <si>
    <t>LUXON 30CAPS</t>
  </si>
  <si>
    <t>VITAMINA D 2.000UI 30CAPS</t>
  </si>
  <si>
    <t>VITAMINA E 400MG SOFTGEL 30CAPS</t>
  </si>
  <si>
    <t>CALCIO + D3 + ZINCO 60CAPS</t>
  </si>
  <si>
    <t>TRIPTOFANO + MAGNESIO 60CAPS</t>
  </si>
  <si>
    <t>VITAMINA E 15MG 60CAPS SOFTGEL</t>
  </si>
  <si>
    <t>STD B12 30CAPS</t>
  </si>
  <si>
    <t>STD BIOTINA 30CAPS</t>
  </si>
  <si>
    <t>STD COMPLEXO B 30CAPS</t>
  </si>
  <si>
    <t>STD K2 65 MCG 30CAPS</t>
  </si>
  <si>
    <t>STD MELATONINA 210 MCG 30CAPS</t>
  </si>
  <si>
    <t>STD METILFOLATO + VITAMINAS 30CAPS</t>
  </si>
  <si>
    <t>STD PICOLINATO DE CROMO 30CAPS</t>
  </si>
  <si>
    <t>STD PROPOLIS PURO 30CAPS</t>
  </si>
  <si>
    <t>STD SULFATO FERROSO 30CAPS</t>
  </si>
  <si>
    <t>STD VITAMINA D3 2000UI 30CAPS</t>
  </si>
  <si>
    <t>STD VITAMINA E 15MG 30CAPS</t>
  </si>
  <si>
    <t>K2 120MCG 30 GELCAPS</t>
  </si>
  <si>
    <t>MB</t>
  </si>
  <si>
    <t>Sim</t>
  </si>
  <si>
    <t>BIOTINA DOSE MAX 500MG 60CAPS</t>
  </si>
  <si>
    <t>CARTUCHO60CAPS</t>
  </si>
  <si>
    <t>CARTUCHO 120CAPS</t>
  </si>
  <si>
    <t>CARTUCHO GOTAS</t>
  </si>
  <si>
    <t>COLAGENO VERIS+HIALU MELA/COCO 30 SACHES</t>
  </si>
  <si>
    <t>COLAGENO VERISOL+HIALU FRUT VER 30 SACHE</t>
  </si>
  <si>
    <t>COLAGENO VERISOL+VIT MAR/CAM/CAP 240G</t>
  </si>
  <si>
    <t>COLAGENO VERISOL+VIT MELA/COCO 240G</t>
  </si>
  <si>
    <t>CARTUCHO C/ 30 SACHES</t>
  </si>
  <si>
    <t>COLAGENO VERISOL + VITAMINAS 60CAPS</t>
  </si>
  <si>
    <t>COLAGENO VERISOL+VIT FRUT VERM 240G</t>
  </si>
  <si>
    <t>COLAGENO VERISOL+VIT PINK LIM 240G</t>
  </si>
  <si>
    <t>COLAGENO VERISOL+VIT TANG 240G</t>
  </si>
  <si>
    <t>ACETILCISTEINA 600MG+VIT C+D3+ZIN 16CAPS</t>
  </si>
  <si>
    <t xml:space="preserve">ACETILCISTEINA 600MGX5G 16 SACHES </t>
  </si>
  <si>
    <t>B12 9,94MCG ULTRA (METILCOBALAMINA) 60CAPS</t>
  </si>
  <si>
    <t>CALCIGEL OSSO CCM+D3+K2 500MG 30CPR</t>
  </si>
  <si>
    <t>CALMORELAX DUO 60CAPS</t>
  </si>
  <si>
    <t>CALMORELAX MELATONINA GTS 20ML MARACUJA</t>
  </si>
  <si>
    <t xml:space="preserve">COLAGENO VERISOL+HIALU LIMAO 30 SACHES </t>
  </si>
  <si>
    <t xml:space="preserve">COLAGENO VERISOL+HIALU MAR/CAM/CAP 30 SAC </t>
  </si>
  <si>
    <t xml:space="preserve">COLAGENO VERISOL+HIALU PINK LIM 30 SACHE </t>
  </si>
  <si>
    <t xml:space="preserve">COLAGENO VERISOL+HIALU TANG 30 SACHES </t>
  </si>
  <si>
    <t xml:space="preserve">COLAGENO VERIS+Q10/COCO 30 SACHES </t>
  </si>
  <si>
    <t xml:space="preserve">COLAGENO VERISOL+Q10 FRUT VER 30 SACHE </t>
  </si>
  <si>
    <t xml:space="preserve">COLAGENO VERISOL+Q10 LIMAO 30 SACHES </t>
  </si>
  <si>
    <t xml:space="preserve">COLAGENO VERISOL+Q10 MAR/CAM/CAP 30 SAC </t>
  </si>
  <si>
    <t xml:space="preserve">COLAGENO VERISOL+Q10 PINK LIM 30 SACHES </t>
  </si>
  <si>
    <t xml:space="preserve">COLAGENO VERISOL+Q10 TANG 30 SACHES </t>
  </si>
  <si>
    <t xml:space="preserve">COLAGENO VERISOL+VIT FRUT VER 30 SACHES </t>
  </si>
  <si>
    <t xml:space="preserve">COLAGENO VERISOL+VIT LIMAO 30 SACHES </t>
  </si>
  <si>
    <t xml:space="preserve">COLAGENO VERISOL+VIT MAR/CAM/CAP 30 SAC </t>
  </si>
  <si>
    <t xml:space="preserve">COLAGENO VERISOL+VIT MELA/COCO 30 SACHES </t>
  </si>
  <si>
    <t xml:space="preserve">COLAGENO VERISOL+VIT TANGERINA 30 SACHES </t>
  </si>
  <si>
    <t xml:space="preserve">COLAGENO VERISOL+VIT PINK LIM 30 SACHES </t>
  </si>
  <si>
    <t xml:space="preserve">COLAGENO VERISOL+VIT LIMAO 240G </t>
  </si>
  <si>
    <t xml:space="preserve">COMPLEXO B 8 VITAMINAS 60 CAPS </t>
  </si>
  <si>
    <t>CONDRO-K COLAGENO TIPO II 90CAPS</t>
  </si>
  <si>
    <t>CONDRO-K COMP CAL+MAG+TIPOII+K2+D3 60CAP</t>
  </si>
  <si>
    <t xml:space="preserve">CONDRO-K HIALU+MSM+TIPO II+VITS 60CAPS </t>
  </si>
  <si>
    <t>ACIDO FOLICO METILFOLATO + VIT 30CAPS</t>
  </si>
  <si>
    <t>ACIDO HIALURONICO 80MG + VIT 60CAPS</t>
  </si>
  <si>
    <t>BETACAROTENO DOSE MAXIMO 30CAPS</t>
  </si>
  <si>
    <t>CALCIO 1.2G + D3 + K2 60 CAPS</t>
  </si>
  <si>
    <t>CALCIO 1.2G 60 CAPS</t>
  </si>
  <si>
    <t>CONDRO K MOVE MSM+GLUC+COLAG+MAGN 60CAPS</t>
  </si>
  <si>
    <t>CONDRO-K ULTRA 30CAPS</t>
  </si>
  <si>
    <t>CONDRO K MUSCULAR COLAG+HMB 240G LIMAO</t>
  </si>
  <si>
    <t xml:space="preserve">COENZIMA Q10 100MG 30CAPS </t>
  </si>
  <si>
    <t xml:space="preserve">COENZIMA Q10 200MG 30CAPS </t>
  </si>
  <si>
    <t>CRANBERRY + VITAMINA C 30 SACHES</t>
  </si>
  <si>
    <t>CRANBERRY 30CAPS</t>
  </si>
  <si>
    <t>CRANBERRY EXTREME 1CAPS POR DIA 30CAPS</t>
  </si>
  <si>
    <t>CRANBERRY + BETA-GLUCANA IMUNO 30CAPS</t>
  </si>
  <si>
    <t xml:space="preserve">CURCUMA + MSM DOSE MAXIMA 60CAPS </t>
  </si>
  <si>
    <t>FLORATOX FOS FRUTOOLIGOSSACARIDEOS 225G</t>
  </si>
  <si>
    <t>FORTGESTAN COMPLETO 60CAPS</t>
  </si>
  <si>
    <t>FLORATOX PSYLLIUM 12 SACHES LARANJA</t>
  </si>
  <si>
    <t>FLORATOX PSYLLIUM 180G SABOR LARANJA</t>
  </si>
  <si>
    <t>FLORATOX PSYLLIUM 30 SACHES LARANJA</t>
  </si>
  <si>
    <t>FLORATOX FIBRAS 260G SABOR LARANJA</t>
  </si>
  <si>
    <t>CARTUCHO C/ 12 SACHES</t>
  </si>
  <si>
    <t>PÓ 180G</t>
  </si>
  <si>
    <t>PÓ 260G</t>
  </si>
  <si>
    <t>LIPOSALINA FIBRAS +ACIDO CLO. 225G LIM</t>
  </si>
  <si>
    <t>LIPOSALINA FIBRAS +ACIDO CLO. 30SAC LIM</t>
  </si>
  <si>
    <t>LUTEINA + ASTA + ZEAN + VITAMINAS 60CAPS</t>
  </si>
  <si>
    <t xml:space="preserve">MAGNESIO DIMALATO 210MG 60CAPS </t>
  </si>
  <si>
    <t>MAGNESIO DIMALATO + D3 + K2 60CAPS</t>
  </si>
  <si>
    <t>MAGNESIO DIMALATO + CURCUMA 210MG 60CAPS</t>
  </si>
  <si>
    <t>MAGNESIO QUELATO 210MG 60CAPS</t>
  </si>
  <si>
    <t>MAGNESIO TAURATO 84MG 60CAPS</t>
  </si>
  <si>
    <t xml:space="preserve">MAGNESIO TRIO DOSE MAXIMA 60CAPS </t>
  </si>
  <si>
    <t>MAGNESIO 5 FONTES DOSE MAXIMA 60CAPS</t>
  </si>
  <si>
    <t>MAGNESIO QUELATO 210MG+TRIP+MELAT 60CAPS</t>
  </si>
  <si>
    <t>MELATONINA + B6 210MCG 60CAPS</t>
  </si>
  <si>
    <t>MELATONINA + B6 210MCG 120CAPS</t>
  </si>
  <si>
    <t>MELATONINA + TRIPTOFANO 500MG 60CAPS</t>
  </si>
  <si>
    <t>MEN 40 FORCE 2300MG HMB+D3 30CPR</t>
  </si>
  <si>
    <t>MEN 40 IMUNO COLOSTRO 30CAPS</t>
  </si>
  <si>
    <t>MAGNESIO PREBIOTICO 240G SABOR LIMAO</t>
  </si>
  <si>
    <t xml:space="preserve">MSM DOSE MAXIMA 30CAPS </t>
  </si>
  <si>
    <t>FRASCO 180 CAPS</t>
  </si>
  <si>
    <t>OMEGA3 CONC MEG3 MEMORY 260/660 60CAPS</t>
  </si>
  <si>
    <t>OMEGA3 KIDS 60 PEIXINHOS</t>
  </si>
  <si>
    <t>FRASCO 90 CAPS</t>
  </si>
  <si>
    <t>STD MULTIVITAMINICO A Z 30CAPS</t>
  </si>
  <si>
    <t>STD MULTIVITAMINICO HOMEM 30CAPS</t>
  </si>
  <si>
    <t>STD MULTIVITAMINICO MULHER 30CAPS</t>
  </si>
  <si>
    <t>STD MULTIVITAMINICO GESTANTE 30CAPS</t>
  </si>
  <si>
    <t>STD MULTIVITAMINICO SENIOR 30CAPS</t>
  </si>
  <si>
    <t>STD ENERGIA + VITAMINAS 30CAPS</t>
  </si>
  <si>
    <t>CREATINA PURE MONOHIDRATADA 120G</t>
  </si>
  <si>
    <t>CREATINA PURE MONOHIDRATADA 240G</t>
  </si>
  <si>
    <t>BETA-ALANINA 300MG 120CAPS</t>
  </si>
  <si>
    <t>BETA-ALANINA 300MG 60CAPS</t>
  </si>
  <si>
    <t>BETA-ALANINA PO 120G</t>
  </si>
  <si>
    <t>CREATINA + BETA ALANINA 30 SACHES LIMAO</t>
  </si>
  <si>
    <t>CREATINA + BIOTINA 30 SACHES LIMAO</t>
  </si>
  <si>
    <t>CREATINA + MAGNESIO 30 SACHES LIMAO</t>
  </si>
  <si>
    <t>GLUTAMINA 150G</t>
  </si>
  <si>
    <t>GLUTAMINA 300G</t>
  </si>
  <si>
    <t>L-CARNITINA 120CAPS</t>
  </si>
  <si>
    <t>L-CARNITINA 60CAPS</t>
  </si>
  <si>
    <t>MACA PERUANA 300MG</t>
  </si>
  <si>
    <t>PÓ 150G</t>
  </si>
  <si>
    <t>PÓ 300G</t>
  </si>
  <si>
    <t>VITABOND COMPLETO BARIOMEGAS 30CAPS</t>
  </si>
  <si>
    <t>OMEGA3 CONC MEG3 540/360+ VIT. E 60CAPS</t>
  </si>
  <si>
    <t>OMEGA3 CONC MEG3 540/360+CURC 130MG 60CA</t>
  </si>
  <si>
    <t>OMEGA3 CONC MEG3 540/360+TIPOII 60CAPS</t>
  </si>
  <si>
    <t>OMEGA3 CONC MEG3 540/360+VIT E+Q10 60CAP</t>
  </si>
  <si>
    <t>OMEGA3 CONC MG3 540/360 AST+LUT+ZEA 60CA</t>
  </si>
  <si>
    <t>PINUS PINASTER 50MG 30CPR</t>
  </si>
  <si>
    <t>PINUS PINASTER 50MG 60CPR</t>
  </si>
  <si>
    <t>PROPOLIS VERDE 500MG 30CAPS</t>
  </si>
  <si>
    <t>TRIMUNE+VITC+D3+ZINCO+BETAGLUCANA 30CAPS</t>
  </si>
  <si>
    <t>VITABOND COMPLETO A-Z 60CAPS</t>
  </si>
  <si>
    <t>VITABOND COMPLETO MULHER 60CAPS</t>
  </si>
  <si>
    <t>VITABOND COMPLETO SENIOR 60CAPS</t>
  </si>
  <si>
    <t>VITABOND COMPLETO HOMEM 60CAPS</t>
  </si>
  <si>
    <t>VITABOND COMPLETO GESTANTE 60CAPS</t>
  </si>
  <si>
    <t>VITABOND COMPLETO CABELOS E UNHAS 60CAPS</t>
  </si>
  <si>
    <t>VITABOND MEG3 OMEGA SUPER CONC 60CAPS</t>
  </si>
  <si>
    <t>VITABOND COMPLETO ENERGIA 60CAPS</t>
  </si>
  <si>
    <t>VITAMINA C 1.000MG 30CPR</t>
  </si>
  <si>
    <t>ZINCO QUELATO DOSE MAXIMA 60CAPS</t>
  </si>
  <si>
    <t>BIOTINA DOSE MAX 500MG 30CAPS</t>
  </si>
  <si>
    <t>COLOSTRO BOVINO 30CAPS</t>
  </si>
  <si>
    <t xml:space="preserve">CRANBERRY 60CAPS </t>
  </si>
  <si>
    <t>HMB 2300MG 30CPR</t>
  </si>
  <si>
    <t>HMB 2300MG 90CPR</t>
  </si>
  <si>
    <t>MAGNESIO DIMALATO 60CAPS</t>
  </si>
  <si>
    <t>OMEGA3 540EPA 360DHA  1.000MG 60CAPS</t>
  </si>
  <si>
    <t>OMEGA3 540EPA 360DHA 1.000MG 120CAPS</t>
  </si>
  <si>
    <t>OMEGA3 540EPA 360DHA 1.000MG 180CAPS</t>
  </si>
  <si>
    <t>OMEGA3 540EPA 360DHA 1.000MG 240CAPS</t>
  </si>
  <si>
    <t>OMEGA3 632MG 540EPA 360DHA 60CAPS MEG3</t>
  </si>
  <si>
    <t>OMEGA3 632MG 540EPA 360DHA 120CAPS MEG3</t>
  </si>
  <si>
    <t>OMEGA3 632MG 540EPA 360DHA 240CAPS MEG3</t>
  </si>
  <si>
    <t>OMEGA3 PLUS CONC 1.5G EPA/DHA+VITE 90CAP</t>
  </si>
  <si>
    <t>PF</t>
  </si>
  <si>
    <t>C/ Desc</t>
  </si>
  <si>
    <t>Proposta</t>
  </si>
  <si>
    <t>OMEGA3 MEGA CONC 1.5G EPA/DHA+VITE 90CAP</t>
  </si>
  <si>
    <t>VITABOND COMPLETO BARIOMEGAS 60CAPS</t>
  </si>
  <si>
    <t>OMEGA 3 ALGAS CONC 705DHA 200EPA 60CAPS</t>
  </si>
  <si>
    <t>OMEGA 3 ALGAS CONC 705DHA 200EPA 90CAPS</t>
  </si>
  <si>
    <t>OMEGA 3 ALGAS PLUS 1200DHA 340EPA 60CAPS</t>
  </si>
  <si>
    <t>OMEGA 3 ALGAS PLUS 1200DHA 340EPA 90CAPS</t>
  </si>
  <si>
    <t>B12 MASTIG METIL DOSE MAX 60CPR</t>
  </si>
  <si>
    <t>B12 MASTIG METIL DOSE MAX 90CPR</t>
  </si>
  <si>
    <t>CREATINA + BETA ALANINA 15 SACHES LIMAO</t>
  </si>
  <si>
    <t>CREATINA + BIOTINA 15 SACHES LIMAO</t>
  </si>
  <si>
    <t>CREATINA + MAGNESIO 15 SACHES LIMAO</t>
  </si>
  <si>
    <t>CARTUCHO C/ 15 SACHES</t>
  </si>
  <si>
    <t>CREATINA CREAPURE 3G 30 SACHÊS</t>
  </si>
  <si>
    <t xml:space="preserve">  Linha Fast Pure</t>
  </si>
  <si>
    <t>FAST PURE B12 DOSE MAXIMA 20ML</t>
  </si>
  <si>
    <t>FAST PURE BIOTINA DOSE MAXIMA 20ML</t>
  </si>
  <si>
    <t>FAST PURE K2 + D3 DOSE MAXIMA 20ML</t>
  </si>
  <si>
    <t>FAST PURE MELATONINA + B6 20ML</t>
  </si>
  <si>
    <t>FAST PURE CROMO DOSE MAX 20ML</t>
  </si>
  <si>
    <t>CREATINA  + Q10 100MG 30 SACHES LIMAO</t>
  </si>
  <si>
    <t>(em branco)</t>
  </si>
  <si>
    <t>CREATINA + COLAGENO TIPO II 30 SACHES LIMAO</t>
  </si>
  <si>
    <t>Linha Vitabond</t>
  </si>
  <si>
    <t>TRANCEND A-Z 60CAPS</t>
  </si>
  <si>
    <t>TRANCEND CABELOS E UNHAS 60CAPS</t>
  </si>
  <si>
    <t>TRANCEND ENERGIA 60CAPS</t>
  </si>
  <si>
    <t>TRANCEND GESTANTE 60CAPS</t>
  </si>
  <si>
    <t>TRANCEND HOMEM 60CAPS</t>
  </si>
  <si>
    <t>TRANCEND MULHER 60CAPS</t>
  </si>
  <si>
    <t>TRANCEND SENIOR 60CAPS</t>
  </si>
  <si>
    <t>Linha Trancend</t>
  </si>
  <si>
    <t>CALCIO 500MG 60 CAPS</t>
  </si>
  <si>
    <t>MELATONINA LIPOSSOMADA 210MCG+B6 600CAPS</t>
  </si>
  <si>
    <t>MELAT LIPOSSOMADA+TRIPT 100MG+B6 60CAPS</t>
  </si>
  <si>
    <t>Tabela de Preços 2026</t>
  </si>
  <si>
    <t xml:space="preserve">  Linha KTG Performance</t>
  </si>
  <si>
    <t>MACA PERUANA 150G</t>
  </si>
  <si>
    <t>CESTO OMEGA3 540EPA 360DHA C/ 24 UND</t>
  </si>
  <si>
    <t>PACK OMEGA TRIPLA FONTE 120 CAPS C/ 3 UN</t>
  </si>
  <si>
    <t xml:space="preserve">DISPLAY VITABOND  C/ 25 UNDS </t>
  </si>
  <si>
    <t>DISPLAY MAGNESIO C/ 25 UNDS</t>
  </si>
  <si>
    <t>CESTÃO 24 POTES C/ 120 CAPS</t>
  </si>
  <si>
    <t>CARTUCHO 3 POTES C/ 120 CAPS</t>
  </si>
  <si>
    <t>DISPLAY 25 UNDS C/ 60 CAPS</t>
  </si>
  <si>
    <t>R$ 54,90 A UND</t>
  </si>
  <si>
    <t>Lançamentos Especiais 2026</t>
  </si>
  <si>
    <t>R$ 29,90 A UND</t>
  </si>
  <si>
    <t>MACA PERUANA CAPPUCCINO 150G</t>
  </si>
  <si>
    <t>MACA PERUANA CAPPUCCINO 300G</t>
  </si>
  <si>
    <t>DISPLAY FAST PURE C/ 20 UNDS</t>
  </si>
  <si>
    <t>DISPLAY 20 UNDS C/ GOTAS 20 ML</t>
  </si>
  <si>
    <t>R$ 26,90 A UND</t>
  </si>
  <si>
    <t>versão6.2026</t>
  </si>
  <si>
    <t>789871476****</t>
  </si>
  <si>
    <t>17**</t>
  </si>
  <si>
    <t>Estoque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</si>
</sst>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</font>
    <font>
      <b/>
      <sz val="11"/>
      <color theme="0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</font>
    <font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808080"/>
        <bgColor rgb="FFD9E1F2"/>
      </patternFill>
    </fill>
    <fill>
      <patternFill patternType="solid">
        <fgColor rgb="FFA5A5A5"/>
        <bgColor rgb="FF000000"/>
      </patternFill>
    </fill>
    <fill>
      <patternFill patternType="solid">
        <fgColor theme="5"/>
        <bgColor rgb="FFD9E1F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B0F4A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rgb="FFED7D31"/>
      </bottom>
      <diagonal/>
    </border>
    <border>
      <left/>
      <right/>
      <top style="thick">
        <color rgb="FFED7D3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medium">
        <color theme="5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0" fontId="0" fillId="0" borderId="0" xfId="1" applyNumberFormat="1" applyFont="1" applyAlignment="1">
      <alignment vertical="center"/>
    </xf>
    <xf numFmtId="10" fontId="3" fillId="4" borderId="1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0" fontId="3" fillId="4" borderId="0" xfId="1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3" fillId="4" borderId="0" xfId="0" applyFont="1" applyFill="1" applyAlignment="1">
      <alignment horizontal="left" vertical="center"/>
    </xf>
    <xf numFmtId="0" fontId="0" fillId="9" borderId="0" xfId="0" applyFill="1" applyAlignment="1">
      <alignment vertical="center"/>
    </xf>
    <xf numFmtId="1" fontId="5" fillId="6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9" fillId="9" borderId="12" xfId="0" applyFont="1" applyFill="1" applyBorder="1" applyAlignment="1">
      <alignment horizontal="center"/>
    </xf>
    <xf numFmtId="0" fontId="3" fillId="4" borderId="0" xfId="0" quotePrefix="1" applyFont="1" applyFill="1" applyAlignment="1">
      <alignment vertical="center"/>
    </xf>
    <xf numFmtId="0" fontId="11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left" vertical="center"/>
    </xf>
    <xf numFmtId="0" fontId="8" fillId="4" borderId="2" xfId="0" applyFont="1" applyFill="1" applyBorder="1" applyAlignment="1">
      <alignment vertical="center"/>
    </xf>
    <xf numFmtId="44" fontId="0" fillId="0" borderId="0" xfId="0" applyNumberFormat="1"/>
    <xf numFmtId="44" fontId="0" fillId="0" borderId="0" xfId="0" applyNumberFormat="1" applyAlignment="1">
      <alignment vertical="center"/>
    </xf>
    <xf numFmtId="0" fontId="11" fillId="8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10" fontId="4" fillId="5" borderId="3" xfId="1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0" fontId="4" fillId="5" borderId="0" xfId="1" applyNumberFormat="1" applyFont="1" applyFill="1" applyBorder="1" applyAlignment="1">
      <alignment horizontal="center" vertical="center"/>
    </xf>
    <xf numFmtId="0" fontId="5" fillId="11" borderId="0" xfId="0" applyFont="1" applyFill="1" applyAlignment="1">
      <alignment vertical="center"/>
    </xf>
    <xf numFmtId="10" fontId="12" fillId="5" borderId="3" xfId="1" applyNumberFormat="1" applyFont="1" applyFill="1" applyBorder="1" applyAlignment="1">
      <alignment horizontal="center" vertical="center"/>
    </xf>
    <xf numFmtId="1" fontId="4" fillId="11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/>
    </xf>
    <xf numFmtId="1" fontId="14" fillId="0" borderId="0" xfId="0" applyNumberFormat="1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4" fillId="5" borderId="0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 wrapText="1"/>
    </xf>
    <xf numFmtId="9" fontId="7" fillId="7" borderId="8" xfId="0" applyNumberFormat="1" applyFont="1" applyFill="1" applyBorder="1" applyAlignment="1">
      <alignment horizontal="center" vertical="center"/>
    </xf>
    <xf numFmtId="9" fontId="7" fillId="7" borderId="9" xfId="0" applyNumberFormat="1" applyFont="1" applyFill="1" applyBorder="1" applyAlignment="1">
      <alignment horizontal="center" vertical="center"/>
    </xf>
    <xf numFmtId="165" fontId="2" fillId="7" borderId="8" xfId="0" applyNumberFormat="1" applyFont="1" applyFill="1" applyBorder="1" applyAlignment="1">
      <alignment horizontal="center" vertical="center"/>
    </xf>
    <xf numFmtId="165" fontId="2" fillId="7" borderId="9" xfId="0" applyNumberFormat="1" applyFont="1" applyFill="1" applyBorder="1" applyAlignment="1">
      <alignment horizontal="center" vertical="center"/>
    </xf>
    <xf numFmtId="165" fontId="2" fillId="7" borderId="10" xfId="0" applyNumberFormat="1" applyFont="1" applyFill="1" applyBorder="1" applyAlignment="1">
      <alignment horizontal="center" vertical="center"/>
    </xf>
    <xf numFmtId="165" fontId="2" fillId="7" borderId="11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left" vertical="center"/>
    </xf>
    <xf numFmtId="0" fontId="5" fillId="6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2">
    <cellStyle name="Normal" xfId="0" builtinId="0"/>
    <cellStyle name="Porcentagem" xfId="1" builtinId="5"/>
  </cellStyles>
  <dxfs count="8"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colors>
    <mruColors>
      <color rgb="FFB0F4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198120</xdr:colOff>
      <xdr:row>0</xdr:row>
      <xdr:rowOff>144780</xdr:rowOff>
    </xdr:from>
    <xdr:to>
      <xdr:col>16</xdr:col>
      <xdr:colOff>34109</xdr:colOff>
      <xdr:row>3</xdr:row>
      <xdr:rowOff>3289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B4470DC-7AB8-039D-8D97-A6E570709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54740" y="144780"/>
          <a:ext cx="1634309" cy="4147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601980</xdr:colOff>
      <xdr:row>2</xdr:row>
      <xdr:rowOff>15240</xdr:rowOff>
    </xdr:from>
    <xdr:to>
      <xdr:col>12</xdr:col>
      <xdr:colOff>167640</xdr:colOff>
      <xdr:row>24</xdr:row>
      <xdr:rowOff>160020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AAB86A1F-191A-487B-F393-5ED5BE3905F6}"/>
            </a:ext>
          </a:extLst>
        </xdr:cNvPr>
        <xdr:cNvSpPr/>
      </xdr:nvSpPr>
      <xdr:spPr>
        <a:xfrm>
          <a:off x="6141720" y="381000"/>
          <a:ext cx="3223260" cy="4175760"/>
        </a:xfrm>
        <a:prstGeom prst="roundRect">
          <a:avLst>
            <a:gd name="adj" fmla="val 461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Depois de adicionar as quantidades desejadas para</a:t>
          </a:r>
          <a:r>
            <a:rPr lang="pt-BR" sz="1100" baseline="0"/>
            <a:t> o cliente e informar o CNPJ no campo específico, atualize a dinâmica.</a:t>
          </a:r>
        </a:p>
        <a:p>
          <a:pPr algn="l"/>
          <a:endParaRPr lang="pt-BR" sz="1100" baseline="0"/>
        </a:p>
        <a:p>
          <a:pPr algn="l"/>
          <a:r>
            <a:rPr lang="pt-BR" sz="1100" b="1" baseline="0"/>
            <a:t>Para atualização a dinâmica:</a:t>
          </a:r>
        </a:p>
        <a:p>
          <a:pPr algn="l"/>
          <a:r>
            <a:rPr lang="pt-BR" sz="1100" b="0" baseline="0"/>
            <a:t>1. Mova o cursos do mouse para na tabela da dinâmica;</a:t>
          </a:r>
        </a:p>
        <a:p>
          <a:pPr algn="l"/>
          <a:r>
            <a:rPr lang="pt-BR" sz="1100" b="0" baseline="0"/>
            <a:t>2. Em dados, clique em "Atualizar Tudo".</a:t>
          </a:r>
        </a:p>
        <a:p>
          <a:pPr algn="l"/>
          <a:r>
            <a:rPr lang="pt-BR" sz="1100" b="0" baseline="0"/>
            <a:t>3. Tabela atualizada.</a:t>
          </a:r>
        </a:p>
        <a:p>
          <a:pPr algn="l"/>
          <a:endParaRPr lang="pt-BR" sz="1100" b="0" baseline="0"/>
        </a:p>
        <a:p>
          <a:pPr algn="l"/>
          <a:r>
            <a:rPr lang="pt-BR" sz="1100" b="0" baseline="0"/>
            <a:t>Para preparar </a:t>
          </a:r>
        </a:p>
        <a:p>
          <a:pPr algn="l"/>
          <a:endParaRPr lang="pt-BR" sz="1100" b="0" baseline="0"/>
        </a:p>
        <a:p>
          <a:pPr algn="l"/>
          <a:endParaRPr lang="pt-BR" sz="1100" baseline="0"/>
        </a:p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jouhanysacal\AppData\Local\Packages\5319275A.WhatsAppDesktop_cv1g1gvanyjgm\LocalState\sessions\B9B505FA974D336522F6195E94A975FBD5E5296D\transfers\2026-27\ESTOQUE%2003.07_.xlsx" TargetMode="External"/><Relationship Id="rId1" Type="http://schemas.openxmlformats.org/officeDocument/2006/relationships/externalLinkPath" Target="file:///C:\Users\djouhanysacal\AppData\Local\Packages\5319275A.WhatsAppDesktop_cv1g1gvanyjgm\LocalState\sessions\B9B505FA974D336522F6195E94A975FBD5E5296D\transfers\2026-27\ESTOQUE%2003.07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1">
          <cell r="D1" t="str">
            <v>EAN (Código de Barras)</v>
          </cell>
          <cell r="F1" t="str">
            <v>ESTOQUE</v>
          </cell>
        </row>
        <row r="2">
          <cell r="D2">
            <v>7898714761507</v>
          </cell>
          <cell r="F2">
            <v>14363</v>
          </cell>
        </row>
        <row r="3">
          <cell r="D3">
            <v>7898714761347</v>
          </cell>
          <cell r="F3">
            <v>13768</v>
          </cell>
        </row>
        <row r="4">
          <cell r="D4">
            <v>7898714761699</v>
          </cell>
          <cell r="F4">
            <v>13270</v>
          </cell>
        </row>
        <row r="5">
          <cell r="D5">
            <v>7898714760449</v>
          </cell>
          <cell r="F5">
            <v>9289</v>
          </cell>
        </row>
        <row r="6">
          <cell r="D6">
            <v>7898714761088</v>
          </cell>
          <cell r="F6">
            <v>6708</v>
          </cell>
        </row>
        <row r="7">
          <cell r="D7">
            <v>7898714761491</v>
          </cell>
          <cell r="F7">
            <v>4268</v>
          </cell>
        </row>
        <row r="8">
          <cell r="D8">
            <v>7898330222123</v>
          </cell>
          <cell r="F8">
            <v>4036</v>
          </cell>
        </row>
        <row r="9">
          <cell r="D9">
            <v>7898714761644</v>
          </cell>
          <cell r="F9">
            <v>3840</v>
          </cell>
        </row>
        <row r="10">
          <cell r="D10">
            <v>7898714761750</v>
          </cell>
          <cell r="F10">
            <v>3789</v>
          </cell>
        </row>
        <row r="11">
          <cell r="D11">
            <v>7898714762702</v>
          </cell>
          <cell r="F11">
            <v>3088</v>
          </cell>
        </row>
        <row r="12">
          <cell r="D12">
            <v>7898714763679</v>
          </cell>
          <cell r="F12">
            <v>2854</v>
          </cell>
        </row>
        <row r="13">
          <cell r="D13">
            <v>7898330223762</v>
          </cell>
          <cell r="F13">
            <v>2652</v>
          </cell>
        </row>
        <row r="14">
          <cell r="D14">
            <v>7898714761941</v>
          </cell>
          <cell r="F14">
            <v>2594</v>
          </cell>
        </row>
        <row r="15">
          <cell r="D15">
            <v>7898714764034</v>
          </cell>
          <cell r="F15">
            <v>2495</v>
          </cell>
        </row>
        <row r="16">
          <cell r="D16">
            <v>7898714763150</v>
          </cell>
          <cell r="F16">
            <v>2304</v>
          </cell>
        </row>
        <row r="17">
          <cell r="D17">
            <v>7898714760784</v>
          </cell>
          <cell r="F17">
            <v>2184</v>
          </cell>
        </row>
        <row r="18">
          <cell r="D18">
            <v>7898714761620</v>
          </cell>
          <cell r="F18">
            <v>2102</v>
          </cell>
        </row>
        <row r="19">
          <cell r="D19">
            <v>7898714764232</v>
          </cell>
          <cell r="F19">
            <v>1974</v>
          </cell>
        </row>
        <row r="20">
          <cell r="D20">
            <v>7898714764201</v>
          </cell>
          <cell r="F20">
            <v>1968</v>
          </cell>
        </row>
        <row r="21">
          <cell r="D21">
            <v>7898714764164</v>
          </cell>
          <cell r="F21">
            <v>1956</v>
          </cell>
        </row>
        <row r="22">
          <cell r="D22">
            <v>7898714760661</v>
          </cell>
          <cell r="F22">
            <v>1882</v>
          </cell>
        </row>
        <row r="23">
          <cell r="D23">
            <v>7898714764058</v>
          </cell>
          <cell r="F23">
            <v>1838</v>
          </cell>
        </row>
        <row r="24">
          <cell r="D24">
            <v>7898714764157</v>
          </cell>
          <cell r="F24">
            <v>1812</v>
          </cell>
        </row>
        <row r="25">
          <cell r="D25">
            <v>7898714764225</v>
          </cell>
          <cell r="F25">
            <v>1788</v>
          </cell>
        </row>
        <row r="26">
          <cell r="D26">
            <v>7898714764188</v>
          </cell>
          <cell r="F26">
            <v>1758</v>
          </cell>
        </row>
        <row r="27">
          <cell r="D27">
            <v>7898714763730</v>
          </cell>
          <cell r="F27">
            <v>1612</v>
          </cell>
        </row>
        <row r="28">
          <cell r="D28">
            <v>7898714764195</v>
          </cell>
          <cell r="F28">
            <v>1560</v>
          </cell>
        </row>
        <row r="29">
          <cell r="D29">
            <v>7898714764171</v>
          </cell>
          <cell r="F29">
            <v>1518</v>
          </cell>
        </row>
        <row r="30">
          <cell r="D30">
            <v>7898714761767</v>
          </cell>
          <cell r="F30">
            <v>1512</v>
          </cell>
        </row>
        <row r="31">
          <cell r="D31">
            <v>7898714764140</v>
          </cell>
          <cell r="F31">
            <v>1476</v>
          </cell>
        </row>
        <row r="32">
          <cell r="D32">
            <v>7898714764126</v>
          </cell>
          <cell r="F32">
            <v>1447</v>
          </cell>
        </row>
        <row r="33">
          <cell r="D33">
            <v>7898714762344</v>
          </cell>
          <cell r="F33">
            <v>1357</v>
          </cell>
        </row>
        <row r="34">
          <cell r="D34">
            <v>7898714762924</v>
          </cell>
          <cell r="F34">
            <v>1320</v>
          </cell>
        </row>
        <row r="35">
          <cell r="D35">
            <v>7898714764218</v>
          </cell>
          <cell r="F35">
            <v>1278</v>
          </cell>
        </row>
        <row r="36">
          <cell r="D36">
            <v>7898714762535</v>
          </cell>
          <cell r="F36">
            <v>1236</v>
          </cell>
        </row>
        <row r="37">
          <cell r="D37">
            <v>7898714764041</v>
          </cell>
          <cell r="F37">
            <v>1231</v>
          </cell>
        </row>
        <row r="38">
          <cell r="D38">
            <v>7898714760401</v>
          </cell>
          <cell r="F38">
            <v>1224</v>
          </cell>
        </row>
        <row r="39">
          <cell r="D39">
            <v>7898714763006</v>
          </cell>
          <cell r="F39">
            <v>1188</v>
          </cell>
        </row>
        <row r="40">
          <cell r="D40">
            <v>7898714761019</v>
          </cell>
          <cell r="F40">
            <v>1163</v>
          </cell>
        </row>
        <row r="41">
          <cell r="D41">
            <v>7898714761712</v>
          </cell>
          <cell r="F41">
            <v>1140</v>
          </cell>
        </row>
        <row r="42">
          <cell r="D42">
            <v>7898714761927</v>
          </cell>
          <cell r="F42">
            <v>1104</v>
          </cell>
        </row>
        <row r="43">
          <cell r="D43">
            <v>7898714763754</v>
          </cell>
          <cell r="F43">
            <v>1056</v>
          </cell>
        </row>
        <row r="44">
          <cell r="D44">
            <v>7898714764133</v>
          </cell>
          <cell r="F44">
            <v>1014</v>
          </cell>
        </row>
        <row r="45">
          <cell r="D45">
            <v>7898714762900</v>
          </cell>
          <cell r="F45">
            <v>950</v>
          </cell>
        </row>
        <row r="46">
          <cell r="D46">
            <v>7898714763686</v>
          </cell>
          <cell r="F46">
            <v>876</v>
          </cell>
        </row>
        <row r="47">
          <cell r="D47">
            <v>7898714761859</v>
          </cell>
          <cell r="F47">
            <v>841</v>
          </cell>
        </row>
        <row r="48">
          <cell r="D48">
            <v>7898330223069</v>
          </cell>
          <cell r="F48">
            <v>780</v>
          </cell>
        </row>
        <row r="49">
          <cell r="D49">
            <v>7898714761521</v>
          </cell>
          <cell r="F49">
            <v>780</v>
          </cell>
        </row>
        <row r="50">
          <cell r="D50">
            <v>7898714761637</v>
          </cell>
          <cell r="F50">
            <v>755</v>
          </cell>
        </row>
        <row r="51">
          <cell r="D51">
            <v>7898714761606</v>
          </cell>
          <cell r="F51">
            <v>722</v>
          </cell>
        </row>
        <row r="52">
          <cell r="D52">
            <v>7898330221577</v>
          </cell>
          <cell r="F52">
            <v>684</v>
          </cell>
        </row>
        <row r="53">
          <cell r="D53">
            <v>7898714761880</v>
          </cell>
          <cell r="F53">
            <v>674</v>
          </cell>
        </row>
        <row r="54">
          <cell r="D54">
            <v>7898714763181</v>
          </cell>
          <cell r="F54">
            <v>672</v>
          </cell>
        </row>
        <row r="55">
          <cell r="D55">
            <v>7898714764256</v>
          </cell>
          <cell r="F55">
            <v>666</v>
          </cell>
        </row>
        <row r="56">
          <cell r="D56">
            <v>7898714763341</v>
          </cell>
          <cell r="F56">
            <v>663</v>
          </cell>
        </row>
        <row r="57">
          <cell r="D57">
            <v>7898714760999</v>
          </cell>
          <cell r="F57">
            <v>660</v>
          </cell>
        </row>
        <row r="58">
          <cell r="D58">
            <v>7898714763198</v>
          </cell>
          <cell r="F58">
            <v>620</v>
          </cell>
        </row>
        <row r="59">
          <cell r="D59">
            <v>7898714762337</v>
          </cell>
          <cell r="F59">
            <v>618</v>
          </cell>
        </row>
        <row r="60">
          <cell r="D60">
            <v>7898714762573</v>
          </cell>
          <cell r="F60">
            <v>612</v>
          </cell>
        </row>
        <row r="61">
          <cell r="D61">
            <v>7898714762993</v>
          </cell>
          <cell r="F61">
            <v>612</v>
          </cell>
        </row>
        <row r="62">
          <cell r="D62">
            <v>7898714763990</v>
          </cell>
          <cell r="F62">
            <v>571</v>
          </cell>
        </row>
        <row r="63">
          <cell r="D63">
            <v>7898714764065</v>
          </cell>
          <cell r="F63">
            <v>564</v>
          </cell>
        </row>
        <row r="64">
          <cell r="D64">
            <v>7898714760975</v>
          </cell>
          <cell r="F64">
            <v>552</v>
          </cell>
        </row>
        <row r="65">
          <cell r="D65">
            <v>7898714762115</v>
          </cell>
          <cell r="F65">
            <v>552</v>
          </cell>
        </row>
        <row r="66">
          <cell r="D66">
            <v>7898714763358</v>
          </cell>
          <cell r="F66">
            <v>546</v>
          </cell>
        </row>
        <row r="67">
          <cell r="D67">
            <v>7898714763174</v>
          </cell>
          <cell r="F67">
            <v>536</v>
          </cell>
        </row>
        <row r="68">
          <cell r="D68">
            <v>7898714764263</v>
          </cell>
          <cell r="F68">
            <v>532</v>
          </cell>
        </row>
        <row r="69">
          <cell r="D69">
            <v>7898714764003</v>
          </cell>
          <cell r="F69">
            <v>494</v>
          </cell>
        </row>
        <row r="70">
          <cell r="D70">
            <v>7898714760791</v>
          </cell>
          <cell r="F70">
            <v>492</v>
          </cell>
        </row>
        <row r="71">
          <cell r="D71">
            <v>7898714761835</v>
          </cell>
          <cell r="F71">
            <v>491</v>
          </cell>
        </row>
        <row r="72">
          <cell r="D72">
            <v>7898714762986</v>
          </cell>
          <cell r="F72">
            <v>480</v>
          </cell>
        </row>
        <row r="73">
          <cell r="D73">
            <v>7898330220440</v>
          </cell>
          <cell r="F73">
            <v>477</v>
          </cell>
        </row>
        <row r="74">
          <cell r="D74">
            <v>7898714764294</v>
          </cell>
          <cell r="F74">
            <v>468</v>
          </cell>
        </row>
        <row r="75">
          <cell r="D75">
            <v>7898714763211</v>
          </cell>
          <cell r="F75">
            <v>454</v>
          </cell>
        </row>
        <row r="76">
          <cell r="D76">
            <v>7898714764089</v>
          </cell>
          <cell r="F76">
            <v>432</v>
          </cell>
        </row>
        <row r="77">
          <cell r="D77">
            <v>7898714764119</v>
          </cell>
          <cell r="F77">
            <v>384</v>
          </cell>
        </row>
        <row r="78">
          <cell r="D78">
            <v>7898714760197</v>
          </cell>
          <cell r="F78">
            <v>356</v>
          </cell>
        </row>
        <row r="79">
          <cell r="D79">
            <v>7898714763228</v>
          </cell>
          <cell r="F79">
            <v>348</v>
          </cell>
        </row>
        <row r="80">
          <cell r="D80">
            <v>7898714764027</v>
          </cell>
          <cell r="F80">
            <v>348</v>
          </cell>
        </row>
        <row r="81">
          <cell r="D81">
            <v>7898714763013</v>
          </cell>
          <cell r="F81">
            <v>348</v>
          </cell>
        </row>
        <row r="82">
          <cell r="D82">
            <v>7898714764072</v>
          </cell>
          <cell r="F82">
            <v>324</v>
          </cell>
        </row>
        <row r="83">
          <cell r="D83">
            <v>7898714763280</v>
          </cell>
          <cell r="F83">
            <v>318</v>
          </cell>
        </row>
        <row r="84">
          <cell r="D84">
            <v>7898714762368</v>
          </cell>
          <cell r="F84">
            <v>288</v>
          </cell>
        </row>
        <row r="85">
          <cell r="D85">
            <v>7898714763143</v>
          </cell>
          <cell r="F85">
            <v>279</v>
          </cell>
        </row>
        <row r="86">
          <cell r="D86">
            <v>7898714763709</v>
          </cell>
          <cell r="F86">
            <v>276</v>
          </cell>
        </row>
        <row r="87">
          <cell r="D87">
            <v>7898714763426</v>
          </cell>
          <cell r="F87">
            <v>270</v>
          </cell>
        </row>
        <row r="88">
          <cell r="D88">
            <v>7898714761934</v>
          </cell>
          <cell r="F88">
            <v>264</v>
          </cell>
        </row>
        <row r="89">
          <cell r="D89">
            <v>7898714763402</v>
          </cell>
          <cell r="F89">
            <v>228</v>
          </cell>
        </row>
        <row r="90">
          <cell r="D90">
            <v>7898714762160</v>
          </cell>
          <cell r="F90">
            <v>226</v>
          </cell>
        </row>
        <row r="91">
          <cell r="D91">
            <v>7898714761286</v>
          </cell>
          <cell r="F91">
            <v>217</v>
          </cell>
        </row>
        <row r="92">
          <cell r="D92">
            <v>7898714763297</v>
          </cell>
          <cell r="F92">
            <v>204</v>
          </cell>
        </row>
        <row r="93">
          <cell r="D93">
            <v>7898714762375</v>
          </cell>
          <cell r="F93">
            <v>202</v>
          </cell>
        </row>
        <row r="94">
          <cell r="D94">
            <v>7898714763976</v>
          </cell>
          <cell r="F94">
            <v>176</v>
          </cell>
        </row>
        <row r="95">
          <cell r="D95">
            <v>7898714764102</v>
          </cell>
          <cell r="F95">
            <v>172</v>
          </cell>
        </row>
        <row r="96">
          <cell r="D96">
            <v>7898330220358</v>
          </cell>
          <cell r="F96">
            <v>168</v>
          </cell>
        </row>
        <row r="97">
          <cell r="D97">
            <v>7898330221676</v>
          </cell>
          <cell r="F97">
            <v>158</v>
          </cell>
        </row>
        <row r="98">
          <cell r="D98">
            <v>7898714760494</v>
          </cell>
          <cell r="F98">
            <v>147</v>
          </cell>
        </row>
        <row r="99">
          <cell r="D99">
            <v>7898714764096</v>
          </cell>
          <cell r="F99">
            <v>132</v>
          </cell>
        </row>
        <row r="100">
          <cell r="D100">
            <v>7898714763693</v>
          </cell>
          <cell r="F100">
            <v>132</v>
          </cell>
        </row>
        <row r="101">
          <cell r="D101">
            <v>7898714762566</v>
          </cell>
          <cell r="F101">
            <v>116</v>
          </cell>
        </row>
        <row r="102">
          <cell r="D102">
            <v>7898714763464</v>
          </cell>
          <cell r="F102">
            <v>110</v>
          </cell>
        </row>
        <row r="103">
          <cell r="D103">
            <v>7898714763389</v>
          </cell>
          <cell r="F103">
            <v>108</v>
          </cell>
        </row>
        <row r="104">
          <cell r="D104">
            <v>7898714763273</v>
          </cell>
          <cell r="F104">
            <v>96</v>
          </cell>
        </row>
        <row r="105">
          <cell r="D105">
            <v>7898330224004</v>
          </cell>
          <cell r="F105">
            <v>60</v>
          </cell>
        </row>
        <row r="106">
          <cell r="D106">
            <v>7898714762689</v>
          </cell>
          <cell r="F106">
            <v>54</v>
          </cell>
        </row>
        <row r="107">
          <cell r="D107">
            <v>7898714761279</v>
          </cell>
          <cell r="F107">
            <v>48</v>
          </cell>
        </row>
        <row r="108">
          <cell r="D108">
            <v>7898714763266</v>
          </cell>
          <cell r="F108">
            <v>48</v>
          </cell>
        </row>
        <row r="109">
          <cell r="D109">
            <v>7898714763303</v>
          </cell>
          <cell r="F109">
            <v>48</v>
          </cell>
        </row>
        <row r="110">
          <cell r="D110">
            <v>7898714762221</v>
          </cell>
          <cell r="F110">
            <v>48</v>
          </cell>
        </row>
        <row r="111">
          <cell r="D111">
            <v>7891066020346</v>
          </cell>
          <cell r="F111">
            <v>45</v>
          </cell>
        </row>
        <row r="112">
          <cell r="D112">
            <v>7898714762726</v>
          </cell>
          <cell r="F112">
            <v>36</v>
          </cell>
        </row>
        <row r="113">
          <cell r="D113">
            <v>7898714761477</v>
          </cell>
          <cell r="F113">
            <v>36</v>
          </cell>
        </row>
        <row r="114">
          <cell r="D114">
            <v>7898330226589</v>
          </cell>
          <cell r="F114">
            <v>36</v>
          </cell>
        </row>
        <row r="115">
          <cell r="D115">
            <v>7898714764362</v>
          </cell>
          <cell r="F115">
            <v>36</v>
          </cell>
        </row>
        <row r="116">
          <cell r="D116">
            <v>7898714763334</v>
          </cell>
          <cell r="F116">
            <v>35</v>
          </cell>
        </row>
        <row r="117">
          <cell r="D117">
            <v>7898714763235</v>
          </cell>
          <cell r="F117">
            <v>35</v>
          </cell>
        </row>
        <row r="118">
          <cell r="D118">
            <v>7898330223113</v>
          </cell>
          <cell r="F118">
            <v>33</v>
          </cell>
        </row>
        <row r="119">
          <cell r="D119">
            <v>7898714762948</v>
          </cell>
          <cell r="F119">
            <v>27</v>
          </cell>
        </row>
        <row r="120">
          <cell r="D120">
            <v>7898714760982</v>
          </cell>
          <cell r="F120">
            <v>24</v>
          </cell>
        </row>
        <row r="121">
          <cell r="D121">
            <v>7898714761811</v>
          </cell>
          <cell r="F121">
            <v>24</v>
          </cell>
        </row>
        <row r="122">
          <cell r="D122">
            <v>7898714763167</v>
          </cell>
          <cell r="F122">
            <v>24</v>
          </cell>
        </row>
        <row r="123">
          <cell r="D123">
            <v>7898714762764</v>
          </cell>
          <cell r="F123">
            <v>24</v>
          </cell>
        </row>
        <row r="124">
          <cell r="D124">
            <v>7898714761033</v>
          </cell>
          <cell r="F124">
            <v>24</v>
          </cell>
        </row>
        <row r="125">
          <cell r="D125">
            <v>7898714762979</v>
          </cell>
          <cell r="F125">
            <v>24</v>
          </cell>
        </row>
        <row r="126">
          <cell r="D126">
            <v>7898714760685</v>
          </cell>
          <cell r="F126">
            <v>24</v>
          </cell>
        </row>
        <row r="127">
          <cell r="D127">
            <v>7898714761842</v>
          </cell>
          <cell r="F127">
            <v>23</v>
          </cell>
        </row>
        <row r="128">
          <cell r="D128">
            <v>7898714763969</v>
          </cell>
          <cell r="F128">
            <v>16</v>
          </cell>
        </row>
        <row r="129">
          <cell r="D129">
            <v>7898714764454</v>
          </cell>
          <cell r="F129">
            <v>14</v>
          </cell>
        </row>
        <row r="130">
          <cell r="D130">
            <v>7898714760180</v>
          </cell>
          <cell r="F130">
            <v>13</v>
          </cell>
        </row>
        <row r="131">
          <cell r="D131">
            <v>7898714763433</v>
          </cell>
          <cell r="F131">
            <v>12</v>
          </cell>
        </row>
        <row r="132">
          <cell r="D132">
            <v>7898330220198</v>
          </cell>
          <cell r="F132">
            <v>12</v>
          </cell>
        </row>
        <row r="133">
          <cell r="D133">
            <v>7898714764300</v>
          </cell>
          <cell r="F133">
            <v>12</v>
          </cell>
        </row>
        <row r="134">
          <cell r="D134">
            <v>7898714762252</v>
          </cell>
          <cell r="F134">
            <v>12</v>
          </cell>
        </row>
        <row r="135">
          <cell r="D135">
            <v>7898714761484</v>
          </cell>
          <cell r="F135">
            <v>12</v>
          </cell>
        </row>
        <row r="136">
          <cell r="D136">
            <v>7898714762351</v>
          </cell>
          <cell r="F136">
            <v>12</v>
          </cell>
        </row>
        <row r="137">
          <cell r="D137">
            <v>7898714762788</v>
          </cell>
          <cell r="F137">
            <v>12</v>
          </cell>
        </row>
        <row r="138">
          <cell r="D138">
            <v>7898714762696</v>
          </cell>
          <cell r="F138">
            <v>12</v>
          </cell>
        </row>
        <row r="139">
          <cell r="D139">
            <v>7898714760579</v>
          </cell>
          <cell r="F139">
            <v>11</v>
          </cell>
        </row>
        <row r="140">
          <cell r="D140">
            <v>7898714760166</v>
          </cell>
          <cell r="F140">
            <v>11</v>
          </cell>
        </row>
        <row r="141">
          <cell r="D141">
            <v>7898714760425</v>
          </cell>
          <cell r="F141">
            <v>11</v>
          </cell>
        </row>
        <row r="142">
          <cell r="D142">
            <v>7898714762290</v>
          </cell>
          <cell r="F142">
            <v>11</v>
          </cell>
        </row>
        <row r="143">
          <cell r="D143">
            <v>7898714764447</v>
          </cell>
          <cell r="F143">
            <v>9</v>
          </cell>
        </row>
        <row r="144">
          <cell r="D144">
            <v>7898714762603</v>
          </cell>
          <cell r="F144">
            <v>9</v>
          </cell>
        </row>
        <row r="145">
          <cell r="D145">
            <v>7898714761453</v>
          </cell>
          <cell r="F145">
            <v>8</v>
          </cell>
        </row>
        <row r="146">
          <cell r="D146">
            <v>7898714762740</v>
          </cell>
          <cell r="F146">
            <v>6</v>
          </cell>
        </row>
        <row r="147">
          <cell r="D147">
            <v>7898714761743</v>
          </cell>
          <cell r="F147">
            <v>6</v>
          </cell>
        </row>
        <row r="148">
          <cell r="D148">
            <v>7898714762276</v>
          </cell>
          <cell r="F148">
            <v>6</v>
          </cell>
        </row>
        <row r="149">
          <cell r="D149">
            <v>7898714764461</v>
          </cell>
          <cell r="F149">
            <v>4</v>
          </cell>
        </row>
        <row r="150">
          <cell r="D150">
            <v>7898714763853</v>
          </cell>
          <cell r="F150">
            <v>2</v>
          </cell>
        </row>
        <row r="151">
          <cell r="D151">
            <v>7898714761071</v>
          </cell>
          <cell r="F151">
            <v>2</v>
          </cell>
        </row>
        <row r="152">
          <cell r="D152">
            <v>7898714762450</v>
          </cell>
          <cell r="F152">
            <v>1</v>
          </cell>
        </row>
        <row r="153">
          <cell r="D153">
            <v>7898714760043</v>
          </cell>
          <cell r="F153">
            <v>0</v>
          </cell>
        </row>
        <row r="154">
          <cell r="D154">
            <v>7898714761668</v>
          </cell>
          <cell r="F154">
            <v>0</v>
          </cell>
        </row>
        <row r="155">
          <cell r="D155">
            <v>7898714760531</v>
          </cell>
          <cell r="F155">
            <v>0</v>
          </cell>
        </row>
        <row r="156">
          <cell r="D156">
            <v>7898330222253</v>
          </cell>
          <cell r="F156">
            <v>0</v>
          </cell>
        </row>
        <row r="157">
          <cell r="D157">
            <v>7898714760029</v>
          </cell>
          <cell r="F157">
            <v>0</v>
          </cell>
        </row>
        <row r="158">
          <cell r="D158">
            <v>7898714764492</v>
          </cell>
          <cell r="F158">
            <v>0</v>
          </cell>
        </row>
        <row r="159">
          <cell r="D159">
            <v>7898330224738</v>
          </cell>
          <cell r="F159">
            <v>0</v>
          </cell>
        </row>
        <row r="160">
          <cell r="D160">
            <v>7898714763723</v>
          </cell>
          <cell r="F160">
            <v>0</v>
          </cell>
        </row>
        <row r="161">
          <cell r="D161">
            <v>7898714760456</v>
          </cell>
          <cell r="F161">
            <v>0</v>
          </cell>
        </row>
        <row r="162">
          <cell r="D162">
            <v>7898714763259</v>
          </cell>
          <cell r="F162">
            <v>0</v>
          </cell>
        </row>
        <row r="163">
          <cell r="D163">
            <v>7898714762795</v>
          </cell>
          <cell r="F163">
            <v>0</v>
          </cell>
        </row>
        <row r="164">
          <cell r="D164">
            <v>7898714760081</v>
          </cell>
          <cell r="F164">
            <v>0</v>
          </cell>
        </row>
        <row r="165">
          <cell r="D165">
            <v>7898714760012</v>
          </cell>
          <cell r="F165">
            <v>0</v>
          </cell>
        </row>
        <row r="166">
          <cell r="D166">
            <v>7898714763822</v>
          </cell>
          <cell r="F166">
            <v>0</v>
          </cell>
        </row>
        <row r="167">
          <cell r="D167">
            <v>7898714761804</v>
          </cell>
          <cell r="F167">
            <v>0</v>
          </cell>
        </row>
        <row r="168">
          <cell r="D168">
            <v>7898714761897</v>
          </cell>
          <cell r="F168">
            <v>0</v>
          </cell>
        </row>
        <row r="169">
          <cell r="D169">
            <v>7898714762832</v>
          </cell>
          <cell r="F169">
            <v>0</v>
          </cell>
        </row>
        <row r="170">
          <cell r="D170">
            <v>7898714760623</v>
          </cell>
          <cell r="F170">
            <v>0</v>
          </cell>
        </row>
        <row r="171">
          <cell r="D171">
            <v>7898330221652</v>
          </cell>
          <cell r="F171">
            <v>0</v>
          </cell>
        </row>
        <row r="172">
          <cell r="D172">
            <v>7898714763884</v>
          </cell>
          <cell r="F172">
            <v>0</v>
          </cell>
        </row>
        <row r="173">
          <cell r="D173">
            <v>7898330222710</v>
          </cell>
          <cell r="F173">
            <v>0</v>
          </cell>
        </row>
        <row r="174">
          <cell r="D174">
            <v>7898714763457</v>
          </cell>
          <cell r="F174">
            <v>0</v>
          </cell>
        </row>
        <row r="175">
          <cell r="D175">
            <v>7898714760548</v>
          </cell>
          <cell r="F175">
            <v>0</v>
          </cell>
        </row>
        <row r="176">
          <cell r="D176">
            <v>7898330221751</v>
          </cell>
          <cell r="F176">
            <v>0</v>
          </cell>
        </row>
        <row r="177">
          <cell r="D177">
            <v>7898714762047</v>
          </cell>
          <cell r="F177">
            <v>0</v>
          </cell>
        </row>
        <row r="178">
          <cell r="D178">
            <v>7898714762580</v>
          </cell>
          <cell r="F178">
            <v>0</v>
          </cell>
        </row>
        <row r="179">
          <cell r="D179">
            <v>7898714764485</v>
          </cell>
          <cell r="F179">
            <v>0</v>
          </cell>
        </row>
        <row r="180">
          <cell r="D180">
            <v>7898714761040</v>
          </cell>
          <cell r="F180">
            <v>0</v>
          </cell>
        </row>
        <row r="181">
          <cell r="D181">
            <v>7898714763594</v>
          </cell>
          <cell r="F181">
            <v>0</v>
          </cell>
        </row>
        <row r="182">
          <cell r="D182">
            <v>7898714760463</v>
          </cell>
          <cell r="F182">
            <v>0</v>
          </cell>
        </row>
        <row r="183">
          <cell r="D183">
            <v>7898714762931</v>
          </cell>
          <cell r="F183">
            <v>0</v>
          </cell>
        </row>
        <row r="184">
          <cell r="D184">
            <v>7898714760708</v>
          </cell>
          <cell r="F184">
            <v>0</v>
          </cell>
        </row>
        <row r="185">
          <cell r="D185">
            <v>7898714762054</v>
          </cell>
          <cell r="F185">
            <v>0</v>
          </cell>
        </row>
        <row r="186">
          <cell r="D186">
            <v>7898714763600</v>
          </cell>
          <cell r="F186">
            <v>0</v>
          </cell>
        </row>
        <row r="187">
          <cell r="D187">
            <v>7898714763365</v>
          </cell>
          <cell r="F187">
            <v>0</v>
          </cell>
        </row>
        <row r="188">
          <cell r="D188">
            <v>7898330223045</v>
          </cell>
          <cell r="F188">
            <v>0</v>
          </cell>
        </row>
        <row r="189">
          <cell r="D189">
            <v>7898714762771</v>
          </cell>
          <cell r="F189">
            <v>0</v>
          </cell>
        </row>
        <row r="190">
          <cell r="D190">
            <v>7898714762085</v>
          </cell>
          <cell r="F190">
            <v>0</v>
          </cell>
        </row>
        <row r="191">
          <cell r="D191">
            <v>7898330221614</v>
          </cell>
          <cell r="F191">
            <v>0</v>
          </cell>
        </row>
        <row r="192">
          <cell r="D192">
            <v>7898714762092</v>
          </cell>
          <cell r="F192">
            <v>0</v>
          </cell>
        </row>
        <row r="193">
          <cell r="D193">
            <v>7898714763747</v>
          </cell>
          <cell r="F193">
            <v>0</v>
          </cell>
        </row>
        <row r="194">
          <cell r="D194">
            <v>7898330222345</v>
          </cell>
          <cell r="F194">
            <v>0</v>
          </cell>
        </row>
        <row r="195">
          <cell r="D195">
            <v>7898714763419</v>
          </cell>
          <cell r="F195">
            <v>0</v>
          </cell>
        </row>
        <row r="196">
          <cell r="D196">
            <v>7898330221638</v>
          </cell>
          <cell r="F196">
            <v>0</v>
          </cell>
        </row>
        <row r="197">
          <cell r="D197">
            <v>7898714761064</v>
          </cell>
          <cell r="F197">
            <v>0</v>
          </cell>
        </row>
        <row r="198">
          <cell r="D198">
            <v>7898714763761</v>
          </cell>
          <cell r="F198">
            <v>0</v>
          </cell>
        </row>
        <row r="199">
          <cell r="D199">
            <v>7898714761910</v>
          </cell>
          <cell r="F199">
            <v>0</v>
          </cell>
        </row>
        <row r="200">
          <cell r="D200">
            <v>7898714764478</v>
          </cell>
          <cell r="F200">
            <v>0</v>
          </cell>
        </row>
        <row r="201">
          <cell r="D201">
            <v>7898714760586</v>
          </cell>
          <cell r="F201">
            <v>0</v>
          </cell>
        </row>
        <row r="202">
          <cell r="D202">
            <v>7898714762467</v>
          </cell>
          <cell r="F202">
            <v>0</v>
          </cell>
        </row>
        <row r="203">
          <cell r="D203">
            <v>7898714762443</v>
          </cell>
          <cell r="F203">
            <v>0</v>
          </cell>
        </row>
        <row r="204">
          <cell r="D204">
            <v>7898714761989</v>
          </cell>
          <cell r="F204">
            <v>0</v>
          </cell>
        </row>
        <row r="205">
          <cell r="D205">
            <v>7898714763440</v>
          </cell>
          <cell r="F205">
            <v>0</v>
          </cell>
        </row>
        <row r="206">
          <cell r="D206">
            <v>7898714764423</v>
          </cell>
          <cell r="F206">
            <v>0</v>
          </cell>
        </row>
        <row r="207">
          <cell r="D207">
            <v>7898330222307</v>
          </cell>
          <cell r="F207">
            <v>0</v>
          </cell>
        </row>
        <row r="208">
          <cell r="D208">
            <v>7898714760173</v>
          </cell>
          <cell r="F208">
            <v>0</v>
          </cell>
        </row>
        <row r="209">
          <cell r="D209">
            <v>7898714761361</v>
          </cell>
          <cell r="F209">
            <v>0</v>
          </cell>
        </row>
        <row r="210">
          <cell r="D210">
            <v>7898714761057</v>
          </cell>
          <cell r="F210">
            <v>0</v>
          </cell>
        </row>
        <row r="211">
          <cell r="D211">
            <v>7898714761729</v>
          </cell>
          <cell r="F211">
            <v>0</v>
          </cell>
        </row>
        <row r="212">
          <cell r="D212">
            <v>7898330222222</v>
          </cell>
          <cell r="F212">
            <v>0</v>
          </cell>
        </row>
        <row r="213">
          <cell r="D213">
            <v>7898714760678</v>
          </cell>
          <cell r="F213">
            <v>0</v>
          </cell>
        </row>
        <row r="214">
          <cell r="D214">
            <v>7898330222239</v>
          </cell>
          <cell r="F214">
            <v>0</v>
          </cell>
        </row>
        <row r="215">
          <cell r="D215">
            <v>7898714760692</v>
          </cell>
          <cell r="F215">
            <v>0</v>
          </cell>
        </row>
        <row r="216">
          <cell r="D216">
            <v>7898714762825</v>
          </cell>
          <cell r="F216">
            <v>0</v>
          </cell>
        </row>
        <row r="217">
          <cell r="D217">
            <v>7898714763778</v>
          </cell>
          <cell r="F217">
            <v>0</v>
          </cell>
        </row>
        <row r="218">
          <cell r="D218">
            <v>7898714763204</v>
          </cell>
          <cell r="F218">
            <v>0</v>
          </cell>
        </row>
        <row r="219">
          <cell r="D219">
            <v>7898714763037</v>
          </cell>
          <cell r="F219">
            <v>0</v>
          </cell>
        </row>
        <row r="220">
          <cell r="D220">
            <v>7898330222369</v>
          </cell>
          <cell r="F220">
            <v>0</v>
          </cell>
        </row>
        <row r="221">
          <cell r="D221">
            <v>7898330222277</v>
          </cell>
          <cell r="F221">
            <v>0</v>
          </cell>
        </row>
        <row r="222">
          <cell r="D222">
            <v>7898714763372</v>
          </cell>
          <cell r="F222">
            <v>0</v>
          </cell>
        </row>
        <row r="223">
          <cell r="D223">
            <v>7898714760814</v>
          </cell>
          <cell r="F223">
            <v>0</v>
          </cell>
        </row>
        <row r="224">
          <cell r="D224">
            <v>7898714763242</v>
          </cell>
          <cell r="F224">
            <v>0</v>
          </cell>
        </row>
        <row r="225">
          <cell r="D225">
            <v>7898330222338</v>
          </cell>
          <cell r="F225">
            <v>0</v>
          </cell>
        </row>
        <row r="226">
          <cell r="D226">
            <v>7898714761002</v>
          </cell>
          <cell r="F226">
            <v>0</v>
          </cell>
        </row>
        <row r="227">
          <cell r="D227">
            <v>7898714761651</v>
          </cell>
          <cell r="F227">
            <v>0</v>
          </cell>
        </row>
        <row r="228">
          <cell r="D228">
            <v>7898714764010</v>
          </cell>
          <cell r="F228">
            <v>0</v>
          </cell>
        </row>
        <row r="229">
          <cell r="D229">
            <v>7898330223991</v>
          </cell>
          <cell r="F229">
            <v>0</v>
          </cell>
        </row>
        <row r="230">
          <cell r="D230">
            <v>7898714762474</v>
          </cell>
          <cell r="F230">
            <v>0</v>
          </cell>
        </row>
        <row r="231">
          <cell r="D231">
            <v>7898714762757</v>
          </cell>
          <cell r="F231">
            <v>0</v>
          </cell>
        </row>
        <row r="232">
          <cell r="D232">
            <v>7898714762177</v>
          </cell>
          <cell r="F232">
            <v>0</v>
          </cell>
        </row>
        <row r="233">
          <cell r="D233">
            <v>7898714762801</v>
          </cell>
          <cell r="F233">
            <v>0</v>
          </cell>
        </row>
        <row r="234">
          <cell r="D234">
            <v>7898714760050</v>
          </cell>
          <cell r="F234">
            <v>0</v>
          </cell>
        </row>
        <row r="235">
          <cell r="D235">
            <v>7898714762245</v>
          </cell>
          <cell r="F235">
            <v>0</v>
          </cell>
        </row>
        <row r="236">
          <cell r="D236">
            <v>7898714762238</v>
          </cell>
          <cell r="F236">
            <v>0</v>
          </cell>
        </row>
        <row r="237">
          <cell r="D237">
            <v>7898714762917</v>
          </cell>
          <cell r="F237">
            <v>0</v>
          </cell>
        </row>
        <row r="238">
          <cell r="D238">
            <v>7898714760715</v>
          </cell>
          <cell r="F238">
            <v>0</v>
          </cell>
        </row>
        <row r="239">
          <cell r="D239">
            <v>7898714762191</v>
          </cell>
          <cell r="F239">
            <v>0</v>
          </cell>
        </row>
        <row r="240">
          <cell r="D240">
            <v>7898714763020</v>
          </cell>
          <cell r="F240">
            <v>0</v>
          </cell>
        </row>
        <row r="241">
          <cell r="D241">
            <v>7898714760159</v>
          </cell>
          <cell r="F241">
            <v>0</v>
          </cell>
        </row>
        <row r="242">
          <cell r="D242">
            <v>7898714763983</v>
          </cell>
          <cell r="F242">
            <v>0</v>
          </cell>
        </row>
        <row r="243">
          <cell r="D243">
            <v>7898714762955</v>
          </cell>
          <cell r="F243">
            <v>0</v>
          </cell>
        </row>
        <row r="244">
          <cell r="D244">
            <v>7898714763808</v>
          </cell>
          <cell r="F244">
            <v>0</v>
          </cell>
        </row>
        <row r="245">
          <cell r="D245">
            <v>7898330222314</v>
          </cell>
          <cell r="F245">
            <v>0</v>
          </cell>
        </row>
        <row r="246">
          <cell r="D246">
            <v>7898714760500</v>
          </cell>
          <cell r="F246">
            <v>0</v>
          </cell>
        </row>
        <row r="247">
          <cell r="D247">
            <v>7898714762719</v>
          </cell>
          <cell r="F247">
            <v>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son José de Oliveira" refreshedDate="45880.460643402781" createdVersion="8" refreshedVersion="8" minRefreshableVersion="3" recordCount="154" xr:uid="{00000000-000A-0000-FFFF-FFFF1E000000}">
  <cacheSource type="worksheet">
    <worksheetSource ref="D9:P142" sheet="Tabela de Pedidos"/>
  </cacheSource>
  <cacheFields count="13">
    <cacheField name="Cod" numFmtId="0">
      <sharedItems containsString="0" containsBlank="1" containsNumber="1" containsInteger="1" minValue="995" maxValue="1690"/>
    </cacheField>
    <cacheField name="Produto" numFmtId="0">
      <sharedItems containsBlank="1"/>
    </cacheField>
    <cacheField name="Observações" numFmtId="0">
      <sharedItems containsBlank="1"/>
    </cacheField>
    <cacheField name="Cx Padrão" numFmtId="0">
      <sharedItems containsString="0" containsBlank="1" containsNumber="1" containsInteger="1" minValue="6" maxValue="50"/>
    </cacheField>
    <cacheField name="Apresentação" numFmtId="0">
      <sharedItems containsBlank="1"/>
    </cacheField>
    <cacheField name="NCM" numFmtId="0">
      <sharedItems containsString="0" containsBlank="1" containsNumber="1" containsInteger="1" minValue="21069030" maxValue="21069031"/>
    </cacheField>
    <cacheField name="EAN" numFmtId="0">
      <sharedItems containsString="0" containsBlank="1" containsNumber="1" containsInteger="1" minValue="7898330221546" maxValue="7898714764362" count="179">
        <m/>
        <n v="7898714760449"/>
        <n v="7898714761347"/>
        <n v="7898714763426"/>
        <n v="7898714763402"/>
        <n v="7898714763389"/>
        <n v="7898714761088"/>
        <n v="7898714761507"/>
        <n v="7898714762689"/>
        <n v="7898714763853"/>
        <n v="7898714763884"/>
        <n v="7898714761453"/>
        <n v="7898330221614"/>
        <n v="7898714762221"/>
        <n v="7898714763464"/>
        <n v="7898714763457"/>
        <n v="7898330221584"/>
        <n v="7898714762191"/>
        <n v="7898714762542"/>
        <n v="7898330221676"/>
        <n v="7898714760678"/>
        <n v="7898714763976"/>
        <n v="7898714763204"/>
        <n v="7898714763228"/>
        <n v="7898714763242"/>
        <n v="7898714763235"/>
        <n v="7898714763259"/>
        <n v="7898714763983"/>
        <n v="7898714763266"/>
        <n v="7898714763273"/>
        <n v="7898714763297"/>
        <n v="7898714763280"/>
        <n v="7898714763303"/>
        <n v="7898714763167"/>
        <n v="7898714763174"/>
        <n v="7898714763198"/>
        <n v="7898714763969"/>
        <n v="7898714763211"/>
        <n v="7898714763181"/>
        <n v="7898714762177"/>
        <n v="7898714762160"/>
        <n v="7898714763334"/>
        <n v="7898714763990"/>
        <n v="7898714763341"/>
        <n v="7898714763358"/>
        <n v="7898330223991"/>
        <n v="7898330224004"/>
        <n v="7898714762443"/>
        <n v="7898714761699"/>
        <n v="7898714761941"/>
        <n v="7898714762252"/>
        <n v="7898714762115"/>
        <n v="7898714762238"/>
        <n v="7898714762245"/>
        <n v="7898714762696"/>
        <n v="7898714762474"/>
        <n v="7898714763372"/>
        <n v="7898714762054"/>
        <n v="7898714762566"/>
        <n v="7898714763419"/>
        <n v="7898714762467"/>
        <n v="7898714762603"/>
        <n v="7898714762450"/>
        <n v="7898714763440"/>
        <n v="7898714762047"/>
        <n v="7898714762771"/>
        <n v="7898330221690"/>
        <n v="7898330221638"/>
        <n v="7898714762078"/>
        <n v="7898714761514"/>
        <n v="7898714762276"/>
        <n v="7898714763020"/>
        <n v="7898714763037"/>
        <n v="7898714763594"/>
        <n v="7898714763600"/>
        <n v="7898330221560"/>
        <n v="7898714762290"/>
        <n v="7898714762085"/>
        <n v="7898714761477"/>
        <n v="7898714761484"/>
        <n v="7898714761491"/>
        <n v="7898714762092"/>
        <n v="7898330221652"/>
        <n v="7898330221577"/>
        <n v="7898714763693"/>
        <n v="7898714763709"/>
        <n v="7898714763433"/>
        <n v="7898714761774"/>
        <n v="7898714761521"/>
        <n v="7898714762702"/>
        <n v="7898714762740"/>
        <n v="7898714762757"/>
        <n v="7898714762900"/>
        <n v="7898714762764"/>
        <n v="7898714762719"/>
        <n v="7898714762726"/>
        <n v="7898714763365"/>
        <n v="7898714760425"/>
        <n v="7898714760401"/>
        <n v="7898714760999"/>
        <n v="7898714763679"/>
        <n v="7898714763686"/>
        <n v="7898714762306"/>
        <n v="7898714762320"/>
        <n v="7898714760166"/>
        <n v="7898714760159"/>
        <n v="7898714760173"/>
        <n v="7898330221713"/>
        <n v="7898714761743"/>
        <n v="7898714762788"/>
        <n v="7898714762337"/>
        <n v="7898714762344"/>
        <n v="7898714762375"/>
        <n v="7898714762351"/>
        <n v="7898714762368"/>
        <n v="7898714764003"/>
        <n v="7898714764010"/>
        <n v="7898714763730"/>
        <n v="7898714761927"/>
        <n v="7898714761286"/>
        <n v="7898714761934"/>
        <n v="7898714761910"/>
        <n v="7898714764027"/>
        <n v="7898714764034"/>
        <n v="7898714764294"/>
        <n v="7898714764300"/>
        <n v="7898714763143"/>
        <n v="7898714764263"/>
        <n v="7898714764362"/>
        <n v="7898714764102"/>
        <n v="7898330226589"/>
        <n v="7898714760180"/>
        <n v="7898714760197"/>
        <n v="7898714760692"/>
        <n v="7898714760685"/>
        <n v="7898714762573"/>
        <n v="7898714762580"/>
        <n v="7898714761033"/>
        <n v="7898714761040"/>
        <n v="7898330221591"/>
        <n v="7898330222123"/>
        <n v="7898714762917"/>
        <n v="7898714761071"/>
        <n v="7898714761668"/>
        <n v="7898714761651"/>
        <n v="7898714762931"/>
        <n v="7898714762979"/>
        <n v="7898714762948"/>
        <n v="7898714762955"/>
        <n v="7898714762924"/>
        <n v="7898714763723"/>
        <n v="7898714761620"/>
        <n v="7898714761750"/>
        <n v="7898714761767"/>
        <n v="7898330221553" u="1"/>
        <n v="7898714761538" u="1"/>
        <n v="7898714760005" u="1"/>
        <n v="7898714760012" u="1"/>
        <n v="7898714760029" u="1"/>
        <n v="7898714760036" u="1"/>
        <n v="7898714760043" u="1"/>
        <n v="7898714760050" u="1"/>
        <n v="7898714760067" u="1"/>
        <n v="7898714760074" u="1"/>
        <n v="7898714760081" u="1"/>
        <n v="7898714760111" u="1"/>
        <n v="7898714760128" u="1"/>
        <n v="7898714760104" u="1"/>
        <n v="7898714760753" u="1"/>
        <n v="7898330221669" u="1"/>
        <n v="7898714761958" u="1"/>
        <n v="7898714760098" u="1"/>
        <n v="7898330221621" u="1"/>
        <n v="7898714762153" u="1"/>
        <n v="7898330221768" u="1"/>
        <n v="7898714761293" u="1"/>
        <n v="7898714761460" u="1"/>
        <n v="7898330221683" u="1"/>
        <n v="7898330221546" u="1"/>
      </sharedItems>
    </cacheField>
    <cacheField name="PSC" numFmtId="0">
      <sharedItems containsString="0" containsBlank="1" containsNumber="1" minValue="19.493074999999997" maxValue="221.95443899999998"/>
    </cacheField>
    <cacheField name="Preço Fábrica" numFmtId="0">
      <sharedItems containsString="0" containsBlank="1" containsNumber="1" minValue="11.98" maxValue="133.16999999999999"/>
    </cacheField>
    <cacheField name="Desconto" numFmtId="10">
      <sharedItems containsNonDate="0" containsString="0" containsBlank="1"/>
    </cacheField>
    <cacheField name="Preço c/ Desc" numFmtId="0">
      <sharedItems containsString="0" containsBlank="1" containsNumber="1" minValue="11.98" maxValue="133.16999999999999"/>
    </cacheField>
    <cacheField name="Quant" numFmtId="0">
      <sharedItems containsNonDate="0" containsString="0" containsBlank="1"/>
    </cacheField>
    <cacheField name="Sub Total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4">
  <r>
    <m/>
    <m/>
    <m/>
    <m/>
    <m/>
    <m/>
    <x v="0"/>
    <m/>
    <m/>
    <m/>
    <m/>
    <m/>
    <m/>
  </r>
  <r>
    <n v="1321"/>
    <s v="ACETILCISTEINA 600MG+VIT C+D3+ZIN 16CAPS"/>
    <s v="Nova Embalagem"/>
    <n v="12"/>
    <s v="CARTUCHO 16 CAPS"/>
    <n v="21069030"/>
    <x v="1"/>
    <n v="26.380881449999997"/>
    <n v="16.2"/>
    <m/>
    <n v="16.2"/>
    <m/>
    <n v="0"/>
  </r>
  <r>
    <n v="1401"/>
    <s v="ACETILCISTEINA 600MGX5G 16 SACHES "/>
    <s v="Nova Embalagem"/>
    <n v="12"/>
    <s v="16 SACHES X 5G"/>
    <n v="21069030"/>
    <x v="2"/>
    <n v="28.347247999999997"/>
    <n v="17.48"/>
    <m/>
    <n v="17.48"/>
    <m/>
    <n v="0"/>
  </r>
  <r>
    <n v="1594"/>
    <s v="ACIDO FOLICO METILFOLATO + VIT 30CAPS"/>
    <s v="Lançamento"/>
    <n v="12"/>
    <s v="CARTUCHO 30CAPS"/>
    <n v="21069030"/>
    <x v="3"/>
    <n v="25.356166666666667"/>
    <n v="15.18"/>
    <m/>
    <n v="15.18"/>
    <m/>
    <n v="0"/>
  </r>
  <r>
    <n v="1592"/>
    <s v="ACIDO HIALURONICO 80MG + VIT 60CAPS"/>
    <s v="Lançamento"/>
    <n v="12"/>
    <s v="CARTUCHO 60CAPS"/>
    <n v="21069030"/>
    <x v="4"/>
    <n v="83.221666666666664"/>
    <n v="49.83"/>
    <m/>
    <n v="49.83"/>
    <m/>
    <n v="0"/>
  </r>
  <r>
    <n v="1590"/>
    <s v="BETACAROTENO DOSE MAXIMO 30CAPS"/>
    <s v="Lançamento"/>
    <n v="12"/>
    <s v="CARTUCHO 30CAPS"/>
    <n v="21069030"/>
    <x v="5"/>
    <n v="35.905000000000001"/>
    <n v="21.5"/>
    <m/>
    <n v="21.5"/>
    <m/>
    <n v="0"/>
  </r>
  <r>
    <n v="1376"/>
    <s v="BIOTINA DOSE MAX 500MG 60CAPS"/>
    <m/>
    <n v="12"/>
    <s v="CARTUCHO 60CAPS"/>
    <n v="21069030"/>
    <x v="6"/>
    <n v="25.661139840000001"/>
    <n v="15.82"/>
    <m/>
    <n v="15.82"/>
    <m/>
    <n v="0"/>
  </r>
  <r>
    <n v="1418"/>
    <s v="B12 9,94MCG ULTRA 60 GELCAPS"/>
    <m/>
    <n v="12"/>
    <s v="CARTUCHO 60CAPS"/>
    <n v="21069030"/>
    <x v="7"/>
    <n v="23.854364000999997"/>
    <n v="14.83"/>
    <m/>
    <n v="14.83"/>
    <m/>
    <n v="0"/>
  </r>
  <r>
    <n v="1527"/>
    <s v="B12 9,94MCG ULTRA (METILCOBALAMINA) 60CAPS"/>
    <m/>
    <n v="12"/>
    <s v="CARTUCHO 60CAPS"/>
    <n v="21069030"/>
    <x v="8"/>
    <n v="27.555"/>
    <n v="17"/>
    <m/>
    <n v="17"/>
    <m/>
    <n v="0"/>
  </r>
  <r>
    <n v="1637"/>
    <s v="B12 MASTIG METIL DOSE MAX 60CPR"/>
    <s v="Lançamento"/>
    <n v="12"/>
    <s v="CARTUCHO 60CAPS"/>
    <n v="21069030"/>
    <x v="9"/>
    <n v="30.283939000000004"/>
    <n v="18.170000000000002"/>
    <m/>
    <n v="18.170000000000002"/>
    <m/>
    <n v="0"/>
  </r>
  <r>
    <n v="1640"/>
    <s v="B12 MASTIG METIL DOSE MAX 90CPR"/>
    <s v="Lançamento"/>
    <n v="12"/>
    <s v="CARTUCHO 90CAPS"/>
    <n v="21069030"/>
    <x v="10"/>
    <n v="41.384160999999999"/>
    <n v="24.83"/>
    <m/>
    <n v="24.83"/>
    <m/>
    <n v="0"/>
  </r>
  <r>
    <n v="1413"/>
    <s v="CABELOS E UNHAS 60 CAPS"/>
    <m/>
    <n v="12"/>
    <s v="CARTUCHO 60CAPS"/>
    <n v="21069030"/>
    <x v="11"/>
    <n v="23.830065000000001"/>
    <n v="14.7"/>
    <m/>
    <n v="14.7"/>
    <m/>
    <n v="0"/>
  </r>
  <r>
    <n v="1215"/>
    <s v="CALCIGEL MDK 750MG 60CAPS"/>
    <m/>
    <n v="12"/>
    <s v="CARTUCHO 60CAPS"/>
    <n v="21069030"/>
    <x v="12"/>
    <n v="43.158583376999992"/>
    <n v="26.62"/>
    <m/>
    <n v="26.62"/>
    <m/>
    <n v="0"/>
  </r>
  <r>
    <n v="1480"/>
    <s v="CALCIGEL OSSO CCM+D3+K2 500MG 30CPR"/>
    <m/>
    <n v="12"/>
    <s v="CARTUCHO 30CPR"/>
    <n v="21069030"/>
    <x v="13"/>
    <n v="52.604999999999997"/>
    <n v="31.5"/>
    <m/>
    <n v="31.5"/>
    <m/>
    <n v="0"/>
  </r>
  <r>
    <n v="1598"/>
    <s v="CALCIO 1.2G + D3 + K2 60 CAPS"/>
    <s v="Lançamento"/>
    <n v="12"/>
    <s v="CARTUCHO 60CAPS"/>
    <n v="21069030"/>
    <x v="14"/>
    <n v="35.905000000000001"/>
    <n v="21.5"/>
    <m/>
    <n v="21.5"/>
    <m/>
    <n v="0"/>
  </r>
  <r>
    <n v="1597"/>
    <s v="CALCIO 1.2G 60 CAPS"/>
    <s v="Lançamento"/>
    <n v="12"/>
    <s v="CARTUCHO 60CAPS"/>
    <n v="21069030"/>
    <x v="15"/>
    <n v="24.771666666666668"/>
    <n v="14.83"/>
    <m/>
    <n v="14.83"/>
    <m/>
    <n v="0"/>
  </r>
  <r>
    <n v="1230"/>
    <s v="CALMORELAX 500MG 60CAPS"/>
    <m/>
    <n v="12"/>
    <s v="CARTUCHO 60CAPS"/>
    <n v="21069030"/>
    <x v="16"/>
    <n v="56.818076000000005"/>
    <n v="34.869999999999997"/>
    <m/>
    <n v="34.869999999999997"/>
    <m/>
    <n v="0"/>
  </r>
  <r>
    <n v="1481"/>
    <s v="CALMORELAX DUO 60CAPS"/>
    <m/>
    <n v="12"/>
    <s v="CARTUCHO 60CAPS"/>
    <n v="21069030"/>
    <x v="17"/>
    <n v="43.252999999999993"/>
    <n v="26.68"/>
    <m/>
    <n v="26.68"/>
    <m/>
    <n v="0"/>
  </r>
  <r>
    <n v="1483"/>
    <s v="CALMORELAX MELATONINA GTS 20ML MARACUJA"/>
    <s v="Lançamento"/>
    <n v="50"/>
    <s v="CARTUCHO GOTAS"/>
    <n v="21069030"/>
    <x v="18"/>
    <n v="24.18"/>
    <n v="14.48"/>
    <m/>
    <n v="14.48"/>
    <m/>
    <n v="0"/>
  </r>
  <r>
    <n v="1224"/>
    <s v="CICLOALIVE 1000MG 30CAPS"/>
    <m/>
    <n v="12"/>
    <s v="CARTUCHO 30CAPS"/>
    <n v="21069030"/>
    <x v="19"/>
    <n v="59.372502789599992"/>
    <n v="36.619999999999997"/>
    <m/>
    <n v="36.619999999999997"/>
    <m/>
    <n v="0"/>
  </r>
  <r>
    <n v="1338"/>
    <s v="COGMED 60CAPS"/>
    <m/>
    <n v="12"/>
    <s v="CARTUCHO 60CAPS"/>
    <n v="21069030"/>
    <x v="20"/>
    <n v="62.292578984999992"/>
    <n v="38.42"/>
    <m/>
    <n v="38.42"/>
    <m/>
    <n v="0"/>
  </r>
  <r>
    <n v="1649"/>
    <s v="COLAGENO VERIS+HIALU MELA/COCO 30 SACHES"/>
    <s v="Lançamento"/>
    <n v="12"/>
    <s v="CARTUCHO C/ 30 SACHES"/>
    <n v="21069030"/>
    <x v="21"/>
    <n v="122.18833333333333"/>
    <n v="73.17"/>
    <m/>
    <n v="73.17"/>
    <m/>
    <n v="0"/>
  </r>
  <r>
    <n v="1573"/>
    <s v="COLAGENO VERISOL+HIALU FRUT VER 30 SACHE"/>
    <s v="Lançamento"/>
    <n v="12"/>
    <s v="CARTUCHO C/ 30 SACHES"/>
    <n v="21069030"/>
    <x v="22"/>
    <n v="122.18833333333333"/>
    <n v="73.17"/>
    <m/>
    <n v="73.17"/>
    <m/>
    <n v="0"/>
  </r>
  <r>
    <n v="1574"/>
    <s v="COLAGENO VERISOL+HIALU LIMAO 30 SACHES "/>
    <s v="Lançamento"/>
    <n v="12"/>
    <s v="CARTUCHO C/ 30 SACHES"/>
    <n v="21069030"/>
    <x v="23"/>
    <n v="122.18833333333333"/>
    <n v="73.17"/>
    <m/>
    <n v="73.17"/>
    <m/>
    <n v="0"/>
  </r>
  <r>
    <n v="1576"/>
    <s v="COLAGENO VERISOL+HIALU MAR/CAM/CAP 30 SAC "/>
    <s v="Lançamento"/>
    <n v="12"/>
    <s v="CARTUCHO C/ 30 SACHES"/>
    <n v="21069030"/>
    <x v="24"/>
    <n v="122.18833333333333"/>
    <n v="73.17"/>
    <m/>
    <n v="73.17"/>
    <m/>
    <n v="0"/>
  </r>
  <r>
    <n v="1575"/>
    <s v="COLAGENO VERISOL+HIALU PINK LIM 30 SACHE "/>
    <s v="Lançamento"/>
    <n v="12"/>
    <s v="CARTUCHO C/ 30 SACHES"/>
    <n v="21069030"/>
    <x v="25"/>
    <n v="122.18833333333333"/>
    <n v="73.17"/>
    <m/>
    <n v="73.17"/>
    <m/>
    <n v="0"/>
  </r>
  <r>
    <n v="1577"/>
    <s v="COLAGENO VERISOL+HIALU TANG 30 SACHES "/>
    <s v="Lançamento"/>
    <n v="12"/>
    <s v="CARTUCHO C/ 30 SACHES"/>
    <n v="21069030"/>
    <x v="26"/>
    <n v="122.18833333333333"/>
    <n v="73.17"/>
    <m/>
    <n v="73.17"/>
    <m/>
    <n v="0"/>
  </r>
  <r>
    <n v="1650"/>
    <s v="COLAGENO VERIS+Q10/COCO 30 SACHES "/>
    <s v="Lançamento"/>
    <n v="12"/>
    <s v="CARTUCHO C/ 30 SACHES"/>
    <n v="21069030"/>
    <x v="27"/>
    <n v="122.18833333333333"/>
    <n v="73.17"/>
    <m/>
    <n v="73.17"/>
    <m/>
    <n v="0"/>
  </r>
  <r>
    <n v="1578"/>
    <s v="COLAGENO VERISOL+Q10 FRUT VER 30 SACHE "/>
    <s v="Lançamento"/>
    <n v="12"/>
    <s v="CARTUCHO C/ 30 SACHES"/>
    <n v="21069030"/>
    <x v="28"/>
    <n v="122.18833333333333"/>
    <n v="73.17"/>
    <m/>
    <n v="73.17"/>
    <m/>
    <n v="0"/>
  </r>
  <r>
    <n v="1579"/>
    <s v="COLAGENO VERISOL+Q10 LIMAO 30 SACHES "/>
    <s v="Lançamento"/>
    <n v="12"/>
    <s v="CARTUCHO C/ 30 SACHES"/>
    <n v="21069030"/>
    <x v="29"/>
    <n v="122.18833333333333"/>
    <n v="73.17"/>
    <m/>
    <n v="73.17"/>
    <m/>
    <n v="0"/>
  </r>
  <r>
    <n v="1581"/>
    <s v="COLAGENO VERISOL+Q10 MAR/CAM/CAP 30 SAC "/>
    <s v="Lançamento"/>
    <n v="12"/>
    <s v="CARTUCHO C/ 30 SACHES"/>
    <n v="21069030"/>
    <x v="30"/>
    <n v="122.18833333333333"/>
    <n v="73.17"/>
    <m/>
    <n v="73.17"/>
    <m/>
    <n v="0"/>
  </r>
  <r>
    <n v="1580"/>
    <s v="COLAGENO VERISOL+Q10 PINK LIM 30 SACHES "/>
    <s v="Lançamento"/>
    <n v="12"/>
    <s v="CARTUCHO C/ 30 SACHES"/>
    <n v="21069030"/>
    <x v="31"/>
    <n v="122.18833333333333"/>
    <n v="73.17"/>
    <m/>
    <n v="73.17"/>
    <m/>
    <n v="0"/>
  </r>
  <r>
    <n v="1582"/>
    <s v="COLAGENO VERISOL+Q10 TANG 30 SACHES "/>
    <s v="Lançamento"/>
    <n v="12"/>
    <s v="CARTUCHO C/ 30 SACHES"/>
    <n v="21069030"/>
    <x v="32"/>
    <n v="122.18833333333333"/>
    <n v="73.17"/>
    <m/>
    <n v="73.17"/>
    <m/>
    <n v="0"/>
  </r>
  <r>
    <n v="1568"/>
    <s v="COLAGENO VERISOL+VIT FRUT VER 30 SACHES "/>
    <s v="Lançamento"/>
    <n v="12"/>
    <s v="CARTUCHO C/ 30 SACHES"/>
    <n v="21069030"/>
    <x v="33"/>
    <n v="119.405"/>
    <n v="71.5"/>
    <m/>
    <n v="71.5"/>
    <m/>
    <n v="0"/>
  </r>
  <r>
    <n v="1569"/>
    <s v="COLAGENO VERISOL+VIT LIMAO 30 SACHES "/>
    <s v="Lançamento"/>
    <n v="12"/>
    <s v="CARTUCHO C/ 30 SACHES"/>
    <n v="21069030"/>
    <x v="34"/>
    <n v="119.405"/>
    <n v="71.5"/>
    <m/>
    <n v="71.5"/>
    <m/>
    <n v="0"/>
  </r>
  <r>
    <n v="1571"/>
    <s v="COLAGENO VERISOL+VIT MAR/CAM/CAP 30 SAC "/>
    <s v="Lançamento"/>
    <n v="12"/>
    <s v="CARTUCHO C/ 30 SACHES"/>
    <n v="21069030"/>
    <x v="35"/>
    <n v="119.405"/>
    <n v="71.5"/>
    <m/>
    <n v="71.5"/>
    <m/>
    <n v="0"/>
  </r>
  <r>
    <n v="1648"/>
    <s v="COLAGENO VERISOL+VIT MELA/COCO 30 SACHES "/>
    <s v="Lançamento"/>
    <n v="12"/>
    <s v="CARTUCHO C/ 30 SACHES"/>
    <n v="21069030"/>
    <x v="36"/>
    <n v="119.405"/>
    <n v="71.5"/>
    <m/>
    <n v="71.5"/>
    <m/>
    <n v="0"/>
  </r>
  <r>
    <n v="1572"/>
    <s v="COLAGENO VERISOL+VIT TANGERINA 30 SACHES "/>
    <s v="Lançamento"/>
    <n v="12"/>
    <s v="CARTUCHO C/ 30 SACHES"/>
    <n v="21069030"/>
    <x v="37"/>
    <n v="119.405"/>
    <n v="71.5"/>
    <m/>
    <n v="71.5"/>
    <m/>
    <n v="0"/>
  </r>
  <r>
    <n v="1570"/>
    <s v="COLAGENO VERISOL+VIT PINK LIM 30 SACHES "/>
    <s v="Lançamento"/>
    <n v="12"/>
    <s v="CARTUCHO C/ 30 SACHES"/>
    <n v="21069030"/>
    <x v="38"/>
    <n v="119.405"/>
    <n v="71.5"/>
    <m/>
    <n v="71.5"/>
    <m/>
    <n v="0"/>
  </r>
  <r>
    <n v="1475"/>
    <s v="COLAGENO VERISOL+VIT FRUT VERM 240G"/>
    <s v="Nova Fórmula / Nova Embalagem"/>
    <n v="12"/>
    <s v="PÓ 240G"/>
    <n v="21069030"/>
    <x v="39"/>
    <n v="111.05499999999999"/>
    <n v="66.5"/>
    <m/>
    <n v="66.5"/>
    <m/>
    <n v="0"/>
  </r>
  <r>
    <n v="1474"/>
    <s v="COLAGENO VERISOL+VIT LIMAO 240G "/>
    <s v="Nova Fórmula / Nova Embalagem"/>
    <n v="12"/>
    <s v="PÓ 240G"/>
    <n v="21069030"/>
    <x v="40"/>
    <n v="111.05499999999999"/>
    <n v="66.5"/>
    <m/>
    <n v="66.5"/>
    <m/>
    <n v="0"/>
  </r>
  <r>
    <n v="1585"/>
    <s v="COLAGENO VERISOL+VIT PINK LIM 240G"/>
    <s v="Lançamento"/>
    <n v="12"/>
    <s v="PÓ 240G"/>
    <n v="21069030"/>
    <x v="41"/>
    <n v="111.05499999999999"/>
    <n v="66.5"/>
    <m/>
    <n v="66.5"/>
    <m/>
    <n v="0"/>
  </r>
  <r>
    <n v="1651"/>
    <s v="COLAGENO VERISOL+VIT MELA/COCO 240G"/>
    <s v="Lançamento"/>
    <n v="12"/>
    <s v="PÓ 240G"/>
    <n v="21069030"/>
    <x v="42"/>
    <n v="111.05499999999999"/>
    <n v="66.5"/>
    <m/>
    <n v="66.5"/>
    <m/>
    <n v="0"/>
  </r>
  <r>
    <n v="1586"/>
    <s v="COLAGENO VERISOL+VIT MAR/CAM/CAP 240G"/>
    <s v="Lançamento"/>
    <n v="12"/>
    <s v="PÓ 240G"/>
    <n v="21069030"/>
    <x v="43"/>
    <n v="111.05499999999999"/>
    <n v="66.5"/>
    <m/>
    <n v="66.5"/>
    <m/>
    <n v="0"/>
  </r>
  <r>
    <n v="1587"/>
    <s v="COLAGENO VERISOL+VIT TANG 240G"/>
    <s v="Lançamento"/>
    <n v="12"/>
    <s v="PÓ 240G"/>
    <n v="21069030"/>
    <x v="44"/>
    <n v="111.05499999999999"/>
    <n v="66.5"/>
    <m/>
    <n v="66.5"/>
    <m/>
    <n v="0"/>
  </r>
  <r>
    <n v="1113"/>
    <s v="TRI COL. VERIS+TIPOII+HIDR 275G LIMAO"/>
    <s v="Nova Embalagem"/>
    <n v="6"/>
    <s v="PÓ 275G"/>
    <n v="21069030"/>
    <x v="45"/>
    <n v="170.50935002399999"/>
    <n v="104.65"/>
    <m/>
    <n v="104.65"/>
    <m/>
    <n v="0"/>
  </r>
  <r>
    <n v="1114"/>
    <s v="TRI COL. VERIS+TIPOII+HIDR 275G NATURAL"/>
    <s v="Nova Embalagem"/>
    <n v="6"/>
    <s v="PÓ 275G"/>
    <n v="21069030"/>
    <x v="46"/>
    <n v="170.50935002399999"/>
    <n v="104.65"/>
    <m/>
    <n v="104.65"/>
    <m/>
    <n v="0"/>
  </r>
  <r>
    <n v="1482"/>
    <s v="COLAGENO VERISOL + VITAMINAS 60CAPS"/>
    <m/>
    <n v="12"/>
    <s v="CARTUCHO 60CAPS"/>
    <n v="21069030"/>
    <x v="47"/>
    <n v="41.165499999999994"/>
    <n v="26.5"/>
    <m/>
    <n v="26.5"/>
    <m/>
    <n v="0"/>
  </r>
  <r>
    <n v="1433"/>
    <s v="COMPLEXO B 8 VITAMINAS 60 CAPS "/>
    <s v="Nova Embalagem"/>
    <n v="12"/>
    <s v="CARTUCHO60CAPS"/>
    <n v="21069030"/>
    <x v="48"/>
    <n v="22.373824999999997"/>
    <n v="13.8"/>
    <m/>
    <n v="13.8"/>
    <m/>
    <n v="0"/>
  </r>
  <r>
    <n v="1458"/>
    <s v="CONDRO-K COLAGENO TIPO II 30CAPS"/>
    <s v="Nova Embalagem"/>
    <n v="12"/>
    <s v="CARTUCHO 30CAPS"/>
    <n v="21069030"/>
    <x v="49"/>
    <n v="39.4955"/>
    <n v="26.5"/>
    <m/>
    <n v="26.5"/>
    <m/>
    <n v="0"/>
  </r>
  <r>
    <n v="1492"/>
    <s v="CONDRO-K COLAGENO TIPO II 90CAPS"/>
    <s v="Nova Embalagem"/>
    <n v="12"/>
    <s v="CARTUCHO 90CAPS"/>
    <n v="21069030"/>
    <x v="50"/>
    <n v="78.991"/>
    <n v="53"/>
    <m/>
    <n v="53"/>
    <m/>
    <n v="0"/>
  </r>
  <r>
    <n v="1469"/>
    <s v="CONDRO-K COLAGENO TIPOII+CURCUMA FLEXFLAN 30CAPS"/>
    <s v="Nova Embalagem"/>
    <n v="12"/>
    <s v="CARTUCHO 30CAPS"/>
    <n v="21069030"/>
    <x v="51"/>
    <n v="58.43684875000001"/>
    <n v="35"/>
    <m/>
    <n v="35"/>
    <m/>
    <n v="0"/>
  </r>
  <r>
    <n v="1493"/>
    <s v="CONDRO-K COMP CAL+MAG+TIPOII+K2+D3 60CAP"/>
    <s v="Nova Embalagem"/>
    <n v="12"/>
    <s v="CARTUCHO 60CAPS"/>
    <n v="21069030"/>
    <x v="52"/>
    <n v="69.304999999999993"/>
    <n v="41.5"/>
    <m/>
    <n v="41.5"/>
    <m/>
    <n v="0"/>
  </r>
  <r>
    <n v="1494"/>
    <s v="CONDRO-K HIALU+MSM+TIPO II+VITS 60CAPS "/>
    <s v="Nova Embalagem"/>
    <n v="12"/>
    <s v="CARTUCHO 60CAPS"/>
    <n v="21069030"/>
    <x v="53"/>
    <n v="72.995699999999985"/>
    <n v="48.17"/>
    <m/>
    <n v="48.17"/>
    <m/>
    <n v="0"/>
  </r>
  <r>
    <n v="1528"/>
    <s v="CONDRO K MOVE MSM+GLUC+COLAG+MAGN 60CAPS"/>
    <s v="Nova Embalagem"/>
    <n v="12"/>
    <s v="CARTUCHO 60CAPS"/>
    <n v="21069030"/>
    <x v="54"/>
    <n v="69.304999999999993"/>
    <n v="41.5"/>
    <m/>
    <n v="41.5"/>
    <m/>
    <n v="0"/>
  </r>
  <r>
    <n v="1495"/>
    <s v="CONDRO-K ULTRA 30CAPS"/>
    <s v="Nova Embalagem"/>
    <n v="12"/>
    <s v="CARTUCHO 30CAPS"/>
    <n v="21069030"/>
    <x v="55"/>
    <n v="52.803729999999995"/>
    <n v="31.62"/>
    <m/>
    <n v="31.62"/>
    <m/>
    <n v="0"/>
  </r>
  <r>
    <n v="1589"/>
    <s v="CONDRO K MUSCULAR COLAG+HMB 240G LIMAO"/>
    <s v="Lançamento"/>
    <n v="12"/>
    <s v="PÓ 240G"/>
    <n v="21069030"/>
    <x v="56"/>
    <n v="138.88833333333332"/>
    <n v="83.17"/>
    <m/>
    <n v="83.17"/>
    <m/>
    <n v="0"/>
  </r>
  <r>
    <n v="1468"/>
    <s v="COENZIMA Q10 50MG 30CAPS"/>
    <m/>
    <n v="12"/>
    <s v="CARTUCHO 30CAPS"/>
    <n v="21069030"/>
    <x v="57"/>
    <n v="46.592649999999999"/>
    <n v="27.95"/>
    <m/>
    <n v="27.95"/>
    <m/>
    <n v="0"/>
  </r>
  <r>
    <n v="1518"/>
    <s v="COENZIMA Q10 100MG 30CAPS "/>
    <m/>
    <n v="12"/>
    <s v="CARTUCHO 30CAPS"/>
    <n v="21069030"/>
    <x v="58"/>
    <n v="69.180499999999995"/>
    <n v="41.5"/>
    <m/>
    <n v="41.5"/>
    <m/>
    <n v="0"/>
  </r>
  <r>
    <n v="1593"/>
    <s v="COENZIMA Q10 200MG 30CAPS "/>
    <s v="Lançamento"/>
    <n v="12"/>
    <s v="CARTUCHO 30CAPS"/>
    <n v="21069030"/>
    <x v="59"/>
    <n v="83.22"/>
    <n v="49.83"/>
    <m/>
    <n v="49.83"/>
    <m/>
    <n v="0"/>
  </r>
  <r>
    <n v="1510"/>
    <s v="CRANBERRY 30CAPS"/>
    <m/>
    <n v="12"/>
    <s v="CARTUCHO 30CAPS"/>
    <n v="21069030"/>
    <x v="60"/>
    <n v="35.905000000000001"/>
    <n v="22.15"/>
    <m/>
    <n v="22.15"/>
    <m/>
    <n v="0"/>
  </r>
  <r>
    <n v="1520"/>
    <s v="CRANBERRY EXTREME 1CAPS POR DIA 30CAPS"/>
    <m/>
    <n v="12"/>
    <s v="CARTUCHO 30CAPS"/>
    <n v="21069030"/>
    <x v="61"/>
    <n v="58.171666666666667"/>
    <n v="35.82"/>
    <m/>
    <n v="35.82"/>
    <m/>
    <n v="0"/>
  </r>
  <r>
    <n v="1511"/>
    <s v="CRANBERRY + BETA-GLUCANA IMUNO 30CAPS"/>
    <m/>
    <n v="12"/>
    <s v="CARTUCHO 30CAPS"/>
    <n v="21069030"/>
    <x v="62"/>
    <n v="74.87166666666667"/>
    <n v="38.17"/>
    <m/>
    <n v="38.17"/>
    <m/>
    <n v="0"/>
  </r>
  <r>
    <n v="1596"/>
    <s v="CRANBERRY + VITAMINA C 30 SACHES"/>
    <s v="Lançamento"/>
    <n v="12"/>
    <s v="CARTUCHO C/ 30 SACHES"/>
    <n v="21069030"/>
    <x v="63"/>
    <n v="83.216099999999997"/>
    <n v="49.83"/>
    <m/>
    <n v="49.83"/>
    <m/>
    <n v="0"/>
  </r>
  <r>
    <n v="1470"/>
    <s v="CURCUMA DOSE MAXIMA 30CAPS"/>
    <m/>
    <n v="12"/>
    <s v="CARTUCHO 30CAPS"/>
    <n v="21069030"/>
    <x v="64"/>
    <n v="52.618916666666671"/>
    <n v="32.299999999999997"/>
    <m/>
    <n v="32.299999999999997"/>
    <m/>
    <n v="0"/>
  </r>
  <r>
    <n v="1536"/>
    <s v="CURCUMA + MSM DOSE MAXIMA 60CAPS "/>
    <s v="Lançamento"/>
    <n v="12"/>
    <s v="CARTUCHO 30CAPS"/>
    <n v="21069030"/>
    <x v="65"/>
    <n v="58.171666666666667"/>
    <n v="36.5"/>
    <m/>
    <n v="36.5"/>
    <m/>
    <n v="0"/>
  </r>
  <r>
    <n v="1222"/>
    <s v="DILATAFLUX 560MG 60CAPS"/>
    <m/>
    <n v="12"/>
    <s v="CARTUCHO 60CAPS"/>
    <n v="21069030"/>
    <x v="66"/>
    <n v="53.975002535999991"/>
    <n v="32.32"/>
    <m/>
    <n v="32.32"/>
    <m/>
    <n v="0"/>
  </r>
  <r>
    <n v="1217"/>
    <s v="DORIDADE 60CAPS"/>
    <m/>
    <n v="12"/>
    <s v="CARTUCHO 60CAPS"/>
    <n v="21069030"/>
    <x v="67"/>
    <n v="59.401060991999984"/>
    <n v="36.64"/>
    <m/>
    <n v="36.64"/>
    <m/>
    <n v="0"/>
  </r>
  <r>
    <n v="1471"/>
    <s v="DORIDADE EXTREME HMB+BETA-ALAN+COL 30CAP"/>
    <m/>
    <n v="12"/>
    <s v="CARTUCHO 60CAPS"/>
    <n v="21069031"/>
    <x v="68"/>
    <n v="67.236983333333342"/>
    <n v="41.47"/>
    <m/>
    <n v="41.47"/>
    <m/>
    <n v="0"/>
  </r>
  <r>
    <n v="1419"/>
    <s v="FEMINITA 30 GELCAPS"/>
    <s v="Nova Fórmula"/>
    <n v="12"/>
    <s v="CARTUCHO 30CAPS"/>
    <n v="21069030"/>
    <x v="69"/>
    <n v="27.017928000000005"/>
    <n v="16.579999999999998"/>
    <m/>
    <n v="16.579999999999998"/>
    <m/>
    <n v="0"/>
  </r>
  <r>
    <n v="1497"/>
    <s v="FLORATOX FOS FRUTOOLIGOSSACARIDEOS 225G"/>
    <s v="Nova Embalagem"/>
    <n v="6"/>
    <s v="PÓ 225G"/>
    <n v="21069030"/>
    <x v="70"/>
    <n v="71.643000000000001"/>
    <n v="43.17"/>
    <m/>
    <n v="43.17"/>
    <m/>
    <n v="0"/>
  </r>
  <r>
    <n v="1556"/>
    <s v="FLORATOX PSYLLIUM 12 SACHES LARANJA"/>
    <s v="Lançamento"/>
    <n v="12"/>
    <s v="CARTUCHO C/ 12 SACHES"/>
    <n v="21069030"/>
    <x v="71"/>
    <n v="35.905000000000001"/>
    <n v="21.5"/>
    <m/>
    <n v="21.5"/>
    <m/>
    <n v="0"/>
  </r>
  <r>
    <n v="1557"/>
    <s v="FLORATOX PSYLLIUM 30 SACHES LARANJA"/>
    <s v="Lançamento"/>
    <n v="12"/>
    <s v="CARTUCHO C/ 30 SACHES"/>
    <n v="21069030"/>
    <x v="72"/>
    <n v="47.038333333333334"/>
    <n v="28.17"/>
    <m/>
    <n v="28.17"/>
    <m/>
    <n v="0"/>
  </r>
  <r>
    <n v="1611"/>
    <s v="FLORATOX PSYLLIUM 180G SABOR LARANJA"/>
    <s v="Lançamento"/>
    <n v="6"/>
    <s v="PÓ 180G"/>
    <n v="21069030"/>
    <x v="73"/>
    <n v="83.221666666666678"/>
    <n v="49.83"/>
    <m/>
    <n v="49.83"/>
    <m/>
    <n v="0"/>
  </r>
  <r>
    <n v="1612"/>
    <s v="FLORATOX FIBRAS 260G SABOR LARANJA"/>
    <s v="Lançamento"/>
    <n v="6"/>
    <s v="PÓ 260G"/>
    <n v="21069030"/>
    <x v="74"/>
    <n v="69.305000000000007"/>
    <n v="41.5"/>
    <m/>
    <n v="41.5"/>
    <m/>
    <n v="0"/>
  </r>
  <r>
    <n v="1218"/>
    <s v="FORTEGESTAN 650MG 30CAPS"/>
    <m/>
    <n v="12"/>
    <s v="CARTUCHO 30CAPS"/>
    <n v="21069030"/>
    <x v="75"/>
    <n v="65.255492484000001"/>
    <n v="39.08"/>
    <m/>
    <n v="39.08"/>
    <m/>
    <n v="0"/>
  </r>
  <r>
    <n v="1499"/>
    <s v="FORTGESTAN COMPLETO 60CAPS"/>
    <m/>
    <n v="12"/>
    <s v="CARTUCHO 60CAPS"/>
    <n v="21069030"/>
    <x v="76"/>
    <n v="35.905000000000001"/>
    <n v="22.15"/>
    <m/>
    <n v="22.15"/>
    <m/>
    <n v="0"/>
  </r>
  <r>
    <n v="1472"/>
    <s v="IODO 200% IDR 30CAPS"/>
    <m/>
    <n v="12"/>
    <s v="CARTUCHO 30CAPS"/>
    <n v="21069030"/>
    <x v="77"/>
    <n v="25.256244999999993"/>
    <n v="13.17"/>
    <m/>
    <n v="13.17"/>
    <m/>
    <n v="0"/>
  </r>
  <r>
    <n v="1415"/>
    <s v="K2 149MCG + D3 2000UI MAX 30 GELCAPS"/>
    <m/>
    <n v="12"/>
    <s v="CARTUCHO 30CAPS"/>
    <n v="21069030"/>
    <x v="78"/>
    <n v="75.209368499999982"/>
    <n v="24.83"/>
    <m/>
    <n v="24.83"/>
    <m/>
    <n v="0"/>
  </r>
  <r>
    <n v="1416"/>
    <s v="K2 149MCG PLUS 30 GELCAPS"/>
    <m/>
    <n v="12"/>
    <s v="CARTUCHO 30CAPS"/>
    <n v="21069030"/>
    <x v="79"/>
    <n v="73.169658333333317"/>
    <n v="23.17"/>
    <m/>
    <n v="23.17"/>
    <m/>
    <n v="0"/>
  </r>
  <r>
    <n v="1417"/>
    <s v="K2 120MCG 30 GELCAPS"/>
    <m/>
    <n v="12"/>
    <s v="CARTUCHO 30CAPS"/>
    <n v="21069030"/>
    <x v="80"/>
    <n v="39.274308499999997"/>
    <n v="23.17"/>
    <m/>
    <n v="23.17"/>
    <m/>
    <n v="0"/>
  </r>
  <r>
    <n v="1473"/>
    <s v="LARANSIL LARANJA MORO 60CAPS"/>
    <m/>
    <n v="12"/>
    <s v="CARTUCHO 30CAPS"/>
    <n v="21069030"/>
    <x v="81"/>
    <n v="49.189041719999992"/>
    <n v="30.33"/>
    <m/>
    <n v="30.33"/>
    <m/>
    <n v="0"/>
  </r>
  <r>
    <n v="1221"/>
    <s v="LIBIDELA 500MG 30CAPS"/>
    <m/>
    <n v="12"/>
    <s v="CARTUCHO 30CAPS"/>
    <n v="21069030"/>
    <x v="82"/>
    <n v="64.791421694999983"/>
    <n v="39.770000000000003"/>
    <m/>
    <n v="39.770000000000003"/>
    <m/>
    <n v="0"/>
  </r>
  <r>
    <n v="1220"/>
    <s v="LIPOSALINA 500MG 60CAPS "/>
    <m/>
    <n v="12"/>
    <s v="CARTUCHO 60CAPS"/>
    <n v="21069030"/>
    <x v="83"/>
    <n v="47.474441714699992"/>
    <n v="26.5"/>
    <m/>
    <n v="26.5"/>
    <m/>
    <n v="0"/>
  </r>
  <r>
    <n v="1621"/>
    <s v="LIPOSALINA FIBRAS +ACIDO CLO. 225G LIM"/>
    <s v="Lançamento"/>
    <n v="6"/>
    <s v="PÓ 180G"/>
    <n v="21069030"/>
    <x v="84"/>
    <n v="41.471666666666671"/>
    <n v="24.83"/>
    <m/>
    <n v="24.83"/>
    <m/>
    <n v="0"/>
  </r>
  <r>
    <n v="1622"/>
    <s v="LIPOSALINA FIBRAS +ACIDO CLO. 30SAC LIM"/>
    <s v="Lançamento"/>
    <n v="12"/>
    <s v="CARTUCHO C/ 30 SACHES"/>
    <n v="21069030"/>
    <x v="85"/>
    <n v="69.304999999999993"/>
    <n v="41.5"/>
    <m/>
    <n v="41.5"/>
    <m/>
    <n v="0"/>
  </r>
  <r>
    <n v="1595"/>
    <s v="LUTEINA + ASTA + ZEAN + VITAMINAS 60CAPS"/>
    <s v="Lançamento"/>
    <n v="12"/>
    <s v="CARTUCHO 60CAPS"/>
    <n v="21069030"/>
    <x v="86"/>
    <n v="43.119399999999999"/>
    <n v="25.82"/>
    <m/>
    <n v="25.82"/>
    <m/>
    <n v="0"/>
  </r>
  <r>
    <n v="1441"/>
    <s v="LUXON 30CAPS"/>
    <m/>
    <n v="12"/>
    <s v="CARTUCHO 30CAPS"/>
    <n v="21069030"/>
    <x v="87"/>
    <n v="53.394074999999987"/>
    <n v="31.97"/>
    <m/>
    <n v="31.97"/>
    <m/>
    <n v="0"/>
  </r>
  <r>
    <n v="1420"/>
    <s v="MAGNESIO DIMALATO 210MG 60CAPS "/>
    <s v="Nova Embalagem"/>
    <n v="12"/>
    <s v="CARTUCHO 60CAPS"/>
    <n v="21069030"/>
    <x v="88"/>
    <n v="41.789412000000006"/>
    <n v="25.77"/>
    <m/>
    <n v="25.77"/>
    <m/>
    <n v="0"/>
  </r>
  <r>
    <n v="1529"/>
    <s v="MAGNESIO DIMALATO + D3 + K2 60CAPS"/>
    <s v="Nova Embalagem"/>
    <n v="12"/>
    <s v="CARTUCHO 60CAPS"/>
    <n v="21069030"/>
    <x v="89"/>
    <n v="49.821666666666665"/>
    <n v="30.72"/>
    <m/>
    <n v="30.72"/>
    <m/>
    <n v="0"/>
  </r>
  <r>
    <n v="1533"/>
    <s v="MAGNESIO DIMALATO + CURCUMA 210MG 60CAPS"/>
    <s v="Nova Embalagem"/>
    <n v="12"/>
    <s v="CARTUCHO 60CAPS"/>
    <n v="21069030"/>
    <x v="90"/>
    <n v="52.604999999999997"/>
    <n v="32.450000000000003"/>
    <m/>
    <n v="32.450000000000003"/>
    <m/>
    <n v="0"/>
  </r>
  <r>
    <n v="1534"/>
    <s v="MAGNESIO QUELATO 210MG 60CAPS"/>
    <s v="Nova Embalagem"/>
    <n v="12"/>
    <s v="CARTUCHO 60CAPS"/>
    <n v="21069030"/>
    <x v="91"/>
    <n v="52.604999999999997"/>
    <n v="32.450000000000003"/>
    <m/>
    <n v="32.450000000000003"/>
    <m/>
    <n v="0"/>
  </r>
  <r>
    <n v="1544"/>
    <s v="MAGNESIO QUELATO 210MG+TRIP+MELAT 60CAPS"/>
    <s v="Lançamento"/>
    <n v="12"/>
    <s v="CARTUCHO 60CAPS"/>
    <n v="21069030"/>
    <x v="92"/>
    <n v="52.61"/>
    <n v="31.5"/>
    <m/>
    <n v="31.5"/>
    <m/>
    <n v="0"/>
  </r>
  <r>
    <n v="1535"/>
    <s v="MAGNESIO TAURATO 84MG 60CAPS"/>
    <s v="Nova Embalagem"/>
    <n v="12"/>
    <s v="CARTUCHO 60CAPS"/>
    <n v="21069030"/>
    <x v="93"/>
    <n v="55.388333333333328"/>
    <n v="34.15"/>
    <m/>
    <n v="34.15"/>
    <m/>
    <n v="0"/>
  </r>
  <r>
    <n v="1530"/>
    <s v="MAGNESIO TRIO DOSE MAXIMA 60CAPS "/>
    <s v="Nova Embalagem"/>
    <n v="12"/>
    <s v="CARTUCHO 60CAPS"/>
    <n v="21069030"/>
    <x v="94"/>
    <n v="52.604999999999997"/>
    <n v="32.450000000000003"/>
    <m/>
    <n v="32.450000000000003"/>
    <m/>
    <n v="0"/>
  </r>
  <r>
    <n v="1531"/>
    <s v="MAGNESIO 5 FONTES DOSE MAXIMA 60CAPS"/>
    <m/>
    <n v="12"/>
    <s v="CARTUCHO 60CAPS"/>
    <n v="21069030"/>
    <x v="95"/>
    <n v="52.604999999999997"/>
    <n v="32.450000000000003"/>
    <m/>
    <n v="32.450000000000003"/>
    <m/>
    <n v="0"/>
  </r>
  <r>
    <n v="1588"/>
    <s v="MAGNESIO PREBIOTICO 240G SABOR LIMAO"/>
    <s v="Lançamento"/>
    <n v="6"/>
    <s v="PÓ 240G"/>
    <n v="21069030"/>
    <x v="96"/>
    <n v="111.05499999999999"/>
    <n v="66.5"/>
    <m/>
    <n v="66.5"/>
    <m/>
    <n v="0"/>
  </r>
  <r>
    <n v="1295"/>
    <s v="MELATONINA + B6 210MCG 60CAPS"/>
    <s v="Nova Embalagem"/>
    <n v="12"/>
    <s v="CARTUCHO 60CAPS"/>
    <n v="21069030"/>
    <x v="97"/>
    <n v="26.469883849499997"/>
    <n v="14.83"/>
    <m/>
    <n v="14.83"/>
    <m/>
    <n v="0"/>
  </r>
  <r>
    <n v="1296"/>
    <s v="MELATONINA + B6 210MCG 120CAPS"/>
    <s v="Nova Embalagem"/>
    <n v="12"/>
    <s v="CARTUCHO 120CAPS"/>
    <n v="21069030"/>
    <x v="98"/>
    <n v="40.803243599999995"/>
    <n v="23.17"/>
    <m/>
    <n v="23.17"/>
    <m/>
    <n v="0"/>
  </r>
  <r>
    <n v="1367"/>
    <s v="MELATONINA + TRIPTOFANO 500MG 60CAPS"/>
    <s v="Nova Embalagem"/>
    <n v="12"/>
    <s v="CARTUCHO 60CAPS"/>
    <n v="21069030"/>
    <x v="99"/>
    <n v="38.589270992999992"/>
    <n v="23.69"/>
    <m/>
    <n v="23.69"/>
    <m/>
    <n v="0"/>
  </r>
  <r>
    <n v="1619"/>
    <s v="MELATONINA LIPOSSOMADA 210MCG+B6 120CAPS"/>
    <s v="Lançamento"/>
    <n v="12"/>
    <s v="CARTUCHO 120CAPS"/>
    <n v="21069030"/>
    <x v="100"/>
    <n v="41.384160999999999"/>
    <n v="24.83"/>
    <m/>
    <n v="24.83"/>
    <m/>
    <n v="0"/>
  </r>
  <r>
    <n v="1620"/>
    <s v="MELAT LIPOSSOMADA+TRIPT 100MG+B6 120CAPS"/>
    <s v="Lançamento"/>
    <n v="12"/>
    <s v="CARTUCHO 120CAPS"/>
    <n v="21069030"/>
    <x v="101"/>
    <n v="49.717661"/>
    <n v="29.83"/>
    <m/>
    <n v="29.83"/>
    <m/>
    <n v="0"/>
  </r>
  <r>
    <n v="1500"/>
    <s v="MEN 40 FORCE 2300MG HMB+D3 30CPR"/>
    <m/>
    <n v="12"/>
    <s v="CARTUCHO 30CPR"/>
    <n v="21069030"/>
    <x v="102"/>
    <n v="69.304999999999993"/>
    <n v="42.54"/>
    <m/>
    <n v="42.54"/>
    <m/>
    <n v="0"/>
  </r>
  <r>
    <n v="1502"/>
    <s v="MEN 40 IMUNO COLOSTRO 30CAPS"/>
    <m/>
    <n v="12"/>
    <s v="CARTUCHO 30CAPS"/>
    <n v="21069030"/>
    <x v="103"/>
    <n v="80.443899999999999"/>
    <n v="49.37"/>
    <m/>
    <n v="49.37"/>
    <m/>
    <n v="0"/>
  </r>
  <r>
    <n v="1283"/>
    <s v="MEN 40 POTENCY 500MG 30CAPS"/>
    <m/>
    <n v="12"/>
    <s v="CARTUCHO 30CAPS"/>
    <n v="21069030"/>
    <x v="104"/>
    <n v="56.775699749999994"/>
    <n v="34.85"/>
    <m/>
    <n v="34.85"/>
    <m/>
    <n v="0"/>
  </r>
  <r>
    <n v="1282"/>
    <s v="MEN 40 PROTEC 640MG 60CAPS"/>
    <m/>
    <n v="12"/>
    <s v="CARTUCHO 60CAPS"/>
    <n v="21069030"/>
    <x v="105"/>
    <n v="77.121425581199986"/>
    <n v="47.57"/>
    <m/>
    <n v="47.57"/>
    <m/>
    <n v="0"/>
  </r>
  <r>
    <n v="1284"/>
    <s v="MEN 40 VIKING 500MG 30CAPS"/>
    <m/>
    <n v="12"/>
    <s v="CARTUCHO 30CAPS"/>
    <n v="21069030"/>
    <x v="106"/>
    <n v="56.775699749999994"/>
    <n v="34.85"/>
    <m/>
    <n v="34.85"/>
    <m/>
    <n v="0"/>
  </r>
  <r>
    <n v="1225"/>
    <s v="MENOTATINA 500MG 60CAPS"/>
    <m/>
    <n v="12"/>
    <s v="CARTUCHO 60CAPS"/>
    <n v="21069030"/>
    <x v="107"/>
    <n v="90.845426722049979"/>
    <n v="54.4"/>
    <m/>
    <n v="54.4"/>
    <m/>
    <n v="0"/>
  </r>
  <r>
    <n v="1438"/>
    <s v="METILFOLATO + VITAMINAS 30CAPS"/>
    <m/>
    <n v="12"/>
    <s v="CARTUCHO 30CAPS"/>
    <n v="21069030"/>
    <x v="108"/>
    <n v="25.3506"/>
    <n v="15.63"/>
    <m/>
    <n v="15.63"/>
    <m/>
    <n v="0"/>
  </r>
  <r>
    <n v="1537"/>
    <s v="MSM DOSE MAXIMA 30CAPS "/>
    <m/>
    <n v="12"/>
    <s v="CARTUCHO 30CAPS"/>
    <n v="21069030"/>
    <x v="109"/>
    <n v="27.555"/>
    <n v="17"/>
    <m/>
    <n v="17"/>
    <m/>
    <n v="0"/>
  </r>
  <r>
    <n v="1503"/>
    <s v="OMEGA3 CONC MEG3 540/360+ VIT. E 60CAPS"/>
    <m/>
    <n v="12"/>
    <s v="FRASCO 60 CAPS"/>
    <n v="21069030"/>
    <x v="110"/>
    <n v="63.73833333333333"/>
    <n v="39.32"/>
    <m/>
    <n v="39.32"/>
    <m/>
    <n v="0"/>
  </r>
  <r>
    <n v="1504"/>
    <s v="OMEGA3 CONC MEG3 540/360+CURC 130MG 60CA"/>
    <m/>
    <n v="12"/>
    <s v="FRASCO 60 CAPS"/>
    <n v="21069030"/>
    <x v="111"/>
    <n v="83.221666666666664"/>
    <n v="51.32"/>
    <m/>
    <n v="51.32"/>
    <m/>
    <n v="0"/>
  </r>
  <r>
    <n v="1507"/>
    <s v="OMEGA3 CONC MEG3 540/360+TIPOII 60CAPS"/>
    <m/>
    <n v="12"/>
    <s v="FRASCO 60 CAPS"/>
    <n v="21069030"/>
    <x v="112"/>
    <n v="83.221666666666664"/>
    <n v="51.32"/>
    <m/>
    <n v="51.32"/>
    <m/>
    <n v="0"/>
  </r>
  <r>
    <n v="1505"/>
    <s v="OMEGA3 CONC MEG3 540/360+VIT E+Q10 60CAP"/>
    <m/>
    <n v="12"/>
    <s v="FRASCO 60 CAPS"/>
    <n v="21069030"/>
    <x v="113"/>
    <n v="83.221666666666664"/>
    <n v="51.32"/>
    <m/>
    <n v="51.32"/>
    <m/>
    <n v="0"/>
  </r>
  <r>
    <n v="1506"/>
    <s v="OMEGA3 CONC MG3 540/360 AST+LUT+ZEA 60CA"/>
    <m/>
    <n v="12"/>
    <s v="FRASCO 60 CAPS"/>
    <n v="21069030"/>
    <x v="114"/>
    <n v="83.221666666666664"/>
    <n v="51.32"/>
    <m/>
    <n v="51.32"/>
    <m/>
    <n v="0"/>
  </r>
  <r>
    <n v="1652"/>
    <s v="OMEGA3 CONC MEG3 MEMORY 260/660 60CAPS"/>
    <s v="Lançamento"/>
    <n v="12"/>
    <s v="FRASCO 60 CAPS"/>
    <n v="21069030"/>
    <x v="115"/>
    <n v="83.221666666666664"/>
    <n v="49.83"/>
    <m/>
    <n v="49.83"/>
    <m/>
    <n v="0"/>
  </r>
  <r>
    <n v="1653"/>
    <s v="OMEGA3 PLUS CONC 1.5G EPA/DHA+VITE 90CAP"/>
    <s v="Lançamento"/>
    <n v="12"/>
    <s v="FRASCO 90 CAPS"/>
    <n v="21069030"/>
    <x v="116"/>
    <n v="105.48833333333333"/>
    <n v="63.17"/>
    <m/>
    <n v="63.17"/>
    <m/>
    <n v="0"/>
  </r>
  <r>
    <n v="1625"/>
    <s v="OMEGA3 KIDS 60 PEIXINHOS"/>
    <s v="Lançamento"/>
    <n v="12"/>
    <s v="FRASCO 60 CAPS"/>
    <n v="21069030"/>
    <x v="117"/>
    <n v="83.221666666666664"/>
    <n v="49.83"/>
    <m/>
    <n v="49.83"/>
    <m/>
    <n v="0"/>
  </r>
  <r>
    <n v="1455"/>
    <s v="OMEGA3 632MG 540EPA 360DHA 60CAPS MEG3"/>
    <m/>
    <n v="12"/>
    <s v="FRASCO 60 CAPS"/>
    <n v="21069030"/>
    <x v="118"/>
    <n v="42.296089999999992"/>
    <n v="25.33"/>
    <m/>
    <n v="25.33"/>
    <m/>
    <n v="0"/>
  </r>
  <r>
    <n v="1395"/>
    <s v="OMEGA3 632MG 540EPA 360DHA 120CAPS MEG3"/>
    <m/>
    <n v="12"/>
    <s v="FRASCO 120CAPS"/>
    <n v="21069030"/>
    <x v="119"/>
    <n v="74.866099999999989"/>
    <n v="44.83"/>
    <m/>
    <n v="44.83"/>
    <m/>
    <n v="0"/>
  </r>
  <r>
    <n v="1457"/>
    <s v="OMEGA3 632MG 540EPA 360DHA 240CAPS MEG3"/>
    <m/>
    <n v="12"/>
    <s v="FRASCO 240CAPS"/>
    <n v="21069030"/>
    <x v="120"/>
    <n v="138.65174999999999"/>
    <n v="83.17"/>
    <m/>
    <n v="83.17"/>
    <m/>
    <n v="0"/>
  </r>
  <r>
    <n v="1456"/>
    <s v="OMEGA 3 1000MG GESTAN 120CAPS MEG3"/>
    <m/>
    <n v="12"/>
    <s v="FRASCO 120CAPS"/>
    <n v="21069030"/>
    <x v="121"/>
    <n v="70.344574999999992"/>
    <n v="43.18"/>
    <m/>
    <n v="43.18"/>
    <m/>
    <n v="0"/>
  </r>
  <r>
    <n v="1654"/>
    <s v="OMEGA3 540EPA 360DHA  1.000MG 60CAPS"/>
    <s v="Lançamento"/>
    <n v="12"/>
    <s v="FRASCO 60 CAPS"/>
    <n v="21069030"/>
    <x v="122"/>
    <n v="41.471666666666671"/>
    <n v="24.83"/>
    <m/>
    <n v="24.83"/>
    <m/>
    <n v="0"/>
  </r>
  <r>
    <n v="1655"/>
    <s v="OMEGA3 540EPA 360DHA 1.000MG 120CAPS"/>
    <s v="Lançamento"/>
    <n v="12"/>
    <s v="FRASCO 120CAPS"/>
    <n v="21069030"/>
    <x v="123"/>
    <n v="69.304999999999993"/>
    <n v="41.5"/>
    <m/>
    <n v="41.5"/>
    <m/>
    <n v="0"/>
  </r>
  <r>
    <n v="1683"/>
    <s v="OMEGA3 540EPA 360DHA 1.000MG 180CAPS"/>
    <s v="Lançamento"/>
    <n v="12"/>
    <s v="FRASCO 180 CAPS"/>
    <n v="21069030"/>
    <x v="124"/>
    <n v="102.98333333333333"/>
    <n v="61.67"/>
    <m/>
    <n v="61.67"/>
    <m/>
    <n v="0"/>
  </r>
  <r>
    <n v="1684"/>
    <s v="OMEGA3 540EPA 360DHA 1.000MG 240CAPS"/>
    <s v="Lançamento"/>
    <n v="12"/>
    <s v="FRASCO 240CAPS"/>
    <n v="21069030"/>
    <x v="125"/>
    <n v="133.6"/>
    <n v="80"/>
    <m/>
    <n v="80"/>
    <m/>
    <n v="0"/>
  </r>
  <r>
    <n v="1566"/>
    <s v="OMEGA 3 ALGAS CONC 705DHA 200EPA 60CAPS"/>
    <s v="Lançamento"/>
    <n v="12"/>
    <s v="FRASCO 60CAPS"/>
    <n v="21069030"/>
    <x v="126"/>
    <n v="83.051660999999996"/>
    <n v="49.83"/>
    <m/>
    <n v="49.83"/>
    <m/>
    <n v="0"/>
  </r>
  <r>
    <n v="1680"/>
    <s v="OMEGA 3 ALGAS CONC 705DHA 200EPA 90CAPS"/>
    <s v="Lançamento"/>
    <n v="12"/>
    <s v="FRASCO 90CAPS"/>
    <n v="21069030"/>
    <x v="127"/>
    <n v="110.83555"/>
    <n v="66.5"/>
    <m/>
    <n v="66.5"/>
    <m/>
    <n v="0"/>
  </r>
  <r>
    <n v="1690"/>
    <s v="OMEGA 3 ALGAS PLUS 1200DHA 340EPA 60CAPS"/>
    <s v="Lançamento"/>
    <n v="12"/>
    <s v="FRASCO 60CAPS"/>
    <n v="21069030"/>
    <x v="128"/>
    <n v="110.83555"/>
    <n v="66.5"/>
    <m/>
    <n v="66.5"/>
    <m/>
    <n v="0"/>
  </r>
  <r>
    <n v="1664"/>
    <s v="OMEGA 3 ALGAS PLUS 1200DHA 340EPA 90CAPS"/>
    <s v="Lançamento"/>
    <n v="12"/>
    <s v="FRASCO 90CAPS"/>
    <n v="21069030"/>
    <x v="129"/>
    <n v="221.95443899999998"/>
    <n v="133.16999999999999"/>
    <m/>
    <n v="133.16999999999999"/>
    <m/>
    <n v="0"/>
  </r>
  <r>
    <n v="995"/>
    <s v="OMEGA 3 6 9 60 CAPS 1000MG"/>
    <m/>
    <n v="12"/>
    <s v="FRASCO 60CAPS"/>
    <n v="21069030"/>
    <x v="130"/>
    <n v="51.404764319999998"/>
    <n v="31.55"/>
    <m/>
    <n v="31.55"/>
    <m/>
    <n v="0"/>
  </r>
  <r>
    <n v="1319"/>
    <s v="OMEGA 3 TRIPLA FONTE 1000MG 60CAPS"/>
    <m/>
    <n v="12"/>
    <s v="FRASCO 60CAPS"/>
    <n v="21069030"/>
    <x v="131"/>
    <n v="28.38165"/>
    <n v="17.510000000000002"/>
    <m/>
    <n v="17.510000000000002"/>
    <m/>
    <n v="0"/>
  </r>
  <r>
    <n v="1320"/>
    <s v="OMEGA 3 TRIPLA FONTE 1000MG 120CAPS"/>
    <m/>
    <n v="12"/>
    <s v="FRASCO 120CAPS"/>
    <n v="21069030"/>
    <x v="132"/>
    <n v="42.71008299999999"/>
    <n v="26.34"/>
    <m/>
    <n v="26.34"/>
    <m/>
    <n v="0"/>
  </r>
  <r>
    <n v="1340"/>
    <s v="OMEGA 3 TRIPLA FONTE 1000MG 180CAPS"/>
    <m/>
    <n v="12"/>
    <s v="FRASCO 180CAPS"/>
    <n v="21069030"/>
    <x v="133"/>
    <n v="57.055717000000001"/>
    <n v="35.200000000000003"/>
    <m/>
    <n v="35.200000000000003"/>
    <m/>
    <n v="0"/>
  </r>
  <r>
    <n v="1339"/>
    <s v="OMEGA 3 TRIPLA FONTE 1000MG 240CAPS"/>
    <m/>
    <n v="12"/>
    <s v="FRASCO 240CAPS"/>
    <n v="21069030"/>
    <x v="134"/>
    <n v="74.256717000000009"/>
    <n v="45.8"/>
    <m/>
    <n v="45.8"/>
    <m/>
    <n v="0"/>
  </r>
  <r>
    <n v="1517"/>
    <s v="PINUS PINASTER 50MG 30CPR"/>
    <m/>
    <n v="12"/>
    <s v="FRASCO 30CPR"/>
    <n v="21069030"/>
    <x v="135"/>
    <n v="63.73833333333333"/>
    <n v="39.32"/>
    <m/>
    <n v="39.32"/>
    <m/>
    <n v="0"/>
  </r>
  <r>
    <n v="1516"/>
    <s v="PINUS PINASTER 50MG 60CPR"/>
    <m/>
    <n v="12"/>
    <s v="FRASCO 60CPR"/>
    <n v="21069030"/>
    <x v="136"/>
    <n v="102.705"/>
    <n v="63.35"/>
    <m/>
    <n v="63.35"/>
    <m/>
    <n v="0"/>
  </r>
  <r>
    <n v="1371"/>
    <s v="PROPOLIS VERDE 500MG 30CAPS"/>
    <s v="Nova Embalagem / Preço Reduzido"/>
    <n v="12"/>
    <s v="CARTUCHO 30CAPS"/>
    <n v="21069030"/>
    <x v="137"/>
    <n v="35.9"/>
    <n v="22.04"/>
    <m/>
    <n v="22.04"/>
    <m/>
    <n v="0"/>
  </r>
  <r>
    <n v="1372"/>
    <s v="SKIN HAIR &amp; NAILS 500MG 60CAPS"/>
    <m/>
    <n v="12"/>
    <s v="FRASCO 60CAPS"/>
    <n v="21069030"/>
    <x v="138"/>
    <n v="29.718379372499992"/>
    <n v="14.83"/>
    <m/>
    <n v="14.83"/>
    <m/>
    <n v="0"/>
  </r>
  <r>
    <n v="1223"/>
    <s v="TESTOGERON  500MG 60CAPS"/>
    <m/>
    <n v="12"/>
    <s v="CARTUCHO 60CAPS"/>
    <n v="21069030"/>
    <x v="139"/>
    <n v="63.652050000000003"/>
    <n v="39.07"/>
    <m/>
    <n v="39.07"/>
    <m/>
    <n v="0"/>
  </r>
  <r>
    <n v="1191"/>
    <s v="TRIMUNE 30 CAPS 500MG"/>
    <m/>
    <n v="12"/>
    <s v="CARTUCHO 30CAPS"/>
    <n v="21069030"/>
    <x v="140"/>
    <n v="26.004404999999998"/>
    <n v="16.03"/>
    <m/>
    <n v="16.03"/>
    <m/>
    <n v="0"/>
  </r>
  <r>
    <n v="1545"/>
    <s v="TRIMUNE+VITC+D3+ZINCO+BETAGLUCANA 30CAPS"/>
    <s v="Lançamento"/>
    <n v="12"/>
    <s v="CARTUCHO 30CAPS"/>
    <n v="21069030"/>
    <x v="141"/>
    <n v="38.409999999999997"/>
    <n v="23"/>
    <m/>
    <n v="23"/>
    <m/>
    <n v="0"/>
  </r>
  <r>
    <n v="1375"/>
    <s v="VITABOND COMPLETO A-Z 60CAPS"/>
    <s v="Nova Embalagem / Preço Reduzido"/>
    <n v="12"/>
    <s v="CARTUCHO 60CAPS"/>
    <n v="21069030"/>
    <x v="142"/>
    <n v="49.9"/>
    <n v="15.27"/>
    <m/>
    <n v="15.27"/>
    <m/>
    <n v="0"/>
  </r>
  <r>
    <n v="1430"/>
    <s v="VITABOND COMPLETO MULHER 60CAPS"/>
    <s v="Nova Embalagem / Preço Reduzido"/>
    <n v="12"/>
    <s v="CARTUCHO 60CAPS"/>
    <n v="21069030"/>
    <x v="143"/>
    <n v="49.9"/>
    <n v="15.27"/>
    <m/>
    <n v="15.27"/>
    <m/>
    <n v="0"/>
  </r>
  <r>
    <n v="1429"/>
    <s v="VITABOND COMPLETO SENIOR 60CAPS"/>
    <s v="Nova Embalagem / Preço Reduzido"/>
    <n v="12"/>
    <s v="CARTUCHO 60CAPS"/>
    <n v="21069030"/>
    <x v="144"/>
    <n v="49.9"/>
    <n v="15.27"/>
    <m/>
    <n v="15.27"/>
    <m/>
    <n v="0"/>
  </r>
  <r>
    <n v="1547"/>
    <s v="VITABOND COMPLETO HOMEM 60CAPS"/>
    <s v="Nova Embalagem / Preço Reduzido"/>
    <n v="12"/>
    <s v="CARTUCHO 60CAPS"/>
    <n v="21069030"/>
    <x v="145"/>
    <n v="49.9"/>
    <n v="15.27"/>
    <m/>
    <n v="15.27"/>
    <m/>
    <n v="0"/>
  </r>
  <r>
    <n v="1551"/>
    <s v="VITABOND COMPLETO GESTANTE 60CAPS"/>
    <s v="Nova Embalagem / Preço Reduzido"/>
    <n v="12"/>
    <s v="CARTUCHO 60CAPS"/>
    <n v="21069030"/>
    <x v="146"/>
    <n v="49.9"/>
    <n v="15.27"/>
    <m/>
    <n v="15.27"/>
    <m/>
    <n v="0"/>
  </r>
  <r>
    <n v="1548"/>
    <s v="VITABOND COMPLETO CABELOS E UNHAS 60CAPS"/>
    <s v="Nova Embalagem / Preço Reduzido"/>
    <n v="12"/>
    <s v="CARTUCHO 60CAPS"/>
    <n v="21069030"/>
    <x v="147"/>
    <n v="49.9"/>
    <n v="15.27"/>
    <m/>
    <n v="15.27"/>
    <m/>
    <n v="0"/>
  </r>
  <r>
    <n v="1549"/>
    <s v="VITABOND MEG3 OMEGA SUPER CONC 60CAPS"/>
    <s v="Nova Embalagem / Preço Reduzido"/>
    <n v="12"/>
    <s v="CARTUCHO 60CAPS"/>
    <n v="21069030"/>
    <x v="148"/>
    <n v="49.9"/>
    <n v="28.17"/>
    <m/>
    <n v="28.17"/>
    <m/>
    <n v="0"/>
  </r>
  <r>
    <n v="1546"/>
    <s v="VITABOND COMPLETO ENERGIA 60CAPS"/>
    <s v="Nova Embalagem / Preço Reduzido"/>
    <n v="12"/>
    <s v="CARTUCHO 60CAPS"/>
    <n v="21069030"/>
    <x v="149"/>
    <n v="49.9"/>
    <n v="15.27"/>
    <m/>
    <n v="15.27"/>
    <m/>
    <n v="0"/>
  </r>
  <r>
    <n v="1624"/>
    <s v="VITABOND COMPLETO BARIOMEGAS 60CAPS"/>
    <s v="Lançamento"/>
    <n v="12"/>
    <s v="CARTUCHO 60CAPS"/>
    <n v="21069030"/>
    <x v="150"/>
    <n v="83.548010788941326"/>
    <n v="24.83"/>
    <m/>
    <n v="24.83"/>
    <m/>
    <n v="0"/>
  </r>
  <r>
    <n v="1426"/>
    <s v="VITAMINA C 1.000MG 30CPR"/>
    <s v="Nova Embalagem / Preço Reduzido"/>
    <n v="12"/>
    <s v="CARTUCHO 30CAPS"/>
    <n v="21069030"/>
    <x v="151"/>
    <n v="33.270000000000003"/>
    <n v="16.5"/>
    <m/>
    <n v="16.5"/>
    <m/>
    <n v="0"/>
  </r>
  <r>
    <n v="1439"/>
    <s v="VITAMINA D 2.000UI 30CAPS"/>
    <m/>
    <n v="12"/>
    <s v="CARTUCHO 30CAPS"/>
    <n v="21069030"/>
    <x v="152"/>
    <n v="19.493074999999997"/>
    <n v="11.98"/>
    <m/>
    <n v="11.98"/>
    <m/>
    <n v="0"/>
  </r>
  <r>
    <n v="1440"/>
    <s v="VITAMINA E 400MG SOFTGEL 30CAPS"/>
    <m/>
    <n v="12"/>
    <s v="CARTUCHO 30CAPS"/>
    <n v="21069030"/>
    <x v="153"/>
    <n v="30.799058500000001"/>
    <n v="14.83"/>
    <m/>
    <n v="14.83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58" firstHeaderRow="1" firstDataRow="1" firstDataCol="1"/>
  <pivotFields count="13">
    <pivotField showAll="0"/>
    <pivotField showAll="0"/>
    <pivotField showAll="0"/>
    <pivotField showAll="0"/>
    <pivotField showAll="0"/>
    <pivotField numFmtId="1" showAll="0"/>
    <pivotField axis="axisRow" showAll="0" sortType="descending" defaultSubtotal="0">
      <items count="179">
        <item m="1" x="178"/>
        <item m="1" x="154"/>
        <item x="75"/>
        <item x="83"/>
        <item x="16"/>
        <item x="139"/>
        <item x="12"/>
        <item m="1" x="172"/>
        <item x="67"/>
        <item x="82"/>
        <item m="1" x="169"/>
        <item x="19"/>
        <item m="1" x="177"/>
        <item x="66"/>
        <item x="107"/>
        <item m="1" x="174"/>
        <item x="140"/>
        <item x="130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71"/>
        <item m="1" x="167"/>
        <item m="1" x="165"/>
        <item m="1" x="166"/>
        <item x="105"/>
        <item x="104"/>
        <item x="106"/>
        <item x="131"/>
        <item x="132"/>
        <item x="1"/>
        <item x="20"/>
        <item x="134"/>
        <item x="133"/>
        <item m="1" x="168"/>
        <item x="138"/>
        <item x="142"/>
        <item x="119"/>
        <item m="1" x="175"/>
        <item x="2"/>
        <item x="11"/>
        <item m="1" x="176"/>
        <item x="78"/>
        <item x="79"/>
        <item x="80"/>
        <item x="7"/>
        <item x="69"/>
        <item x="88"/>
        <item m="1" x="155"/>
        <item x="144"/>
        <item x="143"/>
        <item x="108"/>
        <item x="152"/>
        <item x="153"/>
        <item x="87"/>
        <item x="121"/>
        <item x="118"/>
        <item x="120"/>
        <item x="49"/>
        <item m="1" x="170"/>
        <item m="1" x="173"/>
        <item x="0"/>
        <item x="3"/>
        <item x="4"/>
        <item x="5"/>
        <item x="6"/>
        <item x="8"/>
        <item x="9"/>
        <item x="10"/>
        <item x="13"/>
        <item x="14"/>
        <item x="15"/>
        <item x="17"/>
        <item x="18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8"/>
        <item x="70"/>
        <item x="71"/>
        <item x="72"/>
        <item x="73"/>
        <item x="74"/>
        <item x="76"/>
        <item x="77"/>
        <item x="81"/>
        <item x="84"/>
        <item x="85"/>
        <item x="86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9"/>
        <item x="110"/>
        <item x="111"/>
        <item x="112"/>
        <item x="113"/>
        <item x="114"/>
        <item x="115"/>
        <item x="116"/>
        <item x="117"/>
        <item x="122"/>
        <item x="123"/>
        <item x="124"/>
        <item x="125"/>
        <item x="126"/>
        <item x="127"/>
        <item x="128"/>
        <item x="129"/>
        <item x="135"/>
        <item x="136"/>
        <item x="137"/>
        <item x="141"/>
        <item x="145"/>
        <item x="146"/>
        <item x="147"/>
        <item x="148"/>
        <item x="149"/>
        <item x="150"/>
        <item x="15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/>
    <pivotField numFmtId="164" showAll="0"/>
    <pivotField showAll="0"/>
    <pivotField numFmtId="164" showAll="0"/>
    <pivotField dataField="1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umFmtId="164" showAll="0"/>
  </pivotFields>
  <rowFields count="1">
    <field x="6"/>
  </rowFields>
  <rowItems count="155">
    <i>
      <x v="152"/>
    </i>
    <i>
      <x v="120"/>
    </i>
    <i>
      <x v="104"/>
    </i>
    <i>
      <x v="3"/>
    </i>
    <i>
      <x v="136"/>
    </i>
    <i>
      <x v="4"/>
    </i>
    <i>
      <x v="168"/>
    </i>
    <i>
      <x v="5"/>
    </i>
    <i>
      <x v="112"/>
    </i>
    <i>
      <x v="6"/>
    </i>
    <i>
      <x v="128"/>
    </i>
    <i>
      <x v="8"/>
    </i>
    <i>
      <x v="144"/>
    </i>
    <i>
      <x v="9"/>
    </i>
    <i>
      <x v="160"/>
    </i>
    <i>
      <x v="11"/>
    </i>
    <i>
      <x v="176"/>
    </i>
    <i>
      <x v="13"/>
    </i>
    <i>
      <x v="108"/>
    </i>
    <i>
      <x v="14"/>
    </i>
    <i>
      <x v="116"/>
    </i>
    <i>
      <x v="16"/>
    </i>
    <i>
      <x v="124"/>
    </i>
    <i>
      <x v="17"/>
    </i>
    <i>
      <x v="132"/>
    </i>
    <i>
      <x v="31"/>
    </i>
    <i>
      <x v="140"/>
    </i>
    <i>
      <x v="32"/>
    </i>
    <i>
      <x v="148"/>
    </i>
    <i>
      <x v="33"/>
    </i>
    <i>
      <x v="156"/>
    </i>
    <i>
      <x v="34"/>
    </i>
    <i>
      <x v="164"/>
    </i>
    <i>
      <x v="35"/>
    </i>
    <i>
      <x v="172"/>
    </i>
    <i>
      <x v="36"/>
    </i>
    <i>
      <x v="102"/>
    </i>
    <i>
      <x v="37"/>
    </i>
    <i>
      <x v="106"/>
    </i>
    <i>
      <x v="38"/>
    </i>
    <i>
      <x v="110"/>
    </i>
    <i>
      <x v="39"/>
    </i>
    <i>
      <x v="114"/>
    </i>
    <i>
      <x v="41"/>
    </i>
    <i>
      <x v="118"/>
    </i>
    <i>
      <x v="42"/>
    </i>
    <i>
      <x v="122"/>
    </i>
    <i>
      <x v="43"/>
    </i>
    <i>
      <x v="126"/>
    </i>
    <i>
      <x v="45"/>
    </i>
    <i>
      <x v="130"/>
    </i>
    <i>
      <x v="46"/>
    </i>
    <i>
      <x v="134"/>
    </i>
    <i>
      <x v="48"/>
    </i>
    <i>
      <x v="138"/>
    </i>
    <i>
      <x v="49"/>
    </i>
    <i>
      <x v="142"/>
    </i>
    <i>
      <x v="50"/>
    </i>
    <i>
      <x v="146"/>
    </i>
    <i>
      <x v="51"/>
    </i>
    <i>
      <x v="150"/>
    </i>
    <i>
      <x v="52"/>
    </i>
    <i>
      <x v="154"/>
    </i>
    <i>
      <x v="53"/>
    </i>
    <i>
      <x v="158"/>
    </i>
    <i>
      <x v="55"/>
    </i>
    <i>
      <x v="162"/>
    </i>
    <i>
      <x v="56"/>
    </i>
    <i>
      <x v="166"/>
    </i>
    <i>
      <x v="57"/>
    </i>
    <i>
      <x v="170"/>
    </i>
    <i>
      <x v="58"/>
    </i>
    <i>
      <x v="174"/>
    </i>
    <i>
      <x v="59"/>
    </i>
    <i>
      <x v="178"/>
    </i>
    <i>
      <x v="60"/>
    </i>
    <i>
      <x v="103"/>
    </i>
    <i>
      <x v="61"/>
    </i>
    <i>
      <x v="105"/>
    </i>
    <i>
      <x v="62"/>
    </i>
    <i>
      <x v="107"/>
    </i>
    <i>
      <x v="63"/>
    </i>
    <i>
      <x v="109"/>
    </i>
    <i>
      <x v="64"/>
    </i>
    <i>
      <x v="111"/>
    </i>
    <i>
      <x v="67"/>
    </i>
    <i>
      <x v="113"/>
    </i>
    <i>
      <x v="68"/>
    </i>
    <i>
      <x v="115"/>
    </i>
    <i>
      <x v="69"/>
    </i>
    <i>
      <x v="117"/>
    </i>
    <i>
      <x v="70"/>
    </i>
    <i>
      <x v="119"/>
    </i>
    <i>
      <x v="71"/>
    </i>
    <i>
      <x v="121"/>
    </i>
    <i>
      <x v="72"/>
    </i>
    <i>
      <x v="123"/>
    </i>
    <i>
      <x v="73"/>
    </i>
    <i>
      <x v="125"/>
    </i>
    <i>
      <x v="74"/>
    </i>
    <i>
      <x v="127"/>
    </i>
    <i>
      <x v="75"/>
    </i>
    <i>
      <x v="129"/>
    </i>
    <i>
      <x v="76"/>
    </i>
    <i>
      <x v="131"/>
    </i>
    <i>
      <x v="77"/>
    </i>
    <i>
      <x v="133"/>
    </i>
    <i>
      <x v="78"/>
    </i>
    <i>
      <x v="135"/>
    </i>
    <i>
      <x v="79"/>
    </i>
    <i>
      <x v="137"/>
    </i>
    <i>
      <x v="80"/>
    </i>
    <i>
      <x v="139"/>
    </i>
    <i>
      <x v="81"/>
    </i>
    <i>
      <x v="141"/>
    </i>
    <i>
      <x v="82"/>
    </i>
    <i>
      <x v="143"/>
    </i>
    <i>
      <x v="83"/>
    </i>
    <i>
      <x v="145"/>
    </i>
    <i>
      <x v="84"/>
    </i>
    <i>
      <x v="147"/>
    </i>
    <i>
      <x v="85"/>
    </i>
    <i>
      <x v="149"/>
    </i>
    <i>
      <x v="86"/>
    </i>
    <i>
      <x v="151"/>
    </i>
    <i>
      <x v="87"/>
    </i>
    <i>
      <x v="153"/>
    </i>
    <i>
      <x v="88"/>
    </i>
    <i>
      <x v="155"/>
    </i>
    <i>
      <x v="89"/>
    </i>
    <i>
      <x v="157"/>
    </i>
    <i>
      <x v="90"/>
    </i>
    <i>
      <x v="159"/>
    </i>
    <i>
      <x v="91"/>
    </i>
    <i>
      <x v="161"/>
    </i>
    <i>
      <x v="92"/>
    </i>
    <i>
      <x v="163"/>
    </i>
    <i>
      <x v="93"/>
    </i>
    <i>
      <x v="165"/>
    </i>
    <i>
      <x v="94"/>
    </i>
    <i>
      <x v="167"/>
    </i>
    <i>
      <x v="95"/>
    </i>
    <i>
      <x v="169"/>
    </i>
    <i>
      <x v="96"/>
    </i>
    <i>
      <x v="171"/>
    </i>
    <i>
      <x v="97"/>
    </i>
    <i>
      <x v="173"/>
    </i>
    <i>
      <x v="98"/>
    </i>
    <i>
      <x v="175"/>
    </i>
    <i>
      <x v="99"/>
    </i>
    <i>
      <x v="177"/>
    </i>
    <i>
      <x v="100"/>
    </i>
    <i>
      <x v="2"/>
    </i>
    <i>
      <x v="101"/>
    </i>
    <i t="grand">
      <x/>
    </i>
  </rowItems>
  <colItems count="1">
    <i/>
  </colItems>
  <dataFields count="1">
    <dataField name="Soma de Quant" fld="11" baseField="0" baseItem="0"/>
  </dataFields>
  <formats count="8">
    <format dxfId="7">
      <pivotArea dataOnly="0" labelOnly="1" fieldPosition="0">
        <references count="1">
          <reference field="6" count="50">
            <x v="3"/>
            <x v="4"/>
            <x v="5"/>
            <x v="6"/>
            <x v="8"/>
            <x v="9"/>
            <x v="11"/>
            <x v="13"/>
            <x v="14"/>
            <x v="16"/>
            <x v="17"/>
            <x v="31"/>
            <x v="32"/>
            <x v="33"/>
            <x v="34"/>
            <x v="35"/>
            <x v="36"/>
            <x v="37"/>
            <x v="38"/>
            <x v="39"/>
            <x v="41"/>
            <x v="42"/>
            <x v="43"/>
            <x v="45"/>
            <x v="102"/>
            <x v="104"/>
            <x v="106"/>
            <x v="108"/>
            <x v="110"/>
            <x v="112"/>
            <x v="114"/>
            <x v="116"/>
            <x v="118"/>
            <x v="120"/>
            <x v="122"/>
            <x v="124"/>
            <x v="126"/>
            <x v="128"/>
            <x v="132"/>
            <x v="136"/>
            <x v="140"/>
            <x v="144"/>
            <x v="148"/>
            <x v="152"/>
            <x v="156"/>
            <x v="160"/>
            <x v="164"/>
            <x v="168"/>
            <x v="172"/>
            <x v="176"/>
          </reference>
        </references>
      </pivotArea>
    </format>
    <format dxfId="6">
      <pivotArea dataOnly="0" labelOnly="1" fieldPosition="0">
        <references count="1">
          <reference field="6" count="50">
            <x v="46"/>
            <x v="48"/>
            <x v="49"/>
            <x v="50"/>
            <x v="51"/>
            <x v="52"/>
            <x v="53"/>
            <x v="55"/>
            <x v="56"/>
            <x v="57"/>
            <x v="58"/>
            <x v="59"/>
            <x v="60"/>
            <x v="61"/>
            <x v="62"/>
            <x v="63"/>
            <x v="64"/>
            <x v="67"/>
            <x v="68"/>
            <x v="69"/>
            <x v="70"/>
            <x v="71"/>
            <x v="72"/>
            <x v="73"/>
            <x v="74"/>
            <x v="103"/>
            <x v="105"/>
            <x v="107"/>
            <x v="109"/>
            <x v="111"/>
            <x v="113"/>
            <x v="115"/>
            <x v="117"/>
            <x v="119"/>
            <x v="121"/>
            <x v="123"/>
            <x v="125"/>
            <x v="130"/>
            <x v="134"/>
            <x v="138"/>
            <x v="142"/>
            <x v="146"/>
            <x v="150"/>
            <x v="154"/>
            <x v="158"/>
            <x v="162"/>
            <x v="166"/>
            <x v="170"/>
            <x v="174"/>
            <x v="178"/>
          </reference>
        </references>
      </pivotArea>
    </format>
    <format dxfId="5">
      <pivotArea dataOnly="0" labelOnly="1" fieldPosition="0">
        <references count="1">
          <reference field="6" count="50"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27"/>
            <x v="129"/>
            <x v="131"/>
            <x v="133"/>
            <x v="135"/>
            <x v="137"/>
            <x v="139"/>
            <x v="141"/>
            <x v="143"/>
            <x v="145"/>
            <x v="147"/>
            <x v="149"/>
            <x v="151"/>
            <x v="153"/>
            <x v="155"/>
            <x v="157"/>
            <x v="159"/>
            <x v="161"/>
            <x v="163"/>
            <x v="165"/>
            <x v="167"/>
            <x v="169"/>
            <x v="171"/>
            <x v="173"/>
            <x v="175"/>
          </reference>
        </references>
      </pivotArea>
    </format>
    <format dxfId="4">
      <pivotArea dataOnly="0" labelOnly="1" fieldPosition="0">
        <references count="1">
          <reference field="6" count="4">
            <x v="2"/>
            <x v="100"/>
            <x v="101"/>
            <x v="177"/>
          </reference>
        </references>
      </pivotArea>
    </format>
    <format dxfId="3">
      <pivotArea dataOnly="0" labelOnly="1" fieldPosition="0">
        <references count="1">
          <reference field="6" count="50">
            <x v="3"/>
            <x v="4"/>
            <x v="5"/>
            <x v="6"/>
            <x v="8"/>
            <x v="9"/>
            <x v="11"/>
            <x v="13"/>
            <x v="14"/>
            <x v="16"/>
            <x v="17"/>
            <x v="31"/>
            <x v="32"/>
            <x v="33"/>
            <x v="34"/>
            <x v="35"/>
            <x v="36"/>
            <x v="37"/>
            <x v="38"/>
            <x v="39"/>
            <x v="41"/>
            <x v="42"/>
            <x v="43"/>
            <x v="45"/>
            <x v="102"/>
            <x v="104"/>
            <x v="106"/>
            <x v="108"/>
            <x v="110"/>
            <x v="112"/>
            <x v="114"/>
            <x v="116"/>
            <x v="118"/>
            <x v="120"/>
            <x v="122"/>
            <x v="124"/>
            <x v="126"/>
            <x v="128"/>
            <x v="132"/>
            <x v="136"/>
            <x v="140"/>
            <x v="144"/>
            <x v="148"/>
            <x v="152"/>
            <x v="156"/>
            <x v="160"/>
            <x v="164"/>
            <x v="168"/>
            <x v="172"/>
            <x v="176"/>
          </reference>
        </references>
      </pivotArea>
    </format>
    <format dxfId="2">
      <pivotArea dataOnly="0" labelOnly="1" fieldPosition="0">
        <references count="1">
          <reference field="6" count="50">
            <x v="46"/>
            <x v="48"/>
            <x v="49"/>
            <x v="50"/>
            <x v="51"/>
            <x v="52"/>
            <x v="53"/>
            <x v="55"/>
            <x v="56"/>
            <x v="57"/>
            <x v="58"/>
            <x v="59"/>
            <x v="60"/>
            <x v="61"/>
            <x v="62"/>
            <x v="63"/>
            <x v="64"/>
            <x v="67"/>
            <x v="68"/>
            <x v="69"/>
            <x v="70"/>
            <x v="71"/>
            <x v="72"/>
            <x v="73"/>
            <x v="74"/>
            <x v="103"/>
            <x v="105"/>
            <x v="107"/>
            <x v="109"/>
            <x v="111"/>
            <x v="113"/>
            <x v="115"/>
            <x v="117"/>
            <x v="119"/>
            <x v="121"/>
            <x v="123"/>
            <x v="125"/>
            <x v="130"/>
            <x v="134"/>
            <x v="138"/>
            <x v="142"/>
            <x v="146"/>
            <x v="150"/>
            <x v="154"/>
            <x v="158"/>
            <x v="162"/>
            <x v="166"/>
            <x v="170"/>
            <x v="174"/>
            <x v="178"/>
          </reference>
        </references>
      </pivotArea>
    </format>
    <format dxfId="1">
      <pivotArea dataOnly="0" labelOnly="1" fieldPosition="0">
        <references count="1">
          <reference field="6" count="50"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27"/>
            <x v="129"/>
            <x v="131"/>
            <x v="133"/>
            <x v="135"/>
            <x v="137"/>
            <x v="139"/>
            <x v="141"/>
            <x v="143"/>
            <x v="145"/>
            <x v="147"/>
            <x v="149"/>
            <x v="151"/>
            <x v="153"/>
            <x v="155"/>
            <x v="157"/>
            <x v="159"/>
            <x v="161"/>
            <x v="163"/>
            <x v="165"/>
            <x v="167"/>
            <x v="169"/>
            <x v="171"/>
            <x v="173"/>
            <x v="175"/>
          </reference>
        </references>
      </pivotArea>
    </format>
    <format dxfId="0">
      <pivotArea dataOnly="0" labelOnly="1" fieldPosition="0">
        <references count="1">
          <reference field="6" count="4">
            <x v="2"/>
            <x v="100"/>
            <x v="101"/>
            <x v="17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>
    <tabColor theme="5"/>
    <pageSetUpPr fitToPage="1"/>
  </sheetPr>
  <dimension ref="A1:XFB242"/>
  <sheetViews>
    <sheetView showGridLines="0" tabSelected="1" zoomScaleNormal="100" workbookViewId="0">
      <pane ySplit="9" topLeftCell="A10" activePane="bottomLeft" state="frozen"/>
      <selection pane="bottomLeft" activeCell="O6" sqref="O6:P7"/>
    </sheetView>
  </sheetViews>
  <sheetFormatPr defaultColWidth="0" defaultRowHeight="14.4" x14ac:dyDescent="0.3"/>
  <cols>
    <col min="1" max="1" width="0.6640625" style="1" customWidth="1"/>
    <col min="2" max="2" width="0.33203125" style="1" customWidth="1"/>
    <col min="3" max="3" width="4.109375" style="1" bestFit="1" customWidth="1"/>
    <col min="4" max="4" width="7" style="1" customWidth="1"/>
    <col min="5" max="5" width="41.88671875" style="1" bestFit="1" customWidth="1"/>
    <col min="6" max="6" width="10.5546875" style="14" customWidth="1"/>
    <col min="7" max="7" width="24.6640625" style="14" customWidth="1"/>
    <col min="8" max="9" width="12" style="14" customWidth="1"/>
    <col min="10" max="10" width="12.44140625" style="1" customWidth="1"/>
    <col min="11" max="11" width="13.109375" style="1" customWidth="1"/>
    <col min="12" max="13" width="9.44140625" style="9" customWidth="1"/>
    <col min="14" max="16" width="13.109375" style="1" customWidth="1"/>
    <col min="17" max="17" width="1.6640625" style="1" customWidth="1"/>
    <col min="18" max="16377" width="12.6640625" style="1" hidden="1" customWidth="1"/>
    <col min="16378" max="16378" width="1" style="1" hidden="1" customWidth="1"/>
    <col min="16379" max="16379" width="12.6640625" style="1" hidden="1" customWidth="1"/>
    <col min="16380" max="16381" width="1" style="1" hidden="1" customWidth="1"/>
    <col min="16382" max="16382" width="1" style="1" hidden="1"/>
    <col min="16383" max="16384" width="1.109375" style="1" hidden="1"/>
  </cols>
  <sheetData>
    <row r="1" spans="2:16 16376:16377" ht="15" customHeight="1" x14ac:dyDescent="0.3">
      <c r="B1" s="54" t="s">
        <v>314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</row>
    <row r="2" spans="2:16 16376:16377" ht="14.4" customHeight="1" x14ac:dyDescent="0.3"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36"/>
      <c r="P2" s="36"/>
    </row>
    <row r="3" spans="2:16 16376:16377" ht="14.4" customHeight="1" x14ac:dyDescent="0.3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0"/>
      <c r="P3" s="50"/>
    </row>
    <row r="4" spans="2:16 16376:16377" ht="15" thickBot="1" x14ac:dyDescent="0.35">
      <c r="D4" s="12" t="s">
        <v>67</v>
      </c>
      <c r="E4" s="12"/>
      <c r="G4" s="13" t="s">
        <v>68</v>
      </c>
      <c r="P4" s="40" t="s">
        <v>332</v>
      </c>
    </row>
    <row r="5" spans="2:16 16376:16377" ht="15" thickBot="1" x14ac:dyDescent="0.35">
      <c r="D5" s="62"/>
      <c r="E5" s="63"/>
      <c r="G5" s="25"/>
      <c r="N5" s="11" t="s">
        <v>71</v>
      </c>
      <c r="O5" s="56">
        <v>0.4</v>
      </c>
      <c r="P5" s="57"/>
    </row>
    <row r="6" spans="2:16 16376:16377" ht="15" thickBot="1" x14ac:dyDescent="0.35">
      <c r="D6" s="64" t="s">
        <v>69</v>
      </c>
      <c r="E6" s="64"/>
      <c r="G6" s="13" t="s">
        <v>70</v>
      </c>
      <c r="N6" s="55" t="s">
        <v>72</v>
      </c>
      <c r="O6" s="58">
        <f>SUM(P11:P240)</f>
        <v>0</v>
      </c>
      <c r="P6" s="59"/>
    </row>
    <row r="7" spans="2:16 16376:16377" ht="15" thickBot="1" x14ac:dyDescent="0.35">
      <c r="D7" s="62"/>
      <c r="E7" s="63"/>
      <c r="G7" s="39"/>
      <c r="I7" s="15"/>
      <c r="N7" s="55"/>
      <c r="O7" s="60"/>
      <c r="P7" s="61"/>
    </row>
    <row r="9" spans="2:16 16376:16377" ht="15.6" customHeight="1" thickBot="1" x14ac:dyDescent="0.35">
      <c r="B9" s="24"/>
      <c r="C9" s="2" t="s">
        <v>134</v>
      </c>
      <c r="D9" s="2" t="s">
        <v>0</v>
      </c>
      <c r="E9" s="3" t="s">
        <v>1</v>
      </c>
      <c r="F9" s="2" t="s">
        <v>2</v>
      </c>
      <c r="G9" s="2" t="s">
        <v>3</v>
      </c>
      <c r="H9" s="2" t="s">
        <v>4</v>
      </c>
      <c r="I9" s="2" t="s">
        <v>5</v>
      </c>
      <c r="J9" s="2" t="s">
        <v>6</v>
      </c>
      <c r="K9" s="2" t="s">
        <v>7</v>
      </c>
      <c r="L9" s="10" t="s">
        <v>73</v>
      </c>
      <c r="M9" s="10" t="s">
        <v>335</v>
      </c>
      <c r="N9" s="2" t="s">
        <v>63</v>
      </c>
      <c r="O9" s="4" t="s">
        <v>64</v>
      </c>
      <c r="P9" s="2" t="s">
        <v>65</v>
      </c>
    </row>
    <row r="10" spans="2:16 16376:16377" ht="15.6" customHeight="1" thickTop="1" x14ac:dyDescent="0.3">
      <c r="B10" s="16" t="s">
        <v>96</v>
      </c>
      <c r="C10" s="29"/>
      <c r="D10" s="21"/>
      <c r="E10" s="23"/>
      <c r="F10" s="21"/>
      <c r="G10" s="21"/>
      <c r="H10" s="21"/>
      <c r="I10" s="21"/>
      <c r="J10" s="21"/>
      <c r="K10" s="21"/>
      <c r="L10" s="20"/>
      <c r="M10" s="20"/>
      <c r="N10" s="21"/>
      <c r="O10" s="21"/>
      <c r="P10" s="21"/>
    </row>
    <row r="11" spans="2:16 16376:16377" ht="15.6" customHeight="1" x14ac:dyDescent="0.3">
      <c r="B11" s="22"/>
      <c r="C11" s="22"/>
      <c r="D11" s="5">
        <v>1321</v>
      </c>
      <c r="E11" s="6" t="s">
        <v>149</v>
      </c>
      <c r="F11" s="7">
        <v>12</v>
      </c>
      <c r="G11" s="7" t="s">
        <v>92</v>
      </c>
      <c r="H11" s="15">
        <v>21069030</v>
      </c>
      <c r="I11" s="15">
        <v>7898714760449</v>
      </c>
      <c r="J11" s="8">
        <v>27.066149999999993</v>
      </c>
      <c r="K11" s="8">
        <v>16.604999999999997</v>
      </c>
      <c r="L11" s="41"/>
      <c r="M11" s="53">
        <f>_xlfn.XLOOKUP(I11,[1]Planilha1!$D:$D,[1]Planilha1!$F:$F)</f>
        <v>9289</v>
      </c>
      <c r="N11" s="8">
        <f t="shared" ref="N11:N42" si="0">IF(L11&gt;0.01%,K11*(1-L11),K11*(1-$O$5))</f>
        <v>9.9629999999999974</v>
      </c>
      <c r="O11" s="42"/>
      <c r="P11" s="8">
        <f>N11*O11</f>
        <v>0</v>
      </c>
      <c r="XEV11" s="34"/>
      <c r="XEW11" s="34"/>
    </row>
    <row r="12" spans="2:16 16376:16377" ht="15.6" customHeight="1" x14ac:dyDescent="0.3">
      <c r="B12" s="22"/>
      <c r="C12" s="30" t="s">
        <v>135</v>
      </c>
      <c r="D12" s="5">
        <v>1401</v>
      </c>
      <c r="E12" s="6" t="s">
        <v>150</v>
      </c>
      <c r="F12" s="7">
        <v>12</v>
      </c>
      <c r="G12" s="7" t="s">
        <v>19</v>
      </c>
      <c r="H12" s="15">
        <v>21069030</v>
      </c>
      <c r="I12" s="15">
        <v>7898714761347</v>
      </c>
      <c r="J12" s="8">
        <v>29.204709999999995</v>
      </c>
      <c r="K12" s="8">
        <v>17.916999999999998</v>
      </c>
      <c r="L12" s="41"/>
      <c r="M12" s="53">
        <f>_xlfn.XLOOKUP(I12,[1]Planilha1!$D:$D,[1]Planilha1!$F:$F)</f>
        <v>13768</v>
      </c>
      <c r="N12" s="8">
        <f t="shared" si="0"/>
        <v>10.750199999999998</v>
      </c>
      <c r="O12" s="42"/>
      <c r="P12" s="8">
        <f>N12*O12</f>
        <v>0</v>
      </c>
      <c r="XEV12" s="34"/>
      <c r="XEW12" s="34"/>
    </row>
    <row r="13" spans="2:16 16376:16377" ht="15.6" customHeight="1" x14ac:dyDescent="0.3">
      <c r="B13" s="22"/>
      <c r="C13" s="30" t="s">
        <v>135</v>
      </c>
      <c r="D13" s="5">
        <v>1594</v>
      </c>
      <c r="E13" s="6" t="s">
        <v>176</v>
      </c>
      <c r="F13" s="7">
        <v>12</v>
      </c>
      <c r="G13" s="7" t="s">
        <v>62</v>
      </c>
      <c r="H13" s="15">
        <v>21069030</v>
      </c>
      <c r="I13" s="15">
        <v>7898714763426</v>
      </c>
      <c r="J13" s="8">
        <v>25.361984999999994</v>
      </c>
      <c r="K13" s="8">
        <v>15.559499999999998</v>
      </c>
      <c r="L13" s="41"/>
      <c r="M13" s="53">
        <f>_xlfn.XLOOKUP(I13,[1]Planilha1!$D:$D,[1]Planilha1!$F:$F)</f>
        <v>270</v>
      </c>
      <c r="N13" s="8">
        <f t="shared" si="0"/>
        <v>9.3356999999999992</v>
      </c>
      <c r="O13" s="42"/>
      <c r="P13" s="8">
        <f>N13*O13</f>
        <v>0</v>
      </c>
      <c r="XEV13" s="34"/>
      <c r="XEW13" s="34"/>
    </row>
    <row r="14" spans="2:16 16376:16377" ht="15.6" customHeight="1" x14ac:dyDescent="0.3">
      <c r="B14" s="22"/>
      <c r="C14" s="30" t="s">
        <v>135</v>
      </c>
      <c r="D14" s="5">
        <v>1592</v>
      </c>
      <c r="E14" s="6" t="s">
        <v>177</v>
      </c>
      <c r="F14" s="7">
        <v>12</v>
      </c>
      <c r="G14" s="7" t="s">
        <v>87</v>
      </c>
      <c r="H14" s="15">
        <v>21069030</v>
      </c>
      <c r="I14" s="15">
        <v>7898714763402</v>
      </c>
      <c r="J14" s="8">
        <v>83.253472499999987</v>
      </c>
      <c r="K14" s="8">
        <v>51.075749999999992</v>
      </c>
      <c r="L14" s="41"/>
      <c r="M14" s="53">
        <f>_xlfn.XLOOKUP(I14,[1]Planilha1!$D:$D,[1]Planilha1!$F:$F)</f>
        <v>228</v>
      </c>
      <c r="N14" s="8">
        <f t="shared" si="0"/>
        <v>30.645449999999993</v>
      </c>
      <c r="O14" s="42"/>
      <c r="P14" s="8">
        <f>N14*O14</f>
        <v>0</v>
      </c>
      <c r="XEV14" s="34"/>
      <c r="XEW14" s="34"/>
    </row>
    <row r="15" spans="2:16 16376:16377" ht="15.6" customHeight="1" x14ac:dyDescent="0.3">
      <c r="B15" s="22"/>
      <c r="C15" s="30" t="s">
        <v>135</v>
      </c>
      <c r="D15" s="5">
        <v>1590</v>
      </c>
      <c r="E15" s="6" t="s">
        <v>178</v>
      </c>
      <c r="F15" s="7">
        <v>12</v>
      </c>
      <c r="G15" s="7" t="s">
        <v>62</v>
      </c>
      <c r="H15" s="15">
        <v>21069030</v>
      </c>
      <c r="I15" s="15">
        <v>7898714763389</v>
      </c>
      <c r="J15" s="8">
        <v>35.921124999999996</v>
      </c>
      <c r="K15" s="8">
        <v>22.037499999999998</v>
      </c>
      <c r="L15" s="41"/>
      <c r="M15" s="53">
        <f>_xlfn.XLOOKUP(I15,[1]Planilha1!$D:$D,[1]Planilha1!$F:$F)</f>
        <v>108</v>
      </c>
      <c r="N15" s="43">
        <f t="shared" si="0"/>
        <v>13.222499999999998</v>
      </c>
      <c r="O15" s="42"/>
      <c r="P15" s="8">
        <f>N15*O15</f>
        <v>0</v>
      </c>
      <c r="XEV15" s="34"/>
      <c r="XEW15" s="34"/>
    </row>
    <row r="16" spans="2:16 16376:16377" ht="15.6" customHeight="1" x14ac:dyDescent="0.3">
      <c r="B16" s="22"/>
      <c r="C16" s="30" t="s">
        <v>135</v>
      </c>
      <c r="D16" s="5">
        <v>1376</v>
      </c>
      <c r="E16" s="6" t="s">
        <v>136</v>
      </c>
      <c r="F16" s="7">
        <v>12</v>
      </c>
      <c r="G16" s="7" t="s">
        <v>87</v>
      </c>
      <c r="H16" s="15">
        <v>21069030</v>
      </c>
      <c r="I16" s="15">
        <v>7898714761088</v>
      </c>
      <c r="J16" s="8">
        <v>26.431264999999996</v>
      </c>
      <c r="K16" s="8">
        <v>16.215499999999999</v>
      </c>
      <c r="L16" s="41"/>
      <c r="M16" s="53">
        <f>_xlfn.XLOOKUP(I16,[1]Planilha1!$D:$D,[1]Planilha1!$F:$F)</f>
        <v>6708</v>
      </c>
      <c r="N16" s="8">
        <f t="shared" si="0"/>
        <v>9.7292999999999985</v>
      </c>
      <c r="O16" s="42"/>
      <c r="P16" s="8">
        <f>N16*O16</f>
        <v>0</v>
      </c>
      <c r="XEV16" s="34"/>
      <c r="XEW16" s="34"/>
    </row>
    <row r="17" spans="2:16 16376:16377" ht="15.6" customHeight="1" x14ac:dyDescent="0.3">
      <c r="B17" s="22"/>
      <c r="C17" s="30" t="s">
        <v>135</v>
      </c>
      <c r="D17" s="5">
        <v>1418</v>
      </c>
      <c r="E17" s="6" t="s">
        <v>74</v>
      </c>
      <c r="F17" s="7">
        <v>12</v>
      </c>
      <c r="G17" s="7" t="s">
        <v>87</v>
      </c>
      <c r="H17" s="15">
        <v>21069030</v>
      </c>
      <c r="I17" s="15">
        <v>7898714761507</v>
      </c>
      <c r="J17" s="8">
        <v>24.777222499999997</v>
      </c>
      <c r="K17" s="8">
        <v>15.200749999999999</v>
      </c>
      <c r="L17" s="41"/>
      <c r="M17" s="53">
        <f>_xlfn.XLOOKUP(I17,[1]Planilha1!$D:$D,[1]Planilha1!$F:$F)</f>
        <v>14363</v>
      </c>
      <c r="N17" s="8">
        <f t="shared" si="0"/>
        <v>9.1204499999999999</v>
      </c>
      <c r="O17" s="42"/>
      <c r="P17" s="8">
        <f>N17*O17</f>
        <v>0</v>
      </c>
      <c r="XEV17" s="34"/>
      <c r="XEW17" s="34"/>
    </row>
    <row r="18" spans="2:16 16376:16377" ht="15.6" customHeight="1" x14ac:dyDescent="0.3">
      <c r="B18" s="22"/>
      <c r="C18" s="30" t="s">
        <v>135</v>
      </c>
      <c r="D18" s="5">
        <v>1527</v>
      </c>
      <c r="E18" s="6" t="s">
        <v>151</v>
      </c>
      <c r="F18" s="7">
        <v>12</v>
      </c>
      <c r="G18" s="7" t="s">
        <v>87</v>
      </c>
      <c r="H18" s="15">
        <v>21069030</v>
      </c>
      <c r="I18" s="15">
        <v>7898714762689</v>
      </c>
      <c r="J18" s="8">
        <v>28.402749999999994</v>
      </c>
      <c r="K18" s="8">
        <v>17.424999999999997</v>
      </c>
      <c r="L18" s="41"/>
      <c r="M18" s="53">
        <f>_xlfn.XLOOKUP(I18,[1]Planilha1!$D:$D,[1]Planilha1!$F:$F)</f>
        <v>54</v>
      </c>
      <c r="N18" s="8">
        <f t="shared" si="0"/>
        <v>10.454999999999998</v>
      </c>
      <c r="O18" s="42"/>
      <c r="P18" s="8">
        <f>N18*O18</f>
        <v>0</v>
      </c>
      <c r="XEV18" s="34"/>
      <c r="XEW18" s="34"/>
    </row>
    <row r="19" spans="2:16 16376:16377" ht="15.6" customHeight="1" x14ac:dyDescent="0.3">
      <c r="B19" s="22"/>
      <c r="C19" s="30" t="s">
        <v>135</v>
      </c>
      <c r="D19" s="5">
        <v>1637</v>
      </c>
      <c r="E19" s="6" t="s">
        <v>286</v>
      </c>
      <c r="F19" s="7">
        <v>12</v>
      </c>
      <c r="G19" s="7" t="s">
        <v>87</v>
      </c>
      <c r="H19" s="15">
        <v>21069030</v>
      </c>
      <c r="I19" s="15">
        <v>7898714763853</v>
      </c>
      <c r="J19" s="8">
        <v>30.357527499999996</v>
      </c>
      <c r="K19" s="8">
        <v>18.62425</v>
      </c>
      <c r="L19" s="41"/>
      <c r="M19" s="53">
        <f>_xlfn.XLOOKUP(I19,[1]Planilha1!$D:$D,[1]Planilha1!$F:$F)</f>
        <v>2</v>
      </c>
      <c r="N19" s="8">
        <f t="shared" si="0"/>
        <v>11.17455</v>
      </c>
      <c r="O19" s="42"/>
      <c r="P19" s="8">
        <f>N19*O19</f>
        <v>0</v>
      </c>
      <c r="XEV19" s="34"/>
      <c r="XEW19" s="34"/>
    </row>
    <row r="20" spans="2:16 16376:16377" ht="15.6" customHeight="1" x14ac:dyDescent="0.3">
      <c r="B20" s="22"/>
      <c r="C20" s="30" t="s">
        <v>135</v>
      </c>
      <c r="D20" s="5">
        <v>1640</v>
      </c>
      <c r="E20" s="6" t="s">
        <v>287</v>
      </c>
      <c r="F20" s="7">
        <v>12</v>
      </c>
      <c r="G20" s="7" t="s">
        <v>103</v>
      </c>
      <c r="H20" s="15">
        <v>21069030</v>
      </c>
      <c r="I20" s="15">
        <v>7898714763884</v>
      </c>
      <c r="J20" s="8">
        <v>41.48472249999999</v>
      </c>
      <c r="K20" s="8">
        <v>25.450749999999996</v>
      </c>
      <c r="L20" s="41"/>
      <c r="M20" s="53">
        <f>_xlfn.XLOOKUP(I20,[1]Planilha1!$D:$D,[1]Planilha1!$F:$F)</f>
        <v>0</v>
      </c>
      <c r="N20" s="8">
        <f t="shared" si="0"/>
        <v>15.270449999999997</v>
      </c>
      <c r="O20" s="42"/>
      <c r="P20" s="8">
        <f>N20*O20</f>
        <v>0</v>
      </c>
      <c r="XEV20" s="34"/>
      <c r="XEW20" s="34"/>
    </row>
    <row r="21" spans="2:16 16376:16377" ht="15.6" customHeight="1" x14ac:dyDescent="0.3">
      <c r="B21" s="22"/>
      <c r="C21" s="30" t="s">
        <v>135</v>
      </c>
      <c r="D21" s="5">
        <v>1413</v>
      </c>
      <c r="E21" s="6" t="s">
        <v>75</v>
      </c>
      <c r="F21" s="7">
        <v>12</v>
      </c>
      <c r="G21" s="7" t="s">
        <v>87</v>
      </c>
      <c r="H21" s="15">
        <v>21069030</v>
      </c>
      <c r="I21" s="15">
        <v>7898714761453</v>
      </c>
      <c r="J21" s="8">
        <v>24.560024999999992</v>
      </c>
      <c r="K21" s="8">
        <v>15.067499999999997</v>
      </c>
      <c r="L21" s="41"/>
      <c r="M21" s="53">
        <f>_xlfn.XLOOKUP(I21,[1]Planilha1!$D:$D,[1]Planilha1!$F:$F)</f>
        <v>8</v>
      </c>
      <c r="N21" s="8">
        <f t="shared" si="0"/>
        <v>9.040499999999998</v>
      </c>
      <c r="O21" s="42"/>
      <c r="P21" s="8">
        <f>N21*O21</f>
        <v>0</v>
      </c>
      <c r="XEV21" s="34"/>
      <c r="XEW21" s="34"/>
    </row>
    <row r="22" spans="2:16 16376:16377" ht="15.6" customHeight="1" x14ac:dyDescent="0.3">
      <c r="B22" s="22"/>
      <c r="C22" s="30" t="s">
        <v>135</v>
      </c>
      <c r="D22" s="5">
        <v>1215</v>
      </c>
      <c r="E22" s="6" t="s">
        <v>9</v>
      </c>
      <c r="F22" s="7">
        <v>12</v>
      </c>
      <c r="G22" s="7" t="s">
        <v>87</v>
      </c>
      <c r="H22" s="15">
        <v>21069030</v>
      </c>
      <c r="I22" s="15">
        <v>7898330221614</v>
      </c>
      <c r="J22" s="8">
        <v>44.475364999999996</v>
      </c>
      <c r="K22" s="8">
        <v>27.285499999999999</v>
      </c>
      <c r="L22" s="41"/>
      <c r="M22" s="53">
        <f>_xlfn.XLOOKUP(I22,[1]Planilha1!$D:$D,[1]Planilha1!$F:$F)</f>
        <v>0</v>
      </c>
      <c r="N22" s="8">
        <f t="shared" si="0"/>
        <v>16.371299999999998</v>
      </c>
      <c r="O22" s="42"/>
      <c r="P22" s="8">
        <f>N22*O22</f>
        <v>0</v>
      </c>
      <c r="XEV22" s="34"/>
      <c r="XEW22" s="34"/>
    </row>
    <row r="23" spans="2:16 16376:16377" ht="15.6" customHeight="1" x14ac:dyDescent="0.3">
      <c r="B23" s="22"/>
      <c r="C23" s="30" t="s">
        <v>135</v>
      </c>
      <c r="D23" s="5">
        <v>1480</v>
      </c>
      <c r="E23" s="6" t="s">
        <v>152</v>
      </c>
      <c r="F23" s="7">
        <v>12</v>
      </c>
      <c r="G23" s="7" t="s">
        <v>99</v>
      </c>
      <c r="H23" s="15">
        <v>21069030</v>
      </c>
      <c r="I23" s="15">
        <v>7898714762221</v>
      </c>
      <c r="J23" s="8">
        <v>52.628624999999985</v>
      </c>
      <c r="K23" s="8">
        <v>32.287499999999994</v>
      </c>
      <c r="L23" s="41"/>
      <c r="M23" s="53">
        <f>_xlfn.XLOOKUP(I23,[1]Planilha1!$D:$D,[1]Planilha1!$F:$F)</f>
        <v>48</v>
      </c>
      <c r="N23" s="8">
        <f t="shared" si="0"/>
        <v>19.372499999999995</v>
      </c>
      <c r="O23" s="42"/>
      <c r="P23" s="8">
        <f>N23*O23</f>
        <v>0</v>
      </c>
      <c r="XEV23" s="34"/>
      <c r="XEW23" s="34"/>
    </row>
    <row r="24" spans="2:16 16376:16377" ht="15.6" customHeight="1" x14ac:dyDescent="0.3">
      <c r="B24" s="22"/>
      <c r="C24" s="30" t="s">
        <v>135</v>
      </c>
      <c r="D24" s="5">
        <v>1598</v>
      </c>
      <c r="E24" s="6" t="s">
        <v>179</v>
      </c>
      <c r="F24" s="7">
        <v>12</v>
      </c>
      <c r="G24" s="7" t="s">
        <v>87</v>
      </c>
      <c r="H24" s="15">
        <v>21069030</v>
      </c>
      <c r="I24" s="15">
        <v>7898714763464</v>
      </c>
      <c r="J24" s="8">
        <v>35.044999999999995</v>
      </c>
      <c r="K24" s="8">
        <v>21.5</v>
      </c>
      <c r="L24" s="41"/>
      <c r="M24" s="53">
        <f>_xlfn.XLOOKUP(I24,[1]Planilha1!$D:$D,[1]Planilha1!$F:$F)</f>
        <v>110</v>
      </c>
      <c r="N24" s="43">
        <f t="shared" si="0"/>
        <v>12.9</v>
      </c>
      <c r="O24" s="42"/>
      <c r="P24" s="8">
        <f>N24*O24</f>
        <v>0</v>
      </c>
      <c r="XEV24" s="34"/>
      <c r="XEW24" s="34"/>
    </row>
    <row r="25" spans="2:16 16376:16377" ht="15.6" customHeight="1" x14ac:dyDescent="0.3">
      <c r="B25" s="22"/>
      <c r="C25" s="30" t="s">
        <v>135</v>
      </c>
      <c r="D25" s="5">
        <v>1597</v>
      </c>
      <c r="E25" s="6" t="s">
        <v>311</v>
      </c>
      <c r="F25" s="7">
        <v>12</v>
      </c>
      <c r="G25" s="7" t="s">
        <v>87</v>
      </c>
      <c r="H25" s="15">
        <v>21069030</v>
      </c>
      <c r="I25" s="15">
        <v>7898714763457</v>
      </c>
      <c r="J25" s="8">
        <v>24.777222499999997</v>
      </c>
      <c r="K25" s="8">
        <v>15.200749999999999</v>
      </c>
      <c r="L25" s="41"/>
      <c r="M25" s="53">
        <f>_xlfn.XLOOKUP(I25,[1]Planilha1!$D:$D,[1]Planilha1!$F:$F)</f>
        <v>0</v>
      </c>
      <c r="N25" s="8">
        <f t="shared" si="0"/>
        <v>9.1204499999999999</v>
      </c>
      <c r="O25" s="42"/>
      <c r="P25" s="8">
        <f>N25*O25</f>
        <v>0</v>
      </c>
      <c r="XEV25" s="34"/>
      <c r="XEW25" s="34"/>
    </row>
    <row r="26" spans="2:16 16376:16377" ht="15.6" customHeight="1" x14ac:dyDescent="0.3">
      <c r="B26" s="22"/>
      <c r="C26" s="22"/>
      <c r="D26" s="5">
        <v>1224</v>
      </c>
      <c r="E26" s="6" t="s">
        <v>24</v>
      </c>
      <c r="F26" s="7">
        <v>12</v>
      </c>
      <c r="G26" s="7" t="s">
        <v>62</v>
      </c>
      <c r="H26" s="15">
        <v>21069030</v>
      </c>
      <c r="I26" s="15">
        <v>7898330221676</v>
      </c>
      <c r="J26" s="8">
        <v>59.690599999999989</v>
      </c>
      <c r="K26" s="8">
        <v>36.619999999999997</v>
      </c>
      <c r="L26" s="41"/>
      <c r="M26" s="53">
        <f>_xlfn.XLOOKUP(I26,[1]Planilha1!$D:$D,[1]Planilha1!$F:$F)</f>
        <v>158</v>
      </c>
      <c r="N26" s="8">
        <f t="shared" si="0"/>
        <v>21.971999999999998</v>
      </c>
      <c r="O26" s="42"/>
      <c r="P26" s="8">
        <f>N26*O26</f>
        <v>0</v>
      </c>
      <c r="XEV26" s="34"/>
      <c r="XEW26" s="34"/>
    </row>
    <row r="27" spans="2:16 16376:16377" ht="15.6" customHeight="1" x14ac:dyDescent="0.3">
      <c r="B27" s="22"/>
      <c r="C27" s="30" t="s">
        <v>135</v>
      </c>
      <c r="D27" s="5">
        <v>1338</v>
      </c>
      <c r="E27" s="6" t="s">
        <v>10</v>
      </c>
      <c r="F27" s="7">
        <v>12</v>
      </c>
      <c r="G27" s="7" t="s">
        <v>87</v>
      </c>
      <c r="H27" s="15">
        <v>21069030</v>
      </c>
      <c r="I27" s="15">
        <v>7898714760678</v>
      </c>
      <c r="J27" s="8">
        <v>64.190214999999995</v>
      </c>
      <c r="K27" s="8">
        <v>39.380499999999998</v>
      </c>
      <c r="L27" s="41"/>
      <c r="M27" s="53">
        <f>_xlfn.XLOOKUP(I27,[1]Planilha1!$D:$D,[1]Planilha1!$F:$F)</f>
        <v>0</v>
      </c>
      <c r="N27" s="8">
        <f t="shared" si="0"/>
        <v>23.628299999999999</v>
      </c>
      <c r="O27" s="42"/>
      <c r="P27" s="8">
        <f>N27*O27</f>
        <v>0</v>
      </c>
      <c r="XEV27" s="34"/>
      <c r="XEW27" s="34"/>
    </row>
    <row r="28" spans="2:16 16376:16377" ht="15.6" customHeight="1" x14ac:dyDescent="0.3">
      <c r="B28" s="22"/>
      <c r="C28" s="30" t="s">
        <v>135</v>
      </c>
      <c r="D28" s="5">
        <v>1649</v>
      </c>
      <c r="E28" s="6" t="s">
        <v>140</v>
      </c>
      <c r="F28" s="7">
        <v>12</v>
      </c>
      <c r="G28" s="7" t="s">
        <v>144</v>
      </c>
      <c r="H28" s="15">
        <v>21069030</v>
      </c>
      <c r="I28" s="15">
        <v>7898714763976</v>
      </c>
      <c r="J28" s="8">
        <v>122.24877749999997</v>
      </c>
      <c r="K28" s="8">
        <v>74.999249999999989</v>
      </c>
      <c r="L28" s="41"/>
      <c r="M28" s="53">
        <f>_xlfn.XLOOKUP(I28,[1]Planilha1!$D:$D,[1]Planilha1!$F:$F)</f>
        <v>176</v>
      </c>
      <c r="N28" s="8">
        <f t="shared" si="0"/>
        <v>44.999549999999992</v>
      </c>
      <c r="O28" s="42"/>
      <c r="P28" s="8">
        <f>N28*O28</f>
        <v>0</v>
      </c>
      <c r="XEV28" s="34"/>
      <c r="XEW28" s="34"/>
    </row>
    <row r="29" spans="2:16 16376:16377" ht="15.6" customHeight="1" x14ac:dyDescent="0.3">
      <c r="B29" s="22"/>
      <c r="C29" s="30" t="s">
        <v>135</v>
      </c>
      <c r="D29" s="5">
        <v>1573</v>
      </c>
      <c r="E29" s="6" t="s">
        <v>141</v>
      </c>
      <c r="F29" s="7">
        <v>12</v>
      </c>
      <c r="G29" s="7" t="s">
        <v>144</v>
      </c>
      <c r="H29" s="15">
        <v>21069030</v>
      </c>
      <c r="I29" s="15">
        <v>7898714763204</v>
      </c>
      <c r="J29" s="8">
        <v>122.24877749999997</v>
      </c>
      <c r="K29" s="8">
        <v>74.999249999999989</v>
      </c>
      <c r="L29" s="41"/>
      <c r="M29" s="53">
        <f>_xlfn.XLOOKUP(I29,[1]Planilha1!$D:$D,[1]Planilha1!$F:$F)</f>
        <v>0</v>
      </c>
      <c r="N29" s="8">
        <f t="shared" si="0"/>
        <v>44.999549999999992</v>
      </c>
      <c r="O29" s="42"/>
      <c r="P29" s="8">
        <f>N29*O29</f>
        <v>0</v>
      </c>
      <c r="XEV29" s="34"/>
      <c r="XEW29" s="34"/>
    </row>
    <row r="30" spans="2:16 16376:16377" ht="15.6" customHeight="1" x14ac:dyDescent="0.3">
      <c r="B30" s="22"/>
      <c r="C30" s="30" t="s">
        <v>135</v>
      </c>
      <c r="D30" s="5">
        <v>1574</v>
      </c>
      <c r="E30" s="6" t="s">
        <v>155</v>
      </c>
      <c r="F30" s="7">
        <v>12</v>
      </c>
      <c r="G30" s="7" t="s">
        <v>144</v>
      </c>
      <c r="H30" s="15">
        <v>21069030</v>
      </c>
      <c r="I30" s="15">
        <v>7898714763228</v>
      </c>
      <c r="J30" s="8">
        <v>122.24877749999997</v>
      </c>
      <c r="K30" s="8">
        <v>74.999249999999989</v>
      </c>
      <c r="L30" s="41"/>
      <c r="M30" s="53">
        <f>_xlfn.XLOOKUP(I30,[1]Planilha1!$D:$D,[1]Planilha1!$F:$F)</f>
        <v>348</v>
      </c>
      <c r="N30" s="8">
        <f t="shared" si="0"/>
        <v>44.999549999999992</v>
      </c>
      <c r="O30" s="42"/>
      <c r="P30" s="8">
        <f>N30*O30</f>
        <v>0</v>
      </c>
      <c r="XEV30" s="34"/>
      <c r="XEW30" s="34"/>
    </row>
    <row r="31" spans="2:16 16376:16377" ht="15.6" customHeight="1" x14ac:dyDescent="0.3">
      <c r="B31" s="22"/>
      <c r="C31" s="30" t="s">
        <v>135</v>
      </c>
      <c r="D31" s="5">
        <v>1576</v>
      </c>
      <c r="E31" s="6" t="s">
        <v>156</v>
      </c>
      <c r="F31" s="7">
        <v>12</v>
      </c>
      <c r="G31" s="7" t="s">
        <v>144</v>
      </c>
      <c r="H31" s="15">
        <v>21069030</v>
      </c>
      <c r="I31" s="15">
        <v>7898714763242</v>
      </c>
      <c r="J31" s="8">
        <v>122.24877749999997</v>
      </c>
      <c r="K31" s="8">
        <v>74.999249999999989</v>
      </c>
      <c r="L31" s="41"/>
      <c r="M31" s="53">
        <f>_xlfn.XLOOKUP(I31,[1]Planilha1!$D:$D,[1]Planilha1!$F:$F)</f>
        <v>0</v>
      </c>
      <c r="N31" s="8">
        <f t="shared" si="0"/>
        <v>44.999549999999992</v>
      </c>
      <c r="O31" s="42"/>
      <c r="P31" s="8">
        <f>N31*O31</f>
        <v>0</v>
      </c>
      <c r="XEV31" s="34"/>
      <c r="XEW31" s="34"/>
    </row>
    <row r="32" spans="2:16 16376:16377" ht="15.6" customHeight="1" x14ac:dyDescent="0.3">
      <c r="B32" s="22"/>
      <c r="C32" s="30" t="s">
        <v>135</v>
      </c>
      <c r="D32" s="5">
        <v>1575</v>
      </c>
      <c r="E32" s="6" t="s">
        <v>157</v>
      </c>
      <c r="F32" s="7">
        <v>12</v>
      </c>
      <c r="G32" s="7" t="s">
        <v>144</v>
      </c>
      <c r="H32" s="15">
        <v>21069030</v>
      </c>
      <c r="I32" s="15">
        <v>7898714763235</v>
      </c>
      <c r="J32" s="8">
        <v>122.24877749999997</v>
      </c>
      <c r="K32" s="8">
        <v>74.999249999999989</v>
      </c>
      <c r="L32" s="41"/>
      <c r="M32" s="53">
        <f>_xlfn.XLOOKUP(I32,[1]Planilha1!$D:$D,[1]Planilha1!$F:$F)</f>
        <v>35</v>
      </c>
      <c r="N32" s="8">
        <f t="shared" si="0"/>
        <v>44.999549999999992</v>
      </c>
      <c r="O32" s="42"/>
      <c r="P32" s="8">
        <f>N32*O32</f>
        <v>0</v>
      </c>
      <c r="XEV32" s="34"/>
      <c r="XEW32" s="34"/>
    </row>
    <row r="33" spans="2:16 16376:16377" ht="15.6" customHeight="1" x14ac:dyDescent="0.3">
      <c r="B33" s="22"/>
      <c r="C33" s="30" t="s">
        <v>135</v>
      </c>
      <c r="D33" s="5">
        <v>1577</v>
      </c>
      <c r="E33" s="6" t="s">
        <v>158</v>
      </c>
      <c r="F33" s="7">
        <v>12</v>
      </c>
      <c r="G33" s="7" t="s">
        <v>144</v>
      </c>
      <c r="H33" s="15">
        <v>21069030</v>
      </c>
      <c r="I33" s="15">
        <v>7898714763259</v>
      </c>
      <c r="J33" s="8">
        <v>122.24877749999997</v>
      </c>
      <c r="K33" s="8">
        <v>74.999249999999989</v>
      </c>
      <c r="L33" s="41"/>
      <c r="M33" s="53">
        <f>_xlfn.XLOOKUP(I33,[1]Planilha1!$D:$D,[1]Planilha1!$F:$F)</f>
        <v>0</v>
      </c>
      <c r="N33" s="8">
        <f t="shared" si="0"/>
        <v>44.999549999999992</v>
      </c>
      <c r="O33" s="42"/>
      <c r="P33" s="8">
        <f>N33*O33</f>
        <v>0</v>
      </c>
      <c r="XEV33" s="34"/>
      <c r="XEW33" s="34"/>
    </row>
    <row r="34" spans="2:16 16376:16377" ht="15.6" customHeight="1" x14ac:dyDescent="0.3">
      <c r="B34" s="22"/>
      <c r="C34" s="30" t="s">
        <v>135</v>
      </c>
      <c r="D34" s="5">
        <v>1650</v>
      </c>
      <c r="E34" s="6" t="s">
        <v>159</v>
      </c>
      <c r="F34" s="7">
        <v>12</v>
      </c>
      <c r="G34" s="7" t="s">
        <v>144</v>
      </c>
      <c r="H34" s="15">
        <v>21069030</v>
      </c>
      <c r="I34" s="15">
        <v>7898714763983</v>
      </c>
      <c r="J34" s="8">
        <v>122.24877749999997</v>
      </c>
      <c r="K34" s="8">
        <v>74.999249999999989</v>
      </c>
      <c r="L34" s="41"/>
      <c r="M34" s="53">
        <f>_xlfn.XLOOKUP(I34,[1]Planilha1!$D:$D,[1]Planilha1!$F:$F)</f>
        <v>0</v>
      </c>
      <c r="N34" s="8">
        <f t="shared" si="0"/>
        <v>44.999549999999992</v>
      </c>
      <c r="O34" s="42"/>
      <c r="P34" s="8">
        <f>N34*O34</f>
        <v>0</v>
      </c>
      <c r="XEV34" s="34"/>
      <c r="XEW34" s="34"/>
    </row>
    <row r="35" spans="2:16 16376:16377" ht="15.6" customHeight="1" x14ac:dyDescent="0.3">
      <c r="B35" s="22"/>
      <c r="C35" s="30" t="s">
        <v>135</v>
      </c>
      <c r="D35" s="5">
        <v>1578</v>
      </c>
      <c r="E35" s="6" t="s">
        <v>160</v>
      </c>
      <c r="F35" s="7">
        <v>12</v>
      </c>
      <c r="G35" s="7" t="s">
        <v>144</v>
      </c>
      <c r="H35" s="15">
        <v>21069030</v>
      </c>
      <c r="I35" s="15">
        <v>7898714763266</v>
      </c>
      <c r="J35" s="8">
        <v>122.24877749999997</v>
      </c>
      <c r="K35" s="8">
        <v>74.999249999999989</v>
      </c>
      <c r="L35" s="41"/>
      <c r="M35" s="53">
        <f>_xlfn.XLOOKUP(I35,[1]Planilha1!$D:$D,[1]Planilha1!$F:$F)</f>
        <v>48</v>
      </c>
      <c r="N35" s="8">
        <f t="shared" si="0"/>
        <v>44.999549999999992</v>
      </c>
      <c r="O35" s="42"/>
      <c r="P35" s="8">
        <f>N35*O35</f>
        <v>0</v>
      </c>
      <c r="XEV35" s="34"/>
      <c r="XEW35" s="34"/>
    </row>
    <row r="36" spans="2:16 16376:16377" ht="15.6" customHeight="1" x14ac:dyDescent="0.3">
      <c r="B36" s="22"/>
      <c r="C36" s="30" t="s">
        <v>135</v>
      </c>
      <c r="D36" s="5">
        <v>1579</v>
      </c>
      <c r="E36" s="6" t="s">
        <v>161</v>
      </c>
      <c r="F36" s="7">
        <v>12</v>
      </c>
      <c r="G36" s="7" t="s">
        <v>144</v>
      </c>
      <c r="H36" s="15">
        <v>21069030</v>
      </c>
      <c r="I36" s="15">
        <v>7898714763273</v>
      </c>
      <c r="J36" s="8">
        <v>122.24877749999997</v>
      </c>
      <c r="K36" s="8">
        <v>74.999249999999989</v>
      </c>
      <c r="L36" s="41"/>
      <c r="M36" s="53">
        <f>_xlfn.XLOOKUP(I36,[1]Planilha1!$D:$D,[1]Planilha1!$F:$F)</f>
        <v>96</v>
      </c>
      <c r="N36" s="8">
        <f t="shared" si="0"/>
        <v>44.999549999999992</v>
      </c>
      <c r="O36" s="42"/>
      <c r="P36" s="8">
        <f>N36*O36</f>
        <v>0</v>
      </c>
      <c r="XEV36" s="34"/>
      <c r="XEW36" s="34"/>
    </row>
    <row r="37" spans="2:16 16376:16377" ht="15.6" customHeight="1" x14ac:dyDescent="0.3">
      <c r="B37" s="22"/>
      <c r="C37" s="30" t="s">
        <v>135</v>
      </c>
      <c r="D37" s="5">
        <v>1581</v>
      </c>
      <c r="E37" s="6" t="s">
        <v>162</v>
      </c>
      <c r="F37" s="7">
        <v>12</v>
      </c>
      <c r="G37" s="7" t="s">
        <v>144</v>
      </c>
      <c r="H37" s="15">
        <v>21069030</v>
      </c>
      <c r="I37" s="15">
        <v>7898714763297</v>
      </c>
      <c r="J37" s="8">
        <v>122.24877749999997</v>
      </c>
      <c r="K37" s="8">
        <v>74.999249999999989</v>
      </c>
      <c r="L37" s="41"/>
      <c r="M37" s="53">
        <f>_xlfn.XLOOKUP(I37,[1]Planilha1!$D:$D,[1]Planilha1!$F:$F)</f>
        <v>204</v>
      </c>
      <c r="N37" s="8">
        <f t="shared" si="0"/>
        <v>44.999549999999992</v>
      </c>
      <c r="O37" s="42"/>
      <c r="P37" s="8">
        <f>N37*O37</f>
        <v>0</v>
      </c>
      <c r="XEV37" s="34"/>
      <c r="XEW37" s="34"/>
    </row>
    <row r="38" spans="2:16 16376:16377" ht="15.6" customHeight="1" x14ac:dyDescent="0.3">
      <c r="B38" s="22"/>
      <c r="C38" s="30" t="s">
        <v>135</v>
      </c>
      <c r="D38" s="5">
        <v>1580</v>
      </c>
      <c r="E38" s="6" t="s">
        <v>163</v>
      </c>
      <c r="F38" s="7">
        <v>12</v>
      </c>
      <c r="G38" s="7" t="s">
        <v>144</v>
      </c>
      <c r="H38" s="15">
        <v>21069030</v>
      </c>
      <c r="I38" s="15">
        <v>7898714763280</v>
      </c>
      <c r="J38" s="8">
        <v>122.24877749999997</v>
      </c>
      <c r="K38" s="8">
        <v>74.999249999999989</v>
      </c>
      <c r="L38" s="41"/>
      <c r="M38" s="53">
        <f>_xlfn.XLOOKUP(I38,[1]Planilha1!$D:$D,[1]Planilha1!$F:$F)</f>
        <v>318</v>
      </c>
      <c r="N38" s="8">
        <f t="shared" si="0"/>
        <v>44.999549999999992</v>
      </c>
      <c r="O38" s="42"/>
      <c r="P38" s="8">
        <f>N38*O38</f>
        <v>0</v>
      </c>
      <c r="XEV38" s="34"/>
      <c r="XEW38" s="34"/>
    </row>
    <row r="39" spans="2:16 16376:16377" ht="15.6" customHeight="1" x14ac:dyDescent="0.3">
      <c r="B39" s="22"/>
      <c r="C39" s="30" t="s">
        <v>135</v>
      </c>
      <c r="D39" s="5">
        <v>1582</v>
      </c>
      <c r="E39" s="6" t="s">
        <v>164</v>
      </c>
      <c r="F39" s="7">
        <v>12</v>
      </c>
      <c r="G39" s="7" t="s">
        <v>144</v>
      </c>
      <c r="H39" s="15">
        <v>21069030</v>
      </c>
      <c r="I39" s="15">
        <v>7898714763303</v>
      </c>
      <c r="J39" s="8">
        <v>122.24877749999997</v>
      </c>
      <c r="K39" s="8">
        <v>74.999249999999989</v>
      </c>
      <c r="L39" s="41"/>
      <c r="M39" s="53">
        <f>_xlfn.XLOOKUP(I39,[1]Planilha1!$D:$D,[1]Planilha1!$F:$F)</f>
        <v>48</v>
      </c>
      <c r="N39" s="8">
        <f t="shared" si="0"/>
        <v>44.999549999999992</v>
      </c>
      <c r="O39" s="42"/>
      <c r="P39" s="8">
        <f>N39*O39</f>
        <v>0</v>
      </c>
      <c r="XEV39" s="34"/>
      <c r="XEW39" s="34"/>
    </row>
    <row r="40" spans="2:16 16376:16377" ht="15.6" customHeight="1" x14ac:dyDescent="0.3">
      <c r="B40" s="22"/>
      <c r="C40" s="30" t="s">
        <v>135</v>
      </c>
      <c r="D40" s="5">
        <v>1568</v>
      </c>
      <c r="E40" s="6" t="s">
        <v>165</v>
      </c>
      <c r="F40" s="7">
        <v>12</v>
      </c>
      <c r="G40" s="7" t="s">
        <v>144</v>
      </c>
      <c r="H40" s="15">
        <v>21069030</v>
      </c>
      <c r="I40" s="15">
        <v>7898714763167</v>
      </c>
      <c r="J40" s="8">
        <v>119.45862499999998</v>
      </c>
      <c r="K40" s="8">
        <v>73.287499999999994</v>
      </c>
      <c r="L40" s="41"/>
      <c r="M40" s="53">
        <f>_xlfn.XLOOKUP(I40,[1]Planilha1!$D:$D,[1]Planilha1!$F:$F)</f>
        <v>24</v>
      </c>
      <c r="N40" s="8">
        <f t="shared" si="0"/>
        <v>43.972499999999997</v>
      </c>
      <c r="O40" s="42"/>
      <c r="P40" s="8">
        <f>N40*O40</f>
        <v>0</v>
      </c>
      <c r="XEV40" s="34"/>
      <c r="XEW40" s="34"/>
    </row>
    <row r="41" spans="2:16 16376:16377" ht="15.6" customHeight="1" x14ac:dyDescent="0.3">
      <c r="B41" s="22"/>
      <c r="C41" s="30" t="s">
        <v>135</v>
      </c>
      <c r="D41" s="5">
        <v>1569</v>
      </c>
      <c r="E41" s="6" t="s">
        <v>166</v>
      </c>
      <c r="F41" s="7">
        <v>12</v>
      </c>
      <c r="G41" s="7" t="s">
        <v>144</v>
      </c>
      <c r="H41" s="15">
        <v>21069030</v>
      </c>
      <c r="I41" s="15">
        <v>7898714763174</v>
      </c>
      <c r="J41" s="8">
        <v>119.45862499999998</v>
      </c>
      <c r="K41" s="8">
        <v>73.287499999999994</v>
      </c>
      <c r="L41" s="41"/>
      <c r="M41" s="53">
        <f>_xlfn.XLOOKUP(I41,[1]Planilha1!$D:$D,[1]Planilha1!$F:$F)</f>
        <v>536</v>
      </c>
      <c r="N41" s="8">
        <f t="shared" si="0"/>
        <v>43.972499999999997</v>
      </c>
      <c r="O41" s="42"/>
      <c r="P41" s="8">
        <f>N41*O41</f>
        <v>0</v>
      </c>
      <c r="XEV41" s="34"/>
      <c r="XEW41" s="34"/>
    </row>
    <row r="42" spans="2:16 16376:16377" ht="15.6" customHeight="1" x14ac:dyDescent="0.3">
      <c r="B42" s="22"/>
      <c r="C42" s="30" t="s">
        <v>135</v>
      </c>
      <c r="D42" s="5">
        <v>1571</v>
      </c>
      <c r="E42" s="6" t="s">
        <v>167</v>
      </c>
      <c r="F42" s="7">
        <v>12</v>
      </c>
      <c r="G42" s="7" t="s">
        <v>144</v>
      </c>
      <c r="H42" s="15">
        <v>21069030</v>
      </c>
      <c r="I42" s="15">
        <v>7898714763198</v>
      </c>
      <c r="J42" s="8">
        <v>119.45862499999998</v>
      </c>
      <c r="K42" s="8">
        <v>73.287499999999994</v>
      </c>
      <c r="L42" s="41"/>
      <c r="M42" s="53">
        <f>_xlfn.XLOOKUP(I42,[1]Planilha1!$D:$D,[1]Planilha1!$F:$F)</f>
        <v>620</v>
      </c>
      <c r="N42" s="8">
        <f t="shared" si="0"/>
        <v>43.972499999999997</v>
      </c>
      <c r="O42" s="42"/>
      <c r="P42" s="8">
        <f>N42*O42</f>
        <v>0</v>
      </c>
      <c r="XEV42" s="34"/>
      <c r="XEW42" s="34"/>
    </row>
    <row r="43" spans="2:16 16376:16377" ht="15.6" customHeight="1" x14ac:dyDescent="0.3">
      <c r="B43" s="22"/>
      <c r="C43" s="30" t="s">
        <v>135</v>
      </c>
      <c r="D43" s="5">
        <v>1648</v>
      </c>
      <c r="E43" s="6" t="s">
        <v>168</v>
      </c>
      <c r="F43" s="7">
        <v>12</v>
      </c>
      <c r="G43" s="7" t="s">
        <v>144</v>
      </c>
      <c r="H43" s="15">
        <v>21069030</v>
      </c>
      <c r="I43" s="15">
        <v>7898714763969</v>
      </c>
      <c r="J43" s="8">
        <v>119.45862499999998</v>
      </c>
      <c r="K43" s="8">
        <v>73.287499999999994</v>
      </c>
      <c r="L43" s="41"/>
      <c r="M43" s="53">
        <f>_xlfn.XLOOKUP(I43,[1]Planilha1!$D:$D,[1]Planilha1!$F:$F)</f>
        <v>16</v>
      </c>
      <c r="N43" s="8">
        <f t="shared" ref="N43:N74" si="1">IF(L43&gt;0.01%,K43*(1-L43),K43*(1-$O$5))</f>
        <v>43.972499999999997</v>
      </c>
      <c r="O43" s="42"/>
      <c r="P43" s="8">
        <f>N43*O43</f>
        <v>0</v>
      </c>
      <c r="XEV43" s="34"/>
      <c r="XEW43" s="34"/>
    </row>
    <row r="44" spans="2:16 16376:16377" ht="15.6" customHeight="1" x14ac:dyDescent="0.3">
      <c r="B44" s="22"/>
      <c r="C44" s="30" t="s">
        <v>135</v>
      </c>
      <c r="D44" s="5">
        <v>1572</v>
      </c>
      <c r="E44" s="6" t="s">
        <v>169</v>
      </c>
      <c r="F44" s="7">
        <v>12</v>
      </c>
      <c r="G44" s="7" t="s">
        <v>144</v>
      </c>
      <c r="H44" s="15">
        <v>21069030</v>
      </c>
      <c r="I44" s="15">
        <v>7898714763211</v>
      </c>
      <c r="J44" s="8">
        <v>119.45862499999998</v>
      </c>
      <c r="K44" s="8">
        <v>73.287499999999994</v>
      </c>
      <c r="L44" s="41"/>
      <c r="M44" s="53">
        <f>_xlfn.XLOOKUP(I44,[1]Planilha1!$D:$D,[1]Planilha1!$F:$F)</f>
        <v>454</v>
      </c>
      <c r="N44" s="8">
        <f t="shared" si="1"/>
        <v>43.972499999999997</v>
      </c>
      <c r="O44" s="42"/>
      <c r="P44" s="8">
        <f>N44*O44</f>
        <v>0</v>
      </c>
      <c r="XEV44" s="34"/>
      <c r="XEW44" s="34"/>
    </row>
    <row r="45" spans="2:16 16376:16377" ht="15.6" customHeight="1" x14ac:dyDescent="0.3">
      <c r="B45" s="22"/>
      <c r="C45" s="30" t="s">
        <v>135</v>
      </c>
      <c r="D45" s="5">
        <v>1570</v>
      </c>
      <c r="E45" s="6" t="s">
        <v>170</v>
      </c>
      <c r="F45" s="7">
        <v>12</v>
      </c>
      <c r="G45" s="7" t="s">
        <v>144</v>
      </c>
      <c r="H45" s="15">
        <v>21069030</v>
      </c>
      <c r="I45" s="15">
        <v>7898714763181</v>
      </c>
      <c r="J45" s="8">
        <v>119.45862499999998</v>
      </c>
      <c r="K45" s="8">
        <v>73.287499999999994</v>
      </c>
      <c r="L45" s="41"/>
      <c r="M45" s="53">
        <f>_xlfn.XLOOKUP(I45,[1]Planilha1!$D:$D,[1]Planilha1!$F:$F)</f>
        <v>672</v>
      </c>
      <c r="N45" s="8">
        <f t="shared" si="1"/>
        <v>43.972499999999997</v>
      </c>
      <c r="O45" s="42"/>
      <c r="P45" s="8">
        <f>N45*O45</f>
        <v>0</v>
      </c>
      <c r="XEV45" s="34"/>
      <c r="XEW45" s="34"/>
    </row>
    <row r="46" spans="2:16 16376:16377" ht="15.6" customHeight="1" x14ac:dyDescent="0.3">
      <c r="B46" s="22"/>
      <c r="C46" s="30" t="s">
        <v>135</v>
      </c>
      <c r="D46" s="5">
        <v>1475</v>
      </c>
      <c r="E46" s="6" t="s">
        <v>146</v>
      </c>
      <c r="F46" s="7">
        <v>12</v>
      </c>
      <c r="G46" s="7" t="s">
        <v>93</v>
      </c>
      <c r="H46" s="15">
        <v>21069030</v>
      </c>
      <c r="I46" s="15">
        <v>7898714762177</v>
      </c>
      <c r="J46" s="8">
        <v>111.10487499999998</v>
      </c>
      <c r="K46" s="8">
        <v>68.162499999999994</v>
      </c>
      <c r="L46" s="41"/>
      <c r="M46" s="53">
        <f>_xlfn.XLOOKUP(I46,[1]Planilha1!$D:$D,[1]Planilha1!$F:$F)</f>
        <v>0</v>
      </c>
      <c r="N46" s="8">
        <f t="shared" si="1"/>
        <v>40.897499999999994</v>
      </c>
      <c r="O46" s="42"/>
      <c r="P46" s="8">
        <f>N46*O46</f>
        <v>0</v>
      </c>
      <c r="XEV46" s="34"/>
      <c r="XEW46" s="34"/>
    </row>
    <row r="47" spans="2:16 16376:16377" ht="15.6" customHeight="1" x14ac:dyDescent="0.3">
      <c r="B47" s="22"/>
      <c r="C47" s="30" t="s">
        <v>135</v>
      </c>
      <c r="D47" s="5">
        <v>1474</v>
      </c>
      <c r="E47" s="6" t="s">
        <v>171</v>
      </c>
      <c r="F47" s="7">
        <v>12</v>
      </c>
      <c r="G47" s="7" t="s">
        <v>93</v>
      </c>
      <c r="H47" s="15">
        <v>21069030</v>
      </c>
      <c r="I47" s="15">
        <v>7898714762160</v>
      </c>
      <c r="J47" s="8">
        <v>111.10487499999998</v>
      </c>
      <c r="K47" s="8">
        <v>68.162499999999994</v>
      </c>
      <c r="L47" s="41"/>
      <c r="M47" s="53">
        <f>_xlfn.XLOOKUP(I47,[1]Planilha1!$D:$D,[1]Planilha1!$F:$F)</f>
        <v>226</v>
      </c>
      <c r="N47" s="8">
        <f t="shared" si="1"/>
        <v>40.897499999999994</v>
      </c>
      <c r="O47" s="42"/>
      <c r="P47" s="8">
        <f>N47*O47</f>
        <v>0</v>
      </c>
      <c r="XEV47" s="34"/>
      <c r="XEW47" s="34"/>
    </row>
    <row r="48" spans="2:16 16376:16377" ht="15.6" customHeight="1" x14ac:dyDescent="0.3">
      <c r="B48" s="22"/>
      <c r="C48" s="30" t="s">
        <v>135</v>
      </c>
      <c r="D48" s="5">
        <v>1585</v>
      </c>
      <c r="E48" s="6" t="s">
        <v>147</v>
      </c>
      <c r="F48" s="7">
        <v>12</v>
      </c>
      <c r="G48" s="7" t="s">
        <v>93</v>
      </c>
      <c r="H48" s="15">
        <v>21069030</v>
      </c>
      <c r="I48" s="15">
        <v>7898714763334</v>
      </c>
      <c r="J48" s="8">
        <v>111.10487499999998</v>
      </c>
      <c r="K48" s="8">
        <v>68.162499999999994</v>
      </c>
      <c r="L48" s="41"/>
      <c r="M48" s="53">
        <f>_xlfn.XLOOKUP(I48,[1]Planilha1!$D:$D,[1]Planilha1!$F:$F)</f>
        <v>35</v>
      </c>
      <c r="N48" s="8">
        <f t="shared" si="1"/>
        <v>40.897499999999994</v>
      </c>
      <c r="O48" s="42"/>
      <c r="P48" s="8">
        <f>N48*O48</f>
        <v>0</v>
      </c>
      <c r="XEV48" s="34"/>
      <c r="XEW48" s="34"/>
    </row>
    <row r="49" spans="2:16 16376:16377" ht="15.6" customHeight="1" x14ac:dyDescent="0.3">
      <c r="B49" s="22"/>
      <c r="C49" s="30" t="s">
        <v>135</v>
      </c>
      <c r="D49" s="5">
        <v>1651</v>
      </c>
      <c r="E49" s="6" t="s">
        <v>143</v>
      </c>
      <c r="F49" s="7">
        <v>12</v>
      </c>
      <c r="G49" s="7" t="s">
        <v>93</v>
      </c>
      <c r="H49" s="15">
        <v>21069030</v>
      </c>
      <c r="I49" s="15">
        <v>7898714763990</v>
      </c>
      <c r="J49" s="8">
        <v>111.10487499999998</v>
      </c>
      <c r="K49" s="8">
        <v>68.162499999999994</v>
      </c>
      <c r="L49" s="41"/>
      <c r="M49" s="53">
        <f>_xlfn.XLOOKUP(I49,[1]Planilha1!$D:$D,[1]Planilha1!$F:$F)</f>
        <v>571</v>
      </c>
      <c r="N49" s="8">
        <f t="shared" si="1"/>
        <v>40.897499999999994</v>
      </c>
      <c r="O49" s="42"/>
      <c r="P49" s="8">
        <f>N49*O49</f>
        <v>0</v>
      </c>
      <c r="XEV49" s="34"/>
      <c r="XEW49" s="34"/>
    </row>
    <row r="50" spans="2:16 16376:16377" ht="15.6" customHeight="1" x14ac:dyDescent="0.3">
      <c r="B50" s="22"/>
      <c r="C50" s="30" t="s">
        <v>135</v>
      </c>
      <c r="D50" s="5">
        <v>1586</v>
      </c>
      <c r="E50" s="6" t="s">
        <v>142</v>
      </c>
      <c r="F50" s="7">
        <v>12</v>
      </c>
      <c r="G50" s="7" t="s">
        <v>93</v>
      </c>
      <c r="H50" s="15">
        <v>21069030</v>
      </c>
      <c r="I50" s="15">
        <v>7898714763341</v>
      </c>
      <c r="J50" s="8">
        <v>111.10487499999998</v>
      </c>
      <c r="K50" s="8">
        <v>68.162499999999994</v>
      </c>
      <c r="L50" s="41"/>
      <c r="M50" s="53">
        <f>_xlfn.XLOOKUP(I50,[1]Planilha1!$D:$D,[1]Planilha1!$F:$F)</f>
        <v>663</v>
      </c>
      <c r="N50" s="8">
        <f t="shared" si="1"/>
        <v>40.897499999999994</v>
      </c>
      <c r="O50" s="42"/>
      <c r="P50" s="8">
        <f>N50*O50</f>
        <v>0</v>
      </c>
      <c r="XEV50" s="34"/>
      <c r="XEW50" s="34"/>
    </row>
    <row r="51" spans="2:16 16376:16377" ht="15.6" customHeight="1" x14ac:dyDescent="0.3">
      <c r="B51" s="22"/>
      <c r="C51" s="30" t="s">
        <v>135</v>
      </c>
      <c r="D51" s="5">
        <v>1587</v>
      </c>
      <c r="E51" s="6" t="s">
        <v>148</v>
      </c>
      <c r="F51" s="7">
        <v>12</v>
      </c>
      <c r="G51" s="7" t="s">
        <v>93</v>
      </c>
      <c r="H51" s="15">
        <v>21069030</v>
      </c>
      <c r="I51" s="15">
        <v>7898714763358</v>
      </c>
      <c r="J51" s="8">
        <v>111.10487499999998</v>
      </c>
      <c r="K51" s="8">
        <v>68.162499999999994</v>
      </c>
      <c r="L51" s="41"/>
      <c r="M51" s="53">
        <f>_xlfn.XLOOKUP(I51,[1]Planilha1!$D:$D,[1]Planilha1!$F:$F)</f>
        <v>546</v>
      </c>
      <c r="N51" s="8">
        <f t="shared" si="1"/>
        <v>40.897499999999994</v>
      </c>
      <c r="O51" s="42"/>
      <c r="P51" s="8">
        <f>N51*O51</f>
        <v>0</v>
      </c>
      <c r="XEV51" s="34"/>
      <c r="XEW51" s="34"/>
    </row>
    <row r="52" spans="2:16 16376:16377" ht="15.6" customHeight="1" x14ac:dyDescent="0.3">
      <c r="B52" s="22"/>
      <c r="C52" s="22"/>
      <c r="D52" s="5">
        <v>1113</v>
      </c>
      <c r="E52" s="6" t="s">
        <v>30</v>
      </c>
      <c r="F52" s="7">
        <v>6</v>
      </c>
      <c r="G52" s="7" t="s">
        <v>29</v>
      </c>
      <c r="H52" s="15">
        <v>21069030</v>
      </c>
      <c r="I52" s="15">
        <v>7898330223991</v>
      </c>
      <c r="J52" s="8">
        <v>174.8439875</v>
      </c>
      <c r="K52" s="8">
        <v>107.26625</v>
      </c>
      <c r="L52" s="41"/>
      <c r="M52" s="53">
        <f>_xlfn.XLOOKUP(I52,[1]Planilha1!$D:$D,[1]Planilha1!$F:$F)</f>
        <v>0</v>
      </c>
      <c r="N52" s="8">
        <f t="shared" si="1"/>
        <v>64.359749999999991</v>
      </c>
      <c r="O52" s="42"/>
      <c r="P52" s="8">
        <f>N52*O52</f>
        <v>0</v>
      </c>
      <c r="XEV52" s="34"/>
      <c r="XEW52" s="34"/>
    </row>
    <row r="53" spans="2:16 16376:16377" ht="15.6" customHeight="1" x14ac:dyDescent="0.3">
      <c r="B53" s="22"/>
      <c r="C53" s="22"/>
      <c r="D53" s="5">
        <v>1114</v>
      </c>
      <c r="E53" s="6" t="s">
        <v>31</v>
      </c>
      <c r="F53" s="7">
        <v>6</v>
      </c>
      <c r="G53" s="7" t="s">
        <v>29</v>
      </c>
      <c r="H53" s="15">
        <v>21069030</v>
      </c>
      <c r="I53" s="15">
        <v>7898330224004</v>
      </c>
      <c r="J53" s="8">
        <v>174.8439875</v>
      </c>
      <c r="K53" s="8">
        <v>107.26625</v>
      </c>
      <c r="L53" s="41"/>
      <c r="M53" s="53">
        <f>_xlfn.XLOOKUP(I53,[1]Planilha1!$D:$D,[1]Planilha1!$F:$F)</f>
        <v>60</v>
      </c>
      <c r="N53" s="8">
        <f t="shared" si="1"/>
        <v>64.359749999999991</v>
      </c>
      <c r="O53" s="42"/>
      <c r="P53" s="8">
        <f>N53*O53</f>
        <v>0</v>
      </c>
      <c r="XEV53" s="34"/>
      <c r="XEW53" s="34"/>
    </row>
    <row r="54" spans="2:16 16376:16377" ht="15.6" customHeight="1" x14ac:dyDescent="0.3">
      <c r="B54" s="22"/>
      <c r="C54" s="30" t="s">
        <v>135</v>
      </c>
      <c r="D54" s="5">
        <v>1482</v>
      </c>
      <c r="E54" s="6" t="s">
        <v>145</v>
      </c>
      <c r="F54" s="7">
        <v>12</v>
      </c>
      <c r="G54" s="7" t="s">
        <v>87</v>
      </c>
      <c r="H54" s="15">
        <v>21069030</v>
      </c>
      <c r="I54" s="15">
        <v>7898714762443</v>
      </c>
      <c r="J54" s="8">
        <v>44.274874999999994</v>
      </c>
      <c r="K54" s="8">
        <v>27.162499999999998</v>
      </c>
      <c r="L54" s="41"/>
      <c r="M54" s="53">
        <f>_xlfn.XLOOKUP(I54,[1]Planilha1!$D:$D,[1]Planilha1!$F:$F)</f>
        <v>0</v>
      </c>
      <c r="N54" s="8">
        <f t="shared" si="1"/>
        <v>16.297499999999999</v>
      </c>
      <c r="O54" s="42"/>
      <c r="P54" s="8">
        <f>N54*O54</f>
        <v>0</v>
      </c>
      <c r="XEV54" s="34"/>
      <c r="XEW54" s="34"/>
    </row>
    <row r="55" spans="2:16 16376:16377" ht="15.6" customHeight="1" x14ac:dyDescent="0.3">
      <c r="B55" s="22"/>
      <c r="C55" s="30" t="s">
        <v>135</v>
      </c>
      <c r="D55" s="5">
        <v>1433</v>
      </c>
      <c r="E55" s="6" t="s">
        <v>172</v>
      </c>
      <c r="F55" s="7">
        <v>12</v>
      </c>
      <c r="G55" s="7" t="s">
        <v>137</v>
      </c>
      <c r="H55" s="15">
        <v>21069030</v>
      </c>
      <c r="I55" s="15">
        <v>7898714761699</v>
      </c>
      <c r="J55" s="8">
        <v>23.056349999999998</v>
      </c>
      <c r="K55" s="8">
        <v>14.145</v>
      </c>
      <c r="L55" s="41"/>
      <c r="M55" s="53">
        <f>_xlfn.XLOOKUP(I55,[1]Planilha1!$D:$D,[1]Planilha1!$F:$F)</f>
        <v>13270</v>
      </c>
      <c r="N55" s="8">
        <f t="shared" si="1"/>
        <v>8.4870000000000001</v>
      </c>
      <c r="O55" s="42"/>
      <c r="P55" s="8">
        <f>N55*O55</f>
        <v>0</v>
      </c>
      <c r="XEV55" s="34"/>
      <c r="XEW55" s="34"/>
    </row>
    <row r="56" spans="2:16 16376:16377" ht="15.6" customHeight="1" x14ac:dyDescent="0.3">
      <c r="B56" s="22"/>
      <c r="C56" s="30" t="s">
        <v>135</v>
      </c>
      <c r="D56" s="5">
        <v>1458</v>
      </c>
      <c r="E56" s="6" t="s">
        <v>101</v>
      </c>
      <c r="F56" s="7">
        <v>12</v>
      </c>
      <c r="G56" s="7" t="s">
        <v>62</v>
      </c>
      <c r="H56" s="15">
        <v>21069030</v>
      </c>
      <c r="I56" s="15">
        <v>7898714761941</v>
      </c>
      <c r="J56" s="8">
        <v>44.274874999999994</v>
      </c>
      <c r="K56" s="8">
        <v>27.162499999999998</v>
      </c>
      <c r="L56" s="41"/>
      <c r="M56" s="53">
        <f>_xlfn.XLOOKUP(I56,[1]Planilha1!$D:$D,[1]Planilha1!$F:$F)</f>
        <v>2594</v>
      </c>
      <c r="N56" s="8">
        <f t="shared" si="1"/>
        <v>16.297499999999999</v>
      </c>
      <c r="O56" s="42"/>
      <c r="P56" s="8">
        <f>N56*O56</f>
        <v>0</v>
      </c>
      <c r="XEV56" s="34"/>
      <c r="XEW56" s="34"/>
    </row>
    <row r="57" spans="2:16 16376:16377" ht="15.6" customHeight="1" x14ac:dyDescent="0.3">
      <c r="B57" s="22"/>
      <c r="C57" s="30" t="s">
        <v>135</v>
      </c>
      <c r="D57" s="5">
        <v>1492</v>
      </c>
      <c r="E57" s="6" t="s">
        <v>173</v>
      </c>
      <c r="F57" s="7">
        <v>12</v>
      </c>
      <c r="G57" s="7" t="s">
        <v>103</v>
      </c>
      <c r="H57" s="15">
        <v>21069030</v>
      </c>
      <c r="I57" s="15">
        <v>7898714762252</v>
      </c>
      <c r="J57" s="8">
        <v>88.549749999999989</v>
      </c>
      <c r="K57" s="8">
        <v>54.324999999999996</v>
      </c>
      <c r="L57" s="41"/>
      <c r="M57" s="53">
        <f>_xlfn.XLOOKUP(I57,[1]Planilha1!$D:$D,[1]Planilha1!$F:$F)</f>
        <v>12</v>
      </c>
      <c r="N57" s="8">
        <f t="shared" si="1"/>
        <v>32.594999999999999</v>
      </c>
      <c r="O57" s="42"/>
      <c r="P57" s="8">
        <f>N57*O57</f>
        <v>0</v>
      </c>
      <c r="XEV57" s="34"/>
      <c r="XEW57" s="34"/>
    </row>
    <row r="58" spans="2:16 16376:16377" ht="15.6" customHeight="1" x14ac:dyDescent="0.3">
      <c r="B58" s="22"/>
      <c r="C58" s="30" t="s">
        <v>135</v>
      </c>
      <c r="D58" s="5">
        <v>1469</v>
      </c>
      <c r="E58" s="6" t="s">
        <v>102</v>
      </c>
      <c r="F58" s="7">
        <v>12</v>
      </c>
      <c r="G58" s="7" t="s">
        <v>62</v>
      </c>
      <c r="H58" s="15">
        <v>21069030</v>
      </c>
      <c r="I58" s="15">
        <v>7898714762115</v>
      </c>
      <c r="J58" s="8">
        <v>58.476249999999993</v>
      </c>
      <c r="K58" s="8">
        <v>35.875</v>
      </c>
      <c r="L58" s="41"/>
      <c r="M58" s="53">
        <f>_xlfn.XLOOKUP(I58,[1]Planilha1!$D:$D,[1]Planilha1!$F:$F)</f>
        <v>552</v>
      </c>
      <c r="N58" s="8">
        <f t="shared" si="1"/>
        <v>21.524999999999999</v>
      </c>
      <c r="O58" s="42"/>
      <c r="P58" s="8">
        <f>N58*O58</f>
        <v>0</v>
      </c>
      <c r="XEV58" s="34"/>
      <c r="XEW58" s="34"/>
    </row>
    <row r="59" spans="2:16 16376:16377" ht="15.6" customHeight="1" x14ac:dyDescent="0.3">
      <c r="B59" s="22"/>
      <c r="C59" s="30" t="s">
        <v>135</v>
      </c>
      <c r="D59" s="5">
        <v>1493</v>
      </c>
      <c r="E59" s="6" t="s">
        <v>174</v>
      </c>
      <c r="F59" s="7">
        <v>12</v>
      </c>
      <c r="G59" s="7" t="s">
        <v>87</v>
      </c>
      <c r="H59" s="15">
        <v>21069030</v>
      </c>
      <c r="I59" s="15">
        <v>7898714762238</v>
      </c>
      <c r="J59" s="8">
        <v>69.336124999999981</v>
      </c>
      <c r="K59" s="8">
        <v>42.537499999999994</v>
      </c>
      <c r="L59" s="41"/>
      <c r="M59" s="53">
        <f>_xlfn.XLOOKUP(I59,[1]Planilha1!$D:$D,[1]Planilha1!$F:$F)</f>
        <v>0</v>
      </c>
      <c r="N59" s="8">
        <f t="shared" si="1"/>
        <v>25.522499999999997</v>
      </c>
      <c r="O59" s="42"/>
      <c r="P59" s="8">
        <f>N59*O59</f>
        <v>0</v>
      </c>
      <c r="XEV59" s="34"/>
      <c r="XEW59" s="34"/>
    </row>
    <row r="60" spans="2:16 16376:16377" ht="15.6" customHeight="1" x14ac:dyDescent="0.3">
      <c r="B60" s="22"/>
      <c r="C60" s="30" t="s">
        <v>135</v>
      </c>
      <c r="D60" s="5">
        <v>1494</v>
      </c>
      <c r="E60" s="6" t="s">
        <v>175</v>
      </c>
      <c r="F60" s="7">
        <v>12</v>
      </c>
      <c r="G60" s="7" t="s">
        <v>87</v>
      </c>
      <c r="H60" s="15">
        <v>21069030</v>
      </c>
      <c r="I60" s="15">
        <v>7898714762245</v>
      </c>
      <c r="J60" s="8">
        <v>80.480027499999991</v>
      </c>
      <c r="K60" s="8">
        <v>49.374249999999996</v>
      </c>
      <c r="L60" s="41"/>
      <c r="M60" s="53">
        <f>_xlfn.XLOOKUP(I60,[1]Planilha1!$D:$D,[1]Planilha1!$F:$F)</f>
        <v>0</v>
      </c>
      <c r="N60" s="8">
        <f t="shared" si="1"/>
        <v>29.624549999999996</v>
      </c>
      <c r="O60" s="42"/>
      <c r="P60" s="8">
        <f>N60*O60</f>
        <v>0</v>
      </c>
      <c r="XEV60" s="34"/>
      <c r="XEW60" s="34"/>
    </row>
    <row r="61" spans="2:16 16376:16377" ht="15.6" customHeight="1" x14ac:dyDescent="0.3">
      <c r="B61" s="22"/>
      <c r="C61" s="30" t="s">
        <v>135</v>
      </c>
      <c r="D61" s="5">
        <v>1528</v>
      </c>
      <c r="E61" s="6" t="s">
        <v>181</v>
      </c>
      <c r="F61" s="7">
        <v>12</v>
      </c>
      <c r="G61" s="7" t="s">
        <v>87</v>
      </c>
      <c r="H61" s="15">
        <v>21069030</v>
      </c>
      <c r="I61" s="15">
        <v>7898714762696</v>
      </c>
      <c r="J61" s="8">
        <v>69.336124999999981</v>
      </c>
      <c r="K61" s="8">
        <v>42.537499999999994</v>
      </c>
      <c r="L61" s="41"/>
      <c r="M61" s="53">
        <f>_xlfn.XLOOKUP(I61,[1]Planilha1!$D:$D,[1]Planilha1!$F:$F)</f>
        <v>12</v>
      </c>
      <c r="N61" s="8">
        <f t="shared" si="1"/>
        <v>25.522499999999997</v>
      </c>
      <c r="O61" s="42"/>
      <c r="P61" s="8">
        <f>N61*O61</f>
        <v>0</v>
      </c>
      <c r="XEV61" s="34"/>
      <c r="XEW61" s="34"/>
    </row>
    <row r="62" spans="2:16 16376:16377" ht="15.6" customHeight="1" x14ac:dyDescent="0.3">
      <c r="B62" s="22"/>
      <c r="C62" s="30" t="s">
        <v>135</v>
      </c>
      <c r="D62" s="5">
        <v>1495</v>
      </c>
      <c r="E62" s="6" t="s">
        <v>182</v>
      </c>
      <c r="F62" s="7">
        <v>12</v>
      </c>
      <c r="G62" s="7" t="s">
        <v>62</v>
      </c>
      <c r="H62" s="15">
        <v>21069030</v>
      </c>
      <c r="I62" s="15">
        <v>7898714762474</v>
      </c>
      <c r="J62" s="8">
        <v>52.829114999999994</v>
      </c>
      <c r="K62" s="8">
        <v>32.410499999999999</v>
      </c>
      <c r="L62" s="41"/>
      <c r="M62" s="53">
        <f>_xlfn.XLOOKUP(I62,[1]Planilha1!$D:$D,[1]Planilha1!$F:$F)</f>
        <v>0</v>
      </c>
      <c r="N62" s="8">
        <f t="shared" si="1"/>
        <v>19.446299999999997</v>
      </c>
      <c r="O62" s="42"/>
      <c r="P62" s="8">
        <f>N62*O62</f>
        <v>0</v>
      </c>
      <c r="XEV62" s="34"/>
      <c r="XEW62" s="34"/>
    </row>
    <row r="63" spans="2:16 16376:16377" ht="15.6" customHeight="1" x14ac:dyDescent="0.3">
      <c r="B63" s="22"/>
      <c r="C63" s="30" t="s">
        <v>135</v>
      </c>
      <c r="D63" s="5">
        <v>1589</v>
      </c>
      <c r="E63" s="6" t="s">
        <v>183</v>
      </c>
      <c r="F63" s="7">
        <v>12</v>
      </c>
      <c r="G63" s="7" t="s">
        <v>93</v>
      </c>
      <c r="H63" s="15">
        <v>21069030</v>
      </c>
      <c r="I63" s="15">
        <v>7898714763372</v>
      </c>
      <c r="J63" s="8">
        <v>138.95627749999997</v>
      </c>
      <c r="K63" s="8">
        <v>85.249249999999989</v>
      </c>
      <c r="L63" s="41"/>
      <c r="M63" s="53">
        <f>_xlfn.XLOOKUP(I63,[1]Planilha1!$D:$D,[1]Planilha1!$F:$F)</f>
        <v>0</v>
      </c>
      <c r="N63" s="44">
        <f t="shared" si="1"/>
        <v>51.149549999999991</v>
      </c>
      <c r="O63" s="42"/>
      <c r="P63" s="8">
        <f>N63*O63</f>
        <v>0</v>
      </c>
      <c r="XEV63" s="34"/>
      <c r="XEW63" s="34"/>
    </row>
    <row r="64" spans="2:16 16376:16377" ht="15.6" customHeight="1" x14ac:dyDescent="0.3">
      <c r="B64" s="22"/>
      <c r="C64" s="30" t="s">
        <v>135</v>
      </c>
      <c r="D64" s="5">
        <v>1468</v>
      </c>
      <c r="E64" s="6" t="s">
        <v>105</v>
      </c>
      <c r="F64" s="7">
        <v>12</v>
      </c>
      <c r="G64" s="7" t="s">
        <v>62</v>
      </c>
      <c r="H64" s="15">
        <v>21069030</v>
      </c>
      <c r="I64" s="15">
        <v>7898714762054</v>
      </c>
      <c r="J64" s="8">
        <v>46.697462499999993</v>
      </c>
      <c r="K64" s="8">
        <v>28.648749999999996</v>
      </c>
      <c r="L64" s="41"/>
      <c r="M64" s="53">
        <f>_xlfn.XLOOKUP(I64,[1]Planilha1!$D:$D,[1]Planilha1!$F:$F)</f>
        <v>0</v>
      </c>
      <c r="N64" s="44">
        <f t="shared" si="1"/>
        <v>17.189249999999998</v>
      </c>
      <c r="O64" s="42"/>
      <c r="P64" s="8">
        <f>N64*O64</f>
        <v>0</v>
      </c>
      <c r="XEV64" s="34"/>
      <c r="XEW64" s="34"/>
    </row>
    <row r="65" spans="2:16 16376:16377" ht="15.6" customHeight="1" x14ac:dyDescent="0.3">
      <c r="B65" s="22"/>
      <c r="C65" s="30" t="s">
        <v>135</v>
      </c>
      <c r="D65" s="5">
        <v>1518</v>
      </c>
      <c r="E65" s="6" t="s">
        <v>184</v>
      </c>
      <c r="F65" s="7">
        <v>12</v>
      </c>
      <c r="G65" s="7" t="s">
        <v>62</v>
      </c>
      <c r="H65" s="15">
        <v>21069030</v>
      </c>
      <c r="I65" s="15">
        <v>7898714762566</v>
      </c>
      <c r="J65" s="8">
        <v>69.336124999999981</v>
      </c>
      <c r="K65" s="8">
        <v>42.537499999999994</v>
      </c>
      <c r="L65" s="41"/>
      <c r="M65" s="53">
        <f>_xlfn.XLOOKUP(I65,[1]Planilha1!$D:$D,[1]Planilha1!$F:$F)</f>
        <v>116</v>
      </c>
      <c r="N65" s="44">
        <f t="shared" si="1"/>
        <v>25.522499999999997</v>
      </c>
      <c r="O65" s="42"/>
      <c r="P65" s="8">
        <f>N65*O65</f>
        <v>0</v>
      </c>
      <c r="XEV65" s="34"/>
      <c r="XEW65" s="34"/>
    </row>
    <row r="66" spans="2:16 16376:16377" ht="15.6" customHeight="1" x14ac:dyDescent="0.3">
      <c r="B66" s="22"/>
      <c r="C66" s="30" t="s">
        <v>135</v>
      </c>
      <c r="D66" s="5">
        <v>1593</v>
      </c>
      <c r="E66" s="6" t="s">
        <v>185</v>
      </c>
      <c r="F66" s="7">
        <v>12</v>
      </c>
      <c r="G66" s="7" t="s">
        <v>62</v>
      </c>
      <c r="H66" s="15">
        <v>21069030</v>
      </c>
      <c r="I66" s="15">
        <v>7898714763419</v>
      </c>
      <c r="J66" s="8">
        <v>75.943411499999996</v>
      </c>
      <c r="K66" s="8">
        <v>46.591050000000003</v>
      </c>
      <c r="L66" s="41"/>
      <c r="M66" s="53">
        <f>_xlfn.XLOOKUP(I66,[1]Planilha1!$D:$D,[1]Planilha1!$F:$F)</f>
        <v>0</v>
      </c>
      <c r="N66" s="44">
        <f t="shared" si="1"/>
        <v>27.954630000000002</v>
      </c>
      <c r="O66" s="42"/>
      <c r="P66" s="8">
        <f>N66*O66</f>
        <v>0</v>
      </c>
      <c r="XEV66" s="34"/>
      <c r="XEW66" s="34"/>
    </row>
    <row r="67" spans="2:16 16376:16377" ht="15.6" customHeight="1" x14ac:dyDescent="0.3">
      <c r="B67" s="22"/>
      <c r="C67" s="30" t="s">
        <v>135</v>
      </c>
      <c r="D67" s="5">
        <v>1510</v>
      </c>
      <c r="E67" s="6" t="s">
        <v>187</v>
      </c>
      <c r="F67" s="7">
        <v>12</v>
      </c>
      <c r="G67" s="7" t="s">
        <v>62</v>
      </c>
      <c r="H67" s="15">
        <v>21069030</v>
      </c>
      <c r="I67" s="15">
        <v>7898714762467</v>
      </c>
      <c r="J67" s="8">
        <v>37.007112499999991</v>
      </c>
      <c r="K67" s="8">
        <v>22.703749999999996</v>
      </c>
      <c r="L67" s="41"/>
      <c r="M67" s="53">
        <f>_xlfn.XLOOKUP(I67,[1]Planilha1!$D:$D,[1]Planilha1!$F:$F)</f>
        <v>0</v>
      </c>
      <c r="N67" s="44">
        <f t="shared" si="1"/>
        <v>13.622249999999998</v>
      </c>
      <c r="O67" s="42"/>
      <c r="P67" s="8">
        <f>N67*O67</f>
        <v>0</v>
      </c>
      <c r="XEV67" s="34"/>
      <c r="XEW67" s="34"/>
    </row>
    <row r="68" spans="2:16 16376:16377" ht="15.6" customHeight="1" x14ac:dyDescent="0.3">
      <c r="B68" s="22"/>
      <c r="C68" s="22"/>
      <c r="D68" s="5">
        <v>1520</v>
      </c>
      <c r="E68" s="6" t="s">
        <v>188</v>
      </c>
      <c r="F68" s="7">
        <v>12</v>
      </c>
      <c r="G68" s="7" t="s">
        <v>62</v>
      </c>
      <c r="H68" s="15">
        <v>21069030</v>
      </c>
      <c r="I68" s="15">
        <v>7898714762603</v>
      </c>
      <c r="J68" s="8">
        <v>59.846264999999995</v>
      </c>
      <c r="K68" s="8">
        <v>36.715499999999999</v>
      </c>
      <c r="L68" s="41"/>
      <c r="M68" s="53">
        <f>_xlfn.XLOOKUP(I68,[1]Planilha1!$D:$D,[1]Planilha1!$F:$F)</f>
        <v>9</v>
      </c>
      <c r="N68" s="8">
        <f t="shared" si="1"/>
        <v>22.029299999999999</v>
      </c>
      <c r="O68" s="42"/>
      <c r="P68" s="8">
        <f>N68*O68</f>
        <v>0</v>
      </c>
      <c r="XEV68" s="34"/>
      <c r="XEW68" s="34"/>
    </row>
    <row r="69" spans="2:16 16376:16377" ht="15.6" customHeight="1" x14ac:dyDescent="0.3">
      <c r="B69" s="22"/>
      <c r="C69" s="30" t="s">
        <v>135</v>
      </c>
      <c r="D69" s="5">
        <v>1511</v>
      </c>
      <c r="E69" s="6" t="s">
        <v>189</v>
      </c>
      <c r="F69" s="7">
        <v>12</v>
      </c>
      <c r="G69" s="7" t="s">
        <v>62</v>
      </c>
      <c r="H69" s="15">
        <v>21069030</v>
      </c>
      <c r="I69" s="15">
        <v>7898714762450</v>
      </c>
      <c r="J69" s="8">
        <v>63.772527499999988</v>
      </c>
      <c r="K69" s="8">
        <v>39.124249999999996</v>
      </c>
      <c r="L69" s="41"/>
      <c r="M69" s="53">
        <f>_xlfn.XLOOKUP(I69,[1]Planilha1!$D:$D,[1]Planilha1!$F:$F)</f>
        <v>1</v>
      </c>
      <c r="N69" s="8">
        <f t="shared" si="1"/>
        <v>23.474549999999997</v>
      </c>
      <c r="O69" s="42"/>
      <c r="P69" s="8">
        <f>N69*O69</f>
        <v>0</v>
      </c>
      <c r="XEV69" s="34"/>
      <c r="XEW69" s="34"/>
    </row>
    <row r="70" spans="2:16 16376:16377" ht="15.6" customHeight="1" x14ac:dyDescent="0.3">
      <c r="B70" s="22"/>
      <c r="C70" s="30" t="s">
        <v>135</v>
      </c>
      <c r="D70" s="5">
        <v>1596</v>
      </c>
      <c r="E70" s="6" t="s">
        <v>186</v>
      </c>
      <c r="F70" s="7">
        <v>12</v>
      </c>
      <c r="G70" s="7" t="s">
        <v>144</v>
      </c>
      <c r="H70" s="15">
        <v>21069030</v>
      </c>
      <c r="I70" s="15">
        <v>7898714763440</v>
      </c>
      <c r="J70" s="8">
        <v>83.253472499999987</v>
      </c>
      <c r="K70" s="8">
        <v>51.075749999999992</v>
      </c>
      <c r="L70" s="41"/>
      <c r="M70" s="53">
        <f>_xlfn.XLOOKUP(I70,[1]Planilha1!$D:$D,[1]Planilha1!$F:$F)</f>
        <v>0</v>
      </c>
      <c r="N70" s="8">
        <f t="shared" si="1"/>
        <v>30.645449999999993</v>
      </c>
      <c r="O70" s="42"/>
      <c r="P70" s="8">
        <f>N70*O70</f>
        <v>0</v>
      </c>
      <c r="XEV70" s="34"/>
      <c r="XEW70" s="34"/>
    </row>
    <row r="71" spans="2:16 16376:16377" ht="15.6" customHeight="1" x14ac:dyDescent="0.3">
      <c r="B71" s="22"/>
      <c r="C71" s="30" t="s">
        <v>135</v>
      </c>
      <c r="D71" s="5">
        <v>1470</v>
      </c>
      <c r="E71" s="6" t="s">
        <v>104</v>
      </c>
      <c r="F71" s="7">
        <v>12</v>
      </c>
      <c r="G71" s="7" t="s">
        <v>62</v>
      </c>
      <c r="H71" s="15">
        <v>21069030</v>
      </c>
      <c r="I71" s="15">
        <v>7898714762047</v>
      </c>
      <c r="J71" s="8">
        <v>53.96522499999999</v>
      </c>
      <c r="K71" s="8">
        <v>33.107499999999995</v>
      </c>
      <c r="L71" s="41"/>
      <c r="M71" s="53">
        <f>_xlfn.XLOOKUP(I71,[1]Planilha1!$D:$D,[1]Planilha1!$F:$F)</f>
        <v>0</v>
      </c>
      <c r="N71" s="8">
        <f t="shared" si="1"/>
        <v>19.864499999999996</v>
      </c>
      <c r="O71" s="42"/>
      <c r="P71" s="8">
        <f>N71*O71</f>
        <v>0</v>
      </c>
      <c r="XEV71" s="34"/>
      <c r="XEW71" s="34"/>
    </row>
    <row r="72" spans="2:16 16376:16377" ht="15.6" customHeight="1" x14ac:dyDescent="0.3">
      <c r="B72" s="22"/>
      <c r="C72" s="22"/>
      <c r="D72" s="5">
        <v>1536</v>
      </c>
      <c r="E72" s="6" t="s">
        <v>190</v>
      </c>
      <c r="F72" s="7">
        <v>12</v>
      </c>
      <c r="G72" s="7" t="s">
        <v>62</v>
      </c>
      <c r="H72" s="15">
        <v>21069030</v>
      </c>
      <c r="I72" s="15">
        <v>7898714762771</v>
      </c>
      <c r="J72" s="8">
        <v>60.982374999999983</v>
      </c>
      <c r="K72" s="8">
        <v>37.412499999999994</v>
      </c>
      <c r="L72" s="41"/>
      <c r="M72" s="53">
        <f>_xlfn.XLOOKUP(I72,[1]Planilha1!$D:$D,[1]Planilha1!$F:$F)</f>
        <v>0</v>
      </c>
      <c r="N72" s="8">
        <f t="shared" si="1"/>
        <v>22.447499999999994</v>
      </c>
      <c r="O72" s="42"/>
      <c r="P72" s="8">
        <f>N72*O72</f>
        <v>0</v>
      </c>
      <c r="XEV72" s="34"/>
      <c r="XEW72" s="34"/>
    </row>
    <row r="73" spans="2:16 16376:16377" ht="15.6" customHeight="1" x14ac:dyDescent="0.3">
      <c r="B73" s="22"/>
      <c r="C73" s="30" t="s">
        <v>135</v>
      </c>
      <c r="D73" s="5">
        <v>1217</v>
      </c>
      <c r="E73" s="6" t="s">
        <v>90</v>
      </c>
      <c r="F73" s="7">
        <v>12</v>
      </c>
      <c r="G73" s="7" t="s">
        <v>87</v>
      </c>
      <c r="H73" s="15">
        <v>21069030</v>
      </c>
      <c r="I73" s="15">
        <v>7898330221638</v>
      </c>
      <c r="J73" s="8">
        <v>61.21627999999999</v>
      </c>
      <c r="K73" s="8">
        <v>37.555999999999997</v>
      </c>
      <c r="L73" s="41"/>
      <c r="M73" s="53">
        <f>_xlfn.XLOOKUP(I73,[1]Planilha1!$D:$D,[1]Planilha1!$F:$F)</f>
        <v>0</v>
      </c>
      <c r="N73" s="8">
        <f t="shared" si="1"/>
        <v>22.533599999999996</v>
      </c>
      <c r="O73" s="42"/>
      <c r="P73" s="8">
        <f>N73*O73</f>
        <v>0</v>
      </c>
      <c r="XEV73" s="34"/>
      <c r="XEW73" s="34"/>
    </row>
    <row r="74" spans="2:16 16376:16377" ht="15.6" customHeight="1" x14ac:dyDescent="0.3">
      <c r="B74" s="22"/>
      <c r="C74" s="22"/>
      <c r="D74" s="5">
        <v>1497</v>
      </c>
      <c r="E74" s="6" t="s">
        <v>191</v>
      </c>
      <c r="F74" s="7">
        <v>6</v>
      </c>
      <c r="G74" s="7" t="s">
        <v>109</v>
      </c>
      <c r="H74" s="15">
        <v>21069030</v>
      </c>
      <c r="I74" s="15">
        <v>7898714762276</v>
      </c>
      <c r="J74" s="8">
        <v>72.126277499999986</v>
      </c>
      <c r="K74" s="8">
        <v>44.249249999999996</v>
      </c>
      <c r="L74" s="41"/>
      <c r="M74" s="53">
        <f>_xlfn.XLOOKUP(I74,[1]Planilha1!$D:$D,[1]Planilha1!$F:$F)</f>
        <v>6</v>
      </c>
      <c r="N74" s="8">
        <f t="shared" si="1"/>
        <v>26.549549999999996</v>
      </c>
      <c r="O74" s="42"/>
      <c r="P74" s="8">
        <f>N74*O74</f>
        <v>0</v>
      </c>
      <c r="XEV74" s="34"/>
      <c r="XEW74" s="34"/>
    </row>
    <row r="75" spans="2:16 16376:16377" ht="15.6" customHeight="1" x14ac:dyDescent="0.3">
      <c r="B75" s="22"/>
      <c r="C75" s="30" t="s">
        <v>135</v>
      </c>
      <c r="D75" s="5">
        <v>1556</v>
      </c>
      <c r="E75" s="6" t="s">
        <v>193</v>
      </c>
      <c r="F75" s="7">
        <v>12</v>
      </c>
      <c r="G75" s="7" t="s">
        <v>197</v>
      </c>
      <c r="H75" s="15">
        <v>21069030</v>
      </c>
      <c r="I75" s="15">
        <v>7898714763020</v>
      </c>
      <c r="J75" s="8">
        <v>35.921124999999996</v>
      </c>
      <c r="K75" s="8">
        <v>22.037499999999998</v>
      </c>
      <c r="L75" s="41"/>
      <c r="M75" s="53">
        <f>_xlfn.XLOOKUP(I75,[1]Planilha1!$D:$D,[1]Planilha1!$F:$F)</f>
        <v>0</v>
      </c>
      <c r="N75" s="8">
        <f t="shared" ref="N75:N106" si="2">IF(L75&gt;0.01%,K75*(1-L75),K75*(1-$O$5))</f>
        <v>13.222499999999998</v>
      </c>
      <c r="O75" s="42"/>
      <c r="P75" s="8">
        <f>N75*O75</f>
        <v>0</v>
      </c>
      <c r="XEV75" s="34"/>
      <c r="XEW75" s="34"/>
    </row>
    <row r="76" spans="2:16 16376:16377" ht="15.6" customHeight="1" x14ac:dyDescent="0.3">
      <c r="B76" s="22"/>
      <c r="C76" s="30" t="s">
        <v>135</v>
      </c>
      <c r="D76" s="5">
        <v>1557</v>
      </c>
      <c r="E76" s="6" t="s">
        <v>195</v>
      </c>
      <c r="F76" s="7">
        <v>12</v>
      </c>
      <c r="G76" s="7" t="s">
        <v>144</v>
      </c>
      <c r="H76" s="15">
        <v>21069030</v>
      </c>
      <c r="I76" s="15">
        <v>7898714763037</v>
      </c>
      <c r="J76" s="8">
        <v>52.804664999999993</v>
      </c>
      <c r="K76" s="8">
        <v>32.395499999999998</v>
      </c>
      <c r="L76" s="41"/>
      <c r="M76" s="53">
        <f>_xlfn.XLOOKUP(I76,[1]Planilha1!$D:$D,[1]Planilha1!$F:$F)</f>
        <v>0</v>
      </c>
      <c r="N76" s="8">
        <f t="shared" si="2"/>
        <v>19.437299999999997</v>
      </c>
      <c r="O76" s="42"/>
      <c r="P76" s="8">
        <f>N76*O76</f>
        <v>0</v>
      </c>
      <c r="XEV76" s="34"/>
      <c r="XEW76" s="34"/>
    </row>
    <row r="77" spans="2:16 16376:16377" ht="15.6" customHeight="1" x14ac:dyDescent="0.3">
      <c r="B77" s="22"/>
      <c r="C77" s="30" t="s">
        <v>135</v>
      </c>
      <c r="D77" s="5">
        <v>1611</v>
      </c>
      <c r="E77" s="6" t="s">
        <v>194</v>
      </c>
      <c r="F77" s="7">
        <v>6</v>
      </c>
      <c r="G77" s="7" t="s">
        <v>198</v>
      </c>
      <c r="H77" s="15">
        <v>21069030</v>
      </c>
      <c r="I77" s="15">
        <v>7898714763594</v>
      </c>
      <c r="J77" s="8">
        <v>89.345190000000002</v>
      </c>
      <c r="K77" s="8">
        <v>54.813000000000002</v>
      </c>
      <c r="L77" s="41"/>
      <c r="M77" s="53">
        <f>_xlfn.XLOOKUP(I77,[1]Planilha1!$D:$D,[1]Planilha1!$F:$F)</f>
        <v>0</v>
      </c>
      <c r="N77" s="8">
        <f t="shared" si="2"/>
        <v>32.887799999999999</v>
      </c>
      <c r="O77" s="42"/>
      <c r="P77" s="8">
        <f>N77*O77</f>
        <v>0</v>
      </c>
      <c r="XEV77" s="34"/>
      <c r="XEW77" s="34"/>
    </row>
    <row r="78" spans="2:16 16376:16377" ht="15.6" customHeight="1" x14ac:dyDescent="0.3">
      <c r="B78" s="22"/>
      <c r="C78" s="22"/>
      <c r="D78" s="5">
        <v>1612</v>
      </c>
      <c r="E78" s="6" t="s">
        <v>196</v>
      </c>
      <c r="F78" s="7">
        <v>6</v>
      </c>
      <c r="G78" s="7" t="s">
        <v>199</v>
      </c>
      <c r="H78" s="15">
        <v>21069030</v>
      </c>
      <c r="I78" s="15">
        <v>7898714763600</v>
      </c>
      <c r="J78" s="8">
        <v>69.336124999999981</v>
      </c>
      <c r="K78" s="8">
        <v>42.537499999999994</v>
      </c>
      <c r="L78" s="41"/>
      <c r="M78" s="53">
        <f>_xlfn.XLOOKUP(I78,[1]Planilha1!$D:$D,[1]Planilha1!$F:$F)</f>
        <v>0</v>
      </c>
      <c r="N78" s="8">
        <f t="shared" si="2"/>
        <v>25.522499999999997</v>
      </c>
      <c r="O78" s="42"/>
      <c r="P78" s="8">
        <f>N78*O78</f>
        <v>0</v>
      </c>
      <c r="XEV78" s="34"/>
      <c r="XEW78" s="34"/>
    </row>
    <row r="79" spans="2:16 16376:16377" ht="15.6" customHeight="1" x14ac:dyDescent="0.3">
      <c r="B79" s="22"/>
      <c r="C79" s="30" t="s">
        <v>135</v>
      </c>
      <c r="D79" s="5">
        <v>1499</v>
      </c>
      <c r="E79" s="6" t="s">
        <v>192</v>
      </c>
      <c r="F79" s="7">
        <v>12</v>
      </c>
      <c r="G79" s="7" t="s">
        <v>87</v>
      </c>
      <c r="H79" s="15">
        <v>21069030</v>
      </c>
      <c r="I79" s="15">
        <v>7898714762290</v>
      </c>
      <c r="J79" s="8">
        <v>37.007112499999991</v>
      </c>
      <c r="K79" s="8">
        <v>22.703749999999996</v>
      </c>
      <c r="L79" s="41"/>
      <c r="M79" s="53">
        <f>_xlfn.XLOOKUP(I79,[1]Planilha1!$D:$D,[1]Planilha1!$F:$F)</f>
        <v>11</v>
      </c>
      <c r="N79" s="8">
        <f t="shared" si="2"/>
        <v>13.622249999999998</v>
      </c>
      <c r="O79" s="42"/>
      <c r="P79" s="8">
        <f>N79*O79</f>
        <v>0</v>
      </c>
      <c r="XEV79" s="34"/>
      <c r="XEW79" s="34"/>
    </row>
    <row r="80" spans="2:16 16376:16377" ht="15.6" customHeight="1" x14ac:dyDescent="0.3">
      <c r="B80" s="22"/>
      <c r="C80" s="30" t="s">
        <v>135</v>
      </c>
      <c r="D80" s="5">
        <v>1472</v>
      </c>
      <c r="E80" s="6" t="s">
        <v>110</v>
      </c>
      <c r="F80" s="7">
        <v>12</v>
      </c>
      <c r="G80" s="7" t="s">
        <v>62</v>
      </c>
      <c r="H80" s="15">
        <v>21069030</v>
      </c>
      <c r="I80" s="15">
        <v>7898714762085</v>
      </c>
      <c r="J80" s="8">
        <v>22.003777499999995</v>
      </c>
      <c r="K80" s="8">
        <v>13.499249999999998</v>
      </c>
      <c r="L80" s="41"/>
      <c r="M80" s="53">
        <f>_xlfn.XLOOKUP(I80,[1]Planilha1!$D:$D,[1]Planilha1!$F:$F)</f>
        <v>0</v>
      </c>
      <c r="N80" s="8">
        <f t="shared" si="2"/>
        <v>8.0995499999999989</v>
      </c>
      <c r="O80" s="42"/>
      <c r="P80" s="8">
        <f>N80*O80</f>
        <v>0</v>
      </c>
      <c r="XEV80" s="34"/>
      <c r="XEW80" s="34"/>
    </row>
    <row r="81" spans="2:16 16376:16377" ht="15.6" customHeight="1" x14ac:dyDescent="0.3">
      <c r="B81" s="22"/>
      <c r="C81" s="30" t="s">
        <v>135</v>
      </c>
      <c r="D81" s="5">
        <v>1415</v>
      </c>
      <c r="E81" s="6" t="s">
        <v>77</v>
      </c>
      <c r="F81" s="7">
        <v>12</v>
      </c>
      <c r="G81" s="7" t="s">
        <v>62</v>
      </c>
      <c r="H81" s="15">
        <v>21069030</v>
      </c>
      <c r="I81" s="15">
        <v>7898714761477</v>
      </c>
      <c r="J81" s="8">
        <v>41.48472249999999</v>
      </c>
      <c r="K81" s="8">
        <v>25.450749999999996</v>
      </c>
      <c r="L81" s="41"/>
      <c r="M81" s="53">
        <f>_xlfn.XLOOKUP(I81,[1]Planilha1!$D:$D,[1]Planilha1!$F:$F)</f>
        <v>36</v>
      </c>
      <c r="N81" s="8">
        <f t="shared" si="2"/>
        <v>15.270449999999997</v>
      </c>
      <c r="O81" s="42"/>
      <c r="P81" s="8">
        <f>N81*O81</f>
        <v>0</v>
      </c>
      <c r="XEV81" s="34"/>
      <c r="XEW81" s="34"/>
    </row>
    <row r="82" spans="2:16 16376:16377" ht="15.6" customHeight="1" x14ac:dyDescent="0.3">
      <c r="B82" s="22"/>
      <c r="C82" s="30" t="s">
        <v>135</v>
      </c>
      <c r="D82" s="5">
        <v>1416</v>
      </c>
      <c r="E82" s="6" t="s">
        <v>78</v>
      </c>
      <c r="F82" s="7">
        <v>12</v>
      </c>
      <c r="G82" s="7" t="s">
        <v>62</v>
      </c>
      <c r="H82" s="15">
        <v>21069030</v>
      </c>
      <c r="I82" s="15">
        <v>7898714761484</v>
      </c>
      <c r="J82" s="8">
        <v>38.711277499999994</v>
      </c>
      <c r="K82" s="8">
        <v>23.74925</v>
      </c>
      <c r="L82" s="41"/>
      <c r="M82" s="53">
        <f>_xlfn.XLOOKUP(I82,[1]Planilha1!$D:$D,[1]Planilha1!$F:$F)</f>
        <v>12</v>
      </c>
      <c r="N82" s="44">
        <f t="shared" si="2"/>
        <v>14.249549999999999</v>
      </c>
      <c r="O82" s="42"/>
      <c r="P82" s="8">
        <f>N82*O82</f>
        <v>0</v>
      </c>
      <c r="XEV82" s="34"/>
      <c r="XEW82" s="34"/>
    </row>
    <row r="83" spans="2:16 16376:16377" ht="15.6" customHeight="1" x14ac:dyDescent="0.3">
      <c r="B83" s="22"/>
      <c r="C83" s="30" t="s">
        <v>135</v>
      </c>
      <c r="D83" s="5">
        <v>1417</v>
      </c>
      <c r="E83" s="6" t="s">
        <v>133</v>
      </c>
      <c r="F83" s="7">
        <v>12</v>
      </c>
      <c r="G83" s="7" t="s">
        <v>62</v>
      </c>
      <c r="H83" s="15">
        <v>21069030</v>
      </c>
      <c r="I83" s="15">
        <v>7898714761491</v>
      </c>
      <c r="J83" s="8">
        <v>38.711277499999994</v>
      </c>
      <c r="K83" s="8">
        <v>23.74925</v>
      </c>
      <c r="L83" s="41"/>
      <c r="M83" s="53">
        <f>_xlfn.XLOOKUP(I83,[1]Planilha1!$D:$D,[1]Planilha1!$F:$F)</f>
        <v>4268</v>
      </c>
      <c r="N83" s="44">
        <f t="shared" si="2"/>
        <v>14.249549999999999</v>
      </c>
      <c r="O83" s="42"/>
      <c r="P83" s="8">
        <f>N83*O83</f>
        <v>0</v>
      </c>
      <c r="XEV83" s="34"/>
      <c r="XEW83" s="34"/>
    </row>
    <row r="84" spans="2:16 16376:16377" ht="15.6" customHeight="1" x14ac:dyDescent="0.3">
      <c r="B84" s="22"/>
      <c r="C84" s="22"/>
      <c r="D84" s="5">
        <v>1221</v>
      </c>
      <c r="E84" s="6" t="s">
        <v>26</v>
      </c>
      <c r="F84" s="7">
        <v>12</v>
      </c>
      <c r="G84" s="7" t="s">
        <v>62</v>
      </c>
      <c r="H84" s="15">
        <v>21069030</v>
      </c>
      <c r="I84" s="15">
        <v>7898330221652</v>
      </c>
      <c r="J84" s="8">
        <v>64.825100000000006</v>
      </c>
      <c r="K84" s="8">
        <v>39.770000000000003</v>
      </c>
      <c r="L84" s="41"/>
      <c r="M84" s="53">
        <f>_xlfn.XLOOKUP(I84,[1]Planilha1!$D:$D,[1]Planilha1!$F:$F)</f>
        <v>0</v>
      </c>
      <c r="N84" s="44">
        <f t="shared" si="2"/>
        <v>23.862000000000002</v>
      </c>
      <c r="O84" s="42"/>
      <c r="P84" s="8">
        <f>N84*O84</f>
        <v>0</v>
      </c>
      <c r="XEV84" s="34"/>
      <c r="XEW84" s="34"/>
    </row>
    <row r="85" spans="2:16 16376:16377" ht="15.6" customHeight="1" x14ac:dyDescent="0.3">
      <c r="B85" s="22"/>
      <c r="C85" s="30" t="s">
        <v>135</v>
      </c>
      <c r="D85" s="5">
        <v>1220</v>
      </c>
      <c r="E85" s="6" t="s">
        <v>28</v>
      </c>
      <c r="F85" s="7">
        <v>12</v>
      </c>
      <c r="G85" s="7" t="s">
        <v>87</v>
      </c>
      <c r="H85" s="15">
        <v>21069030</v>
      </c>
      <c r="I85" s="15">
        <v>7898330221577</v>
      </c>
      <c r="J85" s="8">
        <v>44.274874999999994</v>
      </c>
      <c r="K85" s="8">
        <v>27.162499999999998</v>
      </c>
      <c r="L85" s="41"/>
      <c r="M85" s="53">
        <f>_xlfn.XLOOKUP(I85,[1]Planilha1!$D:$D,[1]Planilha1!$F:$F)</f>
        <v>684</v>
      </c>
      <c r="N85" s="44">
        <f t="shared" si="2"/>
        <v>16.297499999999999</v>
      </c>
      <c r="O85" s="42"/>
      <c r="P85" s="8">
        <f>N85*O85</f>
        <v>0</v>
      </c>
      <c r="XEV85" s="34"/>
      <c r="XEW85" s="34"/>
    </row>
    <row r="86" spans="2:16 16376:16377" ht="15.6" customHeight="1" x14ac:dyDescent="0.3">
      <c r="B86" s="22"/>
      <c r="C86" s="30" t="s">
        <v>135</v>
      </c>
      <c r="D86" s="5">
        <v>1621</v>
      </c>
      <c r="E86" s="6" t="s">
        <v>200</v>
      </c>
      <c r="F86" s="7">
        <v>6</v>
      </c>
      <c r="G86" s="7" t="s">
        <v>198</v>
      </c>
      <c r="H86" s="15">
        <v>21069030</v>
      </c>
      <c r="I86" s="15">
        <v>7898714763693</v>
      </c>
      <c r="J86" s="8">
        <v>41.48472249999999</v>
      </c>
      <c r="K86" s="8">
        <v>25.450749999999996</v>
      </c>
      <c r="L86" s="41"/>
      <c r="M86" s="53">
        <f>_xlfn.XLOOKUP(I86,[1]Planilha1!$D:$D,[1]Planilha1!$F:$F)</f>
        <v>132</v>
      </c>
      <c r="N86" s="44">
        <f t="shared" si="2"/>
        <v>15.270449999999997</v>
      </c>
      <c r="O86" s="42"/>
      <c r="P86" s="8">
        <f>N86*O86</f>
        <v>0</v>
      </c>
      <c r="XEV86" s="34"/>
      <c r="XEW86" s="34"/>
    </row>
    <row r="87" spans="2:16 16376:16377" ht="15.6" customHeight="1" x14ac:dyDescent="0.3">
      <c r="B87" s="22"/>
      <c r="C87" s="30" t="s">
        <v>135</v>
      </c>
      <c r="D87" s="5">
        <v>1622</v>
      </c>
      <c r="E87" s="6" t="s">
        <v>201</v>
      </c>
      <c r="F87" s="7">
        <v>12</v>
      </c>
      <c r="G87" s="7" t="s">
        <v>144</v>
      </c>
      <c r="H87" s="15">
        <v>21069030</v>
      </c>
      <c r="I87" s="15">
        <v>7898714763709</v>
      </c>
      <c r="J87" s="8">
        <v>69.336124999999981</v>
      </c>
      <c r="K87" s="8">
        <v>42.537499999999994</v>
      </c>
      <c r="L87" s="41"/>
      <c r="M87" s="53">
        <f>_xlfn.XLOOKUP(I87,[1]Planilha1!$D:$D,[1]Planilha1!$F:$F)</f>
        <v>276</v>
      </c>
      <c r="N87" s="8">
        <f t="shared" si="2"/>
        <v>25.522499999999997</v>
      </c>
      <c r="O87" s="42"/>
      <c r="P87" s="8">
        <f>N87*O87</f>
        <v>0</v>
      </c>
      <c r="XEV87" s="34"/>
      <c r="XEW87" s="34"/>
    </row>
    <row r="88" spans="2:16 16376:16377" ht="15.6" customHeight="1" x14ac:dyDescent="0.3">
      <c r="B88" s="22"/>
      <c r="C88" s="30" t="s">
        <v>135</v>
      </c>
      <c r="D88" s="5">
        <v>1595</v>
      </c>
      <c r="E88" s="6" t="s">
        <v>202</v>
      </c>
      <c r="F88" s="7">
        <v>12</v>
      </c>
      <c r="G88" s="7" t="s">
        <v>87</v>
      </c>
      <c r="H88" s="15">
        <v>21069030</v>
      </c>
      <c r="I88" s="15">
        <v>7898714763433</v>
      </c>
      <c r="J88" s="8">
        <v>43.138764999999992</v>
      </c>
      <c r="K88" s="8">
        <v>26.465499999999999</v>
      </c>
      <c r="L88" s="41"/>
      <c r="M88" s="53">
        <f>_xlfn.XLOOKUP(I88,[1]Planilha1!$D:$D,[1]Planilha1!$F:$F)</f>
        <v>12</v>
      </c>
      <c r="N88" s="8">
        <f t="shared" si="2"/>
        <v>15.879299999999999</v>
      </c>
      <c r="O88" s="42"/>
      <c r="P88" s="8">
        <f>N88*O88</f>
        <v>0</v>
      </c>
      <c r="XEV88" s="34"/>
      <c r="XEW88" s="34"/>
    </row>
    <row r="89" spans="2:16 16376:16377" ht="15.6" customHeight="1" x14ac:dyDescent="0.3">
      <c r="B89" s="22"/>
      <c r="C89" s="30" t="s">
        <v>135</v>
      </c>
      <c r="D89" s="5">
        <v>1420</v>
      </c>
      <c r="E89" s="6" t="s">
        <v>203</v>
      </c>
      <c r="F89" s="7">
        <v>12</v>
      </c>
      <c r="G89" s="7" t="s">
        <v>87</v>
      </c>
      <c r="H89" s="15">
        <v>21069030</v>
      </c>
      <c r="I89" s="15">
        <v>7898714761521</v>
      </c>
      <c r="J89" s="8">
        <v>44.105355000000003</v>
      </c>
      <c r="K89" s="8">
        <v>27.058500000000002</v>
      </c>
      <c r="L89" s="41"/>
      <c r="M89" s="53">
        <f>_xlfn.XLOOKUP(I89,[1]Planilha1!$D:$D,[1]Planilha1!$F:$F)</f>
        <v>780</v>
      </c>
      <c r="N89" s="8">
        <f t="shared" si="2"/>
        <v>16.235099999999999</v>
      </c>
      <c r="O89" s="42"/>
      <c r="P89" s="8">
        <f>N89*O89</f>
        <v>0</v>
      </c>
      <c r="XEV89" s="34"/>
      <c r="XEW89" s="34"/>
    </row>
    <row r="90" spans="2:16 16376:16377" ht="15.6" customHeight="1" x14ac:dyDescent="0.3">
      <c r="B90" s="22"/>
      <c r="C90" s="30" t="s">
        <v>135</v>
      </c>
      <c r="D90" s="5">
        <v>1529</v>
      </c>
      <c r="E90" s="6" t="s">
        <v>204</v>
      </c>
      <c r="F90" s="7">
        <v>12</v>
      </c>
      <c r="G90" s="7" t="s">
        <v>87</v>
      </c>
      <c r="H90" s="15">
        <v>21069030</v>
      </c>
      <c r="I90" s="15">
        <v>7898714762702</v>
      </c>
      <c r="J90" s="8">
        <v>54.061666666666646</v>
      </c>
      <c r="K90" s="8">
        <v>33.166666666666657</v>
      </c>
      <c r="L90" s="41"/>
      <c r="M90" s="53">
        <f>_xlfn.XLOOKUP(I90,[1]Planilha1!$D:$D,[1]Planilha1!$F:$F)</f>
        <v>3088</v>
      </c>
      <c r="N90" s="8">
        <f t="shared" si="2"/>
        <v>19.899999999999995</v>
      </c>
      <c r="O90" s="42"/>
      <c r="P90" s="8">
        <f>N90*O90</f>
        <v>0</v>
      </c>
      <c r="XEV90" s="34"/>
      <c r="XEW90" s="34"/>
    </row>
    <row r="91" spans="2:16 16376:16377" ht="15.6" customHeight="1" x14ac:dyDescent="0.3">
      <c r="B91" s="22"/>
      <c r="C91" s="30" t="s">
        <v>135</v>
      </c>
      <c r="D91" s="5">
        <v>1533</v>
      </c>
      <c r="E91" s="6" t="s">
        <v>205</v>
      </c>
      <c r="F91" s="7">
        <v>12</v>
      </c>
      <c r="G91" s="7" t="s">
        <v>87</v>
      </c>
      <c r="H91" s="15">
        <v>21069030</v>
      </c>
      <c r="I91" s="15">
        <v>7898714762740</v>
      </c>
      <c r="J91" s="8">
        <v>54.061666666666667</v>
      </c>
      <c r="K91" s="8">
        <v>33.166666666666671</v>
      </c>
      <c r="L91" s="41"/>
      <c r="M91" s="53">
        <f>_xlfn.XLOOKUP(I91,[1]Planilha1!$D:$D,[1]Planilha1!$F:$F)</f>
        <v>6</v>
      </c>
      <c r="N91" s="8">
        <f t="shared" si="2"/>
        <v>19.900000000000002</v>
      </c>
      <c r="O91" s="42"/>
      <c r="P91" s="8">
        <f>N91*O91</f>
        <v>0</v>
      </c>
      <c r="XEV91" s="34"/>
      <c r="XEW91" s="34"/>
    </row>
    <row r="92" spans="2:16 16376:16377" ht="15.6" customHeight="1" x14ac:dyDescent="0.3">
      <c r="B92" s="22"/>
      <c r="C92" s="30" t="s">
        <v>135</v>
      </c>
      <c r="D92" s="5">
        <v>1534</v>
      </c>
      <c r="E92" s="6" t="s">
        <v>206</v>
      </c>
      <c r="F92" s="7">
        <v>12</v>
      </c>
      <c r="G92" s="7" t="s">
        <v>87</v>
      </c>
      <c r="H92" s="15">
        <v>21069030</v>
      </c>
      <c r="I92" s="15">
        <v>7898714762757</v>
      </c>
      <c r="J92" s="8">
        <v>54.061666666666646</v>
      </c>
      <c r="K92" s="8">
        <v>33.166666666666657</v>
      </c>
      <c r="L92" s="41"/>
      <c r="M92" s="53">
        <f>_xlfn.XLOOKUP(I92,[1]Planilha1!$D:$D,[1]Planilha1!$F:$F)</f>
        <v>0</v>
      </c>
      <c r="N92" s="8">
        <f t="shared" si="2"/>
        <v>19.899999999999995</v>
      </c>
      <c r="O92" s="42"/>
      <c r="P92" s="8">
        <f>N92*O92</f>
        <v>0</v>
      </c>
      <c r="XEV92" s="34"/>
      <c r="XEW92" s="34"/>
    </row>
    <row r="93" spans="2:16 16376:16377" ht="15.6" customHeight="1" x14ac:dyDescent="0.3">
      <c r="B93" s="22"/>
      <c r="C93" s="30" t="s">
        <v>135</v>
      </c>
      <c r="D93" s="5">
        <v>1544</v>
      </c>
      <c r="E93" s="6" t="s">
        <v>210</v>
      </c>
      <c r="F93" s="7">
        <v>12</v>
      </c>
      <c r="G93" s="7" t="s">
        <v>87</v>
      </c>
      <c r="H93" s="15">
        <v>21069030</v>
      </c>
      <c r="I93" s="15">
        <v>7898714762900</v>
      </c>
      <c r="J93" s="8">
        <v>54.06166666666666</v>
      </c>
      <c r="K93" s="8">
        <v>33.166666666666664</v>
      </c>
      <c r="L93" s="41"/>
      <c r="M93" s="53">
        <f>_xlfn.XLOOKUP(I93,[1]Planilha1!$D:$D,[1]Planilha1!$F:$F)</f>
        <v>950</v>
      </c>
      <c r="N93" s="8">
        <f t="shared" si="2"/>
        <v>19.899999999999999</v>
      </c>
      <c r="O93" s="42"/>
      <c r="P93" s="8">
        <f>N93*O93</f>
        <v>0</v>
      </c>
      <c r="XEV93" s="34"/>
      <c r="XEW93" s="34"/>
    </row>
    <row r="94" spans="2:16 16376:16377" ht="15.6" customHeight="1" x14ac:dyDescent="0.3">
      <c r="B94" s="22"/>
      <c r="C94" s="30" t="s">
        <v>135</v>
      </c>
      <c r="D94" s="5">
        <v>1535</v>
      </c>
      <c r="E94" s="6" t="s">
        <v>207</v>
      </c>
      <c r="F94" s="7">
        <v>12</v>
      </c>
      <c r="G94" s="7" t="s">
        <v>87</v>
      </c>
      <c r="H94" s="15">
        <v>21069030</v>
      </c>
      <c r="I94" s="15">
        <v>7898714762764</v>
      </c>
      <c r="J94" s="8">
        <v>54.06166666666666</v>
      </c>
      <c r="K94" s="8">
        <v>33.166666666666664</v>
      </c>
      <c r="L94" s="41"/>
      <c r="M94" s="53">
        <f>_xlfn.XLOOKUP(I94,[1]Planilha1!$D:$D,[1]Planilha1!$F:$F)</f>
        <v>24</v>
      </c>
      <c r="N94" s="8">
        <f t="shared" si="2"/>
        <v>19.899999999999999</v>
      </c>
      <c r="O94" s="42"/>
      <c r="P94" s="8">
        <f>N94*O94</f>
        <v>0</v>
      </c>
      <c r="XEV94" s="34"/>
      <c r="XEW94" s="34"/>
    </row>
    <row r="95" spans="2:16 16376:16377" ht="15.6" customHeight="1" x14ac:dyDescent="0.3">
      <c r="B95" s="22"/>
      <c r="C95" s="30" t="s">
        <v>135</v>
      </c>
      <c r="D95" s="5">
        <v>1530</v>
      </c>
      <c r="E95" s="6" t="s">
        <v>208</v>
      </c>
      <c r="F95" s="7">
        <v>12</v>
      </c>
      <c r="G95" s="7" t="s">
        <v>87</v>
      </c>
      <c r="H95" s="15">
        <v>21069030</v>
      </c>
      <c r="I95" s="15">
        <v>7898714762719</v>
      </c>
      <c r="J95" s="8">
        <v>54.061666666666646</v>
      </c>
      <c r="K95" s="8">
        <v>33.166666666666657</v>
      </c>
      <c r="L95" s="41"/>
      <c r="M95" s="53">
        <f>_xlfn.XLOOKUP(I95,[1]Planilha1!$D:$D,[1]Planilha1!$F:$F)</f>
        <v>0</v>
      </c>
      <c r="N95" s="8">
        <f t="shared" si="2"/>
        <v>19.899999999999995</v>
      </c>
      <c r="O95" s="42"/>
      <c r="P95" s="8">
        <f>N95*O95</f>
        <v>0</v>
      </c>
      <c r="XEV95" s="34"/>
      <c r="XEW95" s="34"/>
    </row>
    <row r="96" spans="2:16 16376:16377" ht="15.6" customHeight="1" x14ac:dyDescent="0.3">
      <c r="B96" s="22"/>
      <c r="C96" s="30" t="s">
        <v>135</v>
      </c>
      <c r="D96" s="5">
        <v>1531</v>
      </c>
      <c r="E96" s="6" t="s">
        <v>209</v>
      </c>
      <c r="F96" s="7">
        <v>12</v>
      </c>
      <c r="G96" s="7" t="s">
        <v>87</v>
      </c>
      <c r="H96" s="15">
        <v>21069030</v>
      </c>
      <c r="I96" s="15">
        <v>7898714762726</v>
      </c>
      <c r="J96" s="8">
        <v>54.061666666666646</v>
      </c>
      <c r="K96" s="8">
        <v>33.166666666666657</v>
      </c>
      <c r="L96" s="41"/>
      <c r="M96" s="53">
        <f>_xlfn.XLOOKUP(I96,[1]Planilha1!$D:$D,[1]Planilha1!$F:$F)</f>
        <v>36</v>
      </c>
      <c r="N96" s="8">
        <f t="shared" si="2"/>
        <v>19.899999999999995</v>
      </c>
      <c r="O96" s="42"/>
      <c r="P96" s="8">
        <f>N96*O96</f>
        <v>0</v>
      </c>
      <c r="XEV96" s="34"/>
      <c r="XEW96" s="34"/>
    </row>
    <row r="97" spans="2:16 16376:16377" ht="15.6" customHeight="1" x14ac:dyDescent="0.3">
      <c r="B97" s="22"/>
      <c r="C97" s="30" t="s">
        <v>135</v>
      </c>
      <c r="D97" s="5">
        <v>1588</v>
      </c>
      <c r="E97" s="6" t="s">
        <v>216</v>
      </c>
      <c r="F97" s="7">
        <v>6</v>
      </c>
      <c r="G97" s="7" t="s">
        <v>93</v>
      </c>
      <c r="H97" s="15">
        <v>21069030</v>
      </c>
      <c r="I97" s="15">
        <v>7898714763365</v>
      </c>
      <c r="J97" s="8">
        <v>111.10487499999998</v>
      </c>
      <c r="K97" s="8">
        <v>68.162499999999994</v>
      </c>
      <c r="L97" s="41"/>
      <c r="M97" s="53">
        <f>_xlfn.XLOOKUP(I97,[1]Planilha1!$D:$D,[1]Planilha1!$F:$F)</f>
        <v>0</v>
      </c>
      <c r="N97" s="8">
        <f t="shared" si="2"/>
        <v>40.897499999999994</v>
      </c>
      <c r="O97" s="42"/>
      <c r="P97" s="8">
        <f>N97*O97</f>
        <v>0</v>
      </c>
      <c r="XEV97" s="34"/>
      <c r="XEW97" s="34"/>
    </row>
    <row r="98" spans="2:16 16376:16377" ht="15.6" customHeight="1" x14ac:dyDescent="0.3">
      <c r="B98" s="22"/>
      <c r="C98" s="30" t="s">
        <v>135</v>
      </c>
      <c r="D98" s="5">
        <v>1295</v>
      </c>
      <c r="E98" s="6" t="s">
        <v>211</v>
      </c>
      <c r="F98" s="7">
        <v>12</v>
      </c>
      <c r="G98" s="7" t="s">
        <v>87</v>
      </c>
      <c r="H98" s="15">
        <v>21069030</v>
      </c>
      <c r="I98" s="15">
        <v>7898714760425</v>
      </c>
      <c r="J98" s="8">
        <v>24.777222499999997</v>
      </c>
      <c r="K98" s="8">
        <v>15.200749999999999</v>
      </c>
      <c r="L98" s="41"/>
      <c r="M98" s="53">
        <f>_xlfn.XLOOKUP(I98,[1]Planilha1!$D:$D,[1]Planilha1!$F:$F)</f>
        <v>11</v>
      </c>
      <c r="N98" s="8">
        <f t="shared" si="2"/>
        <v>9.1204499999999999</v>
      </c>
      <c r="O98" s="42"/>
      <c r="P98" s="8">
        <f>N98*O98</f>
        <v>0</v>
      </c>
      <c r="XEV98" s="34"/>
      <c r="XEW98" s="34"/>
    </row>
    <row r="99" spans="2:16 16376:16377" ht="15.6" customHeight="1" x14ac:dyDescent="0.3">
      <c r="B99" s="22"/>
      <c r="C99" s="30" t="s">
        <v>135</v>
      </c>
      <c r="D99" s="5">
        <v>1296</v>
      </c>
      <c r="E99" s="6" t="s">
        <v>212</v>
      </c>
      <c r="F99" s="7">
        <v>12</v>
      </c>
      <c r="G99" s="7" t="s">
        <v>138</v>
      </c>
      <c r="H99" s="15">
        <v>21069030</v>
      </c>
      <c r="I99" s="15">
        <v>7898714760401</v>
      </c>
      <c r="J99" s="8">
        <v>38.711277499999994</v>
      </c>
      <c r="K99" s="8">
        <v>23.74925</v>
      </c>
      <c r="L99" s="41"/>
      <c r="M99" s="53">
        <f>_xlfn.XLOOKUP(I99,[1]Planilha1!$D:$D,[1]Planilha1!$F:$F)</f>
        <v>1224</v>
      </c>
      <c r="N99" s="8">
        <f t="shared" si="2"/>
        <v>14.249549999999999</v>
      </c>
      <c r="O99" s="42"/>
      <c r="P99" s="8">
        <f>N99*O99</f>
        <v>0</v>
      </c>
      <c r="XEV99" s="34"/>
      <c r="XEW99" s="34"/>
    </row>
    <row r="100" spans="2:16 16376:16377" ht="15.6" customHeight="1" x14ac:dyDescent="0.3">
      <c r="B100" s="22"/>
      <c r="C100" s="30" t="s">
        <v>135</v>
      </c>
      <c r="D100" s="5">
        <v>1367</v>
      </c>
      <c r="E100" s="6" t="s">
        <v>213</v>
      </c>
      <c r="F100" s="7">
        <v>12</v>
      </c>
      <c r="G100" s="7" t="s">
        <v>87</v>
      </c>
      <c r="H100" s="15">
        <v>21069030</v>
      </c>
      <c r="I100" s="15">
        <v>7898714760999</v>
      </c>
      <c r="J100" s="8">
        <v>39.580067499999991</v>
      </c>
      <c r="K100" s="8">
        <v>24.282249999999998</v>
      </c>
      <c r="L100" s="41"/>
      <c r="M100" s="53">
        <f>_xlfn.XLOOKUP(I100,[1]Planilha1!$D:$D,[1]Planilha1!$F:$F)</f>
        <v>660</v>
      </c>
      <c r="N100" s="8">
        <f t="shared" si="2"/>
        <v>14.569349999999998</v>
      </c>
      <c r="O100" s="42"/>
      <c r="P100" s="8">
        <f>N100*O100</f>
        <v>0</v>
      </c>
      <c r="XEV100" s="34"/>
      <c r="XEW100" s="34"/>
    </row>
    <row r="101" spans="2:16 16376:16377" ht="15.6" customHeight="1" x14ac:dyDescent="0.3">
      <c r="B101" s="22"/>
      <c r="C101" s="35"/>
      <c r="D101" s="5">
        <v>1619</v>
      </c>
      <c r="E101" s="6" t="s">
        <v>312</v>
      </c>
      <c r="F101" s="7">
        <v>12</v>
      </c>
      <c r="G101" s="7" t="s">
        <v>138</v>
      </c>
      <c r="H101" s="15">
        <v>21069030</v>
      </c>
      <c r="I101" s="15">
        <v>7898714763679</v>
      </c>
      <c r="J101" s="8">
        <v>27.567374999999995</v>
      </c>
      <c r="K101" s="8">
        <v>16.912499999999998</v>
      </c>
      <c r="L101" s="41"/>
      <c r="M101" s="53">
        <f>_xlfn.XLOOKUP(I101,[1]Planilha1!$D:$D,[1]Planilha1!$F:$F)</f>
        <v>2854</v>
      </c>
      <c r="N101" s="8">
        <f t="shared" si="2"/>
        <v>10.147499999999999</v>
      </c>
      <c r="O101" s="42"/>
      <c r="P101" s="8">
        <f>N101*O101</f>
        <v>0</v>
      </c>
      <c r="XEV101" s="34"/>
      <c r="XEW101" s="34"/>
    </row>
    <row r="102" spans="2:16 16376:16377" ht="15.6" customHeight="1" x14ac:dyDescent="0.3">
      <c r="B102" s="22"/>
      <c r="C102" s="35"/>
      <c r="D102" s="5">
        <v>1620</v>
      </c>
      <c r="E102" s="6" t="s">
        <v>313</v>
      </c>
      <c r="F102" s="7">
        <v>12</v>
      </c>
      <c r="G102" s="7" t="s">
        <v>138</v>
      </c>
      <c r="H102" s="15">
        <v>21069030</v>
      </c>
      <c r="I102" s="15">
        <v>7898714763686</v>
      </c>
      <c r="J102" s="8">
        <v>41.250817499999997</v>
      </c>
      <c r="K102" s="8">
        <v>25.30725</v>
      </c>
      <c r="L102" s="41"/>
      <c r="M102" s="53">
        <f>_xlfn.XLOOKUP(I102,[1]Planilha1!$D:$D,[1]Planilha1!$F:$F)</f>
        <v>876</v>
      </c>
      <c r="N102" s="8">
        <f t="shared" si="2"/>
        <v>15.184349999999998</v>
      </c>
      <c r="O102" s="42"/>
      <c r="P102" s="8">
        <f>N102*O102</f>
        <v>0</v>
      </c>
      <c r="XEV102" s="34"/>
      <c r="XEW102" s="34"/>
    </row>
    <row r="103" spans="2:16 16376:16377" ht="15.6" customHeight="1" x14ac:dyDescent="0.3">
      <c r="B103" s="22"/>
      <c r="C103" s="30" t="s">
        <v>135</v>
      </c>
      <c r="D103" s="5">
        <v>1502</v>
      </c>
      <c r="E103" s="6" t="s">
        <v>215</v>
      </c>
      <c r="F103" s="7">
        <v>12</v>
      </c>
      <c r="G103" s="7" t="s">
        <v>62</v>
      </c>
      <c r="H103" s="15">
        <v>21069030</v>
      </c>
      <c r="I103" s="15">
        <v>7898714762320</v>
      </c>
      <c r="J103" s="8">
        <v>82.484927499999984</v>
      </c>
      <c r="K103" s="8">
        <v>50.604249999999993</v>
      </c>
      <c r="L103" s="41"/>
      <c r="M103" s="53">
        <v>0</v>
      </c>
      <c r="N103" s="8">
        <f t="shared" si="2"/>
        <v>30.362549999999995</v>
      </c>
      <c r="O103" s="42"/>
      <c r="P103" s="8">
        <f>N103*O103</f>
        <v>0</v>
      </c>
      <c r="XEV103" s="34"/>
      <c r="XEW103" s="34"/>
    </row>
    <row r="104" spans="2:16 16376:16377" ht="15.6" customHeight="1" x14ac:dyDescent="0.3">
      <c r="B104" s="22"/>
      <c r="C104" s="30" t="s">
        <v>135</v>
      </c>
      <c r="D104" s="5">
        <v>1283</v>
      </c>
      <c r="E104" s="6" t="s">
        <v>20</v>
      </c>
      <c r="F104" s="7">
        <v>12</v>
      </c>
      <c r="G104" s="7" t="s">
        <v>62</v>
      </c>
      <c r="H104" s="15">
        <v>21069030</v>
      </c>
      <c r="I104" s="15">
        <v>7898714760166</v>
      </c>
      <c r="J104" s="8">
        <v>58.225637499999991</v>
      </c>
      <c r="K104" s="8">
        <v>35.721249999999998</v>
      </c>
      <c r="L104" s="41"/>
      <c r="M104" s="53">
        <f>_xlfn.XLOOKUP(I104,[1]Planilha1!$D:$D,[1]Planilha1!$F:$F)</f>
        <v>11</v>
      </c>
      <c r="N104" s="8">
        <f t="shared" si="2"/>
        <v>21.432749999999999</v>
      </c>
      <c r="O104" s="42"/>
      <c r="P104" s="8">
        <f>N104*O104</f>
        <v>0</v>
      </c>
      <c r="XEV104" s="34"/>
      <c r="XEW104" s="34"/>
    </row>
    <row r="105" spans="2:16 16376:16377" ht="15.6" customHeight="1" x14ac:dyDescent="0.3">
      <c r="B105" s="22"/>
      <c r="C105" s="30" t="s">
        <v>135</v>
      </c>
      <c r="D105" s="5">
        <v>1282</v>
      </c>
      <c r="E105" s="6" t="s">
        <v>21</v>
      </c>
      <c r="F105" s="7">
        <v>12</v>
      </c>
      <c r="G105" s="7" t="s">
        <v>87</v>
      </c>
      <c r="H105" s="15">
        <v>21069030</v>
      </c>
      <c r="I105" s="15">
        <v>7898714760159</v>
      </c>
      <c r="J105" s="8">
        <v>79.477577499999981</v>
      </c>
      <c r="K105" s="8">
        <v>48.759249999999994</v>
      </c>
      <c r="L105" s="41"/>
      <c r="M105" s="53">
        <f>_xlfn.XLOOKUP(I105,[1]Planilha1!$D:$D,[1]Planilha1!$F:$F)</f>
        <v>0</v>
      </c>
      <c r="N105" s="8">
        <f t="shared" si="2"/>
        <v>29.255549999999996</v>
      </c>
      <c r="O105" s="42"/>
      <c r="P105" s="8">
        <f>N105*O105</f>
        <v>0</v>
      </c>
      <c r="XEV105" s="34"/>
      <c r="XEW105" s="34"/>
    </row>
    <row r="106" spans="2:16 16376:16377" ht="15.6" customHeight="1" x14ac:dyDescent="0.3">
      <c r="B106" s="22"/>
      <c r="C106" s="30" t="s">
        <v>135</v>
      </c>
      <c r="D106" s="5">
        <v>1284</v>
      </c>
      <c r="E106" s="6" t="s">
        <v>22</v>
      </c>
      <c r="F106" s="7">
        <v>12</v>
      </c>
      <c r="G106" s="7" t="s">
        <v>62</v>
      </c>
      <c r="H106" s="15">
        <v>21069030</v>
      </c>
      <c r="I106" s="15">
        <v>7898714760173</v>
      </c>
      <c r="J106" s="8">
        <v>58.225637499999991</v>
      </c>
      <c r="K106" s="8">
        <v>35.721249999999998</v>
      </c>
      <c r="L106" s="41"/>
      <c r="M106" s="53">
        <f>_xlfn.XLOOKUP(I106,[1]Planilha1!$D:$D,[1]Planilha1!$F:$F)</f>
        <v>0</v>
      </c>
      <c r="N106" s="8">
        <f t="shared" si="2"/>
        <v>21.432749999999999</v>
      </c>
      <c r="O106" s="42"/>
      <c r="P106" s="8">
        <f>N106*O106</f>
        <v>0</v>
      </c>
      <c r="XEV106" s="34"/>
      <c r="XEW106" s="34"/>
    </row>
    <row r="107" spans="2:16 16376:16377" ht="15.6" customHeight="1" x14ac:dyDescent="0.3">
      <c r="B107" s="22"/>
      <c r="C107" s="30" t="s">
        <v>135</v>
      </c>
      <c r="D107" s="5">
        <v>1438</v>
      </c>
      <c r="E107" s="6" t="s">
        <v>111</v>
      </c>
      <c r="F107" s="7">
        <v>12</v>
      </c>
      <c r="G107" s="7" t="s">
        <v>62</v>
      </c>
      <c r="H107" s="15">
        <v>21069030</v>
      </c>
      <c r="I107" s="15">
        <v>7898714761743</v>
      </c>
      <c r="J107" s="8">
        <v>26.113822499999998</v>
      </c>
      <c r="K107" s="8">
        <v>16.02075</v>
      </c>
      <c r="L107" s="41"/>
      <c r="M107" s="53">
        <f>_xlfn.XLOOKUP(I107,[1]Planilha1!$D:$D,[1]Planilha1!$F:$F)</f>
        <v>6</v>
      </c>
      <c r="N107" s="8">
        <f t="shared" ref="N107:N143" si="3">IF(L107&gt;0.01%,K107*(1-L107),K107*(1-$O$5))</f>
        <v>9.6124499999999991</v>
      </c>
      <c r="O107" s="42"/>
      <c r="P107" s="8">
        <f>N107*O107</f>
        <v>0</v>
      </c>
      <c r="XEV107" s="34"/>
      <c r="XEW107" s="34"/>
    </row>
    <row r="108" spans="2:16 16376:16377" ht="15.6" customHeight="1" x14ac:dyDescent="0.3">
      <c r="B108" s="22"/>
      <c r="C108" s="22"/>
      <c r="D108" s="5">
        <v>1537</v>
      </c>
      <c r="E108" s="37" t="s">
        <v>217</v>
      </c>
      <c r="F108" s="7">
        <v>12</v>
      </c>
      <c r="G108" s="7" t="s">
        <v>62</v>
      </c>
      <c r="H108" s="15">
        <v>21069030</v>
      </c>
      <c r="I108" s="15">
        <v>7898714762788</v>
      </c>
      <c r="J108" s="8">
        <v>28.402749999999994</v>
      </c>
      <c r="K108" s="8">
        <v>17.424999999999997</v>
      </c>
      <c r="L108" s="41"/>
      <c r="M108" s="53">
        <f>_xlfn.XLOOKUP(I108,[1]Planilha1!$D:$D,[1]Planilha1!$F:$F)</f>
        <v>12</v>
      </c>
      <c r="N108" s="8">
        <f t="shared" si="3"/>
        <v>10.454999999999998</v>
      </c>
      <c r="O108" s="42"/>
      <c r="P108" s="8">
        <f>N108*O108</f>
        <v>0</v>
      </c>
      <c r="XEV108" s="34"/>
      <c r="XEW108" s="34"/>
    </row>
    <row r="109" spans="2:16 16376:16377" ht="15.6" customHeight="1" x14ac:dyDescent="0.3">
      <c r="B109" s="22"/>
      <c r="C109" s="30" t="s">
        <v>135</v>
      </c>
      <c r="D109" s="5">
        <v>1503</v>
      </c>
      <c r="E109" s="6" t="s">
        <v>244</v>
      </c>
      <c r="F109" s="7">
        <v>12</v>
      </c>
      <c r="G109" s="7" t="s">
        <v>61</v>
      </c>
      <c r="H109" s="15">
        <v>21069030</v>
      </c>
      <c r="I109" s="15">
        <v>7898714762337</v>
      </c>
      <c r="J109" s="8">
        <v>70.50076</v>
      </c>
      <c r="K109" s="8">
        <v>43.252000000000002</v>
      </c>
      <c r="L109" s="41"/>
      <c r="M109" s="53">
        <f>_xlfn.XLOOKUP(I109,[1]Planilha1!$D:$D,[1]Planilha1!$F:$F)</f>
        <v>618</v>
      </c>
      <c r="N109" s="8">
        <f t="shared" si="3"/>
        <v>25.9512</v>
      </c>
      <c r="O109" s="42"/>
      <c r="P109" s="8">
        <f>N109*O109</f>
        <v>0</v>
      </c>
      <c r="XEV109" s="34"/>
      <c r="XEW109" s="34"/>
    </row>
    <row r="110" spans="2:16 16376:16377" ht="15.6" customHeight="1" x14ac:dyDescent="0.3">
      <c r="B110" s="22"/>
      <c r="C110" s="30" t="s">
        <v>135</v>
      </c>
      <c r="D110" s="5">
        <v>1504</v>
      </c>
      <c r="E110" s="6" t="s">
        <v>245</v>
      </c>
      <c r="F110" s="7">
        <v>12</v>
      </c>
      <c r="G110" s="7" t="s">
        <v>61</v>
      </c>
      <c r="H110" s="15">
        <v>21069030</v>
      </c>
      <c r="I110" s="15">
        <v>7898714762344</v>
      </c>
      <c r="J110" s="8">
        <v>89.378333333333302</v>
      </c>
      <c r="K110" s="8">
        <v>54.833333333333321</v>
      </c>
      <c r="L110" s="41"/>
      <c r="M110" s="53">
        <f>_xlfn.XLOOKUP(I110,[1]Planilha1!$D:$D,[1]Planilha1!$F:$F)</f>
        <v>1357</v>
      </c>
      <c r="N110" s="8">
        <f t="shared" si="3"/>
        <v>32.899999999999991</v>
      </c>
      <c r="O110" s="42"/>
      <c r="P110" s="8">
        <f>N110*O110</f>
        <v>0</v>
      </c>
      <c r="XEV110" s="34"/>
      <c r="XEW110" s="34"/>
    </row>
    <row r="111" spans="2:16 16376:16377" ht="15.6" customHeight="1" x14ac:dyDescent="0.3">
      <c r="B111" s="22"/>
      <c r="C111" s="30" t="s">
        <v>135</v>
      </c>
      <c r="D111" s="5">
        <v>1507</v>
      </c>
      <c r="E111" s="6" t="s">
        <v>246</v>
      </c>
      <c r="F111" s="7">
        <v>12</v>
      </c>
      <c r="G111" s="7" t="s">
        <v>61</v>
      </c>
      <c r="H111" s="15">
        <v>21069030</v>
      </c>
      <c r="I111" s="15">
        <v>7898714762375</v>
      </c>
      <c r="J111" s="8">
        <v>89.378333333333302</v>
      </c>
      <c r="K111" s="8">
        <v>54.833333333333321</v>
      </c>
      <c r="L111" s="41"/>
      <c r="M111" s="53">
        <f>_xlfn.XLOOKUP(I111,[1]Planilha1!$D:$D,[1]Planilha1!$F:$F)</f>
        <v>202</v>
      </c>
      <c r="N111" s="8">
        <f t="shared" si="3"/>
        <v>32.899999999999991</v>
      </c>
      <c r="O111" s="42"/>
      <c r="P111" s="8">
        <f>N111*O111</f>
        <v>0</v>
      </c>
      <c r="XEV111" s="34"/>
      <c r="XEW111" s="34"/>
    </row>
    <row r="112" spans="2:16 16376:16377" ht="15.6" customHeight="1" x14ac:dyDescent="0.3">
      <c r="B112" s="22"/>
      <c r="C112" s="30" t="s">
        <v>135</v>
      </c>
      <c r="D112" s="5">
        <v>1505</v>
      </c>
      <c r="E112" s="6" t="s">
        <v>247</v>
      </c>
      <c r="F112" s="7">
        <v>12</v>
      </c>
      <c r="G112" s="7" t="s">
        <v>61</v>
      </c>
      <c r="H112" s="15">
        <v>21069030</v>
      </c>
      <c r="I112" s="15">
        <v>7898714762351</v>
      </c>
      <c r="J112" s="8">
        <v>89.378333333333302</v>
      </c>
      <c r="K112" s="8">
        <v>54.833333333333321</v>
      </c>
      <c r="L112" s="41"/>
      <c r="M112" s="53">
        <f>_xlfn.XLOOKUP(I112,[1]Planilha1!$D:$D,[1]Planilha1!$F:$F)</f>
        <v>12</v>
      </c>
      <c r="N112" s="8">
        <f t="shared" si="3"/>
        <v>32.899999999999991</v>
      </c>
      <c r="O112" s="42"/>
      <c r="P112" s="8">
        <f>N112*O112</f>
        <v>0</v>
      </c>
      <c r="XEV112" s="34"/>
      <c r="XEW112" s="34"/>
    </row>
    <row r="113" spans="2:16 16376:16377" ht="15.6" customHeight="1" x14ac:dyDescent="0.3">
      <c r="B113" s="22"/>
      <c r="C113" s="30" t="s">
        <v>135</v>
      </c>
      <c r="D113" s="5">
        <v>1506</v>
      </c>
      <c r="E113" s="6" t="s">
        <v>248</v>
      </c>
      <c r="F113" s="7">
        <v>12</v>
      </c>
      <c r="G113" s="7" t="s">
        <v>61</v>
      </c>
      <c r="H113" s="15">
        <v>21069030</v>
      </c>
      <c r="I113" s="15">
        <v>7898714762368</v>
      </c>
      <c r="J113" s="8">
        <v>89.378333333333302</v>
      </c>
      <c r="K113" s="8">
        <v>54.833333333333321</v>
      </c>
      <c r="L113" s="41"/>
      <c r="M113" s="53">
        <f>_xlfn.XLOOKUP(I113,[1]Planilha1!$D:$D,[1]Planilha1!$F:$F)</f>
        <v>288</v>
      </c>
      <c r="N113" s="8">
        <f t="shared" si="3"/>
        <v>32.899999999999991</v>
      </c>
      <c r="O113" s="42"/>
      <c r="P113" s="8">
        <f>N113*O113</f>
        <v>0</v>
      </c>
      <c r="XEV113" s="34"/>
      <c r="XEW113" s="34"/>
    </row>
    <row r="114" spans="2:16 16376:16377" ht="15.6" customHeight="1" x14ac:dyDescent="0.3">
      <c r="B114" s="22"/>
      <c r="C114" s="30" t="s">
        <v>135</v>
      </c>
      <c r="D114" s="5">
        <v>1652</v>
      </c>
      <c r="E114" s="6" t="s">
        <v>219</v>
      </c>
      <c r="F114" s="7">
        <v>12</v>
      </c>
      <c r="G114" s="7" t="s">
        <v>61</v>
      </c>
      <c r="H114" s="15">
        <v>21069030</v>
      </c>
      <c r="I114" s="15">
        <v>7898714764003</v>
      </c>
      <c r="J114" s="8">
        <v>89.378333333333373</v>
      </c>
      <c r="K114" s="8">
        <v>54.833333333333357</v>
      </c>
      <c r="L114" s="41"/>
      <c r="M114" s="53">
        <f>_xlfn.XLOOKUP(I114,[1]Planilha1!$D:$D,[1]Planilha1!$F:$F)</f>
        <v>494</v>
      </c>
      <c r="N114" s="8">
        <f t="shared" si="3"/>
        <v>32.900000000000013</v>
      </c>
      <c r="O114" s="42"/>
      <c r="P114" s="8">
        <f>N114*O114</f>
        <v>0</v>
      </c>
      <c r="XEV114" s="34"/>
      <c r="XEW114" s="34"/>
    </row>
    <row r="115" spans="2:16 16376:16377" ht="15.6" customHeight="1" x14ac:dyDescent="0.3">
      <c r="B115" s="22"/>
      <c r="C115" s="30" t="s">
        <v>135</v>
      </c>
      <c r="D115" s="5">
        <v>1653</v>
      </c>
      <c r="E115" s="6" t="s">
        <v>276</v>
      </c>
      <c r="F115" s="7">
        <v>12</v>
      </c>
      <c r="G115" s="7" t="s">
        <v>221</v>
      </c>
      <c r="H115" s="15">
        <v>21069030</v>
      </c>
      <c r="I115" s="15">
        <v>7898714764010</v>
      </c>
      <c r="J115" s="8">
        <v>108.115455</v>
      </c>
      <c r="K115" s="8">
        <v>66.328500000000005</v>
      </c>
      <c r="L115" s="41"/>
      <c r="M115" s="53">
        <f>_xlfn.XLOOKUP(I115,[1]Planilha1!$D:$D,[1]Planilha1!$F:$F)</f>
        <v>0</v>
      </c>
      <c r="N115" s="8">
        <f t="shared" si="3"/>
        <v>39.7971</v>
      </c>
      <c r="O115" s="42"/>
      <c r="P115" s="8">
        <f>N115*O115</f>
        <v>0</v>
      </c>
      <c r="XEV115" s="34"/>
      <c r="XEW115" s="34"/>
    </row>
    <row r="116" spans="2:16 16376:16377" ht="15.6" customHeight="1" x14ac:dyDescent="0.3">
      <c r="B116" s="22"/>
      <c r="C116" s="30" t="s">
        <v>135</v>
      </c>
      <c r="D116" s="5">
        <v>1625</v>
      </c>
      <c r="E116" s="6" t="s">
        <v>220</v>
      </c>
      <c r="F116" s="7">
        <v>12</v>
      </c>
      <c r="G116" s="7" t="s">
        <v>61</v>
      </c>
      <c r="H116" s="15">
        <v>21069030</v>
      </c>
      <c r="I116" s="15">
        <v>7898714763730</v>
      </c>
      <c r="J116" s="8">
        <v>61.729404000000002</v>
      </c>
      <c r="K116" s="8">
        <v>37.870800000000003</v>
      </c>
      <c r="L116" s="41"/>
      <c r="M116" s="53">
        <f>_xlfn.XLOOKUP(I116,[1]Planilha1!$D:$D,[1]Planilha1!$F:$F)</f>
        <v>1612</v>
      </c>
      <c r="N116" s="8">
        <f t="shared" si="3"/>
        <v>22.722480000000001</v>
      </c>
      <c r="O116" s="42"/>
      <c r="P116" s="8">
        <f>N116*O116</f>
        <v>0</v>
      </c>
      <c r="XEV116" s="34"/>
      <c r="XEW116" s="34"/>
    </row>
    <row r="117" spans="2:16 16376:16377" ht="15.6" customHeight="1" x14ac:dyDescent="0.3">
      <c r="B117" s="22"/>
      <c r="C117" s="30" t="s">
        <v>135</v>
      </c>
      <c r="D117" s="5">
        <v>1455</v>
      </c>
      <c r="E117" s="6" t="s">
        <v>273</v>
      </c>
      <c r="F117" s="7">
        <v>12</v>
      </c>
      <c r="G117" s="7" t="s">
        <v>61</v>
      </c>
      <c r="H117" s="15">
        <v>21069030</v>
      </c>
      <c r="I117" s="15">
        <v>7898714761927</v>
      </c>
      <c r="J117" s="8">
        <v>42.320097499999989</v>
      </c>
      <c r="K117" s="8">
        <v>25.963249999999995</v>
      </c>
      <c r="L117" s="41"/>
      <c r="M117" s="53">
        <f>_xlfn.XLOOKUP(I117,[1]Planilha1!$D:$D,[1]Planilha1!$F:$F)</f>
        <v>1104</v>
      </c>
      <c r="N117" s="8">
        <f t="shared" si="3"/>
        <v>15.577949999999996</v>
      </c>
      <c r="O117" s="42"/>
      <c r="P117" s="8">
        <f>N117*O117</f>
        <v>0</v>
      </c>
      <c r="XEV117" s="34"/>
      <c r="XEW117" s="34"/>
    </row>
    <row r="118" spans="2:16 16376:16377" ht="15.6" customHeight="1" x14ac:dyDescent="0.3">
      <c r="B118" s="22"/>
      <c r="C118" s="30" t="s">
        <v>135</v>
      </c>
      <c r="D118" s="5">
        <v>1395</v>
      </c>
      <c r="E118" s="6" t="s">
        <v>274</v>
      </c>
      <c r="F118" s="7">
        <v>12</v>
      </c>
      <c r="G118" s="7" t="s">
        <v>16</v>
      </c>
      <c r="H118" s="15">
        <v>21069030</v>
      </c>
      <c r="I118" s="15">
        <v>7898714761286</v>
      </c>
      <c r="J118" s="8">
        <v>74.899722499999982</v>
      </c>
      <c r="K118" s="8">
        <v>45.950749999999992</v>
      </c>
      <c r="L118" s="41"/>
      <c r="M118" s="53">
        <f>_xlfn.XLOOKUP(I118,[1]Planilha1!$D:$D,[1]Planilha1!$F:$F)</f>
        <v>217</v>
      </c>
      <c r="N118" s="8">
        <f t="shared" si="3"/>
        <v>27.570449999999994</v>
      </c>
      <c r="O118" s="42"/>
      <c r="P118" s="8">
        <f>N118*O118</f>
        <v>0</v>
      </c>
      <c r="XEV118" s="34"/>
      <c r="XEW118" s="34"/>
    </row>
    <row r="119" spans="2:16 16376:16377" ht="15.6" customHeight="1" x14ac:dyDescent="0.3">
      <c r="B119" s="22"/>
      <c r="C119" s="30" t="s">
        <v>135</v>
      </c>
      <c r="D119" s="5">
        <v>1457</v>
      </c>
      <c r="E119" s="6" t="s">
        <v>275</v>
      </c>
      <c r="F119" s="7">
        <v>12</v>
      </c>
      <c r="G119" s="7" t="s">
        <v>18</v>
      </c>
      <c r="H119" s="15">
        <v>21069030</v>
      </c>
      <c r="I119" s="15">
        <v>7898714761934</v>
      </c>
      <c r="J119" s="8">
        <v>138.95627749999997</v>
      </c>
      <c r="K119" s="8">
        <v>85.249249999999989</v>
      </c>
      <c r="L119" s="41"/>
      <c r="M119" s="53">
        <f>_xlfn.XLOOKUP(I119,[1]Planilha1!$D:$D,[1]Planilha1!$F:$F)</f>
        <v>264</v>
      </c>
      <c r="N119" s="8">
        <f t="shared" si="3"/>
        <v>51.149549999999991</v>
      </c>
      <c r="O119" s="42"/>
      <c r="P119" s="8">
        <f>N119*O119</f>
        <v>0</v>
      </c>
      <c r="XEV119" s="34"/>
      <c r="XEW119" s="34"/>
    </row>
    <row r="120" spans="2:16 16376:16377" ht="15.6" customHeight="1" x14ac:dyDescent="0.3">
      <c r="B120" s="22"/>
      <c r="C120" s="30" t="s">
        <v>135</v>
      </c>
      <c r="D120" s="5">
        <v>1654</v>
      </c>
      <c r="E120" s="6" t="s">
        <v>269</v>
      </c>
      <c r="F120" s="7">
        <v>12</v>
      </c>
      <c r="G120" s="7" t="s">
        <v>61</v>
      </c>
      <c r="H120" s="15">
        <v>21069030</v>
      </c>
      <c r="I120" s="15">
        <v>7898714764027</v>
      </c>
      <c r="J120" s="8">
        <v>40.472899999999996</v>
      </c>
      <c r="K120" s="8">
        <v>24.83</v>
      </c>
      <c r="L120" s="41"/>
      <c r="M120" s="53">
        <f>_xlfn.XLOOKUP(I120,[1]Planilha1!$D:$D,[1]Planilha1!$F:$F)</f>
        <v>348</v>
      </c>
      <c r="N120" s="8">
        <f t="shared" si="3"/>
        <v>14.897999999999998</v>
      </c>
      <c r="O120" s="42"/>
      <c r="P120" s="8">
        <f>N120*O120</f>
        <v>0</v>
      </c>
      <c r="XEV120" s="34"/>
      <c r="XEW120" s="34"/>
    </row>
    <row r="121" spans="2:16 16376:16377" ht="15.6" customHeight="1" x14ac:dyDescent="0.3">
      <c r="B121" s="22"/>
      <c r="C121" s="30" t="s">
        <v>135</v>
      </c>
      <c r="D121" s="5">
        <v>1655</v>
      </c>
      <c r="E121" s="6" t="s">
        <v>270</v>
      </c>
      <c r="F121" s="7">
        <v>12</v>
      </c>
      <c r="G121" s="7" t="s">
        <v>16</v>
      </c>
      <c r="H121" s="15">
        <v>21069030</v>
      </c>
      <c r="I121" s="15">
        <v>7898714764034</v>
      </c>
      <c r="J121" s="8">
        <v>64.928333333333327</v>
      </c>
      <c r="K121" s="8">
        <v>39.833333333333329</v>
      </c>
      <c r="L121" s="41"/>
      <c r="M121" s="53">
        <f>_xlfn.XLOOKUP(I121,[1]Planilha1!$D:$D,[1]Planilha1!$F:$F)</f>
        <v>2495</v>
      </c>
      <c r="N121" s="8">
        <f t="shared" si="3"/>
        <v>23.899999999999995</v>
      </c>
      <c r="O121" s="42"/>
      <c r="P121" s="8">
        <f>N121*O121</f>
        <v>0</v>
      </c>
      <c r="XEV121" s="34"/>
      <c r="XEW121" s="34"/>
    </row>
    <row r="122" spans="2:16 16376:16377" ht="15.6" customHeight="1" x14ac:dyDescent="0.3">
      <c r="B122" s="22"/>
      <c r="C122" s="30" t="s">
        <v>135</v>
      </c>
      <c r="D122" s="5">
        <v>1683</v>
      </c>
      <c r="E122" s="6" t="s">
        <v>271</v>
      </c>
      <c r="F122" s="7">
        <v>12</v>
      </c>
      <c r="G122" s="7" t="s">
        <v>218</v>
      </c>
      <c r="H122" s="15">
        <v>21069030</v>
      </c>
      <c r="I122" s="15">
        <v>7898714764294</v>
      </c>
      <c r="J122" s="8">
        <v>94.811666666666653</v>
      </c>
      <c r="K122" s="8">
        <v>58.166666666666664</v>
      </c>
      <c r="L122" s="41"/>
      <c r="M122" s="53">
        <f>_xlfn.XLOOKUP(I122,[1]Planilha1!$D:$D,[1]Planilha1!$F:$F)</f>
        <v>468</v>
      </c>
      <c r="N122" s="8">
        <f t="shared" si="3"/>
        <v>34.9</v>
      </c>
      <c r="O122" s="42"/>
      <c r="P122" s="8">
        <f>N122*O122</f>
        <v>0</v>
      </c>
      <c r="XEV122" s="34"/>
      <c r="XEW122" s="34"/>
    </row>
    <row r="123" spans="2:16 16376:16377" ht="15.6" customHeight="1" x14ac:dyDescent="0.3">
      <c r="B123" s="22"/>
      <c r="C123" s="30" t="s">
        <v>135</v>
      </c>
      <c r="D123" s="5">
        <v>1684</v>
      </c>
      <c r="E123" s="6" t="s">
        <v>272</v>
      </c>
      <c r="F123" s="7">
        <v>12</v>
      </c>
      <c r="G123" s="7" t="s">
        <v>18</v>
      </c>
      <c r="H123" s="15">
        <v>21069030</v>
      </c>
      <c r="I123" s="15">
        <v>7898714764300</v>
      </c>
      <c r="J123" s="8">
        <v>127.41166666666669</v>
      </c>
      <c r="K123" s="8">
        <v>78.166666666666686</v>
      </c>
      <c r="L123" s="41"/>
      <c r="M123" s="53">
        <f>_xlfn.XLOOKUP(I123,[1]Planilha1!$D:$D,[1]Planilha1!$F:$F)</f>
        <v>12</v>
      </c>
      <c r="N123" s="8">
        <f t="shared" si="3"/>
        <v>46.900000000000013</v>
      </c>
      <c r="O123" s="42"/>
      <c r="P123" s="8">
        <f>N123*O123</f>
        <v>0</v>
      </c>
      <c r="XEV123" s="34"/>
      <c r="XEW123" s="34"/>
    </row>
    <row r="124" spans="2:16 16376:16377" ht="15.6" customHeight="1" x14ac:dyDescent="0.3">
      <c r="B124" s="22"/>
      <c r="C124" s="35"/>
      <c r="D124" s="5">
        <v>1566</v>
      </c>
      <c r="E124" s="6" t="s">
        <v>282</v>
      </c>
      <c r="F124" s="7">
        <v>12</v>
      </c>
      <c r="G124" s="7" t="s">
        <v>8</v>
      </c>
      <c r="H124" s="15">
        <v>21069030</v>
      </c>
      <c r="I124" s="15">
        <v>7898714763143</v>
      </c>
      <c r="J124" s="8">
        <v>83.253472499999987</v>
      </c>
      <c r="K124" s="8">
        <v>51.075749999999992</v>
      </c>
      <c r="L124" s="41"/>
      <c r="M124" s="53">
        <f>_xlfn.XLOOKUP(I124,[1]Planilha1!$D:$D,[1]Planilha1!$F:$F)</f>
        <v>279</v>
      </c>
      <c r="N124" s="8">
        <f t="shared" si="3"/>
        <v>30.645449999999993</v>
      </c>
      <c r="O124" s="42"/>
      <c r="P124" s="8">
        <f>N124*O124</f>
        <v>0</v>
      </c>
      <c r="XEV124" s="34"/>
      <c r="XEW124" s="34"/>
    </row>
    <row r="125" spans="2:16 16376:16377" ht="15.6" customHeight="1" x14ac:dyDescent="0.3">
      <c r="B125" s="22"/>
      <c r="C125" s="35"/>
      <c r="D125" s="5">
        <v>1680</v>
      </c>
      <c r="E125" s="6" t="s">
        <v>283</v>
      </c>
      <c r="F125" s="7">
        <v>12</v>
      </c>
      <c r="G125" s="7" t="s">
        <v>86</v>
      </c>
      <c r="H125" s="15">
        <v>21069030</v>
      </c>
      <c r="I125" s="15">
        <v>7898714764263</v>
      </c>
      <c r="J125" s="8">
        <v>111.10487499999998</v>
      </c>
      <c r="K125" s="8">
        <v>68.162499999999994</v>
      </c>
      <c r="L125" s="41"/>
      <c r="M125" s="53">
        <f>_xlfn.XLOOKUP(I125,[1]Planilha1!$D:$D,[1]Planilha1!$F:$F)</f>
        <v>532</v>
      </c>
      <c r="N125" s="8">
        <f t="shared" si="3"/>
        <v>40.897499999999994</v>
      </c>
      <c r="O125" s="42"/>
      <c r="P125" s="8">
        <f>N125*O125</f>
        <v>0</v>
      </c>
      <c r="XEV125" s="34"/>
      <c r="XEW125" s="34"/>
    </row>
    <row r="126" spans="2:16 16376:16377" ht="15.6" customHeight="1" x14ac:dyDescent="0.3">
      <c r="B126" s="22"/>
      <c r="C126" s="35"/>
      <c r="D126" s="5">
        <v>1690</v>
      </c>
      <c r="E126" s="6" t="s">
        <v>284</v>
      </c>
      <c r="F126" s="7">
        <v>12</v>
      </c>
      <c r="G126" s="7" t="s">
        <v>8</v>
      </c>
      <c r="H126" s="15">
        <v>21069030</v>
      </c>
      <c r="I126" s="15">
        <v>7898714764362</v>
      </c>
      <c r="J126" s="8">
        <v>111.10487499999998</v>
      </c>
      <c r="K126" s="8">
        <v>68.162499999999994</v>
      </c>
      <c r="L126" s="41"/>
      <c r="M126" s="53">
        <f>_xlfn.XLOOKUP(I126,[1]Planilha1!$D:$D,[1]Planilha1!$F:$F)</f>
        <v>36</v>
      </c>
      <c r="N126" s="8">
        <f t="shared" si="3"/>
        <v>40.897499999999994</v>
      </c>
      <c r="O126" s="42"/>
      <c r="P126" s="8">
        <f>N126*O126</f>
        <v>0</v>
      </c>
      <c r="XEV126" s="34"/>
      <c r="XEW126" s="34"/>
    </row>
    <row r="127" spans="2:16 16376:16377" ht="15.6" customHeight="1" x14ac:dyDescent="0.3">
      <c r="B127" s="22"/>
      <c r="C127" s="35"/>
      <c r="D127" s="5">
        <v>1664</v>
      </c>
      <c r="E127" s="6" t="s">
        <v>285</v>
      </c>
      <c r="F127" s="7">
        <v>12</v>
      </c>
      <c r="G127" s="7" t="s">
        <v>86</v>
      </c>
      <c r="H127" s="15">
        <v>21069030</v>
      </c>
      <c r="I127" s="15">
        <v>7898714764102</v>
      </c>
      <c r="J127" s="8">
        <v>222.49377749999996</v>
      </c>
      <c r="K127" s="8">
        <v>136.49924999999999</v>
      </c>
      <c r="L127" s="41"/>
      <c r="M127" s="53">
        <f>_xlfn.XLOOKUP(I127,[1]Planilha1!$D:$D,[1]Planilha1!$F:$F)</f>
        <v>172</v>
      </c>
      <c r="N127" s="8">
        <f t="shared" si="3"/>
        <v>81.899549999999991</v>
      </c>
      <c r="O127" s="42"/>
      <c r="P127" s="8">
        <f>N127*O127</f>
        <v>0</v>
      </c>
      <c r="XEV127" s="34"/>
      <c r="XEW127" s="34"/>
    </row>
    <row r="128" spans="2:16 16376:16377" ht="15.6" customHeight="1" x14ac:dyDescent="0.3">
      <c r="B128" s="22"/>
      <c r="C128" s="22"/>
      <c r="D128" s="5">
        <v>995</v>
      </c>
      <c r="E128" s="6" t="s">
        <v>89</v>
      </c>
      <c r="F128" s="7">
        <v>12</v>
      </c>
      <c r="G128" s="7" t="s">
        <v>8</v>
      </c>
      <c r="H128" s="15">
        <v>21069030</v>
      </c>
      <c r="I128" s="15">
        <v>7898330226589</v>
      </c>
      <c r="J128" s="8">
        <v>52.712162499999991</v>
      </c>
      <c r="K128" s="8">
        <v>32.338749999999997</v>
      </c>
      <c r="L128" s="41"/>
      <c r="M128" s="53">
        <f>_xlfn.XLOOKUP(I128,[1]Planilha1!$D:$D,[1]Planilha1!$F:$F)</f>
        <v>36</v>
      </c>
      <c r="N128" s="8">
        <f t="shared" si="3"/>
        <v>19.403249999999996</v>
      </c>
      <c r="O128" s="42"/>
      <c r="P128" s="8">
        <f>N128*O128</f>
        <v>0</v>
      </c>
      <c r="XEV128" s="34"/>
      <c r="XEW128" s="34"/>
    </row>
    <row r="129" spans="2:16 16376:16377" ht="15.6" customHeight="1" x14ac:dyDescent="0.3">
      <c r="B129" s="22"/>
      <c r="C129" s="30" t="s">
        <v>135</v>
      </c>
      <c r="D129" s="5">
        <v>1319</v>
      </c>
      <c r="E129" s="6" t="s">
        <v>32</v>
      </c>
      <c r="F129" s="7">
        <v>12</v>
      </c>
      <c r="G129" s="7" t="s">
        <v>8</v>
      </c>
      <c r="H129" s="15">
        <v>21069030</v>
      </c>
      <c r="I129" s="15">
        <v>7898714760180</v>
      </c>
      <c r="J129" s="8">
        <v>29.254832499999996</v>
      </c>
      <c r="K129" s="8">
        <v>17.947749999999999</v>
      </c>
      <c r="L129" s="41"/>
      <c r="M129" s="53">
        <f>_xlfn.XLOOKUP(I129,[1]Planilha1!$D:$D,[1]Planilha1!$F:$F)</f>
        <v>13</v>
      </c>
      <c r="N129" s="8">
        <f t="shared" si="3"/>
        <v>10.768649999999999</v>
      </c>
      <c r="O129" s="42"/>
      <c r="P129" s="8">
        <f>N129*O129</f>
        <v>0</v>
      </c>
      <c r="XEV129" s="34"/>
      <c r="XEW129" s="34"/>
    </row>
    <row r="130" spans="2:16 16376:16377" ht="15.6" customHeight="1" x14ac:dyDescent="0.3">
      <c r="B130" s="22"/>
      <c r="C130" s="30" t="s">
        <v>135</v>
      </c>
      <c r="D130" s="5">
        <v>1320</v>
      </c>
      <c r="E130" s="6" t="s">
        <v>33</v>
      </c>
      <c r="F130" s="7">
        <v>12</v>
      </c>
      <c r="G130" s="7" t="s">
        <v>16</v>
      </c>
      <c r="H130" s="15">
        <v>21069030</v>
      </c>
      <c r="I130" s="15">
        <v>7898714760197</v>
      </c>
      <c r="J130" s="8">
        <v>44.007554999999989</v>
      </c>
      <c r="K130" s="8">
        <v>26.998499999999996</v>
      </c>
      <c r="L130" s="41"/>
      <c r="M130" s="53">
        <f>_xlfn.XLOOKUP(I130,[1]Planilha1!$D:$D,[1]Planilha1!$F:$F)</f>
        <v>356</v>
      </c>
      <c r="N130" s="8">
        <f t="shared" si="3"/>
        <v>16.199099999999998</v>
      </c>
      <c r="O130" s="42"/>
      <c r="P130" s="8">
        <f>N130*O130</f>
        <v>0</v>
      </c>
      <c r="XEV130" s="34"/>
      <c r="XEW130" s="34"/>
    </row>
    <row r="131" spans="2:16 16376:16377" ht="15.6" customHeight="1" x14ac:dyDescent="0.3">
      <c r="B131" s="22"/>
      <c r="C131" s="30" t="s">
        <v>135</v>
      </c>
      <c r="D131" s="5">
        <v>1340</v>
      </c>
      <c r="E131" s="6" t="s">
        <v>34</v>
      </c>
      <c r="F131" s="7">
        <v>12</v>
      </c>
      <c r="G131" s="7" t="s">
        <v>35</v>
      </c>
      <c r="H131" s="15">
        <v>21069030</v>
      </c>
      <c r="I131" s="15">
        <v>7898714760692</v>
      </c>
      <c r="J131" s="8">
        <v>58.810399999999994</v>
      </c>
      <c r="K131" s="8">
        <v>36.08</v>
      </c>
      <c r="L131" s="41"/>
      <c r="M131" s="53">
        <f>_xlfn.XLOOKUP(I131,[1]Planilha1!$D:$D,[1]Planilha1!$F:$F)</f>
        <v>0</v>
      </c>
      <c r="N131" s="8">
        <f t="shared" si="3"/>
        <v>21.648</v>
      </c>
      <c r="O131" s="42"/>
      <c r="P131" s="8">
        <f>N131*O131</f>
        <v>0</v>
      </c>
      <c r="XEV131" s="34"/>
      <c r="XEW131" s="34"/>
    </row>
    <row r="132" spans="2:16 16376:16377" ht="15.6" customHeight="1" x14ac:dyDescent="0.3">
      <c r="B132" s="22"/>
      <c r="C132" s="30" t="s">
        <v>135</v>
      </c>
      <c r="D132" s="5">
        <v>1339</v>
      </c>
      <c r="E132" s="6" t="s">
        <v>36</v>
      </c>
      <c r="F132" s="7">
        <v>12</v>
      </c>
      <c r="G132" s="7" t="s">
        <v>18</v>
      </c>
      <c r="H132" s="15">
        <v>21069030</v>
      </c>
      <c r="I132" s="15">
        <v>7898714760685</v>
      </c>
      <c r="J132" s="8">
        <v>76.520349999999979</v>
      </c>
      <c r="K132" s="8">
        <v>46.944999999999993</v>
      </c>
      <c r="L132" s="41"/>
      <c r="M132" s="53">
        <f>_xlfn.XLOOKUP(I132,[1]Planilha1!$D:$D,[1]Planilha1!$F:$F)</f>
        <v>24</v>
      </c>
      <c r="N132" s="8">
        <f t="shared" si="3"/>
        <v>28.166999999999994</v>
      </c>
      <c r="O132" s="42"/>
      <c r="P132" s="8">
        <f>N132*O132</f>
        <v>0</v>
      </c>
      <c r="XEV132" s="34"/>
      <c r="XEW132" s="34"/>
    </row>
    <row r="133" spans="2:16 16376:16377" ht="15.6" customHeight="1" x14ac:dyDescent="0.3">
      <c r="B133" s="22"/>
      <c r="C133" s="30" t="s">
        <v>135</v>
      </c>
      <c r="D133" s="5">
        <v>1517</v>
      </c>
      <c r="E133" s="6" t="s">
        <v>249</v>
      </c>
      <c r="F133" s="7">
        <v>12</v>
      </c>
      <c r="G133" s="7" t="s">
        <v>114</v>
      </c>
      <c r="H133" s="15">
        <v>21069030</v>
      </c>
      <c r="I133" s="15">
        <v>7898714762573</v>
      </c>
      <c r="J133" s="8">
        <v>65.693889999999996</v>
      </c>
      <c r="K133" s="8">
        <v>40.302999999999997</v>
      </c>
      <c r="L133" s="41"/>
      <c r="M133" s="53">
        <f>_xlfn.XLOOKUP(I133,[1]Planilha1!$D:$D,[1]Planilha1!$F:$F)</f>
        <v>612</v>
      </c>
      <c r="N133" s="8">
        <f t="shared" si="3"/>
        <v>24.181799999999999</v>
      </c>
      <c r="O133" s="42"/>
      <c r="P133" s="8">
        <f>N133*O133</f>
        <v>0</v>
      </c>
      <c r="XEV133" s="34"/>
      <c r="XEW133" s="34"/>
    </row>
    <row r="134" spans="2:16 16376:16377" ht="15.6" customHeight="1" x14ac:dyDescent="0.3">
      <c r="B134" s="22"/>
      <c r="C134" s="22"/>
      <c r="D134" s="5">
        <v>1516</v>
      </c>
      <c r="E134" s="6" t="s">
        <v>250</v>
      </c>
      <c r="F134" s="7">
        <v>12</v>
      </c>
      <c r="G134" s="7" t="s">
        <v>113</v>
      </c>
      <c r="H134" s="15">
        <v>21069030</v>
      </c>
      <c r="I134" s="15">
        <v>7898714762580</v>
      </c>
      <c r="J134" s="8">
        <v>105.84201249999998</v>
      </c>
      <c r="K134" s="8">
        <v>64.933749999999989</v>
      </c>
      <c r="L134" s="41"/>
      <c r="M134" s="53">
        <f>_xlfn.XLOOKUP(I134,[1]Planilha1!$D:$D,[1]Planilha1!$F:$F)</f>
        <v>0</v>
      </c>
      <c r="N134" s="8">
        <f t="shared" si="3"/>
        <v>38.960249999999995</v>
      </c>
      <c r="O134" s="42"/>
      <c r="P134" s="8">
        <f>N134*O134</f>
        <v>0</v>
      </c>
      <c r="XEV134" s="34"/>
      <c r="XEW134" s="34"/>
    </row>
    <row r="135" spans="2:16 16376:16377" ht="15.6" customHeight="1" x14ac:dyDescent="0.3">
      <c r="B135" s="22"/>
      <c r="C135" s="30" t="s">
        <v>135</v>
      </c>
      <c r="D135" s="5">
        <v>1371</v>
      </c>
      <c r="E135" s="6" t="s">
        <v>251</v>
      </c>
      <c r="F135" s="7">
        <v>12</v>
      </c>
      <c r="G135" s="7" t="s">
        <v>62</v>
      </c>
      <c r="H135" s="15">
        <v>21069030</v>
      </c>
      <c r="I135" s="15">
        <v>7898714761033</v>
      </c>
      <c r="J135" s="8">
        <v>36.823329999999991</v>
      </c>
      <c r="K135" s="8">
        <v>22.590999999999998</v>
      </c>
      <c r="L135" s="41"/>
      <c r="M135" s="53">
        <f>_xlfn.XLOOKUP(I135,[1]Planilha1!$D:$D,[1]Planilha1!$F:$F)</f>
        <v>24</v>
      </c>
      <c r="N135" s="8">
        <f t="shared" si="3"/>
        <v>13.554599999999999</v>
      </c>
      <c r="O135" s="42"/>
      <c r="P135" s="8">
        <f>N135*O135</f>
        <v>0</v>
      </c>
      <c r="XEV135" s="34"/>
      <c r="XEW135" s="34"/>
    </row>
    <row r="136" spans="2:16 16376:16377" ht="15.6" customHeight="1" x14ac:dyDescent="0.3">
      <c r="B136" s="22"/>
      <c r="C136" s="22"/>
      <c r="D136" s="5">
        <v>1372</v>
      </c>
      <c r="E136" s="6" t="s">
        <v>79</v>
      </c>
      <c r="F136" s="7">
        <v>12</v>
      </c>
      <c r="G136" s="7" t="s">
        <v>8</v>
      </c>
      <c r="H136" s="15">
        <v>21069030</v>
      </c>
      <c r="I136" s="15">
        <v>7898714761040</v>
      </c>
      <c r="J136" s="8">
        <v>24.777222499999997</v>
      </c>
      <c r="K136" s="8">
        <v>15.200749999999999</v>
      </c>
      <c r="L136" s="41"/>
      <c r="M136" s="53">
        <f>_xlfn.XLOOKUP(I136,[1]Planilha1!$D:$D,[1]Planilha1!$F:$F)</f>
        <v>0</v>
      </c>
      <c r="N136" s="8">
        <f t="shared" si="3"/>
        <v>9.1204499999999999</v>
      </c>
      <c r="O136" s="42"/>
      <c r="P136" s="8">
        <f>N136*O136</f>
        <v>0</v>
      </c>
      <c r="XEV136" s="34"/>
      <c r="XEW136" s="34"/>
    </row>
    <row r="137" spans="2:16 16376:16377" ht="15.6" customHeight="1" x14ac:dyDescent="0.3">
      <c r="B137" s="22"/>
      <c r="C137" s="22"/>
      <c r="D137" s="5">
        <v>1223</v>
      </c>
      <c r="E137" s="6" t="s">
        <v>23</v>
      </c>
      <c r="F137" s="7">
        <v>12</v>
      </c>
      <c r="G137" s="7" t="s">
        <v>87</v>
      </c>
      <c r="H137" s="15">
        <v>21069030</v>
      </c>
      <c r="I137" s="15">
        <v>7898330221591</v>
      </c>
      <c r="J137" s="8">
        <v>65.276202499999982</v>
      </c>
      <c r="K137" s="8">
        <v>40.046749999999996</v>
      </c>
      <c r="L137" s="41"/>
      <c r="M137" s="53">
        <v>0</v>
      </c>
      <c r="N137" s="8">
        <f t="shared" si="3"/>
        <v>24.028049999999997</v>
      </c>
      <c r="O137" s="42"/>
      <c r="P137" s="8">
        <f>N137*O137</f>
        <v>0</v>
      </c>
      <c r="XEV137" s="34"/>
      <c r="XEW137" s="34"/>
    </row>
    <row r="138" spans="2:16 16376:16377" ht="15.6" customHeight="1" x14ac:dyDescent="0.3">
      <c r="B138" s="22"/>
      <c r="C138" s="30" t="s">
        <v>135</v>
      </c>
      <c r="D138" s="5">
        <v>1191</v>
      </c>
      <c r="E138" s="6" t="s">
        <v>91</v>
      </c>
      <c r="F138" s="7">
        <v>12</v>
      </c>
      <c r="G138" s="7" t="s">
        <v>62</v>
      </c>
      <c r="H138" s="15">
        <v>21069030</v>
      </c>
      <c r="I138" s="15">
        <v>7898330222123</v>
      </c>
      <c r="J138" s="8">
        <v>26.782122499999996</v>
      </c>
      <c r="K138" s="8">
        <v>16.43075</v>
      </c>
      <c r="L138" s="41"/>
      <c r="M138" s="53">
        <f>_xlfn.XLOOKUP(I138,[1]Planilha1!$D:$D,[1]Planilha1!$F:$F)</f>
        <v>4036</v>
      </c>
      <c r="N138" s="8">
        <f t="shared" si="3"/>
        <v>9.8584499999999995</v>
      </c>
      <c r="O138" s="42"/>
      <c r="P138" s="8">
        <f>N138*O138</f>
        <v>0</v>
      </c>
      <c r="XEV138" s="34"/>
      <c r="XEW138" s="34"/>
    </row>
    <row r="139" spans="2:16 16376:16377" ht="15.6" customHeight="1" x14ac:dyDescent="0.3">
      <c r="B139" s="22"/>
      <c r="C139" s="30" t="s">
        <v>135</v>
      </c>
      <c r="D139" s="5">
        <v>1545</v>
      </c>
      <c r="E139" s="6" t="s">
        <v>252</v>
      </c>
      <c r="F139" s="7">
        <v>12</v>
      </c>
      <c r="G139" s="7" t="s">
        <v>62</v>
      </c>
      <c r="H139" s="15">
        <v>21069030</v>
      </c>
      <c r="I139" s="15">
        <v>7898714762917</v>
      </c>
      <c r="J139" s="8">
        <v>38.427249999999994</v>
      </c>
      <c r="K139" s="8">
        <v>23.574999999999999</v>
      </c>
      <c r="L139" s="41"/>
      <c r="M139" s="53">
        <f>_xlfn.XLOOKUP(I139,[1]Planilha1!$D:$D,[1]Planilha1!$F:$F)</f>
        <v>0</v>
      </c>
      <c r="N139" s="8">
        <f t="shared" si="3"/>
        <v>14.145</v>
      </c>
      <c r="O139" s="42"/>
      <c r="P139" s="8">
        <f>N139*O139</f>
        <v>0</v>
      </c>
      <c r="XEV139" s="34"/>
      <c r="XEW139" s="34"/>
    </row>
    <row r="140" spans="2:16 16376:16377" ht="15.6" customHeight="1" x14ac:dyDescent="0.3">
      <c r="B140" s="22"/>
      <c r="C140" s="30" t="s">
        <v>135</v>
      </c>
      <c r="D140" s="5">
        <v>1426</v>
      </c>
      <c r="E140" s="6" t="s">
        <v>261</v>
      </c>
      <c r="F140" s="7">
        <v>12</v>
      </c>
      <c r="G140" s="7" t="s">
        <v>62</v>
      </c>
      <c r="H140" s="15">
        <v>21069030</v>
      </c>
      <c r="I140" s="15">
        <v>7898714761620</v>
      </c>
      <c r="J140" s="8">
        <v>26.895</v>
      </c>
      <c r="K140" s="8">
        <v>16.5</v>
      </c>
      <c r="L140" s="41"/>
      <c r="M140" s="53">
        <f>_xlfn.XLOOKUP(I140,[1]Planilha1!$D:$D,[1]Planilha1!$F:$F)</f>
        <v>2102</v>
      </c>
      <c r="N140" s="43">
        <f t="shared" si="3"/>
        <v>9.9</v>
      </c>
      <c r="O140" s="42"/>
      <c r="P140" s="8">
        <f>N140*O140</f>
        <v>0</v>
      </c>
      <c r="XEV140" s="34"/>
      <c r="XEW140" s="34"/>
    </row>
    <row r="141" spans="2:16 16376:16377" ht="15.6" customHeight="1" x14ac:dyDescent="0.3">
      <c r="B141" s="22"/>
      <c r="C141" s="30" t="s">
        <v>135</v>
      </c>
      <c r="D141" s="5">
        <v>1439</v>
      </c>
      <c r="E141" s="6" t="s">
        <v>117</v>
      </c>
      <c r="F141" s="7">
        <v>12</v>
      </c>
      <c r="G141" s="7" t="s">
        <v>62</v>
      </c>
      <c r="H141" s="15">
        <v>21069030</v>
      </c>
      <c r="I141" s="15">
        <v>7898714761750</v>
      </c>
      <c r="J141" s="8">
        <v>19.5274</v>
      </c>
      <c r="K141" s="8">
        <v>11.98</v>
      </c>
      <c r="L141" s="41"/>
      <c r="M141" s="53">
        <f>_xlfn.XLOOKUP(I141,[1]Planilha1!$D:$D,[1]Planilha1!$F:$F)</f>
        <v>3789</v>
      </c>
      <c r="N141" s="8">
        <f t="shared" si="3"/>
        <v>7.1879999999999997</v>
      </c>
      <c r="O141" s="42"/>
      <c r="P141" s="8">
        <f>N141*O141</f>
        <v>0</v>
      </c>
      <c r="XEV141" s="34"/>
      <c r="XEW141" s="34"/>
    </row>
    <row r="142" spans="2:16 16376:16377" ht="15.6" customHeight="1" x14ac:dyDescent="0.3">
      <c r="B142" s="22"/>
      <c r="C142" s="30" t="s">
        <v>135</v>
      </c>
      <c r="D142" s="5">
        <v>1440</v>
      </c>
      <c r="E142" s="6" t="s">
        <v>118</v>
      </c>
      <c r="F142" s="7">
        <v>12</v>
      </c>
      <c r="G142" s="7" t="s">
        <v>62</v>
      </c>
      <c r="H142" s="15">
        <v>21069030</v>
      </c>
      <c r="I142" s="15">
        <v>7898714761767</v>
      </c>
      <c r="J142" s="8">
        <v>24.172899999999998</v>
      </c>
      <c r="K142" s="8">
        <v>14.83</v>
      </c>
      <c r="L142" s="41"/>
      <c r="M142" s="53">
        <f>_xlfn.XLOOKUP(I142,[1]Planilha1!$D:$D,[1]Planilha1!$F:$F)</f>
        <v>1512</v>
      </c>
      <c r="N142" s="8">
        <f t="shared" si="3"/>
        <v>8.8979999999999997</v>
      </c>
      <c r="O142" s="42"/>
      <c r="P142" s="8">
        <f>N142*O142</f>
        <v>0</v>
      </c>
      <c r="XEV142" s="34"/>
      <c r="XEW142" s="34"/>
    </row>
    <row r="143" spans="2:16 16376:16377" ht="15.6" customHeight="1" thickBot="1" x14ac:dyDescent="0.35">
      <c r="B143" s="22"/>
      <c r="C143" s="30" t="s">
        <v>135</v>
      </c>
      <c r="D143" s="5">
        <v>1428</v>
      </c>
      <c r="E143" s="6" t="s">
        <v>262</v>
      </c>
      <c r="F143" s="7">
        <v>12</v>
      </c>
      <c r="G143" s="7" t="s">
        <v>87</v>
      </c>
      <c r="H143" s="15">
        <v>21069030</v>
      </c>
      <c r="I143" s="15">
        <v>7898714761644</v>
      </c>
      <c r="J143" s="8">
        <v>23.290091999999998</v>
      </c>
      <c r="K143" s="8">
        <v>14.288399999999999</v>
      </c>
      <c r="L143" s="41"/>
      <c r="M143" s="53">
        <f>_xlfn.XLOOKUP(I143,[1]Planilha1!$D:$D,[1]Planilha1!$F:$F)</f>
        <v>3840</v>
      </c>
      <c r="N143" s="44">
        <f t="shared" si="3"/>
        <v>8.5730399999999989</v>
      </c>
      <c r="O143" s="42"/>
      <c r="P143" s="8">
        <f>N143*O143</f>
        <v>0</v>
      </c>
      <c r="XEV143" s="34"/>
      <c r="XEW143" s="34"/>
    </row>
    <row r="144" spans="2:16 16376:16377" ht="15.6" customHeight="1" thickTop="1" x14ac:dyDescent="0.3">
      <c r="B144" s="16" t="s">
        <v>66</v>
      </c>
      <c r="C144" s="16"/>
      <c r="D144" s="16"/>
      <c r="E144" s="17"/>
      <c r="F144" s="38"/>
      <c r="G144" s="38"/>
      <c r="H144" s="38"/>
      <c r="I144" s="17"/>
      <c r="J144" s="17"/>
      <c r="K144" s="17"/>
      <c r="L144" s="17"/>
      <c r="M144" s="53">
        <f>_xlfn.XLOOKUP(I144,[1]Planilha1!$D:$D,[1]Planilha1!$F:$F)</f>
        <v>0</v>
      </c>
      <c r="N144" s="17"/>
      <c r="O144" s="42"/>
      <c r="P144" s="17"/>
      <c r="XEV144" s="34"/>
      <c r="XEW144" s="34"/>
    </row>
    <row r="145" spans="2:16 16376:16377" ht="15.6" customHeight="1" x14ac:dyDescent="0.3">
      <c r="B145" s="22"/>
      <c r="C145" s="22"/>
      <c r="D145" s="5">
        <v>1509</v>
      </c>
      <c r="E145" s="6" t="s">
        <v>263</v>
      </c>
      <c r="F145" s="7">
        <v>12</v>
      </c>
      <c r="G145" s="7" t="s">
        <v>11</v>
      </c>
      <c r="H145" s="15">
        <v>21069030</v>
      </c>
      <c r="I145" s="15">
        <v>7898714762535</v>
      </c>
      <c r="J145" s="8">
        <v>22.187559999999994</v>
      </c>
      <c r="K145" s="8">
        <v>13.611999999999998</v>
      </c>
      <c r="L145" s="41"/>
      <c r="M145" s="53">
        <f>_xlfn.XLOOKUP(I145,[1]Planilha1!$D:$D,[1]Planilha1!$F:$F)</f>
        <v>1236</v>
      </c>
      <c r="N145" s="8">
        <f t="shared" ref="N145:N174" si="4">IF(L145&gt;0.01%,K145*(1-L145),K145*(1-$O$5))</f>
        <v>8.1671999999999993</v>
      </c>
      <c r="O145" s="42"/>
      <c r="P145" s="8">
        <f>N145*O145</f>
        <v>0</v>
      </c>
      <c r="XEV145" s="34"/>
      <c r="XEW145" s="34"/>
    </row>
    <row r="146" spans="2:16 16376:16377" ht="15.6" customHeight="1" x14ac:dyDescent="0.3">
      <c r="B146" s="22"/>
      <c r="C146" s="22"/>
      <c r="D146" s="5">
        <v>1436</v>
      </c>
      <c r="E146" s="6" t="s">
        <v>119</v>
      </c>
      <c r="F146" s="7">
        <v>12</v>
      </c>
      <c r="G146" s="7" t="s">
        <v>8</v>
      </c>
      <c r="H146" s="15">
        <v>21069030</v>
      </c>
      <c r="I146" s="15">
        <v>7898714761729</v>
      </c>
      <c r="J146" s="8">
        <v>26.782122499999996</v>
      </c>
      <c r="K146" s="8">
        <v>16.43075</v>
      </c>
      <c r="L146" s="41"/>
      <c r="M146" s="53">
        <f>_xlfn.XLOOKUP(I146,[1]Planilha1!$D:$D,[1]Planilha1!$F:$F)</f>
        <v>0</v>
      </c>
      <c r="N146" s="8">
        <f t="shared" si="4"/>
        <v>9.8584499999999995</v>
      </c>
      <c r="O146" s="42"/>
      <c r="P146" s="8">
        <f>N146*O146</f>
        <v>0</v>
      </c>
      <c r="XEV146" s="34"/>
      <c r="XEW146" s="34"/>
    </row>
    <row r="147" spans="2:16 16376:16377" ht="15.6" customHeight="1" x14ac:dyDescent="0.3">
      <c r="B147" s="22"/>
      <c r="C147" s="22"/>
      <c r="D147" s="5">
        <v>1374</v>
      </c>
      <c r="E147" s="6" t="s">
        <v>48</v>
      </c>
      <c r="F147" s="7">
        <v>12</v>
      </c>
      <c r="G147" s="7" t="s">
        <v>8</v>
      </c>
      <c r="H147" s="15">
        <v>21069030</v>
      </c>
      <c r="I147" s="15">
        <v>7898714761064</v>
      </c>
      <c r="J147" s="8">
        <v>37.725534999999994</v>
      </c>
      <c r="K147" s="8">
        <v>23.144499999999997</v>
      </c>
      <c r="L147" s="41"/>
      <c r="M147" s="53">
        <f>_xlfn.XLOOKUP(I147,[1]Planilha1!$D:$D,[1]Planilha1!$F:$F)</f>
        <v>0</v>
      </c>
      <c r="N147" s="8">
        <f t="shared" si="4"/>
        <v>13.886699999999998</v>
      </c>
      <c r="O147" s="42"/>
      <c r="P147" s="8">
        <f>N147*O147</f>
        <v>0</v>
      </c>
      <c r="XEV147" s="34"/>
      <c r="XEW147" s="34"/>
    </row>
    <row r="148" spans="2:16 16376:16377" ht="15.6" customHeight="1" x14ac:dyDescent="0.3">
      <c r="B148" s="22"/>
      <c r="C148" s="30" t="s">
        <v>135</v>
      </c>
      <c r="D148" s="5">
        <v>1324</v>
      </c>
      <c r="E148" s="6" t="s">
        <v>49</v>
      </c>
      <c r="F148" s="7">
        <v>12</v>
      </c>
      <c r="G148" s="7" t="s">
        <v>16</v>
      </c>
      <c r="H148" s="15">
        <v>21069030</v>
      </c>
      <c r="I148" s="15">
        <v>7898714760586</v>
      </c>
      <c r="J148" s="8">
        <v>49.838472499999988</v>
      </c>
      <c r="K148" s="8">
        <v>30.575749999999996</v>
      </c>
      <c r="L148" s="41"/>
      <c r="M148" s="53">
        <f>_xlfn.XLOOKUP(I148,[1]Planilha1!$D:$D,[1]Planilha1!$F:$F)</f>
        <v>0</v>
      </c>
      <c r="N148" s="8">
        <f t="shared" si="4"/>
        <v>18.345449999999996</v>
      </c>
      <c r="O148" s="42"/>
      <c r="P148" s="8">
        <f>N148*O148</f>
        <v>0</v>
      </c>
      <c r="XEV148" s="34"/>
      <c r="XEW148" s="34"/>
    </row>
    <row r="149" spans="2:16 16376:16377" ht="15.6" customHeight="1" x14ac:dyDescent="0.3">
      <c r="B149" s="22"/>
      <c r="C149" s="30" t="s">
        <v>135</v>
      </c>
      <c r="D149" s="5">
        <v>1325</v>
      </c>
      <c r="E149" s="6" t="s">
        <v>50</v>
      </c>
      <c r="F149" s="7">
        <v>12</v>
      </c>
      <c r="G149" s="7" t="s">
        <v>8</v>
      </c>
      <c r="H149" s="15">
        <v>21069030</v>
      </c>
      <c r="I149" s="15">
        <v>7898714760579</v>
      </c>
      <c r="J149" s="8">
        <v>30.357527499999996</v>
      </c>
      <c r="K149" s="8">
        <v>18.62425</v>
      </c>
      <c r="L149" s="41"/>
      <c r="M149" s="53">
        <f>_xlfn.XLOOKUP(I149,[1]Planilha1!$D:$D,[1]Planilha1!$F:$F)</f>
        <v>11</v>
      </c>
      <c r="N149" s="44">
        <f t="shared" si="4"/>
        <v>11.17455</v>
      </c>
      <c r="O149" s="42"/>
      <c r="P149" s="8">
        <f>N149*O149</f>
        <v>0</v>
      </c>
      <c r="XEV149" s="34"/>
      <c r="XEW149" s="34"/>
    </row>
    <row r="150" spans="2:16 16376:16377" ht="15.6" customHeight="1" x14ac:dyDescent="0.3">
      <c r="B150" s="22"/>
      <c r="C150" s="22"/>
      <c r="D150" s="5">
        <v>1329</v>
      </c>
      <c r="E150" s="6" t="s">
        <v>51</v>
      </c>
      <c r="F150" s="7">
        <v>12</v>
      </c>
      <c r="G150" s="7" t="s">
        <v>8</v>
      </c>
      <c r="H150" s="15">
        <v>21069030</v>
      </c>
      <c r="I150" s="15">
        <v>7898714760463</v>
      </c>
      <c r="J150" s="8">
        <v>69.336124999999981</v>
      </c>
      <c r="K150" s="8">
        <v>42.537499999999994</v>
      </c>
      <c r="L150" s="41"/>
      <c r="M150" s="53">
        <f>_xlfn.XLOOKUP(I150,[1]Planilha1!$D:$D,[1]Planilha1!$F:$F)</f>
        <v>0</v>
      </c>
      <c r="N150" s="44">
        <f t="shared" si="4"/>
        <v>25.522499999999997</v>
      </c>
      <c r="O150" s="42"/>
      <c r="P150" s="8">
        <f>N150*O150</f>
        <v>0</v>
      </c>
      <c r="XEV150" s="34"/>
      <c r="XEW150" s="34"/>
    </row>
    <row r="151" spans="2:16 16376:16377" ht="15.6" customHeight="1" x14ac:dyDescent="0.3">
      <c r="B151" s="22"/>
      <c r="C151" s="22"/>
      <c r="D151" s="5">
        <v>1369</v>
      </c>
      <c r="E151" s="6" t="s">
        <v>81</v>
      </c>
      <c r="F151" s="7">
        <v>12</v>
      </c>
      <c r="G151" s="7" t="s">
        <v>86</v>
      </c>
      <c r="H151" s="15">
        <v>21069030</v>
      </c>
      <c r="I151" s="15">
        <v>7898714761019</v>
      </c>
      <c r="J151" s="8">
        <v>88.549749999999989</v>
      </c>
      <c r="K151" s="8">
        <v>54.324999999999996</v>
      </c>
      <c r="L151" s="41"/>
      <c r="M151" s="53">
        <f>_xlfn.XLOOKUP(I151,[1]Planilha1!$D:$D,[1]Planilha1!$F:$F)</f>
        <v>1163</v>
      </c>
      <c r="N151" s="44">
        <f t="shared" si="4"/>
        <v>32.594999999999999</v>
      </c>
      <c r="O151" s="42"/>
      <c r="P151" s="8">
        <f>N151*O151</f>
        <v>0</v>
      </c>
      <c r="XEV151" s="34"/>
      <c r="XEW151" s="34"/>
    </row>
    <row r="152" spans="2:16 16376:16377" ht="15.6" customHeight="1" x14ac:dyDescent="0.3">
      <c r="B152" s="22"/>
      <c r="C152" s="22"/>
      <c r="D152" s="5">
        <v>1368</v>
      </c>
      <c r="E152" s="6" t="s">
        <v>82</v>
      </c>
      <c r="F152" s="7">
        <v>12</v>
      </c>
      <c r="G152" s="7" t="s">
        <v>11</v>
      </c>
      <c r="H152" s="15">
        <v>21069030</v>
      </c>
      <c r="I152" s="15">
        <v>7898714760975</v>
      </c>
      <c r="J152" s="8">
        <v>44.274874999999994</v>
      </c>
      <c r="K152" s="8">
        <v>27.162499999999998</v>
      </c>
      <c r="L152" s="41"/>
      <c r="M152" s="53">
        <f>_xlfn.XLOOKUP(I152,[1]Planilha1!$D:$D,[1]Planilha1!$F:$F)</f>
        <v>552</v>
      </c>
      <c r="N152" s="44">
        <f t="shared" si="4"/>
        <v>16.297499999999999</v>
      </c>
      <c r="O152" s="42"/>
      <c r="P152" s="8">
        <f>N152*O152</f>
        <v>0</v>
      </c>
      <c r="XEV152" s="34"/>
      <c r="XEW152" s="34"/>
    </row>
    <row r="153" spans="2:16 16376:16377" ht="15.6" customHeight="1" x14ac:dyDescent="0.3">
      <c r="B153" s="22"/>
      <c r="C153" s="22"/>
      <c r="D153" s="5">
        <v>1327</v>
      </c>
      <c r="E153" s="6" t="s">
        <v>265</v>
      </c>
      <c r="F153" s="7">
        <v>12</v>
      </c>
      <c r="G153" s="7" t="s">
        <v>8</v>
      </c>
      <c r="H153" s="15">
        <v>21069030</v>
      </c>
      <c r="I153" s="15">
        <v>7898714760548</v>
      </c>
      <c r="J153" s="8">
        <v>60.664932499999999</v>
      </c>
      <c r="K153" s="8">
        <v>37.217750000000002</v>
      </c>
      <c r="L153" s="41"/>
      <c r="M153" s="53">
        <f>_xlfn.XLOOKUP(I153,[1]Planilha1!$D:$D,[1]Planilha1!$F:$F)</f>
        <v>0</v>
      </c>
      <c r="N153" s="8">
        <f t="shared" si="4"/>
        <v>22.330650000000002</v>
      </c>
      <c r="O153" s="42"/>
      <c r="P153" s="8">
        <f>N153*O153</f>
        <v>0</v>
      </c>
      <c r="XEV153" s="34"/>
      <c r="XEW153" s="34"/>
    </row>
    <row r="154" spans="2:16 16376:16377" ht="15.6" customHeight="1" x14ac:dyDescent="0.3">
      <c r="B154" s="22"/>
      <c r="C154" s="22"/>
      <c r="D154" s="5">
        <v>1462</v>
      </c>
      <c r="E154" s="6" t="s">
        <v>100</v>
      </c>
      <c r="F154" s="7">
        <v>12</v>
      </c>
      <c r="G154" s="7" t="s">
        <v>11</v>
      </c>
      <c r="H154" s="15">
        <v>21069030</v>
      </c>
      <c r="I154" s="15">
        <v>7898714761989</v>
      </c>
      <c r="J154" s="8">
        <v>55.41877749999999</v>
      </c>
      <c r="K154" s="8">
        <v>33.999249999999996</v>
      </c>
      <c r="L154" s="41"/>
      <c r="M154" s="53">
        <f>_xlfn.XLOOKUP(I154,[1]Planilha1!$D:$D,[1]Planilha1!$F:$F)</f>
        <v>0</v>
      </c>
      <c r="N154" s="8">
        <f t="shared" si="4"/>
        <v>20.399549999999998</v>
      </c>
      <c r="O154" s="42"/>
      <c r="P154" s="8">
        <f>N154*O154</f>
        <v>0</v>
      </c>
      <c r="XEV154" s="34"/>
      <c r="XEW154" s="34"/>
    </row>
    <row r="155" spans="2:16 16376:16377" ht="15.6" customHeight="1" x14ac:dyDescent="0.3">
      <c r="B155" s="22"/>
      <c r="C155" s="22"/>
      <c r="D155" s="5">
        <v>1359</v>
      </c>
      <c r="E155" s="6" t="s">
        <v>52</v>
      </c>
      <c r="F155" s="7">
        <v>12</v>
      </c>
      <c r="G155" s="7" t="s">
        <v>11</v>
      </c>
      <c r="H155" s="15">
        <v>21069030</v>
      </c>
      <c r="I155" s="15">
        <v>7898714760814</v>
      </c>
      <c r="J155" s="8">
        <v>57.924902499999995</v>
      </c>
      <c r="K155" s="8">
        <v>35.536749999999998</v>
      </c>
      <c r="L155" s="41"/>
      <c r="M155" s="53">
        <f>_xlfn.XLOOKUP(I155,[1]Planilha1!$D:$D,[1]Planilha1!$F:$F)</f>
        <v>0</v>
      </c>
      <c r="N155" s="8">
        <f t="shared" si="4"/>
        <v>21.322049999999997</v>
      </c>
      <c r="O155" s="42"/>
      <c r="P155" s="8">
        <f>N155*O155</f>
        <v>0</v>
      </c>
      <c r="XEV155" s="34"/>
      <c r="XEW155" s="34"/>
    </row>
    <row r="156" spans="2:16 16376:16377" ht="15.6" customHeight="1" x14ac:dyDescent="0.3">
      <c r="B156" s="22"/>
      <c r="C156" s="22"/>
      <c r="D156" s="5">
        <v>1332</v>
      </c>
      <c r="E156" s="6" t="s">
        <v>53</v>
      </c>
      <c r="F156" s="7">
        <v>12</v>
      </c>
      <c r="G156" s="7" t="s">
        <v>8</v>
      </c>
      <c r="H156" s="15">
        <v>21069030</v>
      </c>
      <c r="I156" s="15">
        <v>7898714760623</v>
      </c>
      <c r="J156" s="8">
        <v>34.38403499999999</v>
      </c>
      <c r="K156" s="8">
        <v>21.094499999999996</v>
      </c>
      <c r="L156" s="41"/>
      <c r="M156" s="53">
        <f>_xlfn.XLOOKUP(I156,[1]Planilha1!$D:$D,[1]Planilha1!$F:$F)</f>
        <v>0</v>
      </c>
      <c r="N156" s="8">
        <f t="shared" si="4"/>
        <v>12.656699999999997</v>
      </c>
      <c r="O156" s="42"/>
      <c r="P156" s="8">
        <f>N156*O156</f>
        <v>0</v>
      </c>
      <c r="XEV156" s="34"/>
      <c r="XEW156" s="34"/>
    </row>
    <row r="157" spans="2:16 16376:16377" ht="15.6" customHeight="1" x14ac:dyDescent="0.3">
      <c r="B157" s="22"/>
      <c r="C157" s="22"/>
      <c r="D157" s="5">
        <v>1341</v>
      </c>
      <c r="E157" s="6" t="s">
        <v>54</v>
      </c>
      <c r="F157" s="7">
        <v>12</v>
      </c>
      <c r="G157" s="7" t="s">
        <v>8</v>
      </c>
      <c r="H157" s="15">
        <v>21069030</v>
      </c>
      <c r="I157" s="15">
        <v>7898714760708</v>
      </c>
      <c r="J157" s="8">
        <v>52.9126525</v>
      </c>
      <c r="K157" s="8">
        <v>32.461750000000002</v>
      </c>
      <c r="L157" s="41"/>
      <c r="M157" s="53">
        <f>_xlfn.XLOOKUP(I157,[1]Planilha1!$D:$D,[1]Planilha1!$F:$F)</f>
        <v>0</v>
      </c>
      <c r="N157" s="8">
        <f t="shared" si="4"/>
        <v>19.477050000000002</v>
      </c>
      <c r="O157" s="42"/>
      <c r="P157" s="8">
        <f>N157*O157</f>
        <v>0</v>
      </c>
      <c r="XEV157" s="34"/>
      <c r="XEW157" s="34"/>
    </row>
    <row r="158" spans="2:16 16376:16377" ht="15.6" customHeight="1" x14ac:dyDescent="0.3">
      <c r="B158" s="22"/>
      <c r="C158" s="22"/>
      <c r="D158" s="5">
        <v>1342</v>
      </c>
      <c r="E158" s="6" t="s">
        <v>38</v>
      </c>
      <c r="F158" s="7">
        <v>12</v>
      </c>
      <c r="G158" s="7" t="s">
        <v>8</v>
      </c>
      <c r="H158" s="15">
        <v>21069030</v>
      </c>
      <c r="I158" s="15">
        <v>7898714760715</v>
      </c>
      <c r="J158" s="8">
        <v>73.379339999999999</v>
      </c>
      <c r="K158" s="8">
        <v>45.018000000000001</v>
      </c>
      <c r="L158" s="41"/>
      <c r="M158" s="53">
        <f>_xlfn.XLOOKUP(I158,[1]Planilha1!$D:$D,[1]Planilha1!$F:$F)</f>
        <v>0</v>
      </c>
      <c r="N158" s="8">
        <f t="shared" si="4"/>
        <v>27.0108</v>
      </c>
      <c r="O158" s="42"/>
      <c r="P158" s="8">
        <f>N158*O158</f>
        <v>0</v>
      </c>
      <c r="XEV158" s="34"/>
      <c r="XEW158" s="34"/>
    </row>
    <row r="159" spans="2:16 16376:16377" ht="15.6" customHeight="1" x14ac:dyDescent="0.3">
      <c r="B159" s="22"/>
      <c r="C159" s="22"/>
      <c r="D159" s="5">
        <v>1435</v>
      </c>
      <c r="E159" s="6" t="s">
        <v>268</v>
      </c>
      <c r="F159" s="7">
        <v>12</v>
      </c>
      <c r="G159" s="7" t="s">
        <v>8</v>
      </c>
      <c r="H159" s="15">
        <v>21069030</v>
      </c>
      <c r="I159" s="15">
        <v>7898714761712</v>
      </c>
      <c r="J159" s="8">
        <v>46.146114999999995</v>
      </c>
      <c r="K159" s="8">
        <v>28.310499999999998</v>
      </c>
      <c r="L159" s="41"/>
      <c r="M159" s="53">
        <f>_xlfn.XLOOKUP(I159,[1]Planilha1!$D:$D,[1]Planilha1!$F:$F)</f>
        <v>1140</v>
      </c>
      <c r="N159" s="8">
        <f t="shared" si="4"/>
        <v>16.986299999999996</v>
      </c>
      <c r="O159" s="42"/>
      <c r="P159" s="8">
        <f>N159*O159</f>
        <v>0</v>
      </c>
      <c r="XEV159" s="34"/>
      <c r="XEW159" s="34"/>
    </row>
    <row r="160" spans="2:16 16376:16377" ht="15.6" customHeight="1" x14ac:dyDescent="0.3">
      <c r="B160" s="22"/>
      <c r="C160" s="22"/>
      <c r="D160" s="5">
        <v>1366</v>
      </c>
      <c r="E160" s="6" t="s">
        <v>83</v>
      </c>
      <c r="F160" s="7">
        <v>12</v>
      </c>
      <c r="G160" s="7" t="s">
        <v>8</v>
      </c>
      <c r="H160" s="15">
        <v>21069030</v>
      </c>
      <c r="I160" s="15">
        <v>7898714760982</v>
      </c>
      <c r="J160" s="8">
        <v>44.274874999999994</v>
      </c>
      <c r="K160" s="8">
        <v>27.162499999999998</v>
      </c>
      <c r="L160" s="41"/>
      <c r="M160" s="53">
        <f>_xlfn.XLOOKUP(I160,[1]Planilha1!$D:$D,[1]Planilha1!$F:$F)</f>
        <v>24</v>
      </c>
      <c r="N160" s="8">
        <f t="shared" si="4"/>
        <v>16.297499999999999</v>
      </c>
      <c r="O160" s="42"/>
      <c r="P160" s="8">
        <f>N160*O160</f>
        <v>0</v>
      </c>
      <c r="XEV160" s="34"/>
      <c r="XEW160" s="34"/>
    </row>
    <row r="161" spans="2:17 16376:16377" ht="15.6" customHeight="1" x14ac:dyDescent="0.3">
      <c r="B161" s="22"/>
      <c r="C161" s="22"/>
      <c r="D161" s="5">
        <v>1147</v>
      </c>
      <c r="E161" s="6" t="s">
        <v>39</v>
      </c>
      <c r="F161" s="7">
        <v>12</v>
      </c>
      <c r="G161" s="7" t="s">
        <v>8</v>
      </c>
      <c r="H161" s="15">
        <v>21069030</v>
      </c>
      <c r="I161" s="15">
        <v>7898330223762</v>
      </c>
      <c r="J161" s="8">
        <v>61.650674999999993</v>
      </c>
      <c r="K161" s="8">
        <v>37.822499999999998</v>
      </c>
      <c r="L161" s="41"/>
      <c r="M161" s="53">
        <f>_xlfn.XLOOKUP(I161,[1]Planilha1!$D:$D,[1]Planilha1!$F:$F)</f>
        <v>2652</v>
      </c>
      <c r="N161" s="8">
        <f t="shared" si="4"/>
        <v>22.693499999999997</v>
      </c>
      <c r="O161" s="42"/>
      <c r="P161" s="8">
        <f t="shared" ref="P161:P174" si="5">N161*O161</f>
        <v>0</v>
      </c>
      <c r="XEV161" s="34"/>
      <c r="XEW161" s="34"/>
    </row>
    <row r="162" spans="2:17 16376:16377" ht="15.6" customHeight="1" x14ac:dyDescent="0.3">
      <c r="B162" s="22"/>
      <c r="C162" s="30" t="s">
        <v>135</v>
      </c>
      <c r="D162" s="5">
        <v>1360</v>
      </c>
      <c r="E162" s="6" t="s">
        <v>40</v>
      </c>
      <c r="F162" s="7">
        <v>12</v>
      </c>
      <c r="G162" s="7" t="s">
        <v>8</v>
      </c>
      <c r="H162" s="15">
        <v>21069030</v>
      </c>
      <c r="I162" s="15">
        <v>7898714760784</v>
      </c>
      <c r="J162" s="8">
        <v>31.393392499999994</v>
      </c>
      <c r="K162" s="8">
        <v>19.259749999999997</v>
      </c>
      <c r="L162" s="41"/>
      <c r="M162" s="53">
        <f>_xlfn.XLOOKUP(I162,[1]Planilha1!$D:$D,[1]Planilha1!$F:$F)</f>
        <v>2184</v>
      </c>
      <c r="N162" s="8">
        <f t="shared" si="4"/>
        <v>11.555849999999998</v>
      </c>
      <c r="O162" s="42"/>
      <c r="P162" s="8">
        <f t="shared" si="5"/>
        <v>0</v>
      </c>
      <c r="XEV162" s="34"/>
      <c r="XEW162" s="34"/>
    </row>
    <row r="163" spans="2:17 16376:16377" ht="15.6" customHeight="1" x14ac:dyDescent="0.3">
      <c r="B163" s="22"/>
      <c r="C163" s="22"/>
      <c r="D163" s="5">
        <v>440</v>
      </c>
      <c r="E163" s="6" t="s">
        <v>41</v>
      </c>
      <c r="F163" s="7">
        <v>12</v>
      </c>
      <c r="G163" s="7" t="s">
        <v>8</v>
      </c>
      <c r="H163" s="15">
        <v>21069030</v>
      </c>
      <c r="I163" s="15">
        <v>7898330223069</v>
      </c>
      <c r="J163" s="8">
        <v>44.224752499999994</v>
      </c>
      <c r="K163" s="8">
        <v>27.131749999999997</v>
      </c>
      <c r="L163" s="41"/>
      <c r="M163" s="53">
        <f>_xlfn.XLOOKUP(I163,[1]Planilha1!$D:$D,[1]Planilha1!$F:$F)</f>
        <v>780</v>
      </c>
      <c r="N163" s="8">
        <f t="shared" si="4"/>
        <v>16.279049999999998</v>
      </c>
      <c r="O163" s="42"/>
      <c r="P163" s="8">
        <f t="shared" si="5"/>
        <v>0</v>
      </c>
      <c r="XEV163" s="34"/>
      <c r="XEW163" s="34"/>
    </row>
    <row r="164" spans="2:17 16376:16377" ht="15.6" customHeight="1" x14ac:dyDescent="0.3">
      <c r="B164" s="22"/>
      <c r="C164" s="22"/>
      <c r="D164" s="5">
        <v>695</v>
      </c>
      <c r="E164" s="6" t="s">
        <v>42</v>
      </c>
      <c r="F164" s="7">
        <v>12</v>
      </c>
      <c r="G164" s="7" t="s">
        <v>8</v>
      </c>
      <c r="H164" s="15">
        <v>21069030</v>
      </c>
      <c r="I164" s="15">
        <v>7898330220440</v>
      </c>
      <c r="J164" s="8">
        <v>55.101334999999992</v>
      </c>
      <c r="K164" s="8">
        <v>33.804499999999997</v>
      </c>
      <c r="L164" s="41"/>
      <c r="M164" s="53">
        <f>_xlfn.XLOOKUP(I164,[1]Planilha1!$D:$D,[1]Planilha1!$F:$F)</f>
        <v>477</v>
      </c>
      <c r="N164" s="8">
        <f t="shared" si="4"/>
        <v>20.282699999999998</v>
      </c>
      <c r="O164" s="42"/>
      <c r="P164" s="8">
        <f t="shared" si="5"/>
        <v>0</v>
      </c>
      <c r="XEV164" s="34"/>
      <c r="XEW164" s="34"/>
    </row>
    <row r="165" spans="2:17 16376:16377" ht="15.6" customHeight="1" x14ac:dyDescent="0.3">
      <c r="B165" s="22"/>
      <c r="C165" s="22"/>
      <c r="D165" s="5">
        <v>372</v>
      </c>
      <c r="E165" s="6" t="s">
        <v>43</v>
      </c>
      <c r="F165" s="7">
        <v>12</v>
      </c>
      <c r="G165" s="7" t="s">
        <v>8</v>
      </c>
      <c r="H165" s="15">
        <v>21069030</v>
      </c>
      <c r="I165" s="15">
        <v>7898330220198</v>
      </c>
      <c r="J165" s="8">
        <v>46.764292499999989</v>
      </c>
      <c r="K165" s="8">
        <v>28.689749999999997</v>
      </c>
      <c r="L165" s="41"/>
      <c r="M165" s="53">
        <f>_xlfn.XLOOKUP(I165,[1]Planilha1!$D:$D,[1]Planilha1!$F:$F)</f>
        <v>12</v>
      </c>
      <c r="N165" s="8">
        <f t="shared" si="4"/>
        <v>17.213849999999997</v>
      </c>
      <c r="O165" s="42"/>
      <c r="P165" s="8">
        <f t="shared" si="5"/>
        <v>0</v>
      </c>
      <c r="XEV165" s="34"/>
      <c r="XEW165" s="34"/>
    </row>
    <row r="166" spans="2:17 16376:16377" ht="15.6" customHeight="1" x14ac:dyDescent="0.3">
      <c r="B166" s="22"/>
      <c r="C166" s="22"/>
      <c r="D166" s="5">
        <v>432</v>
      </c>
      <c r="E166" s="6" t="s">
        <v>44</v>
      </c>
      <c r="F166" s="7">
        <v>12</v>
      </c>
      <c r="G166" s="7" t="s">
        <v>8</v>
      </c>
      <c r="H166" s="15">
        <v>21069030</v>
      </c>
      <c r="I166" s="15">
        <v>7898330223045</v>
      </c>
      <c r="J166" s="8">
        <v>42.303389999999993</v>
      </c>
      <c r="K166" s="8">
        <v>25.952999999999999</v>
      </c>
      <c r="L166" s="41"/>
      <c r="M166" s="53">
        <f>_xlfn.XLOOKUP(I166,[1]Planilha1!$D:$D,[1]Planilha1!$F:$F)</f>
        <v>0</v>
      </c>
      <c r="N166" s="8">
        <f t="shared" si="4"/>
        <v>15.5718</v>
      </c>
      <c r="O166" s="42"/>
      <c r="P166" s="8">
        <f t="shared" si="5"/>
        <v>0</v>
      </c>
      <c r="XEV166" s="34"/>
      <c r="XEW166" s="34"/>
    </row>
    <row r="167" spans="2:17 16376:16377" ht="15.6" customHeight="1" x14ac:dyDescent="0.3">
      <c r="B167" s="22"/>
      <c r="C167" s="22"/>
      <c r="D167" s="5">
        <v>1353</v>
      </c>
      <c r="E167" s="6" t="s">
        <v>45</v>
      </c>
      <c r="F167" s="7">
        <v>12</v>
      </c>
      <c r="G167" s="7" t="s">
        <v>8</v>
      </c>
      <c r="H167" s="15">
        <v>21069030</v>
      </c>
      <c r="I167" s="15">
        <v>7898714760791</v>
      </c>
      <c r="J167" s="8">
        <v>49.270417499999986</v>
      </c>
      <c r="K167" s="8">
        <v>30.227249999999994</v>
      </c>
      <c r="L167" s="41"/>
      <c r="M167" s="53">
        <f>_xlfn.XLOOKUP(I167,[1]Planilha1!$D:$D,[1]Planilha1!$F:$F)</f>
        <v>492</v>
      </c>
      <c r="N167" s="8">
        <f t="shared" si="4"/>
        <v>18.136349999999997</v>
      </c>
      <c r="O167" s="42"/>
      <c r="P167" s="8">
        <f t="shared" si="5"/>
        <v>0</v>
      </c>
      <c r="XEV167" s="34"/>
      <c r="XEW167" s="34"/>
    </row>
    <row r="168" spans="2:17 16376:16377" ht="15.6" customHeight="1" x14ac:dyDescent="0.3">
      <c r="B168" s="22"/>
      <c r="C168" s="22"/>
      <c r="D168" s="5">
        <v>1403</v>
      </c>
      <c r="E168" s="6" t="s">
        <v>85</v>
      </c>
      <c r="F168" s="7">
        <v>12</v>
      </c>
      <c r="G168" s="7" t="s">
        <v>8</v>
      </c>
      <c r="H168" s="15">
        <v>21069030</v>
      </c>
      <c r="I168" s="15">
        <v>7898714761361</v>
      </c>
      <c r="J168" s="8">
        <v>39.546652499999993</v>
      </c>
      <c r="K168" s="8">
        <v>24.261749999999999</v>
      </c>
      <c r="L168" s="41"/>
      <c r="M168" s="53">
        <f>_xlfn.XLOOKUP(I168,[1]Planilha1!$D:$D,[1]Planilha1!$F:$F)</f>
        <v>0</v>
      </c>
      <c r="N168" s="8">
        <f t="shared" si="4"/>
        <v>14.557049999999998</v>
      </c>
      <c r="O168" s="42"/>
      <c r="P168" s="8">
        <f t="shared" si="5"/>
        <v>0</v>
      </c>
      <c r="XEV168" s="34"/>
      <c r="XEW168" s="34"/>
    </row>
    <row r="169" spans="2:17 16376:16377" ht="15.6" customHeight="1" x14ac:dyDescent="0.3">
      <c r="B169" s="22"/>
      <c r="C169" s="22"/>
      <c r="D169" s="5">
        <v>1337</v>
      </c>
      <c r="E169" s="6" t="s">
        <v>46</v>
      </c>
      <c r="F169" s="7">
        <v>12</v>
      </c>
      <c r="G169" s="7" t="s">
        <v>16</v>
      </c>
      <c r="H169" s="15">
        <v>21069030</v>
      </c>
      <c r="I169" s="15">
        <v>7898714760661</v>
      </c>
      <c r="J169" s="8">
        <v>97.788997499999994</v>
      </c>
      <c r="K169" s="8">
        <v>59.993249999999996</v>
      </c>
      <c r="L169" s="41"/>
      <c r="M169" s="53">
        <f>_xlfn.XLOOKUP(I169,[1]Planilha1!$D:$D,[1]Planilha1!$F:$F)</f>
        <v>1882</v>
      </c>
      <c r="N169" s="8">
        <f t="shared" si="4"/>
        <v>35.995949999999993</v>
      </c>
      <c r="O169" s="42"/>
      <c r="P169" s="8">
        <f t="shared" si="5"/>
        <v>0</v>
      </c>
      <c r="XEV169" s="34"/>
      <c r="XEW169" s="34"/>
    </row>
    <row r="170" spans="2:17 16376:16377" ht="15.6" customHeight="1" x14ac:dyDescent="0.3">
      <c r="B170" s="22"/>
      <c r="C170" s="30" t="s">
        <v>135</v>
      </c>
      <c r="D170" s="5">
        <v>456</v>
      </c>
      <c r="E170" s="6" t="s">
        <v>47</v>
      </c>
      <c r="F170" s="7">
        <v>12</v>
      </c>
      <c r="G170" s="7" t="s">
        <v>8</v>
      </c>
      <c r="H170" s="15">
        <v>21069030</v>
      </c>
      <c r="I170" s="15">
        <v>7898330223113</v>
      </c>
      <c r="J170" s="8">
        <v>57.94160999999999</v>
      </c>
      <c r="K170" s="8">
        <v>35.546999999999997</v>
      </c>
      <c r="L170" s="41"/>
      <c r="M170" s="53">
        <f>_xlfn.XLOOKUP(I170,[1]Planilha1!$D:$D,[1]Planilha1!$F:$F)</f>
        <v>33</v>
      </c>
      <c r="N170" s="8">
        <f t="shared" si="4"/>
        <v>21.328199999999999</v>
      </c>
      <c r="O170" s="42"/>
      <c r="P170" s="8">
        <f t="shared" si="5"/>
        <v>0</v>
      </c>
      <c r="XEV170" s="34"/>
      <c r="XEW170" s="34"/>
    </row>
    <row r="171" spans="2:17 16376:16377" ht="15.6" customHeight="1" x14ac:dyDescent="0.3">
      <c r="B171" s="22"/>
      <c r="C171" s="22"/>
      <c r="D171" s="5">
        <v>1336</v>
      </c>
      <c r="E171" s="6" t="s">
        <v>55</v>
      </c>
      <c r="F171" s="7">
        <v>12</v>
      </c>
      <c r="G171" s="7" t="s">
        <v>11</v>
      </c>
      <c r="H171" s="15">
        <v>21069030</v>
      </c>
      <c r="I171" s="15">
        <v>7898714760494</v>
      </c>
      <c r="J171" s="8">
        <v>24.509902499999995</v>
      </c>
      <c r="K171" s="8">
        <v>15.036749999999998</v>
      </c>
      <c r="L171" s="41"/>
      <c r="M171" s="53">
        <f>_xlfn.XLOOKUP(I171,[1]Planilha1!$D:$D,[1]Planilha1!$F:$F)</f>
        <v>147</v>
      </c>
      <c r="N171" s="8">
        <f t="shared" si="4"/>
        <v>9.0220499999999983</v>
      </c>
      <c r="O171" s="42"/>
      <c r="P171" s="8">
        <f t="shared" si="5"/>
        <v>0</v>
      </c>
      <c r="XEV171" s="34"/>
      <c r="XEW171" s="34"/>
    </row>
    <row r="172" spans="2:17 16376:16377" ht="15.6" customHeight="1" x14ac:dyDescent="0.3">
      <c r="B172" s="22"/>
      <c r="C172" s="22"/>
      <c r="D172" s="5">
        <v>587</v>
      </c>
      <c r="E172" s="6" t="s">
        <v>27</v>
      </c>
      <c r="F172" s="7">
        <v>12</v>
      </c>
      <c r="G172" s="7" t="s">
        <v>8</v>
      </c>
      <c r="H172" s="15">
        <v>21069030</v>
      </c>
      <c r="I172" s="15">
        <v>7898330220358</v>
      </c>
      <c r="J172" s="8">
        <v>68.500749999999996</v>
      </c>
      <c r="K172" s="8">
        <v>42.024999999999999</v>
      </c>
      <c r="L172" s="41"/>
      <c r="M172" s="53">
        <f>_xlfn.XLOOKUP(I172,[1]Planilha1!$D:$D,[1]Planilha1!$F:$F)</f>
        <v>168</v>
      </c>
      <c r="N172" s="8">
        <f t="shared" si="4"/>
        <v>25.215</v>
      </c>
      <c r="O172" s="42"/>
      <c r="P172" s="8">
        <f t="shared" si="5"/>
        <v>0</v>
      </c>
      <c r="XEV172" s="34"/>
      <c r="XEW172" s="34"/>
    </row>
    <row r="173" spans="2:17 16376:16377" ht="15.6" customHeight="1" x14ac:dyDescent="0.3">
      <c r="B173" s="22"/>
      <c r="C173" s="22"/>
      <c r="D173" s="5">
        <v>1425</v>
      </c>
      <c r="E173" s="6" t="s">
        <v>120</v>
      </c>
      <c r="F173" s="7">
        <v>12</v>
      </c>
      <c r="G173" s="7" t="s">
        <v>8</v>
      </c>
      <c r="H173" s="15">
        <v>21069030</v>
      </c>
      <c r="I173" s="15">
        <v>7898714761606</v>
      </c>
      <c r="J173" s="8">
        <v>34.634647499999993</v>
      </c>
      <c r="K173" s="8">
        <v>21.248249999999999</v>
      </c>
      <c r="L173" s="41"/>
      <c r="M173" s="53">
        <f>_xlfn.XLOOKUP(I173,[1]Planilha1!$D:$D,[1]Planilha1!$F:$F)</f>
        <v>722</v>
      </c>
      <c r="N173" s="8">
        <f t="shared" si="4"/>
        <v>12.748949999999999</v>
      </c>
      <c r="O173" s="42"/>
      <c r="P173" s="8">
        <f t="shared" si="5"/>
        <v>0</v>
      </c>
      <c r="XEV173" s="34"/>
      <c r="XEW173" s="34"/>
    </row>
    <row r="174" spans="2:17 16376:16377" ht="15.6" customHeight="1" thickBot="1" x14ac:dyDescent="0.35">
      <c r="B174" s="22"/>
      <c r="C174" s="22"/>
      <c r="D174" s="5">
        <v>1427</v>
      </c>
      <c r="E174" s="6" t="s">
        <v>121</v>
      </c>
      <c r="F174" s="7">
        <v>12</v>
      </c>
      <c r="G174" s="7" t="s">
        <v>8</v>
      </c>
      <c r="H174" s="15">
        <v>21069030</v>
      </c>
      <c r="I174" s="15">
        <v>7898714761637</v>
      </c>
      <c r="J174" s="8">
        <v>19.213624999999997</v>
      </c>
      <c r="K174" s="8">
        <v>11.7875</v>
      </c>
      <c r="L174" s="41"/>
      <c r="M174" s="53">
        <f>_xlfn.XLOOKUP(I174,[1]Planilha1!$D:$D,[1]Planilha1!$F:$F)</f>
        <v>755</v>
      </c>
      <c r="N174" s="8">
        <f t="shared" si="4"/>
        <v>7.0724999999999998</v>
      </c>
      <c r="O174" s="42"/>
      <c r="P174" s="8">
        <f t="shared" si="5"/>
        <v>0</v>
      </c>
      <c r="XEV174" s="34"/>
      <c r="XEW174" s="34"/>
    </row>
    <row r="175" spans="2:17 16376:16377" ht="15.6" customHeight="1" thickTop="1" x14ac:dyDescent="0.3">
      <c r="B175" s="16" t="s">
        <v>293</v>
      </c>
      <c r="C175" s="16"/>
      <c r="D175" s="17"/>
      <c r="E175" s="17"/>
      <c r="F175" s="38"/>
      <c r="G175" s="38"/>
      <c r="H175" s="38"/>
      <c r="I175" s="38"/>
      <c r="J175" s="17"/>
      <c r="K175" s="17"/>
      <c r="L175" s="17"/>
      <c r="M175" s="53">
        <f>_xlfn.XLOOKUP(I175,[1]Planilha1!$D:$D,[1]Planilha1!$F:$F)</f>
        <v>0</v>
      </c>
      <c r="N175" s="17"/>
      <c r="O175" s="42"/>
      <c r="P175" s="17"/>
      <c r="Q175" s="17"/>
      <c r="XEV175" s="34"/>
      <c r="XEW175" s="34"/>
    </row>
    <row r="176" spans="2:17 16376:16377" ht="15.6" customHeight="1" x14ac:dyDescent="0.3">
      <c r="B176" s="22"/>
      <c r="C176" s="22"/>
      <c r="D176" s="5">
        <v>1626</v>
      </c>
      <c r="E176" s="31" t="s">
        <v>294</v>
      </c>
      <c r="F176" s="7">
        <v>12</v>
      </c>
      <c r="G176" s="7" t="s">
        <v>139</v>
      </c>
      <c r="H176" s="15">
        <v>21069030</v>
      </c>
      <c r="I176" s="15">
        <v>7898714763747</v>
      </c>
      <c r="J176" s="8">
        <v>26.895</v>
      </c>
      <c r="K176" s="8">
        <v>16.5</v>
      </c>
      <c r="L176" s="45"/>
      <c r="M176" s="53">
        <f>_xlfn.XLOOKUP(I176,[1]Planilha1!$D:$D,[1]Planilha1!$F:$F)</f>
        <v>0</v>
      </c>
      <c r="N176" s="8">
        <f>IF(L176&gt;0.01%,K176*(1-L176),K176*(1-$O$5))</f>
        <v>9.9</v>
      </c>
      <c r="O176" s="42"/>
      <c r="P176" s="8">
        <f>N176*O176</f>
        <v>0</v>
      </c>
      <c r="XEV176" s="34"/>
      <c r="XEW176" s="34"/>
    </row>
    <row r="177" spans="2:17 16376:16377" ht="15.6" customHeight="1" x14ac:dyDescent="0.3">
      <c r="B177" s="22"/>
      <c r="C177" s="22"/>
      <c r="D177" s="5">
        <v>1629</v>
      </c>
      <c r="E177" s="31" t="s">
        <v>295</v>
      </c>
      <c r="F177" s="7">
        <v>12</v>
      </c>
      <c r="G177" s="7" t="s">
        <v>139</v>
      </c>
      <c r="H177" s="15">
        <v>21069030</v>
      </c>
      <c r="I177" s="15">
        <v>7898714763778</v>
      </c>
      <c r="J177" s="8">
        <v>26.895</v>
      </c>
      <c r="K177" s="8">
        <v>16.5</v>
      </c>
      <c r="L177" s="45"/>
      <c r="M177" s="53">
        <f>_xlfn.XLOOKUP(I177,[1]Planilha1!$D:$D,[1]Planilha1!$F:$F)</f>
        <v>0</v>
      </c>
      <c r="N177" s="8">
        <f>IF(L177&gt;0.01%,K177*(1-L177),K177*(1-$O$5))</f>
        <v>9.9</v>
      </c>
      <c r="O177" s="42"/>
      <c r="P177" s="8">
        <f>N177*O177</f>
        <v>0</v>
      </c>
      <c r="XEV177" s="34"/>
      <c r="XEW177" s="34"/>
    </row>
    <row r="178" spans="2:17 16376:16377" ht="15.6" customHeight="1" x14ac:dyDescent="0.3">
      <c r="B178" s="22"/>
      <c r="C178" s="22"/>
      <c r="D178" s="5">
        <v>1632</v>
      </c>
      <c r="E178" s="31" t="s">
        <v>296</v>
      </c>
      <c r="F178" s="7">
        <v>12</v>
      </c>
      <c r="G178" s="7" t="s">
        <v>139</v>
      </c>
      <c r="H178" s="15">
        <v>21069030</v>
      </c>
      <c r="I178" s="15">
        <v>7898714763808</v>
      </c>
      <c r="J178" s="8">
        <v>26.895</v>
      </c>
      <c r="K178" s="8">
        <v>16.5</v>
      </c>
      <c r="L178" s="45"/>
      <c r="M178" s="53">
        <f>_xlfn.XLOOKUP(I178,[1]Planilha1!$D:$D,[1]Planilha1!$F:$F)</f>
        <v>0</v>
      </c>
      <c r="N178" s="8">
        <f>IF(L178&gt;0.01%,K178*(1-L178),K178*(1-$O$5))</f>
        <v>9.9</v>
      </c>
      <c r="O178" s="42"/>
      <c r="P178" s="8">
        <f>N178*O178</f>
        <v>0</v>
      </c>
      <c r="XEV178" s="34"/>
      <c r="XEW178" s="34"/>
    </row>
    <row r="179" spans="2:17 16376:16377" ht="15.6" customHeight="1" x14ac:dyDescent="0.3">
      <c r="B179" s="22"/>
      <c r="C179" s="22"/>
      <c r="D179" s="5">
        <v>1628</v>
      </c>
      <c r="E179" s="31" t="s">
        <v>297</v>
      </c>
      <c r="F179" s="7">
        <v>12</v>
      </c>
      <c r="G179" s="7" t="s">
        <v>139</v>
      </c>
      <c r="H179" s="15">
        <v>21069030</v>
      </c>
      <c r="I179" s="15">
        <v>7898714763761</v>
      </c>
      <c r="J179" s="8">
        <v>26.895000000000003</v>
      </c>
      <c r="K179" s="8">
        <v>16.500000000000004</v>
      </c>
      <c r="L179" s="45"/>
      <c r="M179" s="53">
        <f>_xlfn.XLOOKUP(I179,[1]Planilha1!$D:$D,[1]Planilha1!$F:$F)</f>
        <v>0</v>
      </c>
      <c r="N179" s="8">
        <f>IF(L179&gt;0.01%,K179*(1-L179),K179*(1-$O$5))</f>
        <v>9.9000000000000021</v>
      </c>
      <c r="O179" s="42"/>
      <c r="P179" s="8">
        <f>N179*O179</f>
        <v>0</v>
      </c>
      <c r="XEV179" s="34"/>
      <c r="XEW179" s="34"/>
    </row>
    <row r="180" spans="2:17 16376:16377" ht="15.6" customHeight="1" thickBot="1" x14ac:dyDescent="0.35">
      <c r="B180" s="22"/>
      <c r="C180" s="22"/>
      <c r="D180" s="5">
        <v>1627</v>
      </c>
      <c r="E180" s="31" t="s">
        <v>298</v>
      </c>
      <c r="F180" s="7">
        <v>12</v>
      </c>
      <c r="G180" s="7" t="s">
        <v>139</v>
      </c>
      <c r="H180" s="15">
        <v>21069030</v>
      </c>
      <c r="I180" s="15">
        <v>7898714763754</v>
      </c>
      <c r="J180" s="8">
        <v>26.895</v>
      </c>
      <c r="K180" s="8">
        <v>16.5</v>
      </c>
      <c r="L180" s="45"/>
      <c r="M180" s="53">
        <f>_xlfn.XLOOKUP(I180,[1]Planilha1!$D:$D,[1]Planilha1!$F:$F)</f>
        <v>1056</v>
      </c>
      <c r="N180" s="8">
        <f>IF(L180&gt;0.01%,K180*(1-L180),K180*(1-$O$5))</f>
        <v>9.9</v>
      </c>
      <c r="O180" s="42"/>
      <c r="P180" s="8">
        <f>N180*O180</f>
        <v>0</v>
      </c>
      <c r="XEV180" s="34"/>
      <c r="XEW180" s="34"/>
    </row>
    <row r="181" spans="2:17 16376:16377" ht="15.6" customHeight="1" thickTop="1" x14ac:dyDescent="0.3">
      <c r="B181" s="16" t="s">
        <v>315</v>
      </c>
      <c r="C181" s="16"/>
      <c r="D181" s="17"/>
      <c r="E181" s="17"/>
      <c r="F181" s="38"/>
      <c r="G181" s="38"/>
      <c r="H181" s="38"/>
      <c r="I181" s="38"/>
      <c r="J181" s="17"/>
      <c r="K181" s="17"/>
      <c r="L181" s="17"/>
      <c r="M181" s="53">
        <f>_xlfn.XLOOKUP(I181,[1]Planilha1!$D:$D,[1]Planilha1!$F:$F)</f>
        <v>0</v>
      </c>
      <c r="N181" s="17"/>
      <c r="O181" s="42"/>
      <c r="P181" s="17"/>
      <c r="Q181" s="17"/>
      <c r="XEV181" s="34"/>
      <c r="XEW181" s="34"/>
    </row>
    <row r="182" spans="2:17 16376:16377" ht="15.6" customHeight="1" x14ac:dyDescent="0.3">
      <c r="B182" s="22"/>
      <c r="C182" s="22"/>
      <c r="D182" s="5">
        <v>1350</v>
      </c>
      <c r="E182" s="6" t="s">
        <v>56</v>
      </c>
      <c r="F182" s="7">
        <v>12</v>
      </c>
      <c r="G182" s="7" t="s">
        <v>16</v>
      </c>
      <c r="H182" s="15">
        <v>21069030</v>
      </c>
      <c r="I182" s="15">
        <v>7898714760821</v>
      </c>
      <c r="J182" s="8">
        <v>82.451512499999993</v>
      </c>
      <c r="K182" s="8">
        <v>50.583749999999995</v>
      </c>
      <c r="L182" s="41"/>
      <c r="M182" s="53">
        <v>0</v>
      </c>
      <c r="N182" s="8">
        <f t="shared" ref="N182:N204" si="6">IF(L182&gt;0.01%,K182*(1-L182),K182*(1-$O$5))</f>
        <v>30.350249999999996</v>
      </c>
      <c r="O182" s="42"/>
      <c r="P182" s="8">
        <f t="shared" ref="P182:P204" si="7">N182*O182</f>
        <v>0</v>
      </c>
      <c r="XEV182" s="34"/>
      <c r="XEW182" s="34"/>
    </row>
    <row r="183" spans="2:17 16376:16377" ht="15.6" customHeight="1" x14ac:dyDescent="0.3">
      <c r="B183" s="22"/>
      <c r="C183" s="22"/>
      <c r="D183" s="5">
        <v>1601</v>
      </c>
      <c r="E183" s="6" t="s">
        <v>230</v>
      </c>
      <c r="F183" s="7">
        <v>12</v>
      </c>
      <c r="G183" s="7" t="s">
        <v>16</v>
      </c>
      <c r="H183" s="15">
        <v>21069030</v>
      </c>
      <c r="I183" s="15">
        <v>7898714763495</v>
      </c>
      <c r="J183" s="8">
        <v>35.921124999999996</v>
      </c>
      <c r="K183" s="8">
        <v>22.037499999999998</v>
      </c>
      <c r="L183" s="41"/>
      <c r="M183" s="53">
        <v>0</v>
      </c>
      <c r="N183" s="8">
        <f t="shared" si="6"/>
        <v>13.222499999999998</v>
      </c>
      <c r="O183" s="42"/>
      <c r="P183" s="8">
        <f t="shared" si="7"/>
        <v>0</v>
      </c>
      <c r="XEV183" s="34"/>
      <c r="XEW183" s="34"/>
    </row>
    <row r="184" spans="2:17 16376:16377" ht="15.6" customHeight="1" x14ac:dyDescent="0.3">
      <c r="B184" s="22"/>
      <c r="C184" s="22"/>
      <c r="D184" s="5">
        <v>1602</v>
      </c>
      <c r="E184" s="6" t="s">
        <v>231</v>
      </c>
      <c r="F184" s="7">
        <v>12</v>
      </c>
      <c r="G184" s="7" t="s">
        <v>8</v>
      </c>
      <c r="H184" s="15">
        <v>21069030</v>
      </c>
      <c r="I184" s="15">
        <v>7898714763501</v>
      </c>
      <c r="J184" s="8">
        <v>27.567374999999995</v>
      </c>
      <c r="K184" s="8">
        <v>16.912499999999998</v>
      </c>
      <c r="L184" s="41"/>
      <c r="M184" s="53">
        <v>0</v>
      </c>
      <c r="N184" s="8">
        <f t="shared" si="6"/>
        <v>10.147499999999999</v>
      </c>
      <c r="O184" s="42"/>
      <c r="P184" s="8">
        <f t="shared" si="7"/>
        <v>0</v>
      </c>
      <c r="XEV184" s="34"/>
      <c r="XEW184" s="34"/>
    </row>
    <row r="185" spans="2:17 16376:16377" ht="15.6" customHeight="1" x14ac:dyDescent="0.3">
      <c r="B185" s="22"/>
      <c r="C185" s="22"/>
      <c r="D185" s="5">
        <v>1349</v>
      </c>
      <c r="E185" s="6" t="s">
        <v>57</v>
      </c>
      <c r="F185" s="7">
        <v>12</v>
      </c>
      <c r="G185" s="7" t="s">
        <v>8</v>
      </c>
      <c r="H185" s="15">
        <v>21069030</v>
      </c>
      <c r="I185" s="15">
        <v>7898714760845</v>
      </c>
      <c r="J185" s="8">
        <v>40.265074999999996</v>
      </c>
      <c r="K185" s="8">
        <v>24.702500000000001</v>
      </c>
      <c r="L185" s="41"/>
      <c r="M185" s="53">
        <v>0</v>
      </c>
      <c r="N185" s="8">
        <f t="shared" si="6"/>
        <v>14.8215</v>
      </c>
      <c r="O185" s="42"/>
      <c r="P185" s="8">
        <f t="shared" si="7"/>
        <v>0</v>
      </c>
      <c r="XEV185" s="34"/>
      <c r="XEW185" s="34"/>
    </row>
    <row r="186" spans="2:17 16376:16377" ht="15.6" customHeight="1" x14ac:dyDescent="0.3">
      <c r="B186" s="22"/>
      <c r="C186" s="22"/>
      <c r="D186" s="5">
        <v>1434</v>
      </c>
      <c r="E186" s="6" t="s">
        <v>107</v>
      </c>
      <c r="F186" s="7">
        <v>12</v>
      </c>
      <c r="G186" s="7" t="s">
        <v>16</v>
      </c>
      <c r="H186" s="15">
        <v>21069030</v>
      </c>
      <c r="I186" s="15">
        <v>7898714761705</v>
      </c>
      <c r="J186" s="8">
        <v>49.838472499999988</v>
      </c>
      <c r="K186" s="8">
        <v>30.575749999999996</v>
      </c>
      <c r="L186" s="41"/>
      <c r="M186" s="53">
        <v>0</v>
      </c>
      <c r="N186" s="8">
        <f t="shared" si="6"/>
        <v>18.345449999999996</v>
      </c>
      <c r="O186" s="42"/>
      <c r="P186" s="8">
        <f t="shared" si="7"/>
        <v>0</v>
      </c>
      <c r="XEV186" s="34"/>
      <c r="XEW186" s="34"/>
    </row>
    <row r="187" spans="2:17 16376:16377" ht="15.6" customHeight="1" x14ac:dyDescent="0.3">
      <c r="B187" s="22"/>
      <c r="C187" s="30" t="s">
        <v>135</v>
      </c>
      <c r="D187" s="5">
        <v>1322</v>
      </c>
      <c r="E187" s="6" t="s">
        <v>58</v>
      </c>
      <c r="F187" s="7">
        <v>12</v>
      </c>
      <c r="G187" s="7" t="s">
        <v>8</v>
      </c>
      <c r="H187" s="15">
        <v>21069030</v>
      </c>
      <c r="I187" s="15">
        <v>7898714760432</v>
      </c>
      <c r="J187" s="8">
        <v>38.711277499999994</v>
      </c>
      <c r="K187" s="8">
        <v>23.74925</v>
      </c>
      <c r="L187" s="41"/>
      <c r="M187" s="53">
        <v>0</v>
      </c>
      <c r="N187" s="8">
        <f t="shared" si="6"/>
        <v>14.249549999999999</v>
      </c>
      <c r="O187" s="42"/>
      <c r="P187" s="8">
        <f t="shared" si="7"/>
        <v>0</v>
      </c>
      <c r="XEV187" s="34"/>
      <c r="XEW187" s="34"/>
    </row>
    <row r="188" spans="2:17 16376:16377" ht="15.6" customHeight="1" x14ac:dyDescent="0.3">
      <c r="B188" s="22"/>
      <c r="C188" s="30" t="s">
        <v>135</v>
      </c>
      <c r="D188" s="5">
        <v>1562</v>
      </c>
      <c r="E188" s="6" t="s">
        <v>233</v>
      </c>
      <c r="F188" s="7">
        <v>12</v>
      </c>
      <c r="G188" s="7" t="s">
        <v>144</v>
      </c>
      <c r="H188" s="15">
        <v>21069030</v>
      </c>
      <c r="I188" s="15">
        <v>7898714763082</v>
      </c>
      <c r="J188" s="8">
        <v>83.253472499999987</v>
      </c>
      <c r="K188" s="8">
        <v>51.075749999999992</v>
      </c>
      <c r="L188" s="41"/>
      <c r="M188" s="53">
        <v>0</v>
      </c>
      <c r="N188" s="8">
        <f t="shared" si="6"/>
        <v>30.645449999999993</v>
      </c>
      <c r="O188" s="42"/>
      <c r="P188" s="8">
        <f t="shared" si="7"/>
        <v>0</v>
      </c>
      <c r="XEV188" s="34"/>
      <c r="XEW188" s="34"/>
    </row>
    <row r="189" spans="2:17 16376:16377" ht="15.6" customHeight="1" x14ac:dyDescent="0.3">
      <c r="B189" s="22"/>
      <c r="C189" s="30" t="s">
        <v>135</v>
      </c>
      <c r="D189" s="5">
        <v>1561</v>
      </c>
      <c r="E189" s="6" t="s">
        <v>234</v>
      </c>
      <c r="F189" s="7">
        <v>12</v>
      </c>
      <c r="G189" s="7" t="s">
        <v>144</v>
      </c>
      <c r="H189" s="15">
        <v>21069030</v>
      </c>
      <c r="I189" s="15">
        <v>7898714763075</v>
      </c>
      <c r="J189" s="8">
        <v>83.253472499999987</v>
      </c>
      <c r="K189" s="8">
        <v>51.075749999999992</v>
      </c>
      <c r="L189" s="41"/>
      <c r="M189" s="53">
        <v>0</v>
      </c>
      <c r="N189" s="8">
        <f t="shared" si="6"/>
        <v>30.645449999999993</v>
      </c>
      <c r="O189" s="42"/>
      <c r="P189" s="8">
        <f t="shared" si="7"/>
        <v>0</v>
      </c>
      <c r="XEV189" s="34"/>
      <c r="XEW189" s="34"/>
    </row>
    <row r="190" spans="2:17 16376:16377" ht="15.6" customHeight="1" x14ac:dyDescent="0.3">
      <c r="B190" s="22"/>
      <c r="C190" s="30" t="s">
        <v>135</v>
      </c>
      <c r="D190" s="5">
        <v>1563</v>
      </c>
      <c r="E190" s="6" t="s">
        <v>235</v>
      </c>
      <c r="F190" s="7">
        <v>12</v>
      </c>
      <c r="G190" s="7" t="s">
        <v>144</v>
      </c>
      <c r="H190" s="15">
        <v>21069030</v>
      </c>
      <c r="I190" s="15">
        <v>7898714763099</v>
      </c>
      <c r="J190" s="8">
        <v>83.253472499999987</v>
      </c>
      <c r="K190" s="8">
        <v>51.075749999999992</v>
      </c>
      <c r="L190" s="41"/>
      <c r="M190" s="53">
        <v>0</v>
      </c>
      <c r="N190" s="8">
        <f t="shared" si="6"/>
        <v>30.645449999999993</v>
      </c>
      <c r="O190" s="42"/>
      <c r="P190" s="8">
        <f t="shared" si="7"/>
        <v>0</v>
      </c>
      <c r="XEV190" s="34"/>
      <c r="XEW190" s="34"/>
    </row>
    <row r="191" spans="2:17 16376:16377" ht="15.6" customHeight="1" x14ac:dyDescent="0.3">
      <c r="B191" s="22"/>
      <c r="C191" s="30" t="s">
        <v>135</v>
      </c>
      <c r="D191" s="5">
        <v>1686</v>
      </c>
      <c r="E191" s="6" t="s">
        <v>299</v>
      </c>
      <c r="F191" s="7">
        <v>12</v>
      </c>
      <c r="G191" s="7" t="s">
        <v>144</v>
      </c>
      <c r="H191" s="15">
        <v>21069030</v>
      </c>
      <c r="I191" s="15">
        <v>7898714764324</v>
      </c>
      <c r="J191" s="8">
        <v>83.253472499999987</v>
      </c>
      <c r="K191" s="8">
        <v>51.075749999999992</v>
      </c>
      <c r="L191" s="41"/>
      <c r="M191" s="53">
        <v>0</v>
      </c>
      <c r="N191" s="8">
        <f t="shared" si="6"/>
        <v>30.645449999999993</v>
      </c>
      <c r="O191" s="42"/>
      <c r="P191" s="8">
        <f t="shared" si="7"/>
        <v>0</v>
      </c>
      <c r="XEV191" s="34"/>
      <c r="XEW191" s="34"/>
    </row>
    <row r="192" spans="2:17 16376:16377" ht="15.6" customHeight="1" x14ac:dyDescent="0.3">
      <c r="B192" s="22"/>
      <c r="C192" s="30" t="s">
        <v>135</v>
      </c>
      <c r="D192" s="5">
        <v>1688</v>
      </c>
      <c r="E192" s="6" t="s">
        <v>301</v>
      </c>
      <c r="F192" s="7">
        <v>12</v>
      </c>
      <c r="G192" s="7" t="s">
        <v>144</v>
      </c>
      <c r="H192" s="15">
        <v>21069030</v>
      </c>
      <c r="I192" s="15">
        <v>7898714764348</v>
      </c>
      <c r="J192" s="8">
        <v>83.253472499999987</v>
      </c>
      <c r="K192" s="8">
        <v>51.075749999999992</v>
      </c>
      <c r="L192" s="41"/>
      <c r="M192" s="53">
        <v>0</v>
      </c>
      <c r="N192" s="8">
        <f t="shared" si="6"/>
        <v>30.645449999999993</v>
      </c>
      <c r="O192" s="42"/>
      <c r="P192" s="8">
        <f t="shared" si="7"/>
        <v>0</v>
      </c>
      <c r="XEV192" s="34"/>
      <c r="XEW192" s="34"/>
    </row>
    <row r="193" spans="2:17 16376:16377" ht="15.6" customHeight="1" x14ac:dyDescent="0.3">
      <c r="B193" s="22"/>
      <c r="C193" s="35"/>
      <c r="D193" s="5">
        <v>1685</v>
      </c>
      <c r="E193" s="6" t="s">
        <v>292</v>
      </c>
      <c r="F193" s="7">
        <v>12</v>
      </c>
      <c r="G193" s="7" t="s">
        <v>144</v>
      </c>
      <c r="H193" s="15">
        <v>21069031</v>
      </c>
      <c r="I193" s="15">
        <v>7898714764317</v>
      </c>
      <c r="J193" s="8">
        <v>166.79097249999995</v>
      </c>
      <c r="K193" s="8">
        <v>102.32574999999999</v>
      </c>
      <c r="L193" s="41"/>
      <c r="M193" s="53">
        <v>0</v>
      </c>
      <c r="N193" s="8">
        <f t="shared" si="6"/>
        <v>61.39544999999999</v>
      </c>
      <c r="O193" s="42"/>
      <c r="P193" s="8">
        <f t="shared" si="7"/>
        <v>0</v>
      </c>
      <c r="XEV193" s="34"/>
      <c r="XEW193" s="34"/>
    </row>
    <row r="194" spans="2:17 16376:16377" ht="15.6" customHeight="1" x14ac:dyDescent="0.3">
      <c r="B194" s="22"/>
      <c r="C194" s="35"/>
      <c r="D194" s="5">
        <v>1559</v>
      </c>
      <c r="E194" s="6" t="s">
        <v>288</v>
      </c>
      <c r="F194" s="7">
        <v>12</v>
      </c>
      <c r="G194" s="7" t="s">
        <v>291</v>
      </c>
      <c r="H194" s="15">
        <v>21069030</v>
      </c>
      <c r="I194" s="15">
        <v>7898714763051</v>
      </c>
      <c r="J194" s="8">
        <v>49.838472499999988</v>
      </c>
      <c r="K194" s="8">
        <v>30.575749999999996</v>
      </c>
      <c r="L194" s="41"/>
      <c r="M194" s="53">
        <v>0</v>
      </c>
      <c r="N194" s="8">
        <f t="shared" si="6"/>
        <v>18.345449999999996</v>
      </c>
      <c r="O194" s="42"/>
      <c r="P194" s="8">
        <f t="shared" si="7"/>
        <v>0</v>
      </c>
      <c r="XEV194" s="34"/>
      <c r="XEW194" s="34"/>
    </row>
    <row r="195" spans="2:17 16376:16377" ht="15.6" customHeight="1" x14ac:dyDescent="0.3">
      <c r="B195" s="22"/>
      <c r="C195" s="35"/>
      <c r="D195" s="5">
        <v>1558</v>
      </c>
      <c r="E195" s="6" t="s">
        <v>289</v>
      </c>
      <c r="F195" s="7">
        <v>12</v>
      </c>
      <c r="G195" s="7" t="s">
        <v>291</v>
      </c>
      <c r="H195" s="15">
        <v>21069030</v>
      </c>
      <c r="I195" s="15">
        <v>7898714763044</v>
      </c>
      <c r="J195" s="8">
        <v>49.838472499999988</v>
      </c>
      <c r="K195" s="8">
        <v>30.575749999999996</v>
      </c>
      <c r="L195" s="41"/>
      <c r="M195" s="53">
        <v>0</v>
      </c>
      <c r="N195" s="8">
        <f t="shared" si="6"/>
        <v>18.345449999999996</v>
      </c>
      <c r="O195" s="42"/>
      <c r="P195" s="8">
        <f t="shared" si="7"/>
        <v>0</v>
      </c>
      <c r="XEV195" s="34"/>
      <c r="XEW195" s="34"/>
    </row>
    <row r="196" spans="2:17 16376:16377" ht="15.6" customHeight="1" x14ac:dyDescent="0.3">
      <c r="B196" s="22"/>
      <c r="C196" s="35"/>
      <c r="D196" s="5">
        <v>1560</v>
      </c>
      <c r="E196" s="6" t="s">
        <v>290</v>
      </c>
      <c r="F196" s="7">
        <v>12</v>
      </c>
      <c r="G196" s="7" t="s">
        <v>291</v>
      </c>
      <c r="H196" s="15">
        <v>21069030</v>
      </c>
      <c r="I196" s="15">
        <v>7898714763068</v>
      </c>
      <c r="J196" s="8">
        <v>49.838472499999988</v>
      </c>
      <c r="K196" s="8">
        <v>30.575749999999996</v>
      </c>
      <c r="L196" s="41"/>
      <c r="M196" s="53">
        <v>0</v>
      </c>
      <c r="N196" s="8">
        <f t="shared" si="6"/>
        <v>18.345449999999996</v>
      </c>
      <c r="O196" s="42"/>
      <c r="P196" s="8">
        <f t="shared" si="7"/>
        <v>0</v>
      </c>
      <c r="XEV196" s="34"/>
      <c r="XEW196" s="34"/>
    </row>
    <row r="197" spans="2:17 16376:16377" ht="15.6" customHeight="1" x14ac:dyDescent="0.3">
      <c r="B197" s="22"/>
      <c r="C197" s="30" t="s">
        <v>135</v>
      </c>
      <c r="D197" s="5">
        <v>1512</v>
      </c>
      <c r="E197" s="6" t="s">
        <v>228</v>
      </c>
      <c r="F197" s="7">
        <v>6</v>
      </c>
      <c r="G197" s="7" t="s">
        <v>108</v>
      </c>
      <c r="H197" s="15">
        <v>21069030</v>
      </c>
      <c r="I197" s="15">
        <v>7898714762481</v>
      </c>
      <c r="J197" s="8">
        <v>63.772527499999988</v>
      </c>
      <c r="K197" s="8">
        <v>39.124249999999996</v>
      </c>
      <c r="L197" s="41"/>
      <c r="M197" s="53">
        <v>0</v>
      </c>
      <c r="N197" s="8">
        <f t="shared" si="6"/>
        <v>23.474549999999997</v>
      </c>
      <c r="O197" s="42"/>
      <c r="P197" s="8">
        <f t="shared" si="7"/>
        <v>0</v>
      </c>
      <c r="XEV197" s="34"/>
      <c r="XEW197" s="34"/>
    </row>
    <row r="198" spans="2:17 16376:16377" ht="15.6" customHeight="1" x14ac:dyDescent="0.3">
      <c r="B198" s="22"/>
      <c r="C198" s="30" t="s">
        <v>135</v>
      </c>
      <c r="D198" s="5">
        <v>1513</v>
      </c>
      <c r="E198" s="6" t="s">
        <v>229</v>
      </c>
      <c r="F198" s="7">
        <v>6</v>
      </c>
      <c r="G198" s="7" t="s">
        <v>93</v>
      </c>
      <c r="H198" s="15">
        <v>21069030</v>
      </c>
      <c r="I198" s="15">
        <v>7898714762498</v>
      </c>
      <c r="J198" s="8">
        <v>94.397374999999982</v>
      </c>
      <c r="K198" s="8">
        <v>57.912499999999994</v>
      </c>
      <c r="L198" s="41"/>
      <c r="M198" s="53">
        <v>0</v>
      </c>
      <c r="N198" s="43">
        <f t="shared" si="6"/>
        <v>34.747499999999995</v>
      </c>
      <c r="O198" s="42"/>
      <c r="P198" s="8">
        <f t="shared" si="7"/>
        <v>0</v>
      </c>
      <c r="XEV198" s="34"/>
      <c r="XEW198" s="34"/>
    </row>
    <row r="199" spans="2:17 16376:16377" ht="15.6" customHeight="1" x14ac:dyDescent="0.3">
      <c r="B199" s="22"/>
      <c r="C199" s="22"/>
      <c r="D199" s="5">
        <v>1604</v>
      </c>
      <c r="E199" s="6" t="s">
        <v>236</v>
      </c>
      <c r="F199" s="7">
        <v>6</v>
      </c>
      <c r="G199" s="7" t="s">
        <v>241</v>
      </c>
      <c r="H199" s="15">
        <v>21069030</v>
      </c>
      <c r="I199" s="15">
        <v>7898714763525</v>
      </c>
      <c r="J199" s="8">
        <v>83.253472499999987</v>
      </c>
      <c r="K199" s="8">
        <v>51.075749999999992</v>
      </c>
      <c r="L199" s="41"/>
      <c r="M199" s="53">
        <v>0</v>
      </c>
      <c r="N199" s="8">
        <f t="shared" si="6"/>
        <v>30.645449999999993</v>
      </c>
      <c r="O199" s="42"/>
      <c r="P199" s="8">
        <f t="shared" si="7"/>
        <v>0</v>
      </c>
      <c r="XEV199" s="34"/>
      <c r="XEW199" s="34"/>
    </row>
    <row r="200" spans="2:17 16376:16377" ht="15.6" customHeight="1" x14ac:dyDescent="0.3">
      <c r="B200" s="22"/>
      <c r="C200" s="22"/>
      <c r="D200" s="5">
        <v>1605</v>
      </c>
      <c r="E200" s="6" t="s">
        <v>237</v>
      </c>
      <c r="F200" s="7">
        <v>6</v>
      </c>
      <c r="G200" s="7" t="s">
        <v>242</v>
      </c>
      <c r="H200" s="15">
        <v>21069030</v>
      </c>
      <c r="I200" s="15">
        <v>7898714763532</v>
      </c>
      <c r="J200" s="8">
        <v>111.10487499999998</v>
      </c>
      <c r="K200" s="8">
        <v>68.162499999999994</v>
      </c>
      <c r="L200" s="41"/>
      <c r="M200" s="53">
        <v>0</v>
      </c>
      <c r="N200" s="8">
        <f t="shared" si="6"/>
        <v>40.897499999999994</v>
      </c>
      <c r="O200" s="42"/>
      <c r="P200" s="8">
        <f t="shared" si="7"/>
        <v>0</v>
      </c>
      <c r="XEV200" s="34"/>
      <c r="XEW200" s="34"/>
    </row>
    <row r="201" spans="2:17 16376:16377" ht="15.6" customHeight="1" x14ac:dyDescent="0.3">
      <c r="B201" s="22"/>
      <c r="C201" s="30" t="s">
        <v>135</v>
      </c>
      <c r="D201" s="5">
        <v>1646</v>
      </c>
      <c r="E201" s="6" t="s">
        <v>240</v>
      </c>
      <c r="F201" s="7">
        <v>6</v>
      </c>
      <c r="G201" s="7" t="s">
        <v>242</v>
      </c>
      <c r="H201" s="15">
        <v>21069030</v>
      </c>
      <c r="I201" s="15">
        <v>7898714763945</v>
      </c>
      <c r="J201" s="8">
        <v>69.336124999999981</v>
      </c>
      <c r="K201" s="8">
        <v>42.537499999999994</v>
      </c>
      <c r="L201" s="41"/>
      <c r="M201" s="53">
        <v>0</v>
      </c>
      <c r="N201" s="8">
        <f t="shared" si="6"/>
        <v>25.522499999999997</v>
      </c>
      <c r="O201" s="42"/>
      <c r="P201" s="8">
        <f t="shared" si="7"/>
        <v>0</v>
      </c>
      <c r="XEV201" s="34"/>
      <c r="XEW201" s="34"/>
    </row>
    <row r="202" spans="2:17 16376:16377" ht="15.6" customHeight="1" x14ac:dyDescent="0.3">
      <c r="B202" s="22"/>
      <c r="C202" s="30" t="s">
        <v>135</v>
      </c>
      <c r="D202" s="5">
        <v>1698</v>
      </c>
      <c r="E202" s="31" t="s">
        <v>316</v>
      </c>
      <c r="F202" s="7">
        <v>6</v>
      </c>
      <c r="G202" s="7" t="s">
        <v>241</v>
      </c>
      <c r="H202" s="15">
        <v>21069030</v>
      </c>
      <c r="I202" s="15">
        <v>7898714764393</v>
      </c>
      <c r="J202" s="43">
        <v>51.344999999999999</v>
      </c>
      <c r="K202" s="43">
        <v>31.5</v>
      </c>
      <c r="L202" s="47"/>
      <c r="M202" s="53">
        <v>0</v>
      </c>
      <c r="N202" s="43">
        <f t="shared" si="6"/>
        <v>18.899999999999999</v>
      </c>
      <c r="O202" s="42"/>
      <c r="P202" s="43">
        <f t="shared" si="7"/>
        <v>0</v>
      </c>
      <c r="XEV202" s="34"/>
      <c r="XEW202" s="34"/>
    </row>
    <row r="203" spans="2:17 16376:16377" ht="15.6" customHeight="1" x14ac:dyDescent="0.3">
      <c r="B203" s="22"/>
      <c r="C203" s="30" t="s">
        <v>135</v>
      </c>
      <c r="D203" s="5">
        <v>1719</v>
      </c>
      <c r="E203" s="31" t="s">
        <v>327</v>
      </c>
      <c r="F203" s="7">
        <v>6</v>
      </c>
      <c r="G203" s="7" t="s">
        <v>241</v>
      </c>
      <c r="H203" s="48">
        <v>19019090</v>
      </c>
      <c r="I203" s="15">
        <v>7898714764409</v>
      </c>
      <c r="J203" s="43">
        <v>54.067099999999996</v>
      </c>
      <c r="K203" s="43">
        <v>33.17</v>
      </c>
      <c r="L203" s="47"/>
      <c r="M203" s="53">
        <v>0</v>
      </c>
      <c r="N203" s="43">
        <f t="shared" si="6"/>
        <v>19.902000000000001</v>
      </c>
      <c r="O203" s="42"/>
      <c r="P203" s="43">
        <f t="shared" si="7"/>
        <v>0</v>
      </c>
      <c r="XEV203" s="34"/>
      <c r="XEW203" s="34"/>
    </row>
    <row r="204" spans="2:17 16376:16377" ht="15.6" customHeight="1" thickBot="1" x14ac:dyDescent="0.35">
      <c r="B204" s="22"/>
      <c r="C204" s="30" t="s">
        <v>135</v>
      </c>
      <c r="D204" s="5">
        <v>1720</v>
      </c>
      <c r="E204" s="31" t="s">
        <v>328</v>
      </c>
      <c r="F204" s="7">
        <v>6</v>
      </c>
      <c r="G204" s="7" t="s">
        <v>242</v>
      </c>
      <c r="H204" s="48">
        <v>19019090</v>
      </c>
      <c r="I204" s="15">
        <v>7898714764416</v>
      </c>
      <c r="J204" s="43">
        <v>81.222899999999996</v>
      </c>
      <c r="K204" s="43">
        <v>49.83</v>
      </c>
      <c r="L204" s="47"/>
      <c r="M204" s="53">
        <v>0</v>
      </c>
      <c r="N204" s="43">
        <f t="shared" si="6"/>
        <v>29.897999999999996</v>
      </c>
      <c r="O204" s="42"/>
      <c r="P204" s="43">
        <f t="shared" si="7"/>
        <v>0</v>
      </c>
      <c r="XEV204" s="34"/>
      <c r="XEW204" s="34"/>
    </row>
    <row r="205" spans="2:17 16376:16377" ht="15.6" customHeight="1" thickTop="1" thickBot="1" x14ac:dyDescent="0.35">
      <c r="B205" s="16" t="s">
        <v>98</v>
      </c>
      <c r="C205" s="16"/>
      <c r="D205" s="17"/>
      <c r="E205" s="17"/>
      <c r="F205" s="38"/>
      <c r="G205" s="38"/>
      <c r="H205" s="38"/>
      <c r="I205" s="38"/>
      <c r="J205" s="17"/>
      <c r="K205" s="17"/>
      <c r="L205" s="17"/>
      <c r="M205" s="53">
        <f>_xlfn.XLOOKUP(I205,[1]Planilha1!$D:$D,[1]Planilha1!$F:$F)</f>
        <v>0</v>
      </c>
      <c r="N205" s="17"/>
      <c r="O205" s="42"/>
      <c r="P205" s="17"/>
      <c r="Q205" s="17"/>
      <c r="XEV205" s="34"/>
      <c r="XEW205" s="34"/>
    </row>
    <row r="206" spans="2:17 16376:16377" ht="15.6" customHeight="1" thickTop="1" thickBot="1" x14ac:dyDescent="0.35">
      <c r="B206" s="16"/>
      <c r="C206" s="30" t="s">
        <v>135</v>
      </c>
      <c r="D206" s="5">
        <v>1444</v>
      </c>
      <c r="E206" s="6" t="s">
        <v>122</v>
      </c>
      <c r="F206" s="7">
        <v>12</v>
      </c>
      <c r="G206" s="7" t="s">
        <v>62</v>
      </c>
      <c r="H206" s="15">
        <v>21069030</v>
      </c>
      <c r="I206" s="15">
        <v>7898714761804</v>
      </c>
      <c r="J206" s="8">
        <v>18.194467500000002</v>
      </c>
      <c r="K206" s="8">
        <v>11.162250000000002</v>
      </c>
      <c r="L206" s="41"/>
      <c r="M206" s="53">
        <f>_xlfn.XLOOKUP(I206,[1]Planilha1!$D:$D,[1]Planilha1!$F:$F)</f>
        <v>0</v>
      </c>
      <c r="N206" s="8">
        <f t="shared" ref="N206:N217" si="8">IF(L206&gt;0.01%,K206*(1-L206),K206*(1-$O$5))</f>
        <v>6.697350000000001</v>
      </c>
      <c r="O206" s="42"/>
      <c r="P206" s="8">
        <f t="shared" ref="P206:P217" si="9">N206*O206</f>
        <v>0</v>
      </c>
      <c r="XEV206" s="34"/>
      <c r="XEW206" s="34"/>
    </row>
    <row r="207" spans="2:17 16376:16377" ht="15.6" customHeight="1" thickTop="1" thickBot="1" x14ac:dyDescent="0.35">
      <c r="B207" s="16"/>
      <c r="C207" s="30" t="s">
        <v>135</v>
      </c>
      <c r="D207" s="5">
        <v>1445</v>
      </c>
      <c r="E207" s="6" t="s">
        <v>123</v>
      </c>
      <c r="F207" s="7">
        <v>12</v>
      </c>
      <c r="G207" s="7" t="s">
        <v>62</v>
      </c>
      <c r="H207" s="15">
        <v>21069030</v>
      </c>
      <c r="I207" s="15">
        <v>7898714761811</v>
      </c>
      <c r="J207" s="8">
        <v>18.194467500000002</v>
      </c>
      <c r="K207" s="8">
        <v>11.162250000000002</v>
      </c>
      <c r="L207" s="41"/>
      <c r="M207" s="53">
        <f>_xlfn.XLOOKUP(I207,[1]Planilha1!$D:$D,[1]Planilha1!$F:$F)</f>
        <v>24</v>
      </c>
      <c r="N207" s="8">
        <f t="shared" si="8"/>
        <v>6.697350000000001</v>
      </c>
      <c r="O207" s="42"/>
      <c r="P207" s="8">
        <f t="shared" si="9"/>
        <v>0</v>
      </c>
      <c r="XEV207" s="34"/>
      <c r="XEW207" s="34"/>
    </row>
    <row r="208" spans="2:17 16376:16377" ht="15.6" customHeight="1" thickTop="1" thickBot="1" x14ac:dyDescent="0.35">
      <c r="B208" s="16"/>
      <c r="C208" s="30" t="s">
        <v>135</v>
      </c>
      <c r="D208" s="5">
        <v>1449</v>
      </c>
      <c r="E208" s="6" t="s">
        <v>227</v>
      </c>
      <c r="F208" s="7">
        <v>12</v>
      </c>
      <c r="G208" s="7" t="s">
        <v>62</v>
      </c>
      <c r="H208" s="15">
        <v>21069030</v>
      </c>
      <c r="I208" s="15">
        <v>7898714761859</v>
      </c>
      <c r="J208" s="8">
        <v>18.194467500000002</v>
      </c>
      <c r="K208" s="8">
        <v>11.162250000000002</v>
      </c>
      <c r="L208" s="41"/>
      <c r="M208" s="53">
        <f>_xlfn.XLOOKUP(I208,[1]Planilha1!$D:$D,[1]Planilha1!$F:$F)</f>
        <v>841</v>
      </c>
      <c r="N208" s="8">
        <f t="shared" si="8"/>
        <v>6.697350000000001</v>
      </c>
      <c r="O208" s="42"/>
      <c r="P208" s="8">
        <f t="shared" si="9"/>
        <v>0</v>
      </c>
      <c r="XEV208" s="34"/>
      <c r="XEW208" s="34"/>
    </row>
    <row r="209" spans="2:17 16376:16377" ht="15.6" customHeight="1" thickTop="1" thickBot="1" x14ac:dyDescent="0.35">
      <c r="B209" s="16"/>
      <c r="C209" s="30" t="s">
        <v>135</v>
      </c>
      <c r="D209" s="5">
        <v>1448</v>
      </c>
      <c r="E209" s="6" t="s">
        <v>126</v>
      </c>
      <c r="F209" s="7">
        <v>12</v>
      </c>
      <c r="G209" s="7" t="s">
        <v>62</v>
      </c>
      <c r="H209" s="15">
        <v>21069030</v>
      </c>
      <c r="I209" s="15">
        <v>7898714761842</v>
      </c>
      <c r="J209" s="8">
        <v>18.194467500000002</v>
      </c>
      <c r="K209" s="8">
        <v>11.162250000000002</v>
      </c>
      <c r="L209" s="41"/>
      <c r="M209" s="53">
        <f>_xlfn.XLOOKUP(I209,[1]Planilha1!$D:$D,[1]Planilha1!$F:$F)</f>
        <v>23</v>
      </c>
      <c r="N209" s="8">
        <f t="shared" si="8"/>
        <v>6.697350000000001</v>
      </c>
      <c r="O209" s="42"/>
      <c r="P209" s="8">
        <f t="shared" si="9"/>
        <v>0</v>
      </c>
      <c r="XEV209" s="34"/>
      <c r="XEW209" s="34"/>
    </row>
    <row r="210" spans="2:17 16376:16377" ht="15.6" customHeight="1" thickTop="1" thickBot="1" x14ac:dyDescent="0.35">
      <c r="B210" s="16"/>
      <c r="C210" s="30" t="s">
        <v>135</v>
      </c>
      <c r="D210" s="5">
        <v>1452</v>
      </c>
      <c r="E210" s="6" t="s">
        <v>128</v>
      </c>
      <c r="F210" s="7">
        <v>12</v>
      </c>
      <c r="G210" s="7" t="s">
        <v>62</v>
      </c>
      <c r="H210" s="15">
        <v>21069030</v>
      </c>
      <c r="I210" s="15">
        <v>7898714761880</v>
      </c>
      <c r="J210" s="8">
        <v>18.194467500000002</v>
      </c>
      <c r="K210" s="8">
        <v>11.162250000000002</v>
      </c>
      <c r="L210" s="41"/>
      <c r="M210" s="53">
        <f>_xlfn.XLOOKUP(I210,[1]Planilha1!$D:$D,[1]Planilha1!$F:$F)</f>
        <v>674</v>
      </c>
      <c r="N210" s="44">
        <f t="shared" si="8"/>
        <v>6.697350000000001</v>
      </c>
      <c r="O210" s="42"/>
      <c r="P210" s="8">
        <f t="shared" si="9"/>
        <v>0</v>
      </c>
      <c r="XEV210" s="34"/>
      <c r="XEW210" s="34"/>
    </row>
    <row r="211" spans="2:17 16376:16377" ht="15.6" customHeight="1" thickTop="1" thickBot="1" x14ac:dyDescent="0.35">
      <c r="B211" s="16"/>
      <c r="C211" s="30" t="s">
        <v>135</v>
      </c>
      <c r="D211" s="5">
        <v>1453</v>
      </c>
      <c r="E211" s="6" t="s">
        <v>130</v>
      </c>
      <c r="F211" s="7">
        <v>12</v>
      </c>
      <c r="G211" s="7" t="s">
        <v>62</v>
      </c>
      <c r="H211" s="15">
        <v>21069030</v>
      </c>
      <c r="I211" s="15">
        <v>7898714761897</v>
      </c>
      <c r="J211" s="8">
        <v>18.194467500000002</v>
      </c>
      <c r="K211" s="8">
        <v>11.162250000000002</v>
      </c>
      <c r="L211" s="41"/>
      <c r="M211" s="53">
        <f>_xlfn.XLOOKUP(I211,[1]Planilha1!$D:$D,[1]Planilha1!$F:$F)</f>
        <v>0</v>
      </c>
      <c r="N211" s="44">
        <f t="shared" si="8"/>
        <v>6.697350000000001</v>
      </c>
      <c r="O211" s="42"/>
      <c r="P211" s="8">
        <f t="shared" si="9"/>
        <v>0</v>
      </c>
      <c r="XEV211" s="34"/>
      <c r="XEW211" s="34"/>
    </row>
    <row r="212" spans="2:17 16376:16377" ht="15.6" customHeight="1" thickTop="1" thickBot="1" x14ac:dyDescent="0.35">
      <c r="B212" s="16"/>
      <c r="C212" s="30" t="s">
        <v>135</v>
      </c>
      <c r="D212" s="5">
        <v>1447</v>
      </c>
      <c r="E212" s="6" t="s">
        <v>132</v>
      </c>
      <c r="F212" s="7">
        <v>12</v>
      </c>
      <c r="G212" s="7" t="s">
        <v>62</v>
      </c>
      <c r="H212" s="15">
        <v>21069030</v>
      </c>
      <c r="I212" s="15">
        <v>7898714761835</v>
      </c>
      <c r="J212" s="8">
        <v>18.194467500000002</v>
      </c>
      <c r="K212" s="8">
        <v>11.162250000000002</v>
      </c>
      <c r="L212" s="41"/>
      <c r="M212" s="53">
        <f>_xlfn.XLOOKUP(I212,[1]Planilha1!$D:$D,[1]Planilha1!$F:$F)</f>
        <v>491</v>
      </c>
      <c r="N212" s="44">
        <f t="shared" si="8"/>
        <v>6.697350000000001</v>
      </c>
      <c r="O212" s="42"/>
      <c r="P212" s="8">
        <f t="shared" si="9"/>
        <v>0</v>
      </c>
      <c r="XEV212" s="34"/>
      <c r="XEW212" s="34"/>
    </row>
    <row r="213" spans="2:17 16376:16377" ht="15.6" customHeight="1" thickTop="1" thickBot="1" x14ac:dyDescent="0.35">
      <c r="B213" s="16"/>
      <c r="C213" s="30" t="s">
        <v>135</v>
      </c>
      <c r="D213" s="5">
        <v>1552</v>
      </c>
      <c r="E213" s="6" t="s">
        <v>222</v>
      </c>
      <c r="F213" s="7">
        <v>12</v>
      </c>
      <c r="G213" s="7" t="s">
        <v>62</v>
      </c>
      <c r="H213" s="15">
        <v>21069030</v>
      </c>
      <c r="I213" s="15">
        <v>7898714762986</v>
      </c>
      <c r="J213" s="8">
        <v>18.194467500000002</v>
      </c>
      <c r="K213" s="8">
        <v>11.162250000000002</v>
      </c>
      <c r="L213" s="41"/>
      <c r="M213" s="53">
        <f>_xlfn.XLOOKUP(I213,[1]Planilha1!$D:$D,[1]Planilha1!$F:$F)</f>
        <v>480</v>
      </c>
      <c r="N213" s="44">
        <f t="shared" si="8"/>
        <v>6.697350000000001</v>
      </c>
      <c r="O213" s="42"/>
      <c r="P213" s="8">
        <f t="shared" si="9"/>
        <v>0</v>
      </c>
      <c r="XEV213" s="34"/>
      <c r="XEW213" s="34"/>
    </row>
    <row r="214" spans="2:17 16376:16377" ht="15.6" customHeight="1" thickTop="1" thickBot="1" x14ac:dyDescent="0.35">
      <c r="B214" s="16"/>
      <c r="C214" s="30" t="s">
        <v>135</v>
      </c>
      <c r="D214" s="5">
        <v>1554</v>
      </c>
      <c r="E214" s="6" t="s">
        <v>223</v>
      </c>
      <c r="F214" s="7">
        <v>12</v>
      </c>
      <c r="G214" s="7" t="s">
        <v>62</v>
      </c>
      <c r="H214" s="15">
        <v>21069030</v>
      </c>
      <c r="I214" s="15">
        <v>7898714763006</v>
      </c>
      <c r="J214" s="8">
        <v>18.194467500000002</v>
      </c>
      <c r="K214" s="8">
        <v>11.162250000000002</v>
      </c>
      <c r="L214" s="41"/>
      <c r="M214" s="53">
        <f>_xlfn.XLOOKUP(I214,[1]Planilha1!$D:$D,[1]Planilha1!$F:$F)</f>
        <v>1188</v>
      </c>
      <c r="N214" s="8">
        <f t="shared" si="8"/>
        <v>6.697350000000001</v>
      </c>
      <c r="O214" s="42"/>
      <c r="P214" s="8">
        <f t="shared" si="9"/>
        <v>0</v>
      </c>
      <c r="XEV214" s="34"/>
      <c r="XEW214" s="34"/>
    </row>
    <row r="215" spans="2:17 16376:16377" ht="15.6" customHeight="1" thickTop="1" thickBot="1" x14ac:dyDescent="0.35">
      <c r="B215" s="16"/>
      <c r="C215" s="30" t="s">
        <v>135</v>
      </c>
      <c r="D215" s="5">
        <v>1555</v>
      </c>
      <c r="E215" s="6" t="s">
        <v>224</v>
      </c>
      <c r="F215" s="7">
        <v>12</v>
      </c>
      <c r="G215" s="7" t="s">
        <v>62</v>
      </c>
      <c r="H215" s="15">
        <v>21069030</v>
      </c>
      <c r="I215" s="15">
        <v>7898714763013</v>
      </c>
      <c r="J215" s="8">
        <v>18.194467500000002</v>
      </c>
      <c r="K215" s="8">
        <v>11.162250000000002</v>
      </c>
      <c r="L215" s="41"/>
      <c r="M215" s="53">
        <f>_xlfn.XLOOKUP(I215,[1]Planilha1!$D:$D,[1]Planilha1!$F:$F)</f>
        <v>348</v>
      </c>
      <c r="N215" s="8">
        <f t="shared" si="8"/>
        <v>6.697350000000001</v>
      </c>
      <c r="O215" s="42"/>
      <c r="P215" s="8">
        <f t="shared" si="9"/>
        <v>0</v>
      </c>
      <c r="XEV215" s="34"/>
      <c r="XEW215" s="34"/>
    </row>
    <row r="216" spans="2:17 16376:16377" ht="15.6" customHeight="1" thickTop="1" thickBot="1" x14ac:dyDescent="0.35">
      <c r="B216" s="16"/>
      <c r="C216" s="30" t="s">
        <v>135</v>
      </c>
      <c r="D216" s="5">
        <v>1567</v>
      </c>
      <c r="E216" s="6" t="s">
        <v>225</v>
      </c>
      <c r="F216" s="7">
        <v>12</v>
      </c>
      <c r="G216" s="7" t="s">
        <v>62</v>
      </c>
      <c r="H216" s="15">
        <v>21069030</v>
      </c>
      <c r="I216" s="15">
        <v>7898714763150</v>
      </c>
      <c r="J216" s="8">
        <v>18.194467500000002</v>
      </c>
      <c r="K216" s="8">
        <v>11.162250000000002</v>
      </c>
      <c r="L216" s="41"/>
      <c r="M216" s="53">
        <f>_xlfn.XLOOKUP(I216,[1]Planilha1!$D:$D,[1]Planilha1!$F:$F)</f>
        <v>2304</v>
      </c>
      <c r="N216" s="8">
        <f t="shared" si="8"/>
        <v>6.697350000000001</v>
      </c>
      <c r="O216" s="42"/>
      <c r="P216" s="8">
        <f t="shared" si="9"/>
        <v>0</v>
      </c>
      <c r="XEV216" s="34"/>
      <c r="XEW216" s="34"/>
    </row>
    <row r="217" spans="2:17 16376:16377" ht="15.6" customHeight="1" thickTop="1" thickBot="1" x14ac:dyDescent="0.35">
      <c r="B217" s="16"/>
      <c r="C217" s="30" t="s">
        <v>135</v>
      </c>
      <c r="D217" s="5">
        <v>1553</v>
      </c>
      <c r="E217" s="6" t="s">
        <v>226</v>
      </c>
      <c r="F217" s="7">
        <v>12</v>
      </c>
      <c r="G217" s="7" t="s">
        <v>62</v>
      </c>
      <c r="H217" s="15">
        <v>21069030</v>
      </c>
      <c r="I217" s="15">
        <v>7898714762993</v>
      </c>
      <c r="J217" s="8">
        <v>18.194467500000002</v>
      </c>
      <c r="K217" s="8">
        <v>11.162250000000002</v>
      </c>
      <c r="L217" s="41"/>
      <c r="M217" s="53">
        <f>_xlfn.XLOOKUP(I217,[1]Planilha1!$D:$D,[1]Planilha1!$F:$F)</f>
        <v>612</v>
      </c>
      <c r="N217" s="8">
        <f t="shared" si="8"/>
        <v>6.697350000000001</v>
      </c>
      <c r="O217" s="42"/>
      <c r="P217" s="8">
        <f t="shared" si="9"/>
        <v>0</v>
      </c>
      <c r="XEV217" s="34"/>
      <c r="XEW217" s="34"/>
    </row>
    <row r="218" spans="2:17 16376:16377" ht="15.6" customHeight="1" thickTop="1" thickBot="1" x14ac:dyDescent="0.35">
      <c r="B218" s="16"/>
      <c r="C218" s="17" t="s">
        <v>302</v>
      </c>
      <c r="D218" s="17"/>
      <c r="E218" s="32"/>
      <c r="F218" s="38"/>
      <c r="G218" s="38"/>
      <c r="H218" s="38"/>
      <c r="I218" s="38"/>
      <c r="J218" s="17"/>
      <c r="K218" s="17"/>
      <c r="L218" s="17"/>
      <c r="M218" s="53">
        <f>_xlfn.XLOOKUP(I218,[1]Planilha1!$D:$D,[1]Planilha1!$F:$F)</f>
        <v>0</v>
      </c>
      <c r="N218" s="17"/>
      <c r="O218" s="42"/>
      <c r="P218" s="17"/>
      <c r="Q218" s="17"/>
    </row>
    <row r="219" spans="2:17 16376:16377" ht="15.6" customHeight="1" thickTop="1" thickBot="1" x14ac:dyDescent="0.35">
      <c r="B219" s="16"/>
      <c r="C219" s="30" t="s">
        <v>135</v>
      </c>
      <c r="D219" s="5">
        <v>1375</v>
      </c>
      <c r="E219" s="12" t="s">
        <v>253</v>
      </c>
      <c r="F219" s="7">
        <v>12</v>
      </c>
      <c r="G219" s="7" t="s">
        <v>87</v>
      </c>
      <c r="H219" s="15">
        <v>21069030</v>
      </c>
      <c r="I219" s="15">
        <v>7898714761071</v>
      </c>
      <c r="J219" s="8">
        <v>26.894999999999992</v>
      </c>
      <c r="K219" s="8">
        <v>16.499999999999996</v>
      </c>
      <c r="L219" s="41"/>
      <c r="M219" s="53">
        <f>_xlfn.XLOOKUP(I219,[1]Planilha1!$D:$D,[1]Planilha1!$F:$F)</f>
        <v>2</v>
      </c>
      <c r="N219" s="8">
        <f t="shared" ref="N219:N227" si="10">IF(L219&gt;0.01%,K219*(1-L219),K219*(1-$O$5))</f>
        <v>9.8999999999999968</v>
      </c>
      <c r="O219" s="42"/>
      <c r="P219" s="8">
        <f t="shared" ref="P219:P227" si="11">N219*O219</f>
        <v>0</v>
      </c>
    </row>
    <row r="220" spans="2:17 16376:16377" ht="15.6" customHeight="1" thickTop="1" thickBot="1" x14ac:dyDescent="0.35">
      <c r="B220" s="16"/>
      <c r="C220" s="30" t="s">
        <v>135</v>
      </c>
      <c r="D220" s="5">
        <v>1430</v>
      </c>
      <c r="E220" s="12" t="s">
        <v>254</v>
      </c>
      <c r="F220" s="7">
        <v>12</v>
      </c>
      <c r="G220" s="7" t="s">
        <v>87</v>
      </c>
      <c r="H220" s="15">
        <v>21069030</v>
      </c>
      <c r="I220" s="15">
        <v>7898714761668</v>
      </c>
      <c r="J220" s="8">
        <v>26.896242059999995</v>
      </c>
      <c r="K220" s="8">
        <v>16.500761999999998</v>
      </c>
      <c r="L220" s="41"/>
      <c r="M220" s="53">
        <f>_xlfn.XLOOKUP(I220,[1]Planilha1!$D:$D,[1]Planilha1!$F:$F)</f>
        <v>0</v>
      </c>
      <c r="N220" s="8">
        <f t="shared" si="10"/>
        <v>9.9004571999999982</v>
      </c>
      <c r="O220" s="42"/>
      <c r="P220" s="8">
        <f t="shared" si="11"/>
        <v>0</v>
      </c>
    </row>
    <row r="221" spans="2:17 16376:16377" ht="15.6" customHeight="1" thickTop="1" thickBot="1" x14ac:dyDescent="0.35">
      <c r="B221" s="16"/>
      <c r="C221" s="30" t="s">
        <v>135</v>
      </c>
      <c r="D221" s="5">
        <v>1429</v>
      </c>
      <c r="E221" s="6" t="s">
        <v>255</v>
      </c>
      <c r="F221" s="7">
        <v>12</v>
      </c>
      <c r="G221" s="7" t="s">
        <v>87</v>
      </c>
      <c r="H221" s="15">
        <v>21069030</v>
      </c>
      <c r="I221" s="15">
        <v>7898714761651</v>
      </c>
      <c r="J221" s="8">
        <v>26.896242059999995</v>
      </c>
      <c r="K221" s="8">
        <v>16.500761999999998</v>
      </c>
      <c r="L221" s="41"/>
      <c r="M221" s="53">
        <f>_xlfn.XLOOKUP(I221,[1]Planilha1!$D:$D,[1]Planilha1!$F:$F)</f>
        <v>0</v>
      </c>
      <c r="N221" s="8">
        <f t="shared" si="10"/>
        <v>9.9004571999999982</v>
      </c>
      <c r="O221" s="42"/>
      <c r="P221" s="8">
        <f t="shared" si="11"/>
        <v>0</v>
      </c>
    </row>
    <row r="222" spans="2:17 16376:16377" ht="15.6" customHeight="1" thickTop="1" thickBot="1" x14ac:dyDescent="0.35">
      <c r="B222" s="16"/>
      <c r="C222" s="30" t="s">
        <v>135</v>
      </c>
      <c r="D222" s="5">
        <v>1547</v>
      </c>
      <c r="E222" s="6" t="s">
        <v>256</v>
      </c>
      <c r="F222" s="7">
        <v>12</v>
      </c>
      <c r="G222" s="7" t="s">
        <v>87</v>
      </c>
      <c r="H222" s="15">
        <v>21069030</v>
      </c>
      <c r="I222" s="15">
        <v>7898714762931</v>
      </c>
      <c r="J222" s="8">
        <v>26.896242059999995</v>
      </c>
      <c r="K222" s="8">
        <v>16.500761999999998</v>
      </c>
      <c r="L222" s="41"/>
      <c r="M222" s="53">
        <f>_xlfn.XLOOKUP(I222,[1]Planilha1!$D:$D,[1]Planilha1!$F:$F)</f>
        <v>0</v>
      </c>
      <c r="N222" s="8">
        <f t="shared" si="10"/>
        <v>9.9004571999999982</v>
      </c>
      <c r="O222" s="42"/>
      <c r="P222" s="8">
        <f t="shared" si="11"/>
        <v>0</v>
      </c>
    </row>
    <row r="223" spans="2:17 16376:16377" ht="15.6" customHeight="1" thickTop="1" thickBot="1" x14ac:dyDescent="0.35">
      <c r="B223" s="16"/>
      <c r="C223" s="30" t="s">
        <v>135</v>
      </c>
      <c r="D223" s="5">
        <v>1551</v>
      </c>
      <c r="E223" s="6" t="s">
        <v>257</v>
      </c>
      <c r="F223" s="7">
        <v>12</v>
      </c>
      <c r="G223" s="7" t="s">
        <v>87</v>
      </c>
      <c r="H223" s="15">
        <v>21069030</v>
      </c>
      <c r="I223" s="15">
        <v>7898714762979</v>
      </c>
      <c r="J223" s="8">
        <v>26.896242059999995</v>
      </c>
      <c r="K223" s="8">
        <v>16.500761999999998</v>
      </c>
      <c r="L223" s="41"/>
      <c r="M223" s="53">
        <f>_xlfn.XLOOKUP(I223,[1]Planilha1!$D:$D,[1]Planilha1!$F:$F)</f>
        <v>24</v>
      </c>
      <c r="N223" s="8">
        <f t="shared" si="10"/>
        <v>9.9004571999999982</v>
      </c>
      <c r="O223" s="42"/>
      <c r="P223" s="8">
        <f t="shared" si="11"/>
        <v>0</v>
      </c>
    </row>
    <row r="224" spans="2:17 16376:16377" ht="15.6" customHeight="1" thickTop="1" thickBot="1" x14ac:dyDescent="0.35">
      <c r="B224" s="16"/>
      <c r="C224" s="30" t="s">
        <v>135</v>
      </c>
      <c r="D224" s="5">
        <v>1548</v>
      </c>
      <c r="E224" s="12" t="s">
        <v>258</v>
      </c>
      <c r="F224" s="7">
        <v>12</v>
      </c>
      <c r="G224" s="7" t="s">
        <v>87</v>
      </c>
      <c r="H224" s="15">
        <v>21069030</v>
      </c>
      <c r="I224" s="15">
        <v>7898714762948</v>
      </c>
      <c r="J224" s="8">
        <v>26.896242059999995</v>
      </c>
      <c r="K224" s="8">
        <v>16.500761999999998</v>
      </c>
      <c r="L224" s="41"/>
      <c r="M224" s="53">
        <f>_xlfn.XLOOKUP(I224,[1]Planilha1!$D:$D,[1]Planilha1!$F:$F)</f>
        <v>27</v>
      </c>
      <c r="N224" s="8">
        <f t="shared" si="10"/>
        <v>9.9004571999999982</v>
      </c>
      <c r="O224" s="42"/>
      <c r="P224" s="8">
        <f t="shared" si="11"/>
        <v>0</v>
      </c>
    </row>
    <row r="225" spans="2:17" ht="15.6" customHeight="1" thickTop="1" thickBot="1" x14ac:dyDescent="0.35">
      <c r="B225" s="16"/>
      <c r="C225" s="30" t="s">
        <v>135</v>
      </c>
      <c r="D225" s="5">
        <v>1549</v>
      </c>
      <c r="E225" s="6" t="s">
        <v>259</v>
      </c>
      <c r="F225" s="7">
        <v>12</v>
      </c>
      <c r="G225" s="7" t="s">
        <v>87</v>
      </c>
      <c r="H225" s="15">
        <v>21069030</v>
      </c>
      <c r="I225" s="15">
        <v>7898714762955</v>
      </c>
      <c r="J225" s="8">
        <v>47.065027499999999</v>
      </c>
      <c r="K225" s="8">
        <v>28.87425</v>
      </c>
      <c r="L225" s="41"/>
      <c r="M225" s="53">
        <f>_xlfn.XLOOKUP(I225,[1]Planilha1!$D:$D,[1]Planilha1!$F:$F)</f>
        <v>0</v>
      </c>
      <c r="N225" s="8">
        <f t="shared" si="10"/>
        <v>17.324549999999999</v>
      </c>
      <c r="O225" s="42"/>
      <c r="P225" s="8">
        <f t="shared" si="11"/>
        <v>0</v>
      </c>
    </row>
    <row r="226" spans="2:17" ht="15.6" customHeight="1" thickTop="1" thickBot="1" x14ac:dyDescent="0.35">
      <c r="B226" s="16"/>
      <c r="C226" s="30" t="s">
        <v>135</v>
      </c>
      <c r="D226" s="5">
        <v>1546</v>
      </c>
      <c r="E226" s="6" t="s">
        <v>260</v>
      </c>
      <c r="F226" s="7">
        <v>12</v>
      </c>
      <c r="G226" s="7" t="s">
        <v>87</v>
      </c>
      <c r="H226" s="15">
        <v>21069030</v>
      </c>
      <c r="I226" s="15">
        <v>7898714762924</v>
      </c>
      <c r="J226" s="8">
        <v>26.896242059999995</v>
      </c>
      <c r="K226" s="8">
        <v>16.500761999999998</v>
      </c>
      <c r="L226" s="41"/>
      <c r="M226" s="53">
        <f>_xlfn.XLOOKUP(I226,[1]Planilha1!$D:$D,[1]Planilha1!$F:$F)</f>
        <v>1320</v>
      </c>
      <c r="N226" s="8">
        <f t="shared" si="10"/>
        <v>9.9004571999999982</v>
      </c>
      <c r="O226" s="42"/>
      <c r="P226" s="8">
        <f t="shared" si="11"/>
        <v>0</v>
      </c>
    </row>
    <row r="227" spans="2:17" ht="15.6" customHeight="1" thickTop="1" thickBot="1" x14ac:dyDescent="0.35">
      <c r="B227" s="16"/>
      <c r="C227" s="30" t="s">
        <v>135</v>
      </c>
      <c r="D227" s="5">
        <v>1624</v>
      </c>
      <c r="E227" s="6" t="s">
        <v>281</v>
      </c>
      <c r="F227" s="7">
        <v>12</v>
      </c>
      <c r="G227" s="7" t="s">
        <v>87</v>
      </c>
      <c r="H227" s="15">
        <v>21069030</v>
      </c>
      <c r="I227" s="15">
        <v>7898714763723</v>
      </c>
      <c r="J227" s="8">
        <v>26.895000000000003</v>
      </c>
      <c r="K227" s="8">
        <v>16.500000000000004</v>
      </c>
      <c r="L227" s="41"/>
      <c r="M227" s="53">
        <f>_xlfn.XLOOKUP(I227,[1]Planilha1!$D:$D,[1]Planilha1!$F:$F)</f>
        <v>0</v>
      </c>
      <c r="N227" s="8">
        <f t="shared" si="10"/>
        <v>9.9000000000000021</v>
      </c>
      <c r="O227" s="42"/>
      <c r="P227" s="8">
        <f t="shared" si="11"/>
        <v>0</v>
      </c>
    </row>
    <row r="228" spans="2:17" ht="15.6" customHeight="1" thickTop="1" thickBot="1" x14ac:dyDescent="0.35">
      <c r="B228" s="16"/>
      <c r="C228" s="17" t="s">
        <v>310</v>
      </c>
      <c r="D228" s="17"/>
      <c r="E228" s="32"/>
      <c r="F228" s="38"/>
      <c r="G228" s="38"/>
      <c r="H228" s="38"/>
      <c r="I228" s="38"/>
      <c r="J228" s="17"/>
      <c r="K228" s="17"/>
      <c r="L228" s="17"/>
      <c r="M228" s="53">
        <f>_xlfn.XLOOKUP(I228,[1]Planilha1!$D:$D,[1]Planilha1!$F:$F)</f>
        <v>0</v>
      </c>
      <c r="N228" s="17"/>
      <c r="O228" s="42"/>
      <c r="P228" s="17"/>
      <c r="Q228" s="17"/>
    </row>
    <row r="229" spans="2:17" ht="15.6" customHeight="1" thickTop="1" thickBot="1" x14ac:dyDescent="0.35">
      <c r="B229" s="16"/>
      <c r="C229" s="22"/>
      <c r="D229" s="5">
        <v>1658</v>
      </c>
      <c r="E229" s="46" t="s">
        <v>303</v>
      </c>
      <c r="F229" s="7">
        <v>12</v>
      </c>
      <c r="G229" s="7" t="s">
        <v>87</v>
      </c>
      <c r="H229" s="15">
        <v>21069030</v>
      </c>
      <c r="I229" s="15">
        <v>7898714764041</v>
      </c>
      <c r="J229" s="8">
        <v>26.894999999999992</v>
      </c>
      <c r="K229" s="8">
        <v>16.499999999999996</v>
      </c>
      <c r="L229" s="41"/>
      <c r="M229" s="53">
        <f>_xlfn.XLOOKUP(I229,[1]Planilha1!$D:$D,[1]Planilha1!$F:$F)</f>
        <v>1231</v>
      </c>
      <c r="N229" s="8">
        <f t="shared" ref="N229:N235" si="12">IF(L229&gt;0.01%,K229*(1-L229),K229*(1-$O$5))</f>
        <v>9.8999999999999968</v>
      </c>
      <c r="O229" s="42"/>
      <c r="P229" s="8">
        <f t="shared" ref="P229:P235" si="13">N229*O229</f>
        <v>0</v>
      </c>
    </row>
    <row r="230" spans="2:17" ht="15.6" customHeight="1" thickTop="1" thickBot="1" x14ac:dyDescent="0.35">
      <c r="B230" s="16"/>
      <c r="C230" s="22"/>
      <c r="D230" s="5">
        <v>1663</v>
      </c>
      <c r="E230" s="46" t="s">
        <v>304</v>
      </c>
      <c r="F230" s="7">
        <v>12</v>
      </c>
      <c r="G230" s="7" t="s">
        <v>87</v>
      </c>
      <c r="H230" s="15">
        <v>21069030</v>
      </c>
      <c r="I230" s="15">
        <v>7898714764096</v>
      </c>
      <c r="J230" s="8">
        <v>26.894999999999992</v>
      </c>
      <c r="K230" s="8">
        <v>16.499999999999996</v>
      </c>
      <c r="L230" s="41"/>
      <c r="M230" s="53">
        <f>_xlfn.XLOOKUP(I230,[1]Planilha1!$D:$D,[1]Planilha1!$F:$F)</f>
        <v>132</v>
      </c>
      <c r="N230" s="8">
        <f t="shared" si="12"/>
        <v>9.8999999999999968</v>
      </c>
      <c r="O230" s="42"/>
      <c r="P230" s="8">
        <f t="shared" si="13"/>
        <v>0</v>
      </c>
    </row>
    <row r="231" spans="2:17" ht="15.6" customHeight="1" thickTop="1" thickBot="1" x14ac:dyDescent="0.35">
      <c r="B231" s="16"/>
      <c r="C231" s="22"/>
      <c r="D231" s="5">
        <v>1665</v>
      </c>
      <c r="E231" s="31" t="s">
        <v>305</v>
      </c>
      <c r="F231" s="7">
        <v>12</v>
      </c>
      <c r="G231" s="7" t="s">
        <v>87</v>
      </c>
      <c r="H231" s="15">
        <v>21069030</v>
      </c>
      <c r="I231" s="15">
        <v>7898714764119</v>
      </c>
      <c r="J231" s="8">
        <v>26.894999999999992</v>
      </c>
      <c r="K231" s="8">
        <v>16.499999999999996</v>
      </c>
      <c r="L231" s="41"/>
      <c r="M231" s="53">
        <f>_xlfn.XLOOKUP(I231,[1]Planilha1!$D:$D,[1]Planilha1!$F:$F)</f>
        <v>384</v>
      </c>
      <c r="N231" s="8">
        <f t="shared" si="12"/>
        <v>9.8999999999999968</v>
      </c>
      <c r="O231" s="42"/>
      <c r="P231" s="8">
        <f t="shared" si="13"/>
        <v>0</v>
      </c>
    </row>
    <row r="232" spans="2:17" ht="15.6" customHeight="1" thickTop="1" thickBot="1" x14ac:dyDescent="0.35">
      <c r="B232" s="16"/>
      <c r="C232" s="22"/>
      <c r="D232" s="5">
        <v>1662</v>
      </c>
      <c r="E232" s="31" t="s">
        <v>306</v>
      </c>
      <c r="F232" s="7">
        <v>12</v>
      </c>
      <c r="G232" s="7" t="s">
        <v>87</v>
      </c>
      <c r="H232" s="15">
        <v>21069030</v>
      </c>
      <c r="I232" s="15">
        <v>7898714764089</v>
      </c>
      <c r="J232" s="8">
        <v>26.894999999999992</v>
      </c>
      <c r="K232" s="8">
        <v>16.499999999999996</v>
      </c>
      <c r="L232" s="41"/>
      <c r="M232" s="53">
        <f>_xlfn.XLOOKUP(I232,[1]Planilha1!$D:$D,[1]Planilha1!$F:$F)</f>
        <v>432</v>
      </c>
      <c r="N232" s="8">
        <f t="shared" si="12"/>
        <v>9.8999999999999968</v>
      </c>
      <c r="O232" s="42"/>
      <c r="P232" s="8">
        <f t="shared" si="13"/>
        <v>0</v>
      </c>
    </row>
    <row r="233" spans="2:17" ht="15.6" customHeight="1" thickTop="1" thickBot="1" x14ac:dyDescent="0.35">
      <c r="B233" s="16"/>
      <c r="C233" s="22"/>
      <c r="D233" s="5">
        <v>1661</v>
      </c>
      <c r="E233" s="31" t="s">
        <v>307</v>
      </c>
      <c r="F233" s="7">
        <v>12</v>
      </c>
      <c r="G233" s="7" t="s">
        <v>87</v>
      </c>
      <c r="H233" s="15">
        <v>21069030</v>
      </c>
      <c r="I233" s="15">
        <v>7898714764072</v>
      </c>
      <c r="J233" s="8">
        <v>26.894999999999992</v>
      </c>
      <c r="K233" s="8">
        <v>16.499999999999996</v>
      </c>
      <c r="L233" s="41"/>
      <c r="M233" s="53">
        <f>_xlfn.XLOOKUP(I233,[1]Planilha1!$D:$D,[1]Planilha1!$F:$F)</f>
        <v>324</v>
      </c>
      <c r="N233" s="8">
        <f t="shared" si="12"/>
        <v>9.8999999999999968</v>
      </c>
      <c r="O233" s="42"/>
      <c r="P233" s="8">
        <f t="shared" si="13"/>
        <v>0</v>
      </c>
    </row>
    <row r="234" spans="2:17" ht="15.6" customHeight="1" thickTop="1" thickBot="1" x14ac:dyDescent="0.35">
      <c r="B234" s="16"/>
      <c r="C234" s="22"/>
      <c r="D234" s="5">
        <v>1659</v>
      </c>
      <c r="E234" s="46" t="s">
        <v>308</v>
      </c>
      <c r="F234" s="7">
        <v>12</v>
      </c>
      <c r="G234" s="7" t="s">
        <v>87</v>
      </c>
      <c r="H234" s="15">
        <v>21069030</v>
      </c>
      <c r="I234" s="15">
        <v>7898714764058</v>
      </c>
      <c r="J234" s="8">
        <v>26.894999999999992</v>
      </c>
      <c r="K234" s="8">
        <v>16.499999999999996</v>
      </c>
      <c r="L234" s="41"/>
      <c r="M234" s="53">
        <f>_xlfn.XLOOKUP(I234,[1]Planilha1!$D:$D,[1]Planilha1!$F:$F)</f>
        <v>1838</v>
      </c>
      <c r="N234" s="8">
        <f t="shared" si="12"/>
        <v>9.8999999999999968</v>
      </c>
      <c r="O234" s="42"/>
      <c r="P234" s="8">
        <f t="shared" si="13"/>
        <v>0</v>
      </c>
    </row>
    <row r="235" spans="2:17" ht="15.6" customHeight="1" thickTop="1" thickBot="1" x14ac:dyDescent="0.35">
      <c r="B235" s="16"/>
      <c r="C235" s="22"/>
      <c r="D235" s="5">
        <v>1660</v>
      </c>
      <c r="E235" s="46" t="s">
        <v>309</v>
      </c>
      <c r="F235" s="7">
        <v>12</v>
      </c>
      <c r="G235" s="7" t="s">
        <v>87</v>
      </c>
      <c r="H235" s="15">
        <v>21069030</v>
      </c>
      <c r="I235" s="15">
        <v>7898714764065</v>
      </c>
      <c r="J235" s="8">
        <v>26.894999999999992</v>
      </c>
      <c r="K235" s="8">
        <v>16.499999999999996</v>
      </c>
      <c r="L235" s="41"/>
      <c r="M235" s="53">
        <f>_xlfn.XLOOKUP(I235,[1]Planilha1!$D:$D,[1]Planilha1!$F:$F)</f>
        <v>564</v>
      </c>
      <c r="N235" s="8">
        <f t="shared" si="12"/>
        <v>9.8999999999999968</v>
      </c>
      <c r="O235" s="42"/>
      <c r="P235" s="8">
        <f t="shared" si="13"/>
        <v>0</v>
      </c>
    </row>
    <row r="236" spans="2:17" ht="15.6" customHeight="1" thickTop="1" thickBot="1" x14ac:dyDescent="0.35">
      <c r="B236" s="16"/>
      <c r="C236" s="17" t="s">
        <v>325</v>
      </c>
      <c r="D236" s="17"/>
      <c r="E236" s="32"/>
      <c r="F236" s="38"/>
      <c r="G236" s="38"/>
      <c r="H236" s="38"/>
      <c r="I236" s="38"/>
      <c r="J236" s="17"/>
      <c r="K236" s="17"/>
      <c r="L236" s="17"/>
      <c r="M236" s="53">
        <f>_xlfn.XLOOKUP(I236,[1]Planilha1!$D:$D,[1]Planilha1!$F:$F)</f>
        <v>0</v>
      </c>
      <c r="N236" s="17"/>
      <c r="O236" s="42"/>
      <c r="P236" s="17"/>
      <c r="Q236" s="17"/>
    </row>
    <row r="237" spans="2:17" ht="15.6" customHeight="1" thickTop="1" thickBot="1" x14ac:dyDescent="0.35">
      <c r="B237" s="16"/>
      <c r="C237" s="22"/>
      <c r="D237" s="5">
        <v>1721</v>
      </c>
      <c r="E237" s="46" t="s">
        <v>317</v>
      </c>
      <c r="F237" s="7">
        <v>1</v>
      </c>
      <c r="G237" s="7" t="s">
        <v>321</v>
      </c>
      <c r="H237" s="15">
        <v>21069030</v>
      </c>
      <c r="I237" s="15">
        <v>7898714764423</v>
      </c>
      <c r="J237" s="8" t="s">
        <v>324</v>
      </c>
      <c r="K237" s="8">
        <v>796</v>
      </c>
      <c r="L237" s="41"/>
      <c r="M237" s="53">
        <f>_xlfn.XLOOKUP(I237,[1]Planilha1!$D:$D,[1]Planilha1!$F:$F)</f>
        <v>0</v>
      </c>
      <c r="N237" s="8">
        <f>IF(L237&gt;0.01%,K237*(1-L237),K237*(1-$O$5))</f>
        <v>477.59999999999997</v>
      </c>
      <c r="O237" s="42"/>
      <c r="P237" s="8">
        <f>N237*O237</f>
        <v>0</v>
      </c>
    </row>
    <row r="238" spans="2:17" ht="15.6" customHeight="1" thickTop="1" thickBot="1" x14ac:dyDescent="0.35">
      <c r="B238" s="16"/>
      <c r="C238" s="22"/>
      <c r="D238" s="5">
        <v>1722</v>
      </c>
      <c r="E238" s="46" t="s">
        <v>318</v>
      </c>
      <c r="F238" s="7">
        <v>4</v>
      </c>
      <c r="G238" s="7" t="s">
        <v>322</v>
      </c>
      <c r="H238" s="15">
        <v>21069030</v>
      </c>
      <c r="I238" s="15">
        <v>7898714764461</v>
      </c>
      <c r="J238" s="8">
        <v>99.9</v>
      </c>
      <c r="K238" s="8">
        <v>66.5</v>
      </c>
      <c r="L238" s="41"/>
      <c r="M238" s="53">
        <f>_xlfn.XLOOKUP(I238,[1]Planilha1!$D:$D,[1]Planilha1!$F:$F)</f>
        <v>4</v>
      </c>
      <c r="N238" s="8">
        <f>IF(L238&gt;0.01%,K238*(1-L238),K238*(1-$O$5))</f>
        <v>39.9</v>
      </c>
      <c r="O238" s="42"/>
      <c r="P238" s="8">
        <f>N238*O238</f>
        <v>0</v>
      </c>
    </row>
    <row r="239" spans="2:17" ht="15.6" customHeight="1" thickTop="1" thickBot="1" x14ac:dyDescent="0.35">
      <c r="B239" s="16"/>
      <c r="C239" s="22"/>
      <c r="D239" s="5">
        <v>1723</v>
      </c>
      <c r="E239" s="46" t="s">
        <v>319</v>
      </c>
      <c r="F239" s="7">
        <v>1</v>
      </c>
      <c r="G239" s="7" t="s">
        <v>323</v>
      </c>
      <c r="H239" s="15">
        <v>21069030</v>
      </c>
      <c r="I239" s="15">
        <v>7898714764454</v>
      </c>
      <c r="J239" s="8" t="s">
        <v>326</v>
      </c>
      <c r="K239" s="8">
        <v>412.5</v>
      </c>
      <c r="L239" s="41"/>
      <c r="M239" s="53">
        <f>_xlfn.XLOOKUP(I239,[1]Planilha1!$D:$D,[1]Planilha1!$F:$F)</f>
        <v>14</v>
      </c>
      <c r="N239" s="8">
        <f>IF(L239&gt;0.01%,K239*(1-L239),K239*(1-$O$5))</f>
        <v>247.5</v>
      </c>
      <c r="O239" s="42"/>
      <c r="P239" s="8">
        <f>N239*O239</f>
        <v>0</v>
      </c>
    </row>
    <row r="240" spans="2:17" ht="15.6" customHeight="1" thickTop="1" thickBot="1" x14ac:dyDescent="0.35">
      <c r="B240" s="16"/>
      <c r="C240" s="22"/>
      <c r="D240" s="5">
        <v>1724</v>
      </c>
      <c r="E240" s="31" t="s">
        <v>320</v>
      </c>
      <c r="F240" s="7">
        <v>1</v>
      </c>
      <c r="G240" s="7" t="s">
        <v>323</v>
      </c>
      <c r="H240" s="15">
        <v>21069030</v>
      </c>
      <c r="I240" s="15">
        <v>7898714764447</v>
      </c>
      <c r="J240" s="8" t="s">
        <v>324</v>
      </c>
      <c r="K240" s="8">
        <v>829.17</v>
      </c>
      <c r="L240" s="41"/>
      <c r="M240" s="53">
        <f>_xlfn.XLOOKUP(I240,[1]Planilha1!$D:$D,[1]Planilha1!$F:$F)</f>
        <v>9</v>
      </c>
      <c r="N240" s="8">
        <f>IF(L240&gt;0.01%,K240*(1-L240),K240*(1-$O$5))</f>
        <v>497.50199999999995</v>
      </c>
      <c r="O240" s="42"/>
      <c r="P240" s="8">
        <f>N240*O240</f>
        <v>0</v>
      </c>
    </row>
    <row r="241" spans="2:16" ht="15.6" customHeight="1" thickTop="1" x14ac:dyDescent="0.3">
      <c r="B241" s="16"/>
      <c r="C241" s="22"/>
      <c r="D241" s="52" t="s">
        <v>334</v>
      </c>
      <c r="E241" s="31" t="s">
        <v>329</v>
      </c>
      <c r="F241" s="7">
        <v>1</v>
      </c>
      <c r="G241" s="7" t="s">
        <v>330</v>
      </c>
      <c r="H241" s="15">
        <v>21069030</v>
      </c>
      <c r="I241" s="51" t="s">
        <v>333</v>
      </c>
      <c r="J241" s="8" t="s">
        <v>331</v>
      </c>
      <c r="K241" s="8">
        <v>330</v>
      </c>
      <c r="L241" s="41"/>
      <c r="M241" s="53">
        <v>0</v>
      </c>
      <c r="N241" s="8">
        <f>IF(L241&gt;0.01%,K241*(1-L241),K241*(1-$O$5))</f>
        <v>198</v>
      </c>
      <c r="O241" s="42"/>
      <c r="P241" s="8">
        <f>N241*O241</f>
        <v>0</v>
      </c>
    </row>
    <row r="242" spans="2:16" x14ac:dyDescent="0.3">
      <c r="O242" s="49"/>
    </row>
  </sheetData>
  <protectedRanges>
    <protectedRange sqref="L176:L180 L206:L217 L219:L227 L229:L235 L11:M11 L145:L174 L182:L204 L237:L241 L12:L143 M12:M241" name="Quantidade"/>
    <protectedRange sqref="D5 D7 G5 G7" name="Dados"/>
    <protectedRange sqref="O5" name="Desconto"/>
    <protectedRange sqref="O11:O241" name="Quantidade_1"/>
  </protectedRanges>
  <autoFilter ref="C9:P241" xr:uid="{00000000-0001-0000-0100-000000000000}"/>
  <sortState xmlns:xlrd2="http://schemas.microsoft.com/office/spreadsheetml/2017/richdata2" ref="D116:P122">
    <sortCondition ref="E116:E122"/>
  </sortState>
  <mergeCells count="7">
    <mergeCell ref="B1:N3"/>
    <mergeCell ref="N6:N7"/>
    <mergeCell ref="O5:P5"/>
    <mergeCell ref="O6:P7"/>
    <mergeCell ref="D5:E5"/>
    <mergeCell ref="D6:E6"/>
    <mergeCell ref="D7:E7"/>
  </mergeCells>
  <pageMargins left="0.25" right="0.25" top="0.75" bottom="0.75" header="0.3" footer="0.3"/>
  <pageSetup paperSize="9" scale="75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158"/>
  <sheetViews>
    <sheetView workbookViewId="0">
      <selection activeCell="D10" sqref="D10"/>
    </sheetView>
  </sheetViews>
  <sheetFormatPr defaultRowHeight="14.4" x14ac:dyDescent="0.3"/>
  <cols>
    <col min="1" max="1" width="18" bestFit="1" customWidth="1"/>
    <col min="2" max="2" width="14.5546875" bestFit="1" customWidth="1"/>
    <col min="3" max="3" width="2.33203125" customWidth="1"/>
    <col min="4" max="4" width="19.6640625" style="26" bestFit="1" customWidth="1"/>
    <col min="5" max="5" width="18.6640625" style="26" bestFit="1" customWidth="1"/>
    <col min="6" max="6" width="8.88671875" style="26"/>
  </cols>
  <sheetData>
    <row r="3" spans="1:6" ht="15" thickBot="1" x14ac:dyDescent="0.35">
      <c r="A3" s="18" t="s">
        <v>94</v>
      </c>
      <c r="B3" t="s">
        <v>97</v>
      </c>
      <c r="D3" s="28" t="s">
        <v>68</v>
      </c>
      <c r="E3" s="28" t="s">
        <v>5</v>
      </c>
      <c r="F3" s="28" t="s">
        <v>64</v>
      </c>
    </row>
    <row r="4" spans="1:6" x14ac:dyDescent="0.3">
      <c r="A4" s="27">
        <v>7898714762337</v>
      </c>
      <c r="D4" s="27" t="str">
        <f>IF(B4&gt;0,'Tabela de Pedidos'!$G$5,"")</f>
        <v/>
      </c>
      <c r="E4" s="27" t="str">
        <f>IF(B4&gt;0,A4,"")</f>
        <v/>
      </c>
      <c r="F4" s="26" t="str">
        <f t="shared" ref="F4:F35" si="0">IF(B4&gt;0,B4,"")</f>
        <v/>
      </c>
    </row>
    <row r="5" spans="1:6" x14ac:dyDescent="0.3">
      <c r="A5" s="27">
        <v>7898714762450</v>
      </c>
      <c r="D5" s="27" t="str">
        <f>IF(B5&gt;0,'Tabela de Pedidos'!$G$5,"")</f>
        <v/>
      </c>
      <c r="E5" s="27" t="str">
        <f t="shared" ref="E5:E68" si="1">IF(B5&gt;0,A5,"")</f>
        <v/>
      </c>
      <c r="F5" s="26" t="str">
        <f t="shared" si="0"/>
        <v/>
      </c>
    </row>
    <row r="6" spans="1:6" x14ac:dyDescent="0.3">
      <c r="A6" s="27">
        <v>7898330223991</v>
      </c>
      <c r="D6" s="27" t="str">
        <f>IF(B6&gt;0,'Tabela de Pedidos'!$G$5,"")</f>
        <v/>
      </c>
      <c r="E6" s="27" t="str">
        <f t="shared" si="1"/>
        <v/>
      </c>
      <c r="F6" s="26" t="str">
        <f t="shared" si="0"/>
        <v/>
      </c>
    </row>
    <row r="7" spans="1:6" x14ac:dyDescent="0.3">
      <c r="A7" s="27">
        <v>7898330221577</v>
      </c>
      <c r="D7" s="27" t="str">
        <f>IF(B7&gt;0,'Tabela de Pedidos'!$G$5,"")</f>
        <v/>
      </c>
      <c r="E7" s="27" t="str">
        <f t="shared" si="1"/>
        <v/>
      </c>
      <c r="F7" s="26" t="str">
        <f t="shared" si="0"/>
        <v/>
      </c>
    </row>
    <row r="8" spans="1:6" x14ac:dyDescent="0.3">
      <c r="A8" s="27">
        <v>7898714762702</v>
      </c>
      <c r="D8" s="27" t="str">
        <f>IF(B8&gt;0,'Tabela de Pedidos'!$G$5,"")</f>
        <v/>
      </c>
      <c r="E8" s="27" t="str">
        <f t="shared" si="1"/>
        <v/>
      </c>
      <c r="F8" s="26" t="str">
        <f t="shared" si="0"/>
        <v/>
      </c>
    </row>
    <row r="9" spans="1:6" x14ac:dyDescent="0.3">
      <c r="A9" s="27">
        <v>7898330221584</v>
      </c>
      <c r="D9" s="27" t="str">
        <f>IF(B9&gt;0,'Tabela de Pedidos'!$G$5,"")</f>
        <v/>
      </c>
      <c r="E9" s="27" t="str">
        <f t="shared" si="1"/>
        <v/>
      </c>
      <c r="F9" s="26" t="str">
        <f t="shared" si="0"/>
        <v/>
      </c>
    </row>
    <row r="10" spans="1:6" x14ac:dyDescent="0.3">
      <c r="A10" s="27">
        <v>7898714762573</v>
      </c>
      <c r="D10" s="27" t="str">
        <f>IF(B10&gt;0,'Tabela de Pedidos'!$G$5,"")</f>
        <v/>
      </c>
      <c r="E10" s="27" t="str">
        <f t="shared" si="1"/>
        <v/>
      </c>
      <c r="F10" s="26" t="str">
        <f t="shared" si="0"/>
        <v/>
      </c>
    </row>
    <row r="11" spans="1:6" x14ac:dyDescent="0.3">
      <c r="A11" s="27">
        <v>7898330221591</v>
      </c>
      <c r="D11" s="27" t="str">
        <f>IF(B11&gt;0,'Tabela de Pedidos'!$G$5,"")</f>
        <v/>
      </c>
      <c r="E11" s="27" t="str">
        <f t="shared" si="1"/>
        <v/>
      </c>
      <c r="F11" s="26" t="str">
        <f t="shared" si="0"/>
        <v/>
      </c>
    </row>
    <row r="12" spans="1:6" x14ac:dyDescent="0.3">
      <c r="A12" s="27">
        <v>7898714762696</v>
      </c>
      <c r="D12" s="27" t="str">
        <f>IF(B12&gt;0,'Tabela de Pedidos'!$G$5,"")</f>
        <v/>
      </c>
      <c r="E12" s="27" t="str">
        <f t="shared" si="1"/>
        <v/>
      </c>
      <c r="F12" s="26" t="str">
        <f t="shared" si="0"/>
        <v/>
      </c>
    </row>
    <row r="13" spans="1:6" x14ac:dyDescent="0.3">
      <c r="A13" s="27">
        <v>7898330221614</v>
      </c>
      <c r="D13" s="27" t="str">
        <f>IF(B13&gt;0,'Tabela de Pedidos'!$G$5,"")</f>
        <v/>
      </c>
      <c r="E13" s="27" t="str">
        <f t="shared" si="1"/>
        <v/>
      </c>
      <c r="F13" s="26" t="str">
        <f t="shared" si="0"/>
        <v/>
      </c>
    </row>
    <row r="14" spans="1:6" x14ac:dyDescent="0.3">
      <c r="A14" s="27">
        <v>7898714763594</v>
      </c>
      <c r="D14" s="27" t="str">
        <f>IF(B14&gt;0,'Tabela de Pedidos'!$G$5,"")</f>
        <v/>
      </c>
      <c r="E14" s="27" t="str">
        <f t="shared" si="1"/>
        <v/>
      </c>
      <c r="F14" s="26" t="str">
        <f t="shared" si="0"/>
        <v/>
      </c>
    </row>
    <row r="15" spans="1:6" x14ac:dyDescent="0.3">
      <c r="A15" s="27">
        <v>7898330221638</v>
      </c>
      <c r="D15" s="27" t="str">
        <f>IF(B15&gt;0,'Tabela de Pedidos'!$G$5,"")</f>
        <v/>
      </c>
      <c r="E15" s="27" t="str">
        <f t="shared" si="1"/>
        <v/>
      </c>
      <c r="F15" s="26" t="str">
        <f t="shared" si="0"/>
        <v/>
      </c>
    </row>
    <row r="16" spans="1:6" x14ac:dyDescent="0.3">
      <c r="A16" s="27">
        <v>7898714760425</v>
      </c>
      <c r="D16" s="27" t="str">
        <f>IF(B16&gt;0,'Tabela de Pedidos'!$G$5,"")</f>
        <v/>
      </c>
      <c r="E16" s="27" t="str">
        <f t="shared" si="1"/>
        <v/>
      </c>
      <c r="F16" s="26" t="str">
        <f t="shared" si="0"/>
        <v/>
      </c>
    </row>
    <row r="17" spans="1:6" x14ac:dyDescent="0.3">
      <c r="A17" s="27">
        <v>7898330221652</v>
      </c>
      <c r="D17" s="27" t="str">
        <f>IF(B17&gt;0,'Tabela de Pedidos'!$G$5,"")</f>
        <v/>
      </c>
      <c r="E17" s="27" t="str">
        <f t="shared" si="1"/>
        <v/>
      </c>
      <c r="F17" s="26" t="str">
        <f t="shared" si="0"/>
        <v/>
      </c>
    </row>
    <row r="18" spans="1:6" x14ac:dyDescent="0.3">
      <c r="A18" s="27">
        <v>7898714764027</v>
      </c>
      <c r="D18" s="27" t="str">
        <f>IF(B18&gt;0,'Tabela de Pedidos'!$G$5,"")</f>
        <v/>
      </c>
      <c r="E18" s="27" t="str">
        <f t="shared" si="1"/>
        <v/>
      </c>
      <c r="F18" s="26" t="str">
        <f t="shared" si="0"/>
        <v/>
      </c>
    </row>
    <row r="19" spans="1:6" x14ac:dyDescent="0.3">
      <c r="A19" s="27">
        <v>7898330221676</v>
      </c>
      <c r="D19" s="27" t="str">
        <f>IF(B19&gt;0,'Tabela de Pedidos'!$G$5,"")</f>
        <v/>
      </c>
      <c r="E19" s="27" t="str">
        <f t="shared" si="1"/>
        <v/>
      </c>
      <c r="F19" s="26" t="str">
        <f t="shared" si="0"/>
        <v/>
      </c>
    </row>
    <row r="20" spans="1:6" x14ac:dyDescent="0.3">
      <c r="A20" s="27">
        <v>7898714762924</v>
      </c>
      <c r="D20" s="27" t="str">
        <f>IF(B20&gt;0,'Tabela de Pedidos'!$G$5,"")</f>
        <v/>
      </c>
      <c r="E20" s="27" t="str">
        <f t="shared" si="1"/>
        <v/>
      </c>
      <c r="F20" s="26" t="str">
        <f t="shared" si="0"/>
        <v/>
      </c>
    </row>
    <row r="21" spans="1:6" x14ac:dyDescent="0.3">
      <c r="A21" s="27">
        <v>7898330221690</v>
      </c>
      <c r="D21" s="27" t="str">
        <f>IF(B21&gt;0,'Tabela de Pedidos'!$G$5,"")</f>
        <v/>
      </c>
      <c r="E21" s="27" t="str">
        <f t="shared" si="1"/>
        <v/>
      </c>
      <c r="F21" s="26" t="str">
        <f t="shared" si="0"/>
        <v/>
      </c>
    </row>
    <row r="22" spans="1:6" x14ac:dyDescent="0.3">
      <c r="A22" s="27">
        <v>7898714762252</v>
      </c>
      <c r="D22" s="27" t="str">
        <f>IF(B22&gt;0,'Tabela de Pedidos'!$G$5,"")</f>
        <v/>
      </c>
      <c r="E22" s="27" t="str">
        <f t="shared" si="1"/>
        <v/>
      </c>
      <c r="F22" s="26" t="str">
        <f t="shared" si="0"/>
        <v/>
      </c>
    </row>
    <row r="23" spans="1:6" x14ac:dyDescent="0.3">
      <c r="A23" s="27">
        <v>7898330221713</v>
      </c>
      <c r="D23" s="27" t="str">
        <f>IF(B23&gt;0,'Tabela de Pedidos'!$G$5,"")</f>
        <v/>
      </c>
      <c r="E23" s="27" t="str">
        <f t="shared" si="1"/>
        <v/>
      </c>
      <c r="F23" s="26" t="str">
        <f t="shared" si="0"/>
        <v/>
      </c>
    </row>
    <row r="24" spans="1:6" x14ac:dyDescent="0.3">
      <c r="A24" s="27">
        <v>7898714762566</v>
      </c>
      <c r="D24" s="27" t="str">
        <f>IF(B24&gt;0,'Tabela de Pedidos'!$G$5,"")</f>
        <v/>
      </c>
      <c r="E24" s="27" t="str">
        <f t="shared" si="1"/>
        <v/>
      </c>
      <c r="F24" s="26" t="str">
        <f t="shared" si="0"/>
        <v/>
      </c>
    </row>
    <row r="25" spans="1:6" x14ac:dyDescent="0.3">
      <c r="A25" s="27">
        <v>7898330222123</v>
      </c>
      <c r="D25" s="27" t="str">
        <f>IF(B25&gt;0,'Tabela de Pedidos'!$G$5,"")</f>
        <v/>
      </c>
      <c r="E25" s="27" t="str">
        <f t="shared" si="1"/>
        <v/>
      </c>
      <c r="F25" s="26" t="str">
        <f t="shared" si="0"/>
        <v/>
      </c>
    </row>
    <row r="26" spans="1:6" x14ac:dyDescent="0.3">
      <c r="A26" s="27">
        <v>7898714762078</v>
      </c>
      <c r="D26" s="27" t="str">
        <f>IF(B26&gt;0,'Tabela de Pedidos'!$G$5,"")</f>
        <v/>
      </c>
      <c r="E26" s="27" t="str">
        <f t="shared" si="1"/>
        <v/>
      </c>
      <c r="F26" s="26" t="str">
        <f t="shared" si="0"/>
        <v/>
      </c>
    </row>
    <row r="27" spans="1:6" x14ac:dyDescent="0.3">
      <c r="A27" s="27">
        <v>7898330226589</v>
      </c>
      <c r="D27" s="27" t="str">
        <f>IF(B27&gt;0,'Tabela de Pedidos'!$G$5,"")</f>
        <v/>
      </c>
      <c r="E27" s="27" t="str">
        <f t="shared" si="1"/>
        <v/>
      </c>
      <c r="F27" s="26" t="str">
        <f t="shared" si="0"/>
        <v/>
      </c>
    </row>
    <row r="28" spans="1:6" x14ac:dyDescent="0.3">
      <c r="A28" s="27">
        <v>7898714762092</v>
      </c>
      <c r="D28" s="27" t="str">
        <f>IF(B28&gt;0,'Tabela de Pedidos'!$G$5,"")</f>
        <v/>
      </c>
      <c r="E28" s="27" t="str">
        <f t="shared" si="1"/>
        <v/>
      </c>
      <c r="F28" s="26" t="str">
        <f t="shared" si="0"/>
        <v/>
      </c>
    </row>
    <row r="29" spans="1:6" x14ac:dyDescent="0.3">
      <c r="A29" s="27">
        <v>7898714760159</v>
      </c>
      <c r="D29" s="27" t="str">
        <f>IF(B29&gt;0,'Tabela de Pedidos'!$G$5,"")</f>
        <v/>
      </c>
      <c r="E29" s="27" t="str">
        <f t="shared" si="1"/>
        <v/>
      </c>
      <c r="F29" s="26" t="str">
        <f t="shared" si="0"/>
        <v/>
      </c>
    </row>
    <row r="30" spans="1:6" x14ac:dyDescent="0.3">
      <c r="A30" s="27">
        <v>7898714762764</v>
      </c>
      <c r="D30" s="27" t="str">
        <f>IF(B30&gt;0,'Tabela de Pedidos'!$G$5,"")</f>
        <v/>
      </c>
      <c r="E30" s="27" t="str">
        <f t="shared" si="1"/>
        <v/>
      </c>
      <c r="F30" s="26" t="str">
        <f t="shared" si="0"/>
        <v/>
      </c>
    </row>
    <row r="31" spans="1:6" x14ac:dyDescent="0.3">
      <c r="A31" s="27">
        <v>7898714760166</v>
      </c>
      <c r="D31" s="27" t="str">
        <f>IF(B31&gt;0,'Tabela de Pedidos'!$G$5,"")</f>
        <v/>
      </c>
      <c r="E31" s="27" t="str">
        <f t="shared" si="1"/>
        <v/>
      </c>
      <c r="F31" s="26" t="str">
        <f t="shared" si="0"/>
        <v/>
      </c>
    </row>
    <row r="32" spans="1:6" x14ac:dyDescent="0.3">
      <c r="A32" s="27">
        <v>7898714763686</v>
      </c>
      <c r="D32" s="27" t="str">
        <f>IF(B32&gt;0,'Tabela de Pedidos'!$G$5,"")</f>
        <v/>
      </c>
      <c r="E32" s="27" t="str">
        <f t="shared" si="1"/>
        <v/>
      </c>
      <c r="F32" s="26" t="str">
        <f t="shared" si="0"/>
        <v/>
      </c>
    </row>
    <row r="33" spans="1:6" x14ac:dyDescent="0.3">
      <c r="A33" s="27">
        <v>7898714760173</v>
      </c>
      <c r="D33" s="27" t="str">
        <f>IF(B33&gt;0,'Tabela de Pedidos'!$G$5,"")</f>
        <v/>
      </c>
      <c r="E33" s="27" t="str">
        <f t="shared" si="1"/>
        <v/>
      </c>
      <c r="F33" s="26" t="str">
        <f t="shared" si="0"/>
        <v/>
      </c>
    </row>
    <row r="34" spans="1:6" x14ac:dyDescent="0.3">
      <c r="A34" s="27">
        <v>7898714762368</v>
      </c>
      <c r="D34" s="27" t="str">
        <f>IF(B34&gt;0,'Tabela de Pedidos'!$G$5,"")</f>
        <v/>
      </c>
      <c r="E34" s="27" t="str">
        <f t="shared" si="1"/>
        <v/>
      </c>
      <c r="F34" s="26" t="str">
        <f t="shared" si="0"/>
        <v/>
      </c>
    </row>
    <row r="35" spans="1:6" x14ac:dyDescent="0.3">
      <c r="A35" s="27">
        <v>7898714760180</v>
      </c>
      <c r="D35" s="27" t="str">
        <f>IF(B35&gt;0,'Tabela de Pedidos'!$G$5,"")</f>
        <v/>
      </c>
      <c r="E35" s="27" t="str">
        <f t="shared" si="1"/>
        <v/>
      </c>
      <c r="F35" s="26" t="str">
        <f t="shared" si="0"/>
        <v/>
      </c>
    </row>
    <row r="36" spans="1:6" x14ac:dyDescent="0.3">
      <c r="A36" s="27">
        <v>7898714763143</v>
      </c>
      <c r="D36" s="27" t="str">
        <f>IF(B36&gt;0,'Tabela de Pedidos'!$G$5,"")</f>
        <v/>
      </c>
      <c r="E36" s="27" t="str">
        <f t="shared" si="1"/>
        <v/>
      </c>
      <c r="F36" s="26" t="str">
        <f t="shared" ref="F36:F67" si="2">IF(B36&gt;0,B36,"")</f>
        <v/>
      </c>
    </row>
    <row r="37" spans="1:6" x14ac:dyDescent="0.3">
      <c r="A37" s="27">
        <v>7898714760197</v>
      </c>
      <c r="D37" s="27" t="str">
        <f>IF(B37&gt;0,'Tabela de Pedidos'!$G$5,"")</f>
        <v/>
      </c>
      <c r="E37" s="27" t="str">
        <f t="shared" si="1"/>
        <v/>
      </c>
      <c r="F37" s="26" t="str">
        <f t="shared" si="2"/>
        <v/>
      </c>
    </row>
    <row r="38" spans="1:6" x14ac:dyDescent="0.3">
      <c r="A38" s="27">
        <v>7898714762931</v>
      </c>
      <c r="D38" s="27" t="str">
        <f>IF(B38&gt;0,'Tabela de Pedidos'!$G$5,"")</f>
        <v/>
      </c>
      <c r="E38" s="27" t="str">
        <f t="shared" si="1"/>
        <v/>
      </c>
      <c r="F38" s="26" t="str">
        <f t="shared" si="2"/>
        <v/>
      </c>
    </row>
    <row r="39" spans="1:6" x14ac:dyDescent="0.3">
      <c r="A39" s="27">
        <v>7898714760449</v>
      </c>
      <c r="D39" s="27" t="str">
        <f>IF(B39&gt;0,'Tabela de Pedidos'!$G$5,"")</f>
        <v/>
      </c>
      <c r="E39" s="27" t="str">
        <f t="shared" si="1"/>
        <v/>
      </c>
      <c r="F39" s="26" t="str">
        <f t="shared" si="2"/>
        <v/>
      </c>
    </row>
    <row r="40" spans="1:6" x14ac:dyDescent="0.3">
      <c r="A40" s="27">
        <v>7898714763341</v>
      </c>
      <c r="D40" s="27" t="str">
        <f>IF(B40&gt;0,'Tabela de Pedidos'!$G$5,"")</f>
        <v/>
      </c>
      <c r="E40" s="27" t="str">
        <f t="shared" si="1"/>
        <v/>
      </c>
      <c r="F40" s="26" t="str">
        <f t="shared" si="2"/>
        <v/>
      </c>
    </row>
    <row r="41" spans="1:6" x14ac:dyDescent="0.3">
      <c r="A41" s="27">
        <v>7898714760678</v>
      </c>
      <c r="D41" s="27" t="str">
        <f>IF(B41&gt;0,'Tabela de Pedidos'!$G$5,"")</f>
        <v/>
      </c>
      <c r="E41" s="27" t="str">
        <f t="shared" si="1"/>
        <v/>
      </c>
      <c r="F41" s="26" t="str">
        <f t="shared" si="2"/>
        <v/>
      </c>
    </row>
    <row r="42" spans="1:6" x14ac:dyDescent="0.3">
      <c r="A42" s="27">
        <v>7898714762443</v>
      </c>
      <c r="D42" s="27" t="str">
        <f>IF(B42&gt;0,'Tabela de Pedidos'!$G$5,"")</f>
        <v/>
      </c>
      <c r="E42" s="27" t="str">
        <f t="shared" si="1"/>
        <v/>
      </c>
      <c r="F42" s="26" t="str">
        <f t="shared" si="2"/>
        <v/>
      </c>
    </row>
    <row r="43" spans="1:6" x14ac:dyDescent="0.3">
      <c r="A43" s="27">
        <v>7898714760685</v>
      </c>
      <c r="D43" s="27" t="str">
        <f>IF(B43&gt;0,'Tabela de Pedidos'!$G$5,"")</f>
        <v/>
      </c>
      <c r="E43" s="27" t="str">
        <f t="shared" si="1"/>
        <v/>
      </c>
      <c r="F43" s="26" t="str">
        <f t="shared" si="2"/>
        <v/>
      </c>
    </row>
    <row r="44" spans="1:6" x14ac:dyDescent="0.3">
      <c r="A44" s="27">
        <v>7898714762238</v>
      </c>
      <c r="D44" s="27" t="str">
        <f>IF(B44&gt;0,'Tabela de Pedidos'!$G$5,"")</f>
        <v/>
      </c>
      <c r="E44" s="27" t="str">
        <f t="shared" si="1"/>
        <v/>
      </c>
      <c r="F44" s="26" t="str">
        <f t="shared" si="2"/>
        <v/>
      </c>
    </row>
    <row r="45" spans="1:6" x14ac:dyDescent="0.3">
      <c r="A45" s="27">
        <v>7898714760692</v>
      </c>
      <c r="D45" s="27" t="str">
        <f>IF(B45&gt;0,'Tabela de Pedidos'!$G$5,"")</f>
        <v/>
      </c>
      <c r="E45" s="27" t="str">
        <f t="shared" si="1"/>
        <v/>
      </c>
      <c r="F45" s="26" t="str">
        <f t="shared" si="2"/>
        <v/>
      </c>
    </row>
    <row r="46" spans="1:6" x14ac:dyDescent="0.3">
      <c r="A46" s="27">
        <v>7898714763372</v>
      </c>
      <c r="D46" s="27" t="str">
        <f>IF(B46&gt;0,'Tabela de Pedidos'!$G$5,"")</f>
        <v/>
      </c>
      <c r="E46" s="27" t="str">
        <f t="shared" si="1"/>
        <v/>
      </c>
      <c r="F46" s="26" t="str">
        <f t="shared" si="2"/>
        <v/>
      </c>
    </row>
    <row r="47" spans="1:6" x14ac:dyDescent="0.3">
      <c r="A47" s="27">
        <v>7898714761040</v>
      </c>
      <c r="D47" s="27" t="str">
        <f>IF(B47&gt;0,'Tabela de Pedidos'!$G$5,"")</f>
        <v/>
      </c>
      <c r="E47" s="27" t="str">
        <f t="shared" si="1"/>
        <v/>
      </c>
      <c r="F47" s="26" t="str">
        <f t="shared" si="2"/>
        <v/>
      </c>
    </row>
    <row r="48" spans="1:6" x14ac:dyDescent="0.3">
      <c r="A48" s="27">
        <v>7898714762467</v>
      </c>
      <c r="D48" s="27" t="str">
        <f>IF(B48&gt;0,'Tabela de Pedidos'!$G$5,"")</f>
        <v/>
      </c>
      <c r="E48" s="27" t="str">
        <f t="shared" si="1"/>
        <v/>
      </c>
      <c r="F48" s="26" t="str">
        <f t="shared" si="2"/>
        <v/>
      </c>
    </row>
    <row r="49" spans="1:6" x14ac:dyDescent="0.3">
      <c r="A49" s="27">
        <v>7898714761071</v>
      </c>
      <c r="D49" s="27" t="str">
        <f>IF(B49&gt;0,'Tabela de Pedidos'!$G$5,"")</f>
        <v/>
      </c>
      <c r="E49" s="27" t="str">
        <f t="shared" si="1"/>
        <v/>
      </c>
      <c r="F49" s="26" t="str">
        <f t="shared" si="2"/>
        <v/>
      </c>
    </row>
    <row r="50" spans="1:6" x14ac:dyDescent="0.3">
      <c r="A50" s="27">
        <v>7898714762047</v>
      </c>
      <c r="D50" s="27" t="str">
        <f>IF(B50&gt;0,'Tabela de Pedidos'!$G$5,"")</f>
        <v/>
      </c>
      <c r="E50" s="27" t="str">
        <f t="shared" si="1"/>
        <v/>
      </c>
      <c r="F50" s="26" t="str">
        <f t="shared" si="2"/>
        <v/>
      </c>
    </row>
    <row r="51" spans="1:6" x14ac:dyDescent="0.3">
      <c r="A51" s="27">
        <v>7898714761286</v>
      </c>
      <c r="D51" s="27" t="str">
        <f>IF(B51&gt;0,'Tabela de Pedidos'!$G$5,"")</f>
        <v/>
      </c>
      <c r="E51" s="27" t="str">
        <f t="shared" si="1"/>
        <v/>
      </c>
      <c r="F51" s="26" t="str">
        <f t="shared" si="2"/>
        <v/>
      </c>
    </row>
    <row r="52" spans="1:6" x14ac:dyDescent="0.3">
      <c r="A52" s="27">
        <v>7898714763020</v>
      </c>
      <c r="D52" s="27" t="str">
        <f>IF(B52&gt;0,'Tabela de Pedidos'!$G$5,"")</f>
        <v/>
      </c>
      <c r="E52" s="27" t="str">
        <f t="shared" si="1"/>
        <v/>
      </c>
      <c r="F52" s="26" t="str">
        <f t="shared" si="2"/>
        <v/>
      </c>
    </row>
    <row r="53" spans="1:6" x14ac:dyDescent="0.3">
      <c r="A53" s="27">
        <v>7898714761347</v>
      </c>
      <c r="D53" s="27" t="str">
        <f>IF(B53&gt;0,'Tabela de Pedidos'!$G$5,"")</f>
        <v/>
      </c>
      <c r="E53" s="27" t="str">
        <f t="shared" si="1"/>
        <v/>
      </c>
      <c r="F53" s="26" t="str">
        <f t="shared" si="2"/>
        <v/>
      </c>
    </row>
    <row r="54" spans="1:6" x14ac:dyDescent="0.3">
      <c r="A54" s="27">
        <v>7898714762290</v>
      </c>
      <c r="D54" s="27" t="str">
        <f>IF(B54&gt;0,'Tabela de Pedidos'!$G$5,"")</f>
        <v/>
      </c>
      <c r="E54" s="27" t="str">
        <f t="shared" si="1"/>
        <v/>
      </c>
      <c r="F54" s="26" t="str">
        <f t="shared" si="2"/>
        <v/>
      </c>
    </row>
    <row r="55" spans="1:6" x14ac:dyDescent="0.3">
      <c r="A55" s="27">
        <v>7898714761453</v>
      </c>
      <c r="D55" s="27" t="str">
        <f>IF(B55&gt;0,'Tabela de Pedidos'!$G$5,"")</f>
        <v/>
      </c>
      <c r="E55" s="27" t="str">
        <f t="shared" si="1"/>
        <v/>
      </c>
      <c r="F55" s="26" t="str">
        <f t="shared" si="2"/>
        <v/>
      </c>
    </row>
    <row r="56" spans="1:6" x14ac:dyDescent="0.3">
      <c r="A56" s="27">
        <v>7898714763709</v>
      </c>
      <c r="D56" s="27" t="str">
        <f>IF(B56&gt;0,'Tabela de Pedidos'!$G$5,"")</f>
        <v/>
      </c>
      <c r="E56" s="27" t="str">
        <f t="shared" si="1"/>
        <v/>
      </c>
      <c r="F56" s="26" t="str">
        <f t="shared" si="2"/>
        <v/>
      </c>
    </row>
    <row r="57" spans="1:6" x14ac:dyDescent="0.3">
      <c r="A57" s="27">
        <v>7898714761477</v>
      </c>
      <c r="D57" s="27" t="str">
        <f>IF(B57&gt;0,'Tabela de Pedidos'!$G$5,"")</f>
        <v/>
      </c>
      <c r="E57" s="27" t="str">
        <f t="shared" si="1"/>
        <v/>
      </c>
      <c r="F57" s="26" t="str">
        <f t="shared" si="2"/>
        <v/>
      </c>
    </row>
    <row r="58" spans="1:6" x14ac:dyDescent="0.3">
      <c r="A58" s="27">
        <v>7898714762757</v>
      </c>
      <c r="D58" s="27" t="str">
        <f>IF(B58&gt;0,'Tabela de Pedidos'!$G$5,"")</f>
        <v/>
      </c>
      <c r="E58" s="27" t="str">
        <f t="shared" si="1"/>
        <v/>
      </c>
      <c r="F58" s="26" t="str">
        <f t="shared" si="2"/>
        <v/>
      </c>
    </row>
    <row r="59" spans="1:6" x14ac:dyDescent="0.3">
      <c r="A59" s="27">
        <v>7898714761484</v>
      </c>
      <c r="D59" s="27" t="str">
        <f>IF(B59&gt;0,'Tabela de Pedidos'!$G$5,"")</f>
        <v/>
      </c>
      <c r="E59" s="27" t="str">
        <f t="shared" si="1"/>
        <v/>
      </c>
      <c r="F59" s="26" t="str">
        <f t="shared" si="2"/>
        <v/>
      </c>
    </row>
    <row r="60" spans="1:6" x14ac:dyDescent="0.3">
      <c r="A60" s="27">
        <v>7898714762726</v>
      </c>
      <c r="D60" s="27" t="str">
        <f>IF(B60&gt;0,'Tabela de Pedidos'!$G$5,"")</f>
        <v/>
      </c>
      <c r="E60" s="27" t="str">
        <f t="shared" si="1"/>
        <v/>
      </c>
      <c r="F60" s="26" t="str">
        <f t="shared" si="2"/>
        <v/>
      </c>
    </row>
    <row r="61" spans="1:6" x14ac:dyDescent="0.3">
      <c r="A61" s="27">
        <v>7898714761491</v>
      </c>
      <c r="D61" s="27" t="str">
        <f>IF(B61&gt;0,'Tabela de Pedidos'!$G$5,"")</f>
        <v/>
      </c>
      <c r="E61" s="27" t="str">
        <f t="shared" si="1"/>
        <v/>
      </c>
      <c r="F61" s="26" t="str">
        <f t="shared" si="2"/>
        <v/>
      </c>
    </row>
    <row r="62" spans="1:6" x14ac:dyDescent="0.3">
      <c r="A62" s="27">
        <v>7898714760999</v>
      </c>
      <c r="D62" s="27" t="str">
        <f>IF(B62&gt;0,'Tabela de Pedidos'!$G$5,"")</f>
        <v/>
      </c>
      <c r="E62" s="27" t="str">
        <f t="shared" si="1"/>
        <v/>
      </c>
      <c r="F62" s="26" t="str">
        <f t="shared" si="2"/>
        <v/>
      </c>
    </row>
    <row r="63" spans="1:6" x14ac:dyDescent="0.3">
      <c r="A63" s="27">
        <v>7898714761507</v>
      </c>
      <c r="D63" s="27" t="str">
        <f>IF(B63&gt;0,'Tabela de Pedidos'!$G$5,"")</f>
        <v/>
      </c>
      <c r="E63" s="27" t="str">
        <f t="shared" si="1"/>
        <v/>
      </c>
      <c r="F63" s="26" t="str">
        <f t="shared" si="2"/>
        <v/>
      </c>
    </row>
    <row r="64" spans="1:6" x14ac:dyDescent="0.3">
      <c r="A64" s="27">
        <v>7898714762320</v>
      </c>
      <c r="D64" s="27" t="str">
        <f>IF(B64&gt;0,'Tabela de Pedidos'!$G$5,"")</f>
        <v/>
      </c>
      <c r="E64" s="27" t="str">
        <f t="shared" si="1"/>
        <v/>
      </c>
      <c r="F64" s="26" t="str">
        <f t="shared" si="2"/>
        <v/>
      </c>
    </row>
    <row r="65" spans="1:6" x14ac:dyDescent="0.3">
      <c r="A65" s="27">
        <v>7898714761514</v>
      </c>
      <c r="D65" s="27" t="str">
        <f>IF(B65&gt;0,'Tabela de Pedidos'!$G$5,"")</f>
        <v/>
      </c>
      <c r="E65" s="27" t="str">
        <f t="shared" si="1"/>
        <v/>
      </c>
      <c r="F65" s="26" t="str">
        <f t="shared" si="2"/>
        <v/>
      </c>
    </row>
    <row r="66" spans="1:6" x14ac:dyDescent="0.3">
      <c r="A66" s="27">
        <v>7898714762375</v>
      </c>
      <c r="D66" s="27" t="str">
        <f>IF(B66&gt;0,'Tabela de Pedidos'!$G$5,"")</f>
        <v/>
      </c>
      <c r="E66" s="27" t="str">
        <f t="shared" si="1"/>
        <v/>
      </c>
      <c r="F66" s="26" t="str">
        <f t="shared" si="2"/>
        <v/>
      </c>
    </row>
    <row r="67" spans="1:6" x14ac:dyDescent="0.3">
      <c r="A67" s="27">
        <v>7898714761521</v>
      </c>
      <c r="D67" s="27" t="str">
        <f>IF(B67&gt;0,'Tabela de Pedidos'!$G$5,"")</f>
        <v/>
      </c>
      <c r="E67" s="27" t="str">
        <f t="shared" si="1"/>
        <v/>
      </c>
      <c r="F67" s="26" t="str">
        <f t="shared" si="2"/>
        <v/>
      </c>
    </row>
    <row r="68" spans="1:6" x14ac:dyDescent="0.3">
      <c r="A68" s="27">
        <v>7898714764010</v>
      </c>
      <c r="D68" s="27" t="str">
        <f>IF(B68&gt;0,'Tabela de Pedidos'!$G$5,"")</f>
        <v/>
      </c>
      <c r="E68" s="27" t="str">
        <f t="shared" si="1"/>
        <v/>
      </c>
      <c r="F68" s="26" t="str">
        <f t="shared" ref="F68:F78" si="3">IF(B68&gt;0,B68,"")</f>
        <v/>
      </c>
    </row>
    <row r="69" spans="1:6" x14ac:dyDescent="0.3">
      <c r="A69" s="27">
        <v>7898714761651</v>
      </c>
      <c r="D69" s="27" t="str">
        <f>IF(B69&gt;0,'Tabela de Pedidos'!$G$5,"")</f>
        <v/>
      </c>
      <c r="E69" s="27" t="str">
        <f t="shared" ref="E69:E78" si="4">IF(B69&gt;0,A69,"")</f>
        <v/>
      </c>
      <c r="F69" s="26" t="str">
        <f t="shared" si="3"/>
        <v/>
      </c>
    </row>
    <row r="70" spans="1:6" x14ac:dyDescent="0.3">
      <c r="A70" s="27">
        <v>7898714764294</v>
      </c>
      <c r="D70" s="27" t="str">
        <f>IF(B70&gt;0,'Tabela de Pedidos'!$G$5,"")</f>
        <v/>
      </c>
      <c r="E70" s="27" t="str">
        <f t="shared" si="4"/>
        <v/>
      </c>
      <c r="F70" s="26" t="str">
        <f t="shared" si="3"/>
        <v/>
      </c>
    </row>
    <row r="71" spans="1:6" x14ac:dyDescent="0.3">
      <c r="A71" s="27">
        <v>7898714761668</v>
      </c>
      <c r="D71" s="27" t="str">
        <f>IF(B71&gt;0,'Tabela de Pedidos'!$G$5,"")</f>
        <v/>
      </c>
      <c r="E71" s="27" t="str">
        <f t="shared" si="4"/>
        <v/>
      </c>
      <c r="F71" s="26" t="str">
        <f t="shared" si="3"/>
        <v/>
      </c>
    </row>
    <row r="72" spans="1:6" x14ac:dyDescent="0.3">
      <c r="A72" s="27">
        <v>7898714764362</v>
      </c>
      <c r="D72" s="27" t="str">
        <f>IF(B72&gt;0,'Tabela de Pedidos'!$G$5,"")</f>
        <v/>
      </c>
      <c r="E72" s="27" t="str">
        <f t="shared" si="4"/>
        <v/>
      </c>
      <c r="F72" s="26" t="str">
        <f t="shared" si="3"/>
        <v/>
      </c>
    </row>
    <row r="73" spans="1:6" x14ac:dyDescent="0.3">
      <c r="A73" s="27">
        <v>7898714761743</v>
      </c>
      <c r="D73" s="27" t="str">
        <f>IF(B73&gt;0,'Tabela de Pedidos'!$G$5,"")</f>
        <v/>
      </c>
      <c r="E73" s="27" t="str">
        <f t="shared" si="4"/>
        <v/>
      </c>
      <c r="F73" s="26" t="str">
        <f t="shared" si="3"/>
        <v/>
      </c>
    </row>
    <row r="74" spans="1:6" x14ac:dyDescent="0.3">
      <c r="A74" s="27">
        <v>7898714761033</v>
      </c>
      <c r="D74" s="27" t="str">
        <f>IF(B74&gt;0,'Tabela de Pedidos'!$G$5,"")</f>
        <v/>
      </c>
      <c r="E74" s="27" t="str">
        <f t="shared" si="4"/>
        <v/>
      </c>
      <c r="F74" s="26" t="str">
        <f t="shared" si="3"/>
        <v/>
      </c>
    </row>
    <row r="75" spans="1:6" x14ac:dyDescent="0.3">
      <c r="A75" s="27">
        <v>7898714761750</v>
      </c>
      <c r="D75" s="27" t="str">
        <f>IF(B75&gt;0,'Tabela de Pedidos'!$G$5,"")</f>
        <v/>
      </c>
      <c r="E75" s="27" t="str">
        <f t="shared" si="4"/>
        <v/>
      </c>
      <c r="F75" s="26" t="str">
        <f t="shared" si="3"/>
        <v/>
      </c>
    </row>
    <row r="76" spans="1:6" x14ac:dyDescent="0.3">
      <c r="A76" s="27">
        <v>7898714762948</v>
      </c>
      <c r="D76" s="27" t="str">
        <f>IF(B76&gt;0,'Tabela de Pedidos'!$G$5,"")</f>
        <v/>
      </c>
      <c r="E76" s="27" t="str">
        <f t="shared" si="4"/>
        <v/>
      </c>
      <c r="F76" s="26" t="str">
        <f t="shared" si="3"/>
        <v/>
      </c>
    </row>
    <row r="77" spans="1:6" x14ac:dyDescent="0.3">
      <c r="A77" s="27">
        <v>7898714761767</v>
      </c>
      <c r="D77" s="27" t="str">
        <f>IF(B77&gt;0,'Tabela de Pedidos'!$G$5,"")</f>
        <v/>
      </c>
      <c r="E77" s="27" t="str">
        <f t="shared" si="4"/>
        <v/>
      </c>
      <c r="F77" s="26" t="str">
        <f t="shared" si="3"/>
        <v/>
      </c>
    </row>
    <row r="78" spans="1:6" x14ac:dyDescent="0.3">
      <c r="A78" s="27">
        <v>7898714761620</v>
      </c>
      <c r="D78" s="27" t="str">
        <f>IF(B78&gt;0,'Tabela de Pedidos'!$G$5,"")</f>
        <v/>
      </c>
      <c r="E78" s="27" t="str">
        <f t="shared" si="4"/>
        <v/>
      </c>
      <c r="F78" s="26" t="str">
        <f t="shared" si="3"/>
        <v/>
      </c>
    </row>
    <row r="79" spans="1:6" x14ac:dyDescent="0.3">
      <c r="A79" s="27">
        <v>7898714761774</v>
      </c>
    </row>
    <row r="80" spans="1:6" x14ac:dyDescent="0.3">
      <c r="A80" s="27">
        <v>7898714763358</v>
      </c>
    </row>
    <row r="81" spans="1:1" x14ac:dyDescent="0.3">
      <c r="A81" s="27">
        <v>7898714761910</v>
      </c>
    </row>
    <row r="82" spans="1:1" x14ac:dyDescent="0.3">
      <c r="A82" s="27">
        <v>7898330224004</v>
      </c>
    </row>
    <row r="83" spans="1:1" x14ac:dyDescent="0.3">
      <c r="A83" s="27">
        <v>7898714761927</v>
      </c>
    </row>
    <row r="84" spans="1:1" x14ac:dyDescent="0.3">
      <c r="A84" s="27">
        <v>7898714761699</v>
      </c>
    </row>
    <row r="85" spans="1:1" x14ac:dyDescent="0.3">
      <c r="A85" s="27">
        <v>7898714761934</v>
      </c>
    </row>
    <row r="86" spans="1:1" x14ac:dyDescent="0.3">
      <c r="A86" s="27">
        <v>7898714762115</v>
      </c>
    </row>
    <row r="87" spans="1:1" x14ac:dyDescent="0.3">
      <c r="A87" s="27">
        <v>7898714761941</v>
      </c>
    </row>
    <row r="88" spans="1:1" x14ac:dyDescent="0.3">
      <c r="A88" s="27">
        <v>7898714762245</v>
      </c>
    </row>
    <row r="89" spans="1:1" x14ac:dyDescent="0.3">
      <c r="A89" s="27" t="s">
        <v>300</v>
      </c>
    </row>
    <row r="90" spans="1:1" x14ac:dyDescent="0.3">
      <c r="A90" s="27">
        <v>7898714762474</v>
      </c>
    </row>
    <row r="91" spans="1:1" x14ac:dyDescent="0.3">
      <c r="A91" s="27">
        <v>7898714763426</v>
      </c>
    </row>
    <row r="92" spans="1:1" x14ac:dyDescent="0.3">
      <c r="A92" s="27">
        <v>7898714762054</v>
      </c>
    </row>
    <row r="93" spans="1:1" x14ac:dyDescent="0.3">
      <c r="A93" s="27">
        <v>7898714763402</v>
      </c>
    </row>
    <row r="94" spans="1:1" x14ac:dyDescent="0.3">
      <c r="A94" s="27">
        <v>7898714763419</v>
      </c>
    </row>
    <row r="95" spans="1:1" x14ac:dyDescent="0.3">
      <c r="A95" s="27">
        <v>7898714763389</v>
      </c>
    </row>
    <row r="96" spans="1:1" x14ac:dyDescent="0.3">
      <c r="A96" s="27">
        <v>7898714762603</v>
      </c>
    </row>
    <row r="97" spans="1:1" x14ac:dyDescent="0.3">
      <c r="A97" s="27">
        <v>7898714761088</v>
      </c>
    </row>
    <row r="98" spans="1:1" x14ac:dyDescent="0.3">
      <c r="A98" s="27">
        <v>7898714763440</v>
      </c>
    </row>
    <row r="99" spans="1:1" x14ac:dyDescent="0.3">
      <c r="A99" s="27">
        <v>7898714762689</v>
      </c>
    </row>
    <row r="100" spans="1:1" x14ac:dyDescent="0.3">
      <c r="A100" s="27">
        <v>7898714762771</v>
      </c>
    </row>
    <row r="101" spans="1:1" x14ac:dyDescent="0.3">
      <c r="A101" s="27">
        <v>7898714763853</v>
      </c>
    </row>
    <row r="102" spans="1:1" x14ac:dyDescent="0.3">
      <c r="A102" s="27">
        <v>7898714762276</v>
      </c>
    </row>
    <row r="103" spans="1:1" x14ac:dyDescent="0.3">
      <c r="A103" s="27">
        <v>7898714763884</v>
      </c>
    </row>
    <row r="104" spans="1:1" x14ac:dyDescent="0.3">
      <c r="A104" s="27">
        <v>7898714763037</v>
      </c>
    </row>
    <row r="105" spans="1:1" x14ac:dyDescent="0.3">
      <c r="A105" s="27">
        <v>7898714762221</v>
      </c>
    </row>
    <row r="106" spans="1:1" x14ac:dyDescent="0.3">
      <c r="A106" s="27">
        <v>7898714763600</v>
      </c>
    </row>
    <row r="107" spans="1:1" x14ac:dyDescent="0.3">
      <c r="A107" s="27">
        <v>7898714763464</v>
      </c>
    </row>
    <row r="108" spans="1:1" x14ac:dyDescent="0.3">
      <c r="A108" s="27">
        <v>7898714762085</v>
      </c>
    </row>
    <row r="109" spans="1:1" x14ac:dyDescent="0.3">
      <c r="A109" s="27">
        <v>7898714763457</v>
      </c>
    </row>
    <row r="110" spans="1:1" x14ac:dyDescent="0.3">
      <c r="A110" s="27">
        <v>7898714763693</v>
      </c>
    </row>
    <row r="111" spans="1:1" x14ac:dyDescent="0.3">
      <c r="A111" s="27">
        <v>7898714762191</v>
      </c>
    </row>
    <row r="112" spans="1:1" x14ac:dyDescent="0.3">
      <c r="A112" s="27">
        <v>7898714763433</v>
      </c>
    </row>
    <row r="113" spans="1:1" x14ac:dyDescent="0.3">
      <c r="A113" s="27">
        <v>7898714762542</v>
      </c>
    </row>
    <row r="114" spans="1:1" x14ac:dyDescent="0.3">
      <c r="A114" s="27">
        <v>7898714762740</v>
      </c>
    </row>
    <row r="115" spans="1:1" x14ac:dyDescent="0.3">
      <c r="A115" s="27">
        <v>7898714763976</v>
      </c>
    </row>
    <row r="116" spans="1:1" x14ac:dyDescent="0.3">
      <c r="A116" s="27">
        <v>7898714762900</v>
      </c>
    </row>
    <row r="117" spans="1:1" x14ac:dyDescent="0.3">
      <c r="A117" s="27">
        <v>7898714763204</v>
      </c>
    </row>
    <row r="118" spans="1:1" x14ac:dyDescent="0.3">
      <c r="A118" s="27">
        <v>7898714762719</v>
      </c>
    </row>
    <row r="119" spans="1:1" x14ac:dyDescent="0.3">
      <c r="A119" s="27">
        <v>7898714763228</v>
      </c>
    </row>
    <row r="120" spans="1:1" x14ac:dyDescent="0.3">
      <c r="A120" s="27">
        <v>7898714763365</v>
      </c>
    </row>
    <row r="121" spans="1:1" x14ac:dyDescent="0.3">
      <c r="A121" s="27">
        <v>7898714763242</v>
      </c>
    </row>
    <row r="122" spans="1:1" x14ac:dyDescent="0.3">
      <c r="A122" s="27">
        <v>7898714760401</v>
      </c>
    </row>
    <row r="123" spans="1:1" x14ac:dyDescent="0.3">
      <c r="A123" s="27">
        <v>7898714763235</v>
      </c>
    </row>
    <row r="124" spans="1:1" x14ac:dyDescent="0.3">
      <c r="A124" s="27">
        <v>7898714763679</v>
      </c>
    </row>
    <row r="125" spans="1:1" x14ac:dyDescent="0.3">
      <c r="A125" s="27">
        <v>7898714763259</v>
      </c>
    </row>
    <row r="126" spans="1:1" x14ac:dyDescent="0.3">
      <c r="A126" s="27">
        <v>7898714762306</v>
      </c>
    </row>
    <row r="127" spans="1:1" x14ac:dyDescent="0.3">
      <c r="A127" s="27">
        <v>7898714763983</v>
      </c>
    </row>
    <row r="128" spans="1:1" x14ac:dyDescent="0.3">
      <c r="A128" s="27">
        <v>7898714762788</v>
      </c>
    </row>
    <row r="129" spans="1:1" x14ac:dyDescent="0.3">
      <c r="A129" s="27">
        <v>7898714763266</v>
      </c>
    </row>
    <row r="130" spans="1:1" x14ac:dyDescent="0.3">
      <c r="A130" s="27">
        <v>7898714762344</v>
      </c>
    </row>
    <row r="131" spans="1:1" x14ac:dyDescent="0.3">
      <c r="A131" s="27">
        <v>7898714763273</v>
      </c>
    </row>
    <row r="132" spans="1:1" x14ac:dyDescent="0.3">
      <c r="A132" s="27">
        <v>7898714762351</v>
      </c>
    </row>
    <row r="133" spans="1:1" x14ac:dyDescent="0.3">
      <c r="A133" s="27">
        <v>7898714763297</v>
      </c>
    </row>
    <row r="134" spans="1:1" x14ac:dyDescent="0.3">
      <c r="A134" s="27">
        <v>7898714764003</v>
      </c>
    </row>
    <row r="135" spans="1:1" x14ac:dyDescent="0.3">
      <c r="A135" s="27">
        <v>7898714763280</v>
      </c>
    </row>
    <row r="136" spans="1:1" x14ac:dyDescent="0.3">
      <c r="A136" s="27">
        <v>7898714763730</v>
      </c>
    </row>
    <row r="137" spans="1:1" x14ac:dyDescent="0.3">
      <c r="A137" s="27">
        <v>7898714763303</v>
      </c>
    </row>
    <row r="138" spans="1:1" x14ac:dyDescent="0.3">
      <c r="A138" s="27">
        <v>7898714764034</v>
      </c>
    </row>
    <row r="139" spans="1:1" x14ac:dyDescent="0.3">
      <c r="A139" s="27">
        <v>7898714763167</v>
      </c>
    </row>
    <row r="140" spans="1:1" x14ac:dyDescent="0.3">
      <c r="A140" s="27">
        <v>7898714764300</v>
      </c>
    </row>
    <row r="141" spans="1:1" x14ac:dyDescent="0.3">
      <c r="A141" s="27">
        <v>7898714763174</v>
      </c>
    </row>
    <row r="142" spans="1:1" x14ac:dyDescent="0.3">
      <c r="A142" s="27">
        <v>7898714764263</v>
      </c>
    </row>
    <row r="143" spans="1:1" x14ac:dyDescent="0.3">
      <c r="A143" s="27">
        <v>7898714763198</v>
      </c>
    </row>
    <row r="144" spans="1:1" x14ac:dyDescent="0.3">
      <c r="A144" s="27">
        <v>7898714764102</v>
      </c>
    </row>
    <row r="145" spans="1:1" x14ac:dyDescent="0.3">
      <c r="A145" s="27">
        <v>7898714763969</v>
      </c>
    </row>
    <row r="146" spans="1:1" x14ac:dyDescent="0.3">
      <c r="A146" s="27">
        <v>7898714762580</v>
      </c>
    </row>
    <row r="147" spans="1:1" x14ac:dyDescent="0.3">
      <c r="A147" s="27">
        <v>7898714763211</v>
      </c>
    </row>
    <row r="148" spans="1:1" x14ac:dyDescent="0.3">
      <c r="A148" s="27">
        <v>7898714762917</v>
      </c>
    </row>
    <row r="149" spans="1:1" x14ac:dyDescent="0.3">
      <c r="A149" s="27">
        <v>7898714763181</v>
      </c>
    </row>
    <row r="150" spans="1:1" x14ac:dyDescent="0.3">
      <c r="A150" s="27">
        <v>7898714762979</v>
      </c>
    </row>
    <row r="151" spans="1:1" x14ac:dyDescent="0.3">
      <c r="A151" s="27">
        <v>7898714762177</v>
      </c>
    </row>
    <row r="152" spans="1:1" x14ac:dyDescent="0.3">
      <c r="A152" s="27">
        <v>7898714762955</v>
      </c>
    </row>
    <row r="153" spans="1:1" x14ac:dyDescent="0.3">
      <c r="A153" s="27">
        <v>7898714762160</v>
      </c>
    </row>
    <row r="154" spans="1:1" x14ac:dyDescent="0.3">
      <c r="A154" s="27">
        <v>7898714763723</v>
      </c>
    </row>
    <row r="155" spans="1:1" x14ac:dyDescent="0.3">
      <c r="A155" s="27">
        <v>7898714763334</v>
      </c>
    </row>
    <row r="156" spans="1:1" x14ac:dyDescent="0.3">
      <c r="A156" s="27">
        <v>7898330221560</v>
      </c>
    </row>
    <row r="157" spans="1:1" x14ac:dyDescent="0.3">
      <c r="A157" s="27">
        <v>7898714763990</v>
      </c>
    </row>
    <row r="158" spans="1:1" x14ac:dyDescent="0.3">
      <c r="A158" s="19" t="s">
        <v>95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2"/>
  <sheetViews>
    <sheetView workbookViewId="0">
      <selection activeCell="A206" sqref="A206:XFD206"/>
    </sheetView>
  </sheetViews>
  <sheetFormatPr defaultRowHeight="14.4" x14ac:dyDescent="0.3"/>
  <cols>
    <col min="1" max="1" width="5" bestFit="1" customWidth="1"/>
    <col min="2" max="2" width="54.109375" bestFit="1" customWidth="1"/>
    <col min="3" max="5" width="12" style="33" bestFit="1" customWidth="1"/>
  </cols>
  <sheetData>
    <row r="1" spans="1:5" x14ac:dyDescent="0.3">
      <c r="A1" t="s">
        <v>0</v>
      </c>
      <c r="B1" t="s">
        <v>1</v>
      </c>
      <c r="C1" s="33" t="s">
        <v>277</v>
      </c>
      <c r="D1" s="33" t="s">
        <v>278</v>
      </c>
      <c r="E1" s="33" t="s">
        <v>279</v>
      </c>
    </row>
    <row r="2" spans="1:5" x14ac:dyDescent="0.3">
      <c r="A2">
        <v>1321</v>
      </c>
      <c r="B2" t="s">
        <v>149</v>
      </c>
      <c r="C2" s="33">
        <v>15.796934999999998</v>
      </c>
      <c r="D2" s="33">
        <v>9.4781609999999983</v>
      </c>
      <c r="E2" s="33">
        <v>9.7151150249999976</v>
      </c>
    </row>
    <row r="3" spans="1:5" x14ac:dyDescent="0.3">
      <c r="A3">
        <v>1401</v>
      </c>
      <c r="B3" t="s">
        <v>150</v>
      </c>
      <c r="C3" s="33">
        <v>16.974399999999999</v>
      </c>
      <c r="D3" s="33">
        <v>10.18464</v>
      </c>
      <c r="E3" s="33">
        <v>10.49</v>
      </c>
    </row>
    <row r="4" spans="1:5" x14ac:dyDescent="0.3">
      <c r="A4">
        <v>1594</v>
      </c>
      <c r="B4" t="s">
        <v>176</v>
      </c>
      <c r="C4" s="33">
        <v>15.183333333333334</v>
      </c>
      <c r="D4" s="33">
        <v>9.11</v>
      </c>
      <c r="E4" s="33">
        <v>9.1079999999999988</v>
      </c>
    </row>
    <row r="5" spans="1:5" x14ac:dyDescent="0.3">
      <c r="A5">
        <v>1592</v>
      </c>
      <c r="B5" t="s">
        <v>177</v>
      </c>
      <c r="C5" s="33">
        <v>49.833333333333336</v>
      </c>
      <c r="D5" s="33">
        <v>29.9</v>
      </c>
      <c r="E5" s="33">
        <v>29.9</v>
      </c>
    </row>
    <row r="6" spans="1:5" x14ac:dyDescent="0.3">
      <c r="A6">
        <v>1590</v>
      </c>
      <c r="B6" t="s">
        <v>178</v>
      </c>
      <c r="C6" s="33">
        <v>21.5</v>
      </c>
      <c r="D6" s="33">
        <v>12.9</v>
      </c>
      <c r="E6" s="33">
        <v>12.9</v>
      </c>
    </row>
    <row r="7" spans="1:5" x14ac:dyDescent="0.3">
      <c r="A7">
        <v>1376</v>
      </c>
      <c r="B7" t="s">
        <v>136</v>
      </c>
      <c r="C7" s="33">
        <v>15.365952000000002</v>
      </c>
      <c r="D7" s="33">
        <v>9.2195712000000007</v>
      </c>
      <c r="E7" s="33">
        <v>9.49</v>
      </c>
    </row>
    <row r="8" spans="1:5" x14ac:dyDescent="0.3">
      <c r="A8">
        <v>1418</v>
      </c>
      <c r="B8" t="s">
        <v>74</v>
      </c>
      <c r="C8" s="33">
        <v>14.284050299999999</v>
      </c>
      <c r="D8" s="33">
        <v>8.5704301799999989</v>
      </c>
      <c r="E8" s="33">
        <v>8.9</v>
      </c>
    </row>
    <row r="9" spans="1:5" x14ac:dyDescent="0.3">
      <c r="A9">
        <v>1527</v>
      </c>
      <c r="B9" t="s">
        <v>151</v>
      </c>
      <c r="C9" s="33">
        <v>16.5</v>
      </c>
      <c r="D9" s="33">
        <v>9.9</v>
      </c>
      <c r="E9" s="33">
        <v>10.199999999999999</v>
      </c>
    </row>
    <row r="10" spans="1:5" x14ac:dyDescent="0.3">
      <c r="A10">
        <v>1413</v>
      </c>
      <c r="B10" t="s">
        <v>75</v>
      </c>
      <c r="C10" s="33">
        <v>14.269500000000001</v>
      </c>
      <c r="D10" s="33">
        <v>8.5617000000000001</v>
      </c>
      <c r="E10" s="33">
        <v>8.82</v>
      </c>
    </row>
    <row r="11" spans="1:5" x14ac:dyDescent="0.3">
      <c r="A11">
        <v>1215</v>
      </c>
      <c r="B11" t="s">
        <v>9</v>
      </c>
      <c r="C11" s="33">
        <v>25.843463099999997</v>
      </c>
      <c r="D11" s="33">
        <v>15.506077859999998</v>
      </c>
      <c r="E11" s="33">
        <v>15.97</v>
      </c>
    </row>
    <row r="12" spans="1:5" x14ac:dyDescent="0.3">
      <c r="A12">
        <v>1480</v>
      </c>
      <c r="B12" t="s">
        <v>152</v>
      </c>
      <c r="C12" s="33">
        <v>31.5</v>
      </c>
      <c r="D12" s="33">
        <v>18.899999999999999</v>
      </c>
      <c r="E12" s="33">
        <v>18.899999999999999</v>
      </c>
    </row>
    <row r="13" spans="1:5" x14ac:dyDescent="0.3">
      <c r="A13">
        <v>1598</v>
      </c>
      <c r="B13" t="s">
        <v>179</v>
      </c>
      <c r="C13" s="33">
        <v>21.5</v>
      </c>
      <c r="D13" s="33">
        <v>12.9</v>
      </c>
      <c r="E13" s="33">
        <v>12.9</v>
      </c>
    </row>
    <row r="14" spans="1:5" x14ac:dyDescent="0.3">
      <c r="A14">
        <v>1597</v>
      </c>
      <c r="B14" t="s">
        <v>180</v>
      </c>
      <c r="C14" s="33">
        <v>14.833333333333334</v>
      </c>
      <c r="D14" s="33">
        <v>8.9</v>
      </c>
      <c r="E14" s="33">
        <v>8.8979999999999997</v>
      </c>
    </row>
    <row r="15" spans="1:5" x14ac:dyDescent="0.3">
      <c r="A15">
        <v>1230</v>
      </c>
      <c r="B15" t="s">
        <v>15</v>
      </c>
      <c r="C15" s="33">
        <v>34.022800000000004</v>
      </c>
      <c r="D15" s="33">
        <v>20.413680000000003</v>
      </c>
      <c r="E15" s="33">
        <v>20.924022000000001</v>
      </c>
    </row>
    <row r="16" spans="1:5" x14ac:dyDescent="0.3">
      <c r="A16">
        <v>1481</v>
      </c>
      <c r="B16" t="s">
        <v>153</v>
      </c>
      <c r="C16" s="33">
        <v>25.9</v>
      </c>
      <c r="D16" s="33">
        <v>15.54</v>
      </c>
      <c r="E16" s="33">
        <v>16.0062</v>
      </c>
    </row>
    <row r="17" spans="1:5" x14ac:dyDescent="0.3">
      <c r="A17">
        <v>1483</v>
      </c>
      <c r="B17" t="s">
        <v>154</v>
      </c>
      <c r="C17" s="33">
        <v>14.48</v>
      </c>
      <c r="D17" s="33">
        <v>8.6880000000000006</v>
      </c>
      <c r="E17" s="33">
        <v>8.69</v>
      </c>
    </row>
    <row r="18" spans="1:5" x14ac:dyDescent="0.3">
      <c r="A18">
        <v>1224</v>
      </c>
      <c r="B18" t="s">
        <v>24</v>
      </c>
      <c r="C18" s="33">
        <v>35.552396879999996</v>
      </c>
      <c r="D18" s="33">
        <v>21.331438127999998</v>
      </c>
      <c r="E18" s="33">
        <v>21.969899999999999</v>
      </c>
    </row>
    <row r="19" spans="1:5" x14ac:dyDescent="0.3">
      <c r="A19">
        <v>1338</v>
      </c>
      <c r="B19" t="s">
        <v>10</v>
      </c>
      <c r="C19" s="33">
        <v>37.300945499999997</v>
      </c>
      <c r="D19" s="33">
        <v>22.380567299999999</v>
      </c>
      <c r="E19" s="33">
        <v>23.051400000000001</v>
      </c>
    </row>
    <row r="20" spans="1:5" x14ac:dyDescent="0.3">
      <c r="A20">
        <v>1649</v>
      </c>
      <c r="B20" t="s">
        <v>140</v>
      </c>
      <c r="C20" s="33">
        <v>73.166666666666671</v>
      </c>
      <c r="D20" s="33">
        <v>43.9</v>
      </c>
      <c r="E20" s="33">
        <v>43.902000000000001</v>
      </c>
    </row>
    <row r="21" spans="1:5" x14ac:dyDescent="0.3">
      <c r="A21">
        <v>1573</v>
      </c>
      <c r="B21" t="s">
        <v>141</v>
      </c>
      <c r="C21" s="33">
        <v>73.166666666666671</v>
      </c>
      <c r="D21" s="33">
        <v>43.9</v>
      </c>
      <c r="E21" s="33">
        <v>43.902000000000001</v>
      </c>
    </row>
    <row r="22" spans="1:5" x14ac:dyDescent="0.3">
      <c r="A22">
        <v>1574</v>
      </c>
      <c r="B22" t="s">
        <v>155</v>
      </c>
      <c r="C22" s="33">
        <v>73.166666666666671</v>
      </c>
      <c r="D22" s="33">
        <v>43.9</v>
      </c>
      <c r="E22" s="33">
        <v>43.902000000000001</v>
      </c>
    </row>
    <row r="23" spans="1:5" x14ac:dyDescent="0.3">
      <c r="A23">
        <v>1576</v>
      </c>
      <c r="B23" t="s">
        <v>156</v>
      </c>
      <c r="C23" s="33">
        <v>73.166666666666671</v>
      </c>
      <c r="D23" s="33">
        <v>43.9</v>
      </c>
      <c r="E23" s="33">
        <v>43.902000000000001</v>
      </c>
    </row>
    <row r="24" spans="1:5" x14ac:dyDescent="0.3">
      <c r="A24">
        <v>1575</v>
      </c>
      <c r="B24" t="s">
        <v>157</v>
      </c>
      <c r="C24" s="33">
        <v>73.166666666666671</v>
      </c>
      <c r="D24" s="33">
        <v>43.9</v>
      </c>
      <c r="E24" s="33">
        <v>43.902000000000001</v>
      </c>
    </row>
    <row r="25" spans="1:5" x14ac:dyDescent="0.3">
      <c r="A25">
        <v>1577</v>
      </c>
      <c r="B25" t="s">
        <v>158</v>
      </c>
      <c r="C25" s="33">
        <v>73.166666666666671</v>
      </c>
      <c r="D25" s="33">
        <v>43.9</v>
      </c>
      <c r="E25" s="33">
        <v>43.902000000000001</v>
      </c>
    </row>
    <row r="26" spans="1:5" x14ac:dyDescent="0.3">
      <c r="A26">
        <v>1650</v>
      </c>
      <c r="B26" t="s">
        <v>159</v>
      </c>
      <c r="C26" s="33">
        <v>73.166666666666671</v>
      </c>
      <c r="D26" s="33">
        <v>43.9</v>
      </c>
      <c r="E26" s="33">
        <v>43.902000000000001</v>
      </c>
    </row>
    <row r="27" spans="1:5" x14ac:dyDescent="0.3">
      <c r="A27">
        <v>1578</v>
      </c>
      <c r="B27" t="s">
        <v>160</v>
      </c>
      <c r="C27" s="33">
        <v>73.166666666666671</v>
      </c>
      <c r="D27" s="33">
        <v>43.9</v>
      </c>
      <c r="E27" s="33">
        <v>43.902000000000001</v>
      </c>
    </row>
    <row r="28" spans="1:5" x14ac:dyDescent="0.3">
      <c r="A28">
        <v>1579</v>
      </c>
      <c r="B28" t="s">
        <v>161</v>
      </c>
      <c r="C28" s="33">
        <v>73.166666666666671</v>
      </c>
      <c r="D28" s="33">
        <v>43.9</v>
      </c>
      <c r="E28" s="33">
        <v>43.902000000000001</v>
      </c>
    </row>
    <row r="29" spans="1:5" x14ac:dyDescent="0.3">
      <c r="A29">
        <v>1581</v>
      </c>
      <c r="B29" t="s">
        <v>162</v>
      </c>
      <c r="C29" s="33">
        <v>73.166666666666671</v>
      </c>
      <c r="D29" s="33">
        <v>43.9</v>
      </c>
      <c r="E29" s="33">
        <v>43.902000000000001</v>
      </c>
    </row>
    <row r="30" spans="1:5" x14ac:dyDescent="0.3">
      <c r="A30">
        <v>1580</v>
      </c>
      <c r="B30" t="s">
        <v>163</v>
      </c>
      <c r="C30" s="33">
        <v>73.166666666666671</v>
      </c>
      <c r="D30" s="33">
        <v>43.9</v>
      </c>
      <c r="E30" s="33">
        <v>43.902000000000001</v>
      </c>
    </row>
    <row r="31" spans="1:5" x14ac:dyDescent="0.3">
      <c r="A31">
        <v>1582</v>
      </c>
      <c r="B31" t="s">
        <v>164</v>
      </c>
      <c r="C31" s="33">
        <v>73.166666666666671</v>
      </c>
      <c r="D31" s="33">
        <v>43.9</v>
      </c>
      <c r="E31" s="33">
        <v>43.902000000000001</v>
      </c>
    </row>
    <row r="32" spans="1:5" x14ac:dyDescent="0.3">
      <c r="A32">
        <v>1568</v>
      </c>
      <c r="B32" t="s">
        <v>165</v>
      </c>
      <c r="C32" s="33">
        <v>71.5</v>
      </c>
      <c r="D32" s="33">
        <v>42.9</v>
      </c>
      <c r="E32" s="33">
        <v>42.9</v>
      </c>
    </row>
    <row r="33" spans="1:5" x14ac:dyDescent="0.3">
      <c r="A33">
        <v>1569</v>
      </c>
      <c r="B33" t="s">
        <v>166</v>
      </c>
      <c r="C33" s="33">
        <v>71.5</v>
      </c>
      <c r="D33" s="33">
        <v>42.9</v>
      </c>
      <c r="E33" s="33">
        <v>42.9</v>
      </c>
    </row>
    <row r="34" spans="1:5" x14ac:dyDescent="0.3">
      <c r="A34">
        <v>1571</v>
      </c>
      <c r="B34" t="s">
        <v>167</v>
      </c>
      <c r="C34" s="33">
        <v>71.5</v>
      </c>
      <c r="D34" s="33">
        <v>42.9</v>
      </c>
      <c r="E34" s="33">
        <v>42.9</v>
      </c>
    </row>
    <row r="35" spans="1:5" x14ac:dyDescent="0.3">
      <c r="A35">
        <v>1648</v>
      </c>
      <c r="B35" t="s">
        <v>168</v>
      </c>
      <c r="C35" s="33">
        <v>71.5</v>
      </c>
      <c r="D35" s="33">
        <v>42.9</v>
      </c>
      <c r="E35" s="33">
        <v>42.9</v>
      </c>
    </row>
    <row r="36" spans="1:5" x14ac:dyDescent="0.3">
      <c r="A36">
        <v>1572</v>
      </c>
      <c r="B36" t="s">
        <v>169</v>
      </c>
      <c r="C36" s="33">
        <v>71.5</v>
      </c>
      <c r="D36" s="33">
        <v>42.9</v>
      </c>
      <c r="E36" s="33">
        <v>42.9</v>
      </c>
    </row>
    <row r="37" spans="1:5" x14ac:dyDescent="0.3">
      <c r="A37">
        <v>1570</v>
      </c>
      <c r="B37" t="s">
        <v>170</v>
      </c>
      <c r="C37" s="33">
        <v>71.5</v>
      </c>
      <c r="D37" s="33">
        <v>42.9</v>
      </c>
      <c r="E37" s="33">
        <v>42.9</v>
      </c>
    </row>
    <row r="38" spans="1:5" x14ac:dyDescent="0.3">
      <c r="A38">
        <v>1475</v>
      </c>
      <c r="B38" t="s">
        <v>146</v>
      </c>
      <c r="C38" s="33">
        <v>66.5</v>
      </c>
      <c r="D38" s="33">
        <v>39.9</v>
      </c>
      <c r="E38" s="33">
        <v>39.9</v>
      </c>
    </row>
    <row r="39" spans="1:5" x14ac:dyDescent="0.3">
      <c r="A39">
        <v>1474</v>
      </c>
      <c r="B39" t="s">
        <v>171</v>
      </c>
      <c r="C39" s="33">
        <v>66.5</v>
      </c>
      <c r="D39" s="33">
        <v>39.9</v>
      </c>
      <c r="E39" s="33">
        <v>39.9</v>
      </c>
    </row>
    <row r="40" spans="1:5" x14ac:dyDescent="0.3">
      <c r="A40">
        <v>1585</v>
      </c>
      <c r="B40" t="s">
        <v>147</v>
      </c>
      <c r="C40" s="33">
        <v>66.5</v>
      </c>
      <c r="D40" s="33">
        <v>39.9</v>
      </c>
      <c r="E40" s="33">
        <v>39.9</v>
      </c>
    </row>
    <row r="41" spans="1:5" x14ac:dyDescent="0.3">
      <c r="A41">
        <v>1651</v>
      </c>
      <c r="B41" t="s">
        <v>143</v>
      </c>
      <c r="C41" s="33">
        <v>66.5</v>
      </c>
      <c r="D41" s="33">
        <v>39.9</v>
      </c>
      <c r="E41" s="33">
        <v>39.9</v>
      </c>
    </row>
    <row r="42" spans="1:5" x14ac:dyDescent="0.3">
      <c r="A42">
        <v>1586</v>
      </c>
      <c r="B42" t="s">
        <v>142</v>
      </c>
      <c r="C42" s="33">
        <v>66.5</v>
      </c>
      <c r="D42" s="33">
        <v>39.9</v>
      </c>
      <c r="E42" s="33">
        <v>39.9</v>
      </c>
    </row>
    <row r="43" spans="1:5" x14ac:dyDescent="0.3">
      <c r="A43">
        <v>1587</v>
      </c>
      <c r="B43" t="s">
        <v>148</v>
      </c>
      <c r="C43" s="33">
        <v>66.5</v>
      </c>
      <c r="D43" s="33">
        <v>39.9</v>
      </c>
      <c r="E43" s="33">
        <v>39.9</v>
      </c>
    </row>
    <row r="44" spans="1:5" x14ac:dyDescent="0.3">
      <c r="A44">
        <v>1113</v>
      </c>
      <c r="B44" t="s">
        <v>30</v>
      </c>
      <c r="C44" s="33">
        <v>102.1014072</v>
      </c>
      <c r="D44" s="33">
        <v>61.260844319999997</v>
      </c>
      <c r="E44" s="33">
        <v>62.792365427999989</v>
      </c>
    </row>
    <row r="45" spans="1:5" x14ac:dyDescent="0.3">
      <c r="A45">
        <v>1114</v>
      </c>
      <c r="B45" t="s">
        <v>31</v>
      </c>
      <c r="C45" s="33">
        <v>102.1014072</v>
      </c>
      <c r="D45" s="33">
        <v>61.260844319999997</v>
      </c>
      <c r="E45" s="33">
        <v>62.792365427999989</v>
      </c>
    </row>
    <row r="46" spans="1:5" x14ac:dyDescent="0.3">
      <c r="A46">
        <v>1482</v>
      </c>
      <c r="B46" t="s">
        <v>145</v>
      </c>
      <c r="C46" s="33">
        <v>24.65</v>
      </c>
      <c r="D46" s="33">
        <v>14.79</v>
      </c>
      <c r="E46" s="33">
        <v>15.9</v>
      </c>
    </row>
    <row r="47" spans="1:5" x14ac:dyDescent="0.3">
      <c r="A47">
        <v>1433</v>
      </c>
      <c r="B47" t="s">
        <v>172</v>
      </c>
      <c r="C47" s="33">
        <v>13.397499999999999</v>
      </c>
      <c r="D47" s="33">
        <v>8.0384999999999991</v>
      </c>
      <c r="E47" s="33">
        <v>8.2799999999999994</v>
      </c>
    </row>
    <row r="48" spans="1:5" x14ac:dyDescent="0.3">
      <c r="A48">
        <v>1458</v>
      </c>
      <c r="B48" t="s">
        <v>101</v>
      </c>
      <c r="C48" s="33">
        <v>23.650000000000002</v>
      </c>
      <c r="D48" s="33">
        <v>14.190000000000001</v>
      </c>
      <c r="E48" s="33">
        <v>15.9</v>
      </c>
    </row>
    <row r="49" spans="1:5" x14ac:dyDescent="0.3">
      <c r="A49">
        <v>1492</v>
      </c>
      <c r="B49" t="s">
        <v>173</v>
      </c>
      <c r="C49" s="33">
        <v>47.300000000000004</v>
      </c>
      <c r="D49" s="33">
        <v>28.380000000000003</v>
      </c>
      <c r="E49" s="33">
        <v>31.8</v>
      </c>
    </row>
    <row r="50" spans="1:5" x14ac:dyDescent="0.3">
      <c r="A50">
        <v>1469</v>
      </c>
      <c r="B50" t="s">
        <v>102</v>
      </c>
      <c r="C50" s="33">
        <v>34.992125000000009</v>
      </c>
      <c r="D50" s="33">
        <v>20.995275000000003</v>
      </c>
      <c r="E50" s="33">
        <v>21</v>
      </c>
    </row>
    <row r="51" spans="1:5" x14ac:dyDescent="0.3">
      <c r="A51">
        <v>1493</v>
      </c>
      <c r="B51" t="s">
        <v>174</v>
      </c>
      <c r="C51" s="33">
        <v>41.5</v>
      </c>
      <c r="D51" s="33">
        <v>24.9</v>
      </c>
      <c r="E51" s="33">
        <v>24.9</v>
      </c>
    </row>
    <row r="52" spans="1:5" x14ac:dyDescent="0.3">
      <c r="A52">
        <v>1494</v>
      </c>
      <c r="B52" t="s">
        <v>175</v>
      </c>
      <c r="C52" s="33">
        <v>43.709999999999994</v>
      </c>
      <c r="D52" s="33">
        <v>26.225999999999996</v>
      </c>
      <c r="E52" s="33">
        <v>28.9</v>
      </c>
    </row>
    <row r="53" spans="1:5" x14ac:dyDescent="0.3">
      <c r="A53">
        <v>1528</v>
      </c>
      <c r="B53" t="s">
        <v>181</v>
      </c>
      <c r="C53" s="33">
        <v>41.5</v>
      </c>
      <c r="D53" s="33">
        <v>24.9</v>
      </c>
      <c r="E53" s="33">
        <v>24.9</v>
      </c>
    </row>
    <row r="54" spans="1:5" x14ac:dyDescent="0.3">
      <c r="A54">
        <v>1495</v>
      </c>
      <c r="B54" t="s">
        <v>182</v>
      </c>
      <c r="C54" s="33">
        <v>31.619</v>
      </c>
      <c r="D54" s="33">
        <v>18.971399999999999</v>
      </c>
      <c r="E54" s="33">
        <v>18.97</v>
      </c>
    </row>
    <row r="55" spans="1:5" x14ac:dyDescent="0.3">
      <c r="A55">
        <v>1589</v>
      </c>
      <c r="B55" t="s">
        <v>183</v>
      </c>
      <c r="C55" s="33">
        <v>83.166666666666671</v>
      </c>
      <c r="D55" s="33">
        <v>49.9</v>
      </c>
      <c r="E55" s="33">
        <v>49.9</v>
      </c>
    </row>
    <row r="56" spans="1:5" x14ac:dyDescent="0.3">
      <c r="A56">
        <v>1468</v>
      </c>
      <c r="B56" t="s">
        <v>105</v>
      </c>
      <c r="C56" s="33">
        <v>27.946333333333332</v>
      </c>
      <c r="D56" s="33">
        <v>16.767799999999998</v>
      </c>
      <c r="E56" s="33">
        <v>16.77</v>
      </c>
    </row>
    <row r="57" spans="1:5" x14ac:dyDescent="0.3">
      <c r="A57">
        <v>1518</v>
      </c>
      <c r="B57" t="s">
        <v>184</v>
      </c>
      <c r="C57" s="33">
        <v>41.5</v>
      </c>
      <c r="D57" s="33">
        <v>24.9</v>
      </c>
      <c r="E57" s="33">
        <v>24.9</v>
      </c>
    </row>
    <row r="58" spans="1:5" x14ac:dyDescent="0.3">
      <c r="A58">
        <v>1593</v>
      </c>
      <c r="B58" t="s">
        <v>185</v>
      </c>
      <c r="C58" s="33">
        <v>49.83</v>
      </c>
      <c r="D58" s="33">
        <v>29.897999999999996</v>
      </c>
      <c r="E58" s="33">
        <v>29.897999999999996</v>
      </c>
    </row>
    <row r="59" spans="1:5" x14ac:dyDescent="0.3">
      <c r="A59">
        <v>1510</v>
      </c>
      <c r="B59" t="s">
        <v>187</v>
      </c>
      <c r="C59" s="33">
        <v>21.5</v>
      </c>
      <c r="D59" s="33">
        <v>12.9</v>
      </c>
      <c r="E59" s="33">
        <v>13.29</v>
      </c>
    </row>
    <row r="60" spans="1:5" x14ac:dyDescent="0.3">
      <c r="A60">
        <v>1520</v>
      </c>
      <c r="B60" t="s">
        <v>188</v>
      </c>
      <c r="C60" s="33">
        <v>34.833333333333336</v>
      </c>
      <c r="D60" s="33">
        <v>20.900000000000002</v>
      </c>
      <c r="E60" s="33">
        <v>21.49</v>
      </c>
    </row>
    <row r="61" spans="1:5" x14ac:dyDescent="0.3">
      <c r="A61">
        <v>1511</v>
      </c>
      <c r="B61" t="s">
        <v>189</v>
      </c>
      <c r="C61" s="33">
        <v>44.833333333333336</v>
      </c>
      <c r="D61" s="33">
        <v>26.900000000000002</v>
      </c>
      <c r="E61" s="33">
        <v>22.9</v>
      </c>
    </row>
    <row r="62" spans="1:5" x14ac:dyDescent="0.3">
      <c r="A62">
        <v>1596</v>
      </c>
      <c r="B62" t="s">
        <v>186</v>
      </c>
      <c r="C62" s="33">
        <v>49.83</v>
      </c>
      <c r="D62" s="33">
        <v>29.897999999999996</v>
      </c>
      <c r="E62" s="33">
        <v>29.897999999999996</v>
      </c>
    </row>
    <row r="63" spans="1:5" x14ac:dyDescent="0.3">
      <c r="A63">
        <v>1470</v>
      </c>
      <c r="B63" t="s">
        <v>104</v>
      </c>
      <c r="C63" s="33">
        <v>31.508333333333336</v>
      </c>
      <c r="D63" s="33">
        <v>18.905000000000001</v>
      </c>
      <c r="E63" s="33">
        <v>19.377624999999998</v>
      </c>
    </row>
    <row r="64" spans="1:5" x14ac:dyDescent="0.3">
      <c r="A64">
        <v>1536</v>
      </c>
      <c r="B64" t="s">
        <v>190</v>
      </c>
      <c r="C64" s="33">
        <v>34.833333333333336</v>
      </c>
      <c r="D64" s="33">
        <v>20.900000000000002</v>
      </c>
      <c r="E64" s="33">
        <v>21.9</v>
      </c>
    </row>
    <row r="65" spans="1:5" x14ac:dyDescent="0.3">
      <c r="A65">
        <v>1222</v>
      </c>
      <c r="B65" t="s">
        <v>12</v>
      </c>
      <c r="C65" s="33">
        <v>32.320360799999996</v>
      </c>
      <c r="D65" s="33">
        <v>19.392216479999998</v>
      </c>
      <c r="E65" s="33">
        <v>19.391999999999999</v>
      </c>
    </row>
    <row r="66" spans="1:5" x14ac:dyDescent="0.3">
      <c r="A66">
        <v>1217</v>
      </c>
      <c r="B66" t="s">
        <v>90</v>
      </c>
      <c r="C66" s="33">
        <v>35.569497599999991</v>
      </c>
      <c r="D66" s="33">
        <v>21.341698559999994</v>
      </c>
      <c r="E66" s="33">
        <v>21.98226</v>
      </c>
    </row>
    <row r="67" spans="1:5" x14ac:dyDescent="0.3">
      <c r="A67">
        <v>1471</v>
      </c>
      <c r="B67" t="s">
        <v>106</v>
      </c>
      <c r="C67" s="33">
        <v>40.26166666666667</v>
      </c>
      <c r="D67" s="33">
        <v>24.157</v>
      </c>
      <c r="E67" s="33">
        <v>24.880679999999998</v>
      </c>
    </row>
    <row r="68" spans="1:5" x14ac:dyDescent="0.3">
      <c r="A68">
        <v>1419</v>
      </c>
      <c r="B68" t="s">
        <v>76</v>
      </c>
      <c r="C68" s="33">
        <v>16.178400000000003</v>
      </c>
      <c r="D68" s="33">
        <v>9.707040000000001</v>
      </c>
      <c r="E68" s="33">
        <v>9.9497160000000004</v>
      </c>
    </row>
    <row r="69" spans="1:5" x14ac:dyDescent="0.3">
      <c r="A69">
        <v>1497</v>
      </c>
      <c r="B69" t="s">
        <v>191</v>
      </c>
      <c r="C69" s="33">
        <v>42.9</v>
      </c>
      <c r="D69" s="33">
        <v>25.74</v>
      </c>
      <c r="E69" s="33">
        <v>25.9</v>
      </c>
    </row>
    <row r="70" spans="1:5" x14ac:dyDescent="0.3">
      <c r="A70">
        <v>1556</v>
      </c>
      <c r="B70" t="s">
        <v>193</v>
      </c>
      <c r="C70" s="33">
        <v>21.5</v>
      </c>
      <c r="D70" s="33">
        <v>12.9</v>
      </c>
      <c r="E70" s="33">
        <v>12.9</v>
      </c>
    </row>
    <row r="71" spans="1:5" x14ac:dyDescent="0.3">
      <c r="A71">
        <v>1557</v>
      </c>
      <c r="B71" t="s">
        <v>195</v>
      </c>
      <c r="C71" s="33">
        <v>28.166666666666664</v>
      </c>
      <c r="D71" s="33">
        <v>16.899999999999999</v>
      </c>
      <c r="E71" s="33">
        <v>16.902000000000001</v>
      </c>
    </row>
    <row r="72" spans="1:5" x14ac:dyDescent="0.3">
      <c r="A72">
        <v>1611</v>
      </c>
      <c r="B72" t="s">
        <v>194</v>
      </c>
      <c r="C72" s="33">
        <v>49.833333333333336</v>
      </c>
      <c r="D72" s="33">
        <v>29.9</v>
      </c>
      <c r="E72" s="33">
        <v>29.897999999999996</v>
      </c>
    </row>
    <row r="73" spans="1:5" x14ac:dyDescent="0.3">
      <c r="A73">
        <v>1612</v>
      </c>
      <c r="B73" t="s">
        <v>196</v>
      </c>
      <c r="C73" s="33">
        <v>41.5</v>
      </c>
      <c r="D73" s="33">
        <v>24.9</v>
      </c>
      <c r="E73" s="33">
        <v>24.9</v>
      </c>
    </row>
    <row r="74" spans="1:5" x14ac:dyDescent="0.3">
      <c r="A74">
        <v>1218</v>
      </c>
      <c r="B74" t="s">
        <v>25</v>
      </c>
      <c r="C74" s="33">
        <v>39.075145200000001</v>
      </c>
      <c r="D74" s="33">
        <v>23.44508712</v>
      </c>
      <c r="E74" s="33">
        <v>23.447999999999997</v>
      </c>
    </row>
    <row r="75" spans="1:5" x14ac:dyDescent="0.3">
      <c r="A75">
        <v>1499</v>
      </c>
      <c r="B75" t="s">
        <v>192</v>
      </c>
      <c r="C75" s="33">
        <v>21.5</v>
      </c>
      <c r="D75" s="33">
        <v>12.9</v>
      </c>
      <c r="E75" s="33">
        <v>13.29</v>
      </c>
    </row>
    <row r="76" spans="1:5" x14ac:dyDescent="0.3">
      <c r="A76">
        <v>1219</v>
      </c>
      <c r="B76" t="s">
        <v>13</v>
      </c>
      <c r="C76" s="33">
        <v>26.612995499999993</v>
      </c>
      <c r="D76" s="33">
        <v>15.967797299999996</v>
      </c>
      <c r="E76" s="33">
        <v>0</v>
      </c>
    </row>
    <row r="77" spans="1:5" x14ac:dyDescent="0.3">
      <c r="A77">
        <v>1472</v>
      </c>
      <c r="B77" t="s">
        <v>110</v>
      </c>
      <c r="C77" s="33">
        <v>15.123499999999996</v>
      </c>
      <c r="D77" s="33">
        <v>9.0740999999999978</v>
      </c>
      <c r="E77" s="33">
        <v>7.9</v>
      </c>
    </row>
    <row r="78" spans="1:5" x14ac:dyDescent="0.3">
      <c r="A78">
        <v>1415</v>
      </c>
      <c r="B78" t="s">
        <v>77</v>
      </c>
      <c r="C78" s="33">
        <v>45.035549999999994</v>
      </c>
      <c r="D78" s="33">
        <v>27.021329999999995</v>
      </c>
      <c r="E78" s="33">
        <v>14.9</v>
      </c>
    </row>
    <row r="79" spans="1:5" x14ac:dyDescent="0.3">
      <c r="A79">
        <v>1416</v>
      </c>
      <c r="B79" t="s">
        <v>78</v>
      </c>
      <c r="C79" s="33">
        <v>43.814166666666658</v>
      </c>
      <c r="D79" s="33">
        <v>26.288499999999996</v>
      </c>
      <c r="E79" s="33">
        <v>13.9</v>
      </c>
    </row>
    <row r="80" spans="1:5" x14ac:dyDescent="0.3">
      <c r="A80">
        <v>1417</v>
      </c>
      <c r="B80" t="s">
        <v>133</v>
      </c>
      <c r="C80" s="33">
        <v>23.51755</v>
      </c>
      <c r="D80" s="33">
        <v>14.110529999999999</v>
      </c>
      <c r="E80" s="33">
        <v>13.9</v>
      </c>
    </row>
    <row r="81" spans="1:5" x14ac:dyDescent="0.3">
      <c r="A81">
        <v>1473</v>
      </c>
      <c r="B81" t="s">
        <v>115</v>
      </c>
      <c r="C81" s="33">
        <v>29.454515999999998</v>
      </c>
      <c r="D81" s="33">
        <v>17.672709599999997</v>
      </c>
      <c r="E81" s="33">
        <v>18.200099999999999</v>
      </c>
    </row>
    <row r="82" spans="1:5" x14ac:dyDescent="0.3">
      <c r="A82">
        <v>1221</v>
      </c>
      <c r="B82" t="s">
        <v>26</v>
      </c>
      <c r="C82" s="33">
        <v>38.797258499999991</v>
      </c>
      <c r="D82" s="33">
        <v>23.278355099999995</v>
      </c>
      <c r="E82" s="33">
        <v>23.860313977499992</v>
      </c>
    </row>
    <row r="83" spans="1:5" x14ac:dyDescent="0.3">
      <c r="A83">
        <v>1220</v>
      </c>
      <c r="B83" t="s">
        <v>28</v>
      </c>
      <c r="C83" s="33">
        <v>28.427809409999998</v>
      </c>
      <c r="D83" s="33">
        <v>17.056685645999998</v>
      </c>
      <c r="E83" s="33">
        <v>15.9</v>
      </c>
    </row>
    <row r="84" spans="1:5" x14ac:dyDescent="0.3">
      <c r="A84">
        <v>1621</v>
      </c>
      <c r="B84" t="s">
        <v>200</v>
      </c>
      <c r="C84" s="33">
        <v>24.833333333333336</v>
      </c>
      <c r="D84" s="33">
        <v>14.9</v>
      </c>
      <c r="E84" s="33">
        <v>14.897999999999998</v>
      </c>
    </row>
    <row r="85" spans="1:5" x14ac:dyDescent="0.3">
      <c r="A85">
        <v>1622</v>
      </c>
      <c r="B85" t="s">
        <v>201</v>
      </c>
      <c r="C85" s="33">
        <v>41.5</v>
      </c>
      <c r="D85" s="33">
        <v>24.9</v>
      </c>
      <c r="E85" s="33">
        <v>24.9</v>
      </c>
    </row>
    <row r="86" spans="1:5" x14ac:dyDescent="0.3">
      <c r="A86">
        <v>1595</v>
      </c>
      <c r="B86" t="s">
        <v>202</v>
      </c>
      <c r="C86" s="33">
        <v>25.82</v>
      </c>
      <c r="D86" s="33">
        <v>15.491999999999999</v>
      </c>
      <c r="E86" s="33">
        <v>15.491999999999999</v>
      </c>
    </row>
    <row r="87" spans="1:5" x14ac:dyDescent="0.3">
      <c r="A87">
        <v>1441</v>
      </c>
      <c r="B87" t="s">
        <v>116</v>
      </c>
      <c r="C87" s="33">
        <v>31.972499999999993</v>
      </c>
      <c r="D87" s="33">
        <v>19.183499999999995</v>
      </c>
      <c r="E87" s="33">
        <v>19.181999999999999</v>
      </c>
    </row>
    <row r="88" spans="1:5" x14ac:dyDescent="0.3">
      <c r="A88">
        <v>1420</v>
      </c>
      <c r="B88" t="s">
        <v>203</v>
      </c>
      <c r="C88" s="33">
        <v>25.023600000000005</v>
      </c>
      <c r="D88" s="33">
        <v>15.014160000000002</v>
      </c>
      <c r="E88" s="33">
        <v>15.46</v>
      </c>
    </row>
    <row r="89" spans="1:5" x14ac:dyDescent="0.3">
      <c r="A89">
        <v>1529</v>
      </c>
      <c r="B89" t="s">
        <v>204</v>
      </c>
      <c r="C89" s="33">
        <v>29.833333333333332</v>
      </c>
      <c r="D89" s="33">
        <v>17.899999999999999</v>
      </c>
      <c r="E89" s="33">
        <v>18.43</v>
      </c>
    </row>
    <row r="90" spans="1:5" x14ac:dyDescent="0.3">
      <c r="A90">
        <v>1533</v>
      </c>
      <c r="B90" t="s">
        <v>205</v>
      </c>
      <c r="C90" s="33">
        <v>31.5</v>
      </c>
      <c r="D90" s="33">
        <v>18.899999999999999</v>
      </c>
      <c r="E90" s="33">
        <v>19.47</v>
      </c>
    </row>
    <row r="91" spans="1:5" x14ac:dyDescent="0.3">
      <c r="A91">
        <v>1534</v>
      </c>
      <c r="B91" t="s">
        <v>206</v>
      </c>
      <c r="C91" s="33">
        <v>31.5</v>
      </c>
      <c r="D91" s="33">
        <v>18.899999999999999</v>
      </c>
      <c r="E91" s="33">
        <v>19.47</v>
      </c>
    </row>
    <row r="92" spans="1:5" x14ac:dyDescent="0.3">
      <c r="A92">
        <v>1544</v>
      </c>
      <c r="B92" t="s">
        <v>210</v>
      </c>
      <c r="C92" s="33">
        <v>31.5</v>
      </c>
      <c r="D92" s="33">
        <v>18.899999999999999</v>
      </c>
      <c r="E92" s="33">
        <v>18.899999999999999</v>
      </c>
    </row>
    <row r="93" spans="1:5" x14ac:dyDescent="0.3">
      <c r="A93">
        <v>1535</v>
      </c>
      <c r="B93" t="s">
        <v>207</v>
      </c>
      <c r="C93" s="33">
        <v>33.166666666666664</v>
      </c>
      <c r="D93" s="33">
        <v>19.899999999999999</v>
      </c>
      <c r="E93" s="33">
        <v>20.49</v>
      </c>
    </row>
    <row r="94" spans="1:5" x14ac:dyDescent="0.3">
      <c r="A94">
        <v>1530</v>
      </c>
      <c r="B94" t="s">
        <v>208</v>
      </c>
      <c r="C94" s="33">
        <v>31.5</v>
      </c>
      <c r="D94" s="33">
        <v>18.899999999999999</v>
      </c>
      <c r="E94" s="33">
        <v>19.47</v>
      </c>
    </row>
    <row r="95" spans="1:5" x14ac:dyDescent="0.3">
      <c r="A95">
        <v>1531</v>
      </c>
      <c r="B95" t="s">
        <v>209</v>
      </c>
      <c r="C95" s="33">
        <v>31.5</v>
      </c>
      <c r="D95" s="33">
        <v>18.899999999999999</v>
      </c>
      <c r="E95" s="33">
        <v>19.47</v>
      </c>
    </row>
    <row r="96" spans="1:5" x14ac:dyDescent="0.3">
      <c r="A96">
        <v>1588</v>
      </c>
      <c r="B96" t="s">
        <v>216</v>
      </c>
      <c r="C96" s="33">
        <v>66.5</v>
      </c>
      <c r="D96" s="33">
        <v>39.9</v>
      </c>
      <c r="E96" s="33">
        <v>39.9</v>
      </c>
    </row>
    <row r="97" spans="1:5" x14ac:dyDescent="0.3">
      <c r="A97">
        <v>1295</v>
      </c>
      <c r="B97" t="s">
        <v>211</v>
      </c>
      <c r="C97" s="33">
        <v>15.85022985</v>
      </c>
      <c r="D97" s="33">
        <v>9.5101379099999992</v>
      </c>
      <c r="E97" s="33">
        <v>8.9</v>
      </c>
    </row>
    <row r="98" spans="1:5" x14ac:dyDescent="0.3">
      <c r="A98">
        <v>1296</v>
      </c>
      <c r="B98" t="s">
        <v>212</v>
      </c>
      <c r="C98" s="33">
        <v>24.433079999999997</v>
      </c>
      <c r="D98" s="33">
        <v>14.659847999999997</v>
      </c>
      <c r="E98" s="33">
        <v>13.9</v>
      </c>
    </row>
    <row r="99" spans="1:5" x14ac:dyDescent="0.3">
      <c r="A99">
        <v>1297</v>
      </c>
      <c r="B99" t="s">
        <v>17</v>
      </c>
      <c r="C99" s="33">
        <v>33.667550000000006</v>
      </c>
      <c r="D99" s="33">
        <v>20.200530000000004</v>
      </c>
      <c r="E99" s="33">
        <v>20.202000000000002</v>
      </c>
    </row>
    <row r="100" spans="1:5" x14ac:dyDescent="0.3">
      <c r="A100">
        <v>1367</v>
      </c>
      <c r="B100" t="s">
        <v>213</v>
      </c>
      <c r="C100" s="33">
        <v>23.107347899999997</v>
      </c>
      <c r="D100" s="33">
        <v>13.864408739999998</v>
      </c>
      <c r="E100" s="33">
        <v>14.211018958499997</v>
      </c>
    </row>
    <row r="101" spans="1:5" x14ac:dyDescent="0.3">
      <c r="A101">
        <v>1500</v>
      </c>
      <c r="B101" t="s">
        <v>214</v>
      </c>
      <c r="C101" s="33">
        <v>41.5</v>
      </c>
      <c r="D101" s="33">
        <v>24.9</v>
      </c>
      <c r="E101" s="33">
        <v>25.522499999999997</v>
      </c>
    </row>
    <row r="102" spans="1:5" x14ac:dyDescent="0.3">
      <c r="A102">
        <v>1502</v>
      </c>
      <c r="B102" t="s">
        <v>215</v>
      </c>
      <c r="C102" s="33">
        <v>48.17</v>
      </c>
      <c r="D102" s="33">
        <v>28.902000000000001</v>
      </c>
      <c r="E102" s="33">
        <v>29.624549999999999</v>
      </c>
    </row>
    <row r="103" spans="1:5" x14ac:dyDescent="0.3">
      <c r="A103">
        <v>1283</v>
      </c>
      <c r="B103" t="s">
        <v>20</v>
      </c>
      <c r="C103" s="33">
        <v>33.997425</v>
      </c>
      <c r="D103" s="33">
        <v>20.398454999999998</v>
      </c>
      <c r="E103" s="33">
        <v>20.908416374999998</v>
      </c>
    </row>
    <row r="104" spans="1:5" x14ac:dyDescent="0.3">
      <c r="A104">
        <v>1282</v>
      </c>
      <c r="B104" t="s">
        <v>21</v>
      </c>
      <c r="C104" s="33">
        <v>46.180494359999997</v>
      </c>
      <c r="D104" s="33">
        <v>27.708296615999998</v>
      </c>
      <c r="E104" s="33">
        <v>28.54</v>
      </c>
    </row>
    <row r="105" spans="1:5" x14ac:dyDescent="0.3">
      <c r="A105">
        <v>1284</v>
      </c>
      <c r="B105" t="s">
        <v>22</v>
      </c>
      <c r="C105" s="33">
        <v>33.997425</v>
      </c>
      <c r="D105" s="33">
        <v>20.398454999999998</v>
      </c>
      <c r="E105" s="33">
        <v>20.908416374999998</v>
      </c>
    </row>
    <row r="106" spans="1:5" x14ac:dyDescent="0.3">
      <c r="A106">
        <v>1225</v>
      </c>
      <c r="B106" t="s">
        <v>14</v>
      </c>
      <c r="C106" s="33">
        <v>54.398459114999987</v>
      </c>
      <c r="D106" s="33">
        <v>32.639075468999991</v>
      </c>
      <c r="E106" s="33">
        <v>32.64</v>
      </c>
    </row>
    <row r="107" spans="1:5" x14ac:dyDescent="0.3">
      <c r="A107">
        <v>1438</v>
      </c>
      <c r="B107" t="s">
        <v>111</v>
      </c>
      <c r="C107" s="33">
        <v>15.180000000000001</v>
      </c>
      <c r="D107" s="33">
        <v>9.1080000000000005</v>
      </c>
      <c r="E107" s="33">
        <v>9.3800000000000008</v>
      </c>
    </row>
    <row r="108" spans="1:5" x14ac:dyDescent="0.3">
      <c r="A108">
        <v>1537</v>
      </c>
      <c r="B108" t="s">
        <v>217</v>
      </c>
      <c r="C108" s="33">
        <v>16.5</v>
      </c>
      <c r="D108" s="33">
        <v>9.9</v>
      </c>
      <c r="E108" s="33">
        <v>10.199999999999999</v>
      </c>
    </row>
    <row r="109" spans="1:5" x14ac:dyDescent="0.3">
      <c r="A109">
        <v>1503</v>
      </c>
      <c r="B109" t="s">
        <v>244</v>
      </c>
      <c r="C109" s="33">
        <v>38.166666666666664</v>
      </c>
      <c r="D109" s="33">
        <v>22.9</v>
      </c>
      <c r="E109" s="33">
        <v>23.59</v>
      </c>
    </row>
    <row r="110" spans="1:5" x14ac:dyDescent="0.3">
      <c r="A110">
        <v>1504</v>
      </c>
      <c r="B110" t="s">
        <v>245</v>
      </c>
      <c r="C110" s="33">
        <v>49.833333333333336</v>
      </c>
      <c r="D110" s="33">
        <v>29.9</v>
      </c>
      <c r="E110" s="33">
        <v>30.79</v>
      </c>
    </row>
    <row r="111" spans="1:5" x14ac:dyDescent="0.3">
      <c r="A111">
        <v>1507</v>
      </c>
      <c r="B111" t="s">
        <v>246</v>
      </c>
      <c r="C111" s="33">
        <v>49.833333333333336</v>
      </c>
      <c r="D111" s="33">
        <v>29.9</v>
      </c>
      <c r="E111" s="33">
        <v>30.79</v>
      </c>
    </row>
    <row r="112" spans="1:5" x14ac:dyDescent="0.3">
      <c r="A112">
        <v>1505</v>
      </c>
      <c r="B112" t="s">
        <v>247</v>
      </c>
      <c r="C112" s="33">
        <v>49.833333333333336</v>
      </c>
      <c r="D112" s="33">
        <v>29.9</v>
      </c>
      <c r="E112" s="33">
        <v>30.79</v>
      </c>
    </row>
    <row r="113" spans="1:5" x14ac:dyDescent="0.3">
      <c r="A113">
        <v>1506</v>
      </c>
      <c r="B113" t="s">
        <v>248</v>
      </c>
      <c r="C113" s="33">
        <v>49.833333333333336</v>
      </c>
      <c r="D113" s="33">
        <v>29.9</v>
      </c>
      <c r="E113" s="33">
        <v>30.79</v>
      </c>
    </row>
    <row r="114" spans="1:5" x14ac:dyDescent="0.3">
      <c r="A114">
        <v>1652</v>
      </c>
      <c r="B114" t="s">
        <v>219</v>
      </c>
      <c r="C114" s="33">
        <v>49.833333333333336</v>
      </c>
      <c r="D114" s="33">
        <v>29.9</v>
      </c>
      <c r="E114" s="33">
        <v>29.897999999999996</v>
      </c>
    </row>
    <row r="115" spans="1:5" x14ac:dyDescent="0.3">
      <c r="A115">
        <v>1653</v>
      </c>
      <c r="B115" t="s">
        <v>280</v>
      </c>
      <c r="C115" s="33">
        <v>63.166666666666664</v>
      </c>
      <c r="D115" s="33">
        <v>37.9</v>
      </c>
      <c r="E115" s="33">
        <v>37.902000000000001</v>
      </c>
    </row>
    <row r="116" spans="1:5" x14ac:dyDescent="0.3">
      <c r="A116">
        <v>1625</v>
      </c>
      <c r="B116" t="s">
        <v>220</v>
      </c>
      <c r="C116" s="33">
        <v>49.833333333333336</v>
      </c>
      <c r="D116" s="33">
        <v>29.9</v>
      </c>
      <c r="E116" s="33">
        <v>29.897999999999996</v>
      </c>
    </row>
    <row r="117" spans="1:5" x14ac:dyDescent="0.3">
      <c r="A117">
        <v>1455</v>
      </c>
      <c r="B117" t="s">
        <v>273</v>
      </c>
      <c r="C117" s="33">
        <v>25.326999999999998</v>
      </c>
      <c r="D117" s="33">
        <v>15.196199999999997</v>
      </c>
      <c r="E117" s="33">
        <v>15.2</v>
      </c>
    </row>
    <row r="118" spans="1:5" x14ac:dyDescent="0.3">
      <c r="A118">
        <v>1395</v>
      </c>
      <c r="B118" t="s">
        <v>274</v>
      </c>
      <c r="C118" s="33">
        <v>44.83</v>
      </c>
      <c r="D118" s="33">
        <v>26.898</v>
      </c>
      <c r="E118" s="33">
        <v>26.9</v>
      </c>
    </row>
    <row r="119" spans="1:5" x14ac:dyDescent="0.3">
      <c r="A119">
        <v>1457</v>
      </c>
      <c r="B119" t="s">
        <v>275</v>
      </c>
      <c r="C119" s="33">
        <v>83.025000000000006</v>
      </c>
      <c r="D119" s="33">
        <v>49.815000000000005</v>
      </c>
      <c r="E119" s="33">
        <v>49.9</v>
      </c>
    </row>
    <row r="120" spans="1:5" x14ac:dyDescent="0.3">
      <c r="A120">
        <v>1456</v>
      </c>
      <c r="B120" t="s">
        <v>112</v>
      </c>
      <c r="C120" s="33">
        <v>42.122499999999995</v>
      </c>
      <c r="D120" s="33">
        <v>25.273499999999995</v>
      </c>
      <c r="E120" s="33">
        <v>25.905337499999991</v>
      </c>
    </row>
    <row r="121" spans="1:5" x14ac:dyDescent="0.3">
      <c r="A121">
        <v>1654</v>
      </c>
      <c r="B121" t="s">
        <v>269</v>
      </c>
      <c r="C121" s="33">
        <v>24.833333333333336</v>
      </c>
      <c r="D121" s="33">
        <v>14.9</v>
      </c>
      <c r="E121" s="33">
        <v>14.897999999999998</v>
      </c>
    </row>
    <row r="122" spans="1:5" x14ac:dyDescent="0.3">
      <c r="A122">
        <v>1655</v>
      </c>
      <c r="B122" t="s">
        <v>270</v>
      </c>
      <c r="C122" s="33">
        <v>41.5</v>
      </c>
      <c r="D122" s="33">
        <v>24.9</v>
      </c>
      <c r="E122" s="33">
        <v>24.9</v>
      </c>
    </row>
    <row r="123" spans="1:5" x14ac:dyDescent="0.3">
      <c r="A123">
        <v>1683</v>
      </c>
      <c r="B123" t="s">
        <v>271</v>
      </c>
      <c r="C123" s="33">
        <v>61.666666666666671</v>
      </c>
      <c r="D123" s="33">
        <v>37</v>
      </c>
      <c r="E123" s="33">
        <v>37.002000000000002</v>
      </c>
    </row>
    <row r="124" spans="1:5" x14ac:dyDescent="0.3">
      <c r="A124">
        <v>1684</v>
      </c>
      <c r="B124" t="s">
        <v>272</v>
      </c>
      <c r="C124" s="33">
        <v>80</v>
      </c>
      <c r="D124" s="33">
        <v>48</v>
      </c>
      <c r="E124" s="33">
        <v>48</v>
      </c>
    </row>
    <row r="125" spans="1:5" x14ac:dyDescent="0.3">
      <c r="A125">
        <v>995</v>
      </c>
      <c r="B125" t="s">
        <v>89</v>
      </c>
      <c r="C125" s="33">
        <v>30.781296000000001</v>
      </c>
      <c r="D125" s="33">
        <v>18.468777599999999</v>
      </c>
      <c r="E125" s="33">
        <v>18.930497039999999</v>
      </c>
    </row>
    <row r="126" spans="1:5" x14ac:dyDescent="0.3">
      <c r="A126">
        <v>1319</v>
      </c>
      <c r="B126" t="s">
        <v>32</v>
      </c>
      <c r="C126" s="33">
        <v>16.995000000000001</v>
      </c>
      <c r="D126" s="33">
        <v>10.197000000000001</v>
      </c>
      <c r="E126" s="33">
        <v>10.506</v>
      </c>
    </row>
    <row r="127" spans="1:5" x14ac:dyDescent="0.3">
      <c r="A127">
        <v>1320</v>
      </c>
      <c r="B127" t="s">
        <v>33</v>
      </c>
      <c r="C127" s="33">
        <v>25.574899999999996</v>
      </c>
      <c r="D127" s="33">
        <v>15.344939999999998</v>
      </c>
      <c r="E127" s="33">
        <v>15.802259999999999</v>
      </c>
    </row>
    <row r="128" spans="1:5" x14ac:dyDescent="0.3">
      <c r="A128">
        <v>1340</v>
      </c>
      <c r="B128" t="s">
        <v>34</v>
      </c>
      <c r="C128" s="33">
        <v>34.165100000000002</v>
      </c>
      <c r="D128" s="33">
        <v>20.49906</v>
      </c>
      <c r="E128" s="33">
        <v>21.117059999999999</v>
      </c>
    </row>
    <row r="129" spans="1:5" x14ac:dyDescent="0.3">
      <c r="A129">
        <v>1339</v>
      </c>
      <c r="B129" t="s">
        <v>36</v>
      </c>
      <c r="C129" s="33">
        <v>44.465100000000007</v>
      </c>
      <c r="D129" s="33">
        <v>26.679060000000003</v>
      </c>
      <c r="E129" s="33">
        <v>27.48246</v>
      </c>
    </row>
    <row r="130" spans="1:5" x14ac:dyDescent="0.3">
      <c r="A130">
        <v>1517</v>
      </c>
      <c r="B130" t="s">
        <v>249</v>
      </c>
      <c r="C130" s="33">
        <v>38.166666666666664</v>
      </c>
      <c r="D130" s="33">
        <v>22.9</v>
      </c>
      <c r="E130" s="33">
        <v>23.58906</v>
      </c>
    </row>
    <row r="131" spans="1:5" x14ac:dyDescent="0.3">
      <c r="A131">
        <v>1516</v>
      </c>
      <c r="B131" t="s">
        <v>250</v>
      </c>
      <c r="C131" s="33">
        <v>61.5</v>
      </c>
      <c r="D131" s="33">
        <v>36.9</v>
      </c>
      <c r="E131" s="33">
        <v>38.006999999999998</v>
      </c>
    </row>
    <row r="132" spans="1:5" x14ac:dyDescent="0.3">
      <c r="A132">
        <v>1371</v>
      </c>
      <c r="B132" t="s">
        <v>251</v>
      </c>
      <c r="C132" s="33">
        <v>21.5</v>
      </c>
      <c r="D132" s="33">
        <v>12.9</v>
      </c>
      <c r="E132" s="33">
        <v>13.222499999999998</v>
      </c>
    </row>
    <row r="133" spans="1:5" x14ac:dyDescent="0.3">
      <c r="A133">
        <v>1372</v>
      </c>
      <c r="B133" t="s">
        <v>79</v>
      </c>
      <c r="C133" s="33">
        <v>17.795436749999997</v>
      </c>
      <c r="D133" s="33">
        <v>10.677262049999998</v>
      </c>
      <c r="E133" s="33">
        <v>8.9</v>
      </c>
    </row>
    <row r="134" spans="1:5" x14ac:dyDescent="0.3">
      <c r="A134">
        <v>1223</v>
      </c>
      <c r="B134" t="s">
        <v>23</v>
      </c>
      <c r="C134" s="33">
        <v>38.115000000000002</v>
      </c>
      <c r="D134" s="33">
        <v>22.869</v>
      </c>
      <c r="E134" s="33">
        <v>23.440724999999997</v>
      </c>
    </row>
    <row r="135" spans="1:5" x14ac:dyDescent="0.3">
      <c r="A135">
        <v>1191</v>
      </c>
      <c r="B135" t="s">
        <v>91</v>
      </c>
      <c r="C135" s="33">
        <v>15.5715</v>
      </c>
      <c r="D135" s="33">
        <v>9.3429000000000002</v>
      </c>
      <c r="E135" s="33">
        <v>9.6199999999999992</v>
      </c>
    </row>
    <row r="136" spans="1:5" x14ac:dyDescent="0.3">
      <c r="A136">
        <v>1545</v>
      </c>
      <c r="B136" t="s">
        <v>252</v>
      </c>
      <c r="C136" s="33">
        <v>23.000000000000004</v>
      </c>
      <c r="D136" s="33">
        <v>13.800000000000002</v>
      </c>
      <c r="E136" s="33">
        <v>13.799999999999999</v>
      </c>
    </row>
    <row r="137" spans="1:5" x14ac:dyDescent="0.3">
      <c r="A137">
        <v>1375</v>
      </c>
      <c r="B137" t="s">
        <v>253</v>
      </c>
      <c r="C137" s="33">
        <v>14.83</v>
      </c>
      <c r="D137" s="33">
        <v>8.8979999999999997</v>
      </c>
      <c r="E137" s="33">
        <v>9.16</v>
      </c>
    </row>
    <row r="138" spans="1:5" x14ac:dyDescent="0.3">
      <c r="A138">
        <v>1430</v>
      </c>
      <c r="B138" t="s">
        <v>254</v>
      </c>
      <c r="C138" s="33">
        <v>14.83</v>
      </c>
      <c r="D138" s="33">
        <v>8.8979999999999997</v>
      </c>
      <c r="E138" s="33">
        <v>9.16</v>
      </c>
    </row>
    <row r="139" spans="1:5" x14ac:dyDescent="0.3">
      <c r="A139">
        <v>1429</v>
      </c>
      <c r="B139" t="s">
        <v>255</v>
      </c>
      <c r="C139" s="33">
        <v>14.83</v>
      </c>
      <c r="D139" s="33">
        <v>8.8979999999999997</v>
      </c>
      <c r="E139" s="33">
        <v>9.16</v>
      </c>
    </row>
    <row r="140" spans="1:5" x14ac:dyDescent="0.3">
      <c r="A140">
        <v>1547</v>
      </c>
      <c r="B140" t="s">
        <v>256</v>
      </c>
      <c r="C140" s="33">
        <v>14.83</v>
      </c>
      <c r="D140" s="33">
        <v>8.8979999999999997</v>
      </c>
      <c r="E140" s="33">
        <v>8.8979999999999997</v>
      </c>
    </row>
    <row r="141" spans="1:5" x14ac:dyDescent="0.3">
      <c r="A141">
        <v>1551</v>
      </c>
      <c r="B141" t="s">
        <v>257</v>
      </c>
      <c r="C141" s="33">
        <v>14.83</v>
      </c>
      <c r="D141" s="33">
        <v>8.8979999999999997</v>
      </c>
      <c r="E141" s="33">
        <v>8.8979999999999997</v>
      </c>
    </row>
    <row r="142" spans="1:5" x14ac:dyDescent="0.3">
      <c r="A142">
        <v>1548</v>
      </c>
      <c r="B142" t="s">
        <v>258</v>
      </c>
      <c r="C142" s="33">
        <v>14.83</v>
      </c>
      <c r="D142" s="33">
        <v>8.8979999999999997</v>
      </c>
      <c r="E142" s="33">
        <v>8.8979999999999997</v>
      </c>
    </row>
    <row r="143" spans="1:5" x14ac:dyDescent="0.3">
      <c r="A143">
        <v>1549</v>
      </c>
      <c r="B143" t="s">
        <v>259</v>
      </c>
      <c r="C143" s="33">
        <v>28.17</v>
      </c>
      <c r="D143" s="33">
        <v>16.902000000000001</v>
      </c>
      <c r="E143" s="33">
        <v>16.902000000000001</v>
      </c>
    </row>
    <row r="144" spans="1:5" x14ac:dyDescent="0.3">
      <c r="A144">
        <v>1546</v>
      </c>
      <c r="B144" t="s">
        <v>260</v>
      </c>
      <c r="C144" s="33">
        <v>14.83</v>
      </c>
      <c r="D144" s="33">
        <v>8.8979999999999997</v>
      </c>
      <c r="E144" s="33">
        <v>8.8979999999999997</v>
      </c>
    </row>
    <row r="145" spans="1:5" x14ac:dyDescent="0.3">
      <c r="A145">
        <v>1624</v>
      </c>
      <c r="B145" t="s">
        <v>243</v>
      </c>
      <c r="C145" s="33">
        <v>24.83</v>
      </c>
      <c r="D145" s="33">
        <v>14.897999999999998</v>
      </c>
      <c r="E145" s="33">
        <v>14.897999999999998</v>
      </c>
    </row>
    <row r="146" spans="1:5" x14ac:dyDescent="0.3">
      <c r="A146">
        <v>1426</v>
      </c>
      <c r="B146" t="s">
        <v>261</v>
      </c>
      <c r="C146" s="33">
        <v>16.5</v>
      </c>
      <c r="D146" s="33">
        <v>9.9</v>
      </c>
      <c r="E146" s="33">
        <v>9.9</v>
      </c>
    </row>
    <row r="147" spans="1:5" x14ac:dyDescent="0.3">
      <c r="A147">
        <v>1439</v>
      </c>
      <c r="B147" t="s">
        <v>117</v>
      </c>
      <c r="C147" s="33">
        <v>11.672499999999999</v>
      </c>
      <c r="D147" s="33">
        <v>7.0034999999999998</v>
      </c>
      <c r="E147" s="33">
        <v>7.19</v>
      </c>
    </row>
    <row r="148" spans="1:5" x14ac:dyDescent="0.3">
      <c r="A148">
        <v>1440</v>
      </c>
      <c r="B148" t="s">
        <v>118</v>
      </c>
      <c r="C148" s="33">
        <v>18.442550000000001</v>
      </c>
      <c r="D148" s="33">
        <v>11.065530000000001</v>
      </c>
      <c r="E148" s="33">
        <v>8.9</v>
      </c>
    </row>
    <row r="149" spans="1:5" x14ac:dyDescent="0.3">
      <c r="A149">
        <v>1428</v>
      </c>
      <c r="B149" t="s">
        <v>262</v>
      </c>
      <c r="C149" s="33">
        <v>14.223600000000001</v>
      </c>
      <c r="D149" s="33">
        <v>8.53416</v>
      </c>
      <c r="E149" s="33">
        <v>8.7475139999999989</v>
      </c>
    </row>
    <row r="150" spans="1:5" x14ac:dyDescent="0.3">
      <c r="A150">
        <v>1509</v>
      </c>
      <c r="B150" t="s">
        <v>263</v>
      </c>
      <c r="C150" s="33">
        <v>12.9</v>
      </c>
      <c r="D150" s="33">
        <v>7.74</v>
      </c>
      <c r="E150" s="33">
        <v>7.97</v>
      </c>
    </row>
    <row r="151" spans="1:5" x14ac:dyDescent="0.3">
      <c r="A151">
        <v>1436</v>
      </c>
      <c r="B151" t="s">
        <v>119</v>
      </c>
      <c r="C151" s="33">
        <v>15.5715</v>
      </c>
      <c r="D151" s="33">
        <v>9.3429000000000002</v>
      </c>
      <c r="E151" s="33">
        <v>9.6199999999999992</v>
      </c>
    </row>
    <row r="152" spans="1:5" x14ac:dyDescent="0.3">
      <c r="A152">
        <v>1374</v>
      </c>
      <c r="B152" t="s">
        <v>48</v>
      </c>
      <c r="C152" s="33">
        <v>21.928725000000004</v>
      </c>
      <c r="D152" s="33">
        <v>13.157235000000002</v>
      </c>
      <c r="E152" s="33">
        <v>13.55</v>
      </c>
    </row>
    <row r="153" spans="1:5" x14ac:dyDescent="0.3">
      <c r="A153">
        <v>397</v>
      </c>
      <c r="B153" t="s">
        <v>37</v>
      </c>
      <c r="C153" s="33">
        <v>37.268881649999997</v>
      </c>
      <c r="D153" s="33">
        <v>22.361328989999997</v>
      </c>
      <c r="E153" s="33">
        <v>22.920362214749996</v>
      </c>
    </row>
    <row r="154" spans="1:5" x14ac:dyDescent="0.3">
      <c r="A154">
        <v>1324</v>
      </c>
      <c r="B154" t="s">
        <v>49</v>
      </c>
      <c r="C154" s="33">
        <v>26.307772920000005</v>
      </c>
      <c r="D154" s="33">
        <v>15.784663752000002</v>
      </c>
      <c r="E154" s="33">
        <v>17.899999999999999</v>
      </c>
    </row>
    <row r="155" spans="1:5" x14ac:dyDescent="0.3">
      <c r="A155">
        <v>1325</v>
      </c>
      <c r="B155" t="s">
        <v>50</v>
      </c>
      <c r="C155" s="33">
        <v>16.8652692</v>
      </c>
      <c r="D155" s="33">
        <v>10.11916152</v>
      </c>
      <c r="E155" s="33">
        <v>10.9</v>
      </c>
    </row>
    <row r="156" spans="1:5" x14ac:dyDescent="0.3">
      <c r="A156">
        <v>1394</v>
      </c>
      <c r="B156" t="s">
        <v>80</v>
      </c>
      <c r="C156" s="33">
        <v>49.698967499999988</v>
      </c>
      <c r="D156" s="33">
        <v>29.819380499999991</v>
      </c>
      <c r="E156" s="33">
        <v>23.9</v>
      </c>
    </row>
    <row r="157" spans="1:5" x14ac:dyDescent="0.3">
      <c r="A157">
        <v>1329</v>
      </c>
      <c r="B157" t="s">
        <v>51</v>
      </c>
      <c r="C157" s="33">
        <v>49.998230099999994</v>
      </c>
      <c r="D157" s="33">
        <v>29.998938059999993</v>
      </c>
      <c r="E157" s="33">
        <v>24.9</v>
      </c>
    </row>
    <row r="158" spans="1:5" x14ac:dyDescent="0.3">
      <c r="A158">
        <v>1369</v>
      </c>
      <c r="B158" t="s">
        <v>81</v>
      </c>
      <c r="C158" s="33">
        <v>45.650000000000006</v>
      </c>
      <c r="D158" s="33">
        <v>27.390000000000004</v>
      </c>
      <c r="E158" s="33">
        <v>31.8</v>
      </c>
    </row>
    <row r="159" spans="1:5" x14ac:dyDescent="0.3">
      <c r="A159">
        <v>1368</v>
      </c>
      <c r="B159" t="s">
        <v>82</v>
      </c>
      <c r="C159" s="33">
        <v>23.650000000000002</v>
      </c>
      <c r="D159" s="33">
        <v>14.190000000000001</v>
      </c>
      <c r="E159" s="33">
        <v>15.9</v>
      </c>
    </row>
    <row r="160" spans="1:5" x14ac:dyDescent="0.3">
      <c r="A160">
        <v>1442</v>
      </c>
      <c r="B160" t="s">
        <v>264</v>
      </c>
      <c r="C160" s="33">
        <v>48.166666666666664</v>
      </c>
      <c r="D160" s="33">
        <v>28.9</v>
      </c>
      <c r="E160" s="33">
        <v>29.77</v>
      </c>
    </row>
    <row r="161" spans="1:5" x14ac:dyDescent="0.3">
      <c r="A161">
        <v>1327</v>
      </c>
      <c r="B161" t="s">
        <v>265</v>
      </c>
      <c r="C161" s="33">
        <v>35.42349999999999</v>
      </c>
      <c r="D161" s="33">
        <v>21.254099999999994</v>
      </c>
      <c r="E161" s="33">
        <v>21.785452499999991</v>
      </c>
    </row>
    <row r="162" spans="1:5" x14ac:dyDescent="0.3">
      <c r="A162">
        <v>1462</v>
      </c>
      <c r="B162" t="s">
        <v>100</v>
      </c>
      <c r="C162" s="33">
        <v>42.122499999999995</v>
      </c>
      <c r="D162" s="33">
        <v>25.273499999999995</v>
      </c>
      <c r="E162" s="33">
        <v>19.899999999999999</v>
      </c>
    </row>
    <row r="163" spans="1:5" x14ac:dyDescent="0.3">
      <c r="A163">
        <v>1359</v>
      </c>
      <c r="B163" t="s">
        <v>52</v>
      </c>
      <c r="C163" s="33">
        <v>33.664166666666667</v>
      </c>
      <c r="D163" s="33">
        <v>20.198499999999999</v>
      </c>
      <c r="E163" s="33">
        <v>20.801879999999997</v>
      </c>
    </row>
    <row r="164" spans="1:5" x14ac:dyDescent="0.3">
      <c r="A164">
        <v>1332</v>
      </c>
      <c r="B164" t="s">
        <v>53</v>
      </c>
      <c r="C164" s="33">
        <v>19.980674999999994</v>
      </c>
      <c r="D164" s="33">
        <v>11.988404999999997</v>
      </c>
      <c r="E164" s="33">
        <v>12.34764</v>
      </c>
    </row>
    <row r="165" spans="1:5" x14ac:dyDescent="0.3">
      <c r="A165">
        <v>1521</v>
      </c>
      <c r="B165" t="s">
        <v>266</v>
      </c>
      <c r="C165" s="33">
        <v>42.9</v>
      </c>
      <c r="D165" s="33">
        <v>25.74</v>
      </c>
      <c r="E165" s="33">
        <v>26.5122</v>
      </c>
    </row>
    <row r="166" spans="1:5" x14ac:dyDescent="0.3">
      <c r="A166">
        <v>1522</v>
      </c>
      <c r="B166" t="s">
        <v>267</v>
      </c>
      <c r="C166" s="33">
        <v>82.9</v>
      </c>
      <c r="D166" s="33">
        <v>49.74</v>
      </c>
      <c r="E166" s="33">
        <v>51.232200000000006</v>
      </c>
    </row>
    <row r="167" spans="1:5" x14ac:dyDescent="0.3">
      <c r="A167">
        <v>1330</v>
      </c>
      <c r="B167" t="s">
        <v>88</v>
      </c>
      <c r="C167" s="33">
        <v>29.454515999999998</v>
      </c>
      <c r="D167" s="33">
        <v>17.672709599999997</v>
      </c>
      <c r="E167" s="33">
        <v>18.200099999999999</v>
      </c>
    </row>
    <row r="168" spans="1:5" x14ac:dyDescent="0.3">
      <c r="A168">
        <v>1341</v>
      </c>
      <c r="B168" t="s">
        <v>54</v>
      </c>
      <c r="C168" s="33">
        <v>30.747599999999995</v>
      </c>
      <c r="D168" s="33">
        <v>18.448559999999997</v>
      </c>
      <c r="E168" s="33">
        <v>19.003499999999999</v>
      </c>
    </row>
    <row r="169" spans="1:5" x14ac:dyDescent="0.3">
      <c r="A169">
        <v>1342</v>
      </c>
      <c r="B169" t="s">
        <v>38</v>
      </c>
      <c r="C169" s="33">
        <v>42.644920499999998</v>
      </c>
      <c r="D169" s="33">
        <v>25.586952299999997</v>
      </c>
      <c r="E169" s="33">
        <v>26.351520000000001</v>
      </c>
    </row>
    <row r="170" spans="1:5" x14ac:dyDescent="0.3">
      <c r="A170">
        <v>1435</v>
      </c>
      <c r="B170" t="s">
        <v>268</v>
      </c>
      <c r="C170" s="33">
        <v>26.816399999999998</v>
      </c>
      <c r="D170" s="33">
        <v>16.089839999999999</v>
      </c>
      <c r="E170" s="33">
        <v>16.574759999999998</v>
      </c>
    </row>
    <row r="171" spans="1:5" x14ac:dyDescent="0.3">
      <c r="A171">
        <v>1366</v>
      </c>
      <c r="B171" t="s">
        <v>83</v>
      </c>
      <c r="C171" s="33">
        <v>20.7774</v>
      </c>
      <c r="D171" s="33">
        <v>12.46644</v>
      </c>
      <c r="E171" s="33">
        <v>15.9</v>
      </c>
    </row>
    <row r="172" spans="1:5" x14ac:dyDescent="0.3">
      <c r="A172">
        <v>1370</v>
      </c>
      <c r="B172" t="s">
        <v>84</v>
      </c>
      <c r="C172" s="33">
        <v>28.483386749999998</v>
      </c>
      <c r="D172" s="33">
        <v>17.090032049999998</v>
      </c>
      <c r="E172" s="33">
        <v>17.600640000000002</v>
      </c>
    </row>
    <row r="173" spans="1:5" x14ac:dyDescent="0.3">
      <c r="A173">
        <v>1147</v>
      </c>
      <c r="B173" t="s">
        <v>39</v>
      </c>
      <c r="C173" s="33">
        <v>35.823059999999998</v>
      </c>
      <c r="D173" s="33">
        <v>21.493835999999998</v>
      </c>
      <c r="E173" s="33">
        <v>22.136760000000002</v>
      </c>
    </row>
    <row r="174" spans="1:5" x14ac:dyDescent="0.3">
      <c r="A174">
        <v>1360</v>
      </c>
      <c r="B174" t="s">
        <v>40</v>
      </c>
      <c r="C174" s="33">
        <v>18.243224999999999</v>
      </c>
      <c r="D174" s="33">
        <v>10.945934999999999</v>
      </c>
      <c r="E174" s="33">
        <v>11.272319999999999</v>
      </c>
    </row>
    <row r="175" spans="1:5" x14ac:dyDescent="0.3">
      <c r="A175">
        <v>440</v>
      </c>
      <c r="B175" t="s">
        <v>41</v>
      </c>
      <c r="C175" s="33">
        <v>25.697364000000004</v>
      </c>
      <c r="D175" s="33">
        <v>15.418418400000002</v>
      </c>
      <c r="E175" s="33">
        <v>15.882599999999998</v>
      </c>
    </row>
    <row r="176" spans="1:5" x14ac:dyDescent="0.3">
      <c r="A176">
        <v>695</v>
      </c>
      <c r="B176" t="s">
        <v>42</v>
      </c>
      <c r="C176" s="33">
        <v>32.023655999999995</v>
      </c>
      <c r="D176" s="33">
        <v>19.214193599999998</v>
      </c>
      <c r="E176" s="33">
        <v>19.788360000000001</v>
      </c>
    </row>
    <row r="177" spans="1:5" x14ac:dyDescent="0.3">
      <c r="A177">
        <v>372</v>
      </c>
      <c r="B177" t="s">
        <v>43</v>
      </c>
      <c r="C177" s="33">
        <v>27.169519999999999</v>
      </c>
      <c r="D177" s="33">
        <v>16.301711999999998</v>
      </c>
      <c r="E177" s="33">
        <v>16.791060000000002</v>
      </c>
    </row>
    <row r="178" spans="1:5" x14ac:dyDescent="0.3">
      <c r="A178">
        <v>432</v>
      </c>
      <c r="B178" t="s">
        <v>44</v>
      </c>
      <c r="C178" s="33">
        <v>24.582284999999995</v>
      </c>
      <c r="D178" s="33">
        <v>14.749370999999996</v>
      </c>
      <c r="E178" s="33">
        <v>15.190439999999997</v>
      </c>
    </row>
    <row r="179" spans="1:5" x14ac:dyDescent="0.3">
      <c r="A179">
        <v>1353</v>
      </c>
      <c r="B179" t="s">
        <v>45</v>
      </c>
      <c r="C179" s="33">
        <v>28.631232000000004</v>
      </c>
      <c r="D179" s="33">
        <v>17.178739200000003</v>
      </c>
      <c r="E179" s="33">
        <v>17.693339999999999</v>
      </c>
    </row>
    <row r="180" spans="1:5" x14ac:dyDescent="0.3">
      <c r="A180">
        <v>1403</v>
      </c>
      <c r="B180" t="s">
        <v>85</v>
      </c>
      <c r="C180" s="33">
        <v>22.979092499999997</v>
      </c>
      <c r="D180" s="33">
        <v>13.787455499999998</v>
      </c>
      <c r="E180" s="33">
        <v>14.201640000000001</v>
      </c>
    </row>
    <row r="181" spans="1:5" x14ac:dyDescent="0.3">
      <c r="A181">
        <v>1337</v>
      </c>
      <c r="B181" t="s">
        <v>46</v>
      </c>
      <c r="C181" s="33">
        <v>56.827830149999983</v>
      </c>
      <c r="D181" s="33">
        <v>34.09669808999999</v>
      </c>
      <c r="E181" s="33">
        <v>35.120939999999997</v>
      </c>
    </row>
    <row r="182" spans="1:5" x14ac:dyDescent="0.3">
      <c r="A182">
        <v>456</v>
      </c>
      <c r="B182" t="s">
        <v>47</v>
      </c>
      <c r="C182" s="33">
        <v>33.667042499999994</v>
      </c>
      <c r="D182" s="33">
        <v>20.200225499999995</v>
      </c>
      <c r="E182" s="33">
        <v>20.808060000000001</v>
      </c>
    </row>
    <row r="183" spans="1:5" x14ac:dyDescent="0.3">
      <c r="A183">
        <v>1336</v>
      </c>
      <c r="B183" t="s">
        <v>55</v>
      </c>
      <c r="C183" s="33">
        <v>14.236349399999998</v>
      </c>
      <c r="D183" s="33">
        <v>8.5418096399999985</v>
      </c>
      <c r="E183" s="33">
        <v>8.800320000000001</v>
      </c>
    </row>
    <row r="184" spans="1:5" x14ac:dyDescent="0.3">
      <c r="A184">
        <v>587</v>
      </c>
      <c r="B184" t="s">
        <v>27</v>
      </c>
      <c r="C184" s="33">
        <v>39.807600000000008</v>
      </c>
      <c r="D184" s="33">
        <v>23.884560000000004</v>
      </c>
      <c r="E184" s="33">
        <v>24.60258</v>
      </c>
    </row>
    <row r="185" spans="1:5" x14ac:dyDescent="0.3">
      <c r="A185">
        <v>1425</v>
      </c>
      <c r="B185" t="s">
        <v>120</v>
      </c>
      <c r="C185" s="33">
        <v>20.127449999999996</v>
      </c>
      <c r="D185" s="33">
        <v>12.076469999999997</v>
      </c>
      <c r="E185" s="33">
        <v>12.440339999999999</v>
      </c>
    </row>
    <row r="186" spans="1:5" x14ac:dyDescent="0.3">
      <c r="A186">
        <v>1427</v>
      </c>
      <c r="B186" t="s">
        <v>121</v>
      </c>
      <c r="C186" s="33">
        <v>16.747499999999999</v>
      </c>
      <c r="D186" s="33">
        <v>10.048499999999999</v>
      </c>
      <c r="E186" s="33">
        <v>6.9</v>
      </c>
    </row>
    <row r="187" spans="1:5" x14ac:dyDescent="0.3">
      <c r="A187">
        <v>1350</v>
      </c>
      <c r="B187" t="s">
        <v>56</v>
      </c>
      <c r="C187" s="33">
        <v>47.914079849999986</v>
      </c>
      <c r="D187" s="33">
        <v>28.748447909999992</v>
      </c>
      <c r="E187" s="33">
        <v>29.60838</v>
      </c>
    </row>
    <row r="188" spans="1:5" x14ac:dyDescent="0.3">
      <c r="A188">
        <v>1601</v>
      </c>
      <c r="B188" t="s">
        <v>230</v>
      </c>
      <c r="C188" s="33">
        <v>21.5</v>
      </c>
      <c r="D188" s="33">
        <v>12.9</v>
      </c>
      <c r="E188" s="33">
        <v>12.9</v>
      </c>
    </row>
    <row r="189" spans="1:5" x14ac:dyDescent="0.3">
      <c r="A189">
        <v>1602</v>
      </c>
      <c r="B189" t="s">
        <v>231</v>
      </c>
      <c r="C189" s="33">
        <v>16.5</v>
      </c>
      <c r="D189" s="33">
        <v>9.9</v>
      </c>
      <c r="E189" s="33">
        <v>9.9</v>
      </c>
    </row>
    <row r="190" spans="1:5" x14ac:dyDescent="0.3">
      <c r="A190">
        <v>1603</v>
      </c>
      <c r="B190" t="s">
        <v>232</v>
      </c>
      <c r="C190" s="33">
        <v>24.833333333333336</v>
      </c>
      <c r="D190" s="33">
        <v>14.9</v>
      </c>
      <c r="E190" s="33">
        <v>14.897999999999998</v>
      </c>
    </row>
    <row r="191" spans="1:5" x14ac:dyDescent="0.3">
      <c r="A191">
        <v>1349</v>
      </c>
      <c r="B191" t="s">
        <v>57</v>
      </c>
      <c r="C191" s="33">
        <v>23.395922549999995</v>
      </c>
      <c r="D191" s="33">
        <v>14.037553529999997</v>
      </c>
      <c r="E191" s="33">
        <v>14.4612</v>
      </c>
    </row>
    <row r="192" spans="1:5" x14ac:dyDescent="0.3">
      <c r="A192">
        <v>1434</v>
      </c>
      <c r="B192" t="s">
        <v>107</v>
      </c>
      <c r="C192" s="33">
        <v>30.277449999999995</v>
      </c>
      <c r="D192" s="33">
        <v>18.166469999999997</v>
      </c>
      <c r="E192" s="33">
        <v>17.899999999999999</v>
      </c>
    </row>
    <row r="193" spans="1:5" x14ac:dyDescent="0.3">
      <c r="A193">
        <v>1322</v>
      </c>
      <c r="B193" t="s">
        <v>58</v>
      </c>
      <c r="C193" s="33">
        <v>24.763980149999998</v>
      </c>
      <c r="D193" s="33">
        <v>14.858388089999998</v>
      </c>
      <c r="E193" s="33">
        <v>13.9</v>
      </c>
    </row>
    <row r="194" spans="1:5" x14ac:dyDescent="0.3">
      <c r="A194">
        <v>1562</v>
      </c>
      <c r="B194" t="s">
        <v>233</v>
      </c>
      <c r="C194" s="33">
        <v>49.833333333333336</v>
      </c>
      <c r="D194" s="33">
        <v>29.9</v>
      </c>
      <c r="E194" s="33">
        <v>29.897999999999996</v>
      </c>
    </row>
    <row r="195" spans="1:5" x14ac:dyDescent="0.3">
      <c r="A195">
        <v>1561</v>
      </c>
      <c r="B195" t="s">
        <v>234</v>
      </c>
      <c r="C195" s="33">
        <v>49.833333333333336</v>
      </c>
      <c r="D195" s="33">
        <v>29.9</v>
      </c>
      <c r="E195" s="33">
        <v>29.897999999999996</v>
      </c>
    </row>
    <row r="196" spans="1:5" x14ac:dyDescent="0.3">
      <c r="A196">
        <v>1563</v>
      </c>
      <c r="B196" t="s">
        <v>235</v>
      </c>
      <c r="C196" s="33">
        <v>49.833333333333336</v>
      </c>
      <c r="D196" s="33">
        <v>29.9</v>
      </c>
      <c r="E196" s="33">
        <v>29.897999999999996</v>
      </c>
    </row>
    <row r="197" spans="1:5" x14ac:dyDescent="0.3">
      <c r="A197">
        <v>1512</v>
      </c>
      <c r="B197" t="s">
        <v>228</v>
      </c>
      <c r="C197" s="33">
        <v>44.9</v>
      </c>
      <c r="D197" s="33">
        <v>26.939999999999998</v>
      </c>
      <c r="E197" s="33">
        <v>22.9</v>
      </c>
    </row>
    <row r="198" spans="1:5" x14ac:dyDescent="0.3">
      <c r="A198">
        <v>1513</v>
      </c>
      <c r="B198" t="s">
        <v>229</v>
      </c>
      <c r="C198" s="33">
        <v>69.900000000000006</v>
      </c>
      <c r="D198" s="33">
        <v>41.940000000000005</v>
      </c>
      <c r="E198" s="33">
        <v>33.9</v>
      </c>
    </row>
    <row r="199" spans="1:5" x14ac:dyDescent="0.3">
      <c r="A199">
        <v>1352</v>
      </c>
      <c r="B199" t="s">
        <v>59</v>
      </c>
      <c r="C199" s="33">
        <v>30.033849999999994</v>
      </c>
      <c r="D199" s="33">
        <v>18.020309999999995</v>
      </c>
      <c r="E199" s="33">
        <v>18.018000000000001</v>
      </c>
    </row>
    <row r="200" spans="1:5" x14ac:dyDescent="0.3">
      <c r="A200">
        <v>1604</v>
      </c>
      <c r="B200" t="s">
        <v>236</v>
      </c>
      <c r="C200" s="33">
        <v>49.833333333333336</v>
      </c>
      <c r="D200" s="33">
        <v>29.9</v>
      </c>
      <c r="E200" s="33">
        <v>29.897999999999996</v>
      </c>
    </row>
    <row r="201" spans="1:5" x14ac:dyDescent="0.3">
      <c r="A201">
        <v>1605</v>
      </c>
      <c r="B201" t="s">
        <v>237</v>
      </c>
      <c r="C201" s="33">
        <v>66.5</v>
      </c>
      <c r="D201" s="33">
        <v>39.9</v>
      </c>
      <c r="E201" s="33">
        <v>39.9</v>
      </c>
    </row>
    <row r="202" spans="1:5" x14ac:dyDescent="0.3">
      <c r="A202">
        <v>1607</v>
      </c>
      <c r="B202" t="s">
        <v>238</v>
      </c>
      <c r="C202" s="33">
        <v>33.166666666666664</v>
      </c>
      <c r="D202" s="33">
        <v>19.899999999999999</v>
      </c>
      <c r="E202" s="33">
        <v>19.902000000000001</v>
      </c>
    </row>
    <row r="203" spans="1:5" x14ac:dyDescent="0.3">
      <c r="A203">
        <v>1606</v>
      </c>
      <c r="B203" t="s">
        <v>239</v>
      </c>
      <c r="C203" s="33">
        <v>21.5</v>
      </c>
      <c r="D203" s="33">
        <v>12.9</v>
      </c>
      <c r="E203" s="33">
        <v>12.9</v>
      </c>
    </row>
    <row r="204" spans="1:5" x14ac:dyDescent="0.3">
      <c r="A204">
        <v>1646</v>
      </c>
      <c r="B204" t="s">
        <v>240</v>
      </c>
      <c r="C204" s="33">
        <v>41.5</v>
      </c>
      <c r="D204" s="33">
        <v>24.9</v>
      </c>
      <c r="E204" s="33">
        <v>24.9</v>
      </c>
    </row>
    <row r="205" spans="1:5" x14ac:dyDescent="0.3">
      <c r="A205">
        <v>1351</v>
      </c>
      <c r="B205" t="s">
        <v>60</v>
      </c>
      <c r="C205" s="33">
        <v>34.828500000000005</v>
      </c>
      <c r="D205" s="33">
        <v>20.897100000000002</v>
      </c>
      <c r="E205" s="33">
        <v>19.899999999999999</v>
      </c>
    </row>
    <row r="206" spans="1:5" x14ac:dyDescent="0.3">
      <c r="A206">
        <v>1444</v>
      </c>
      <c r="B206" t="s">
        <v>122</v>
      </c>
      <c r="C206" s="33">
        <v>10.890000000000002</v>
      </c>
      <c r="D206" s="33">
        <v>6.5340000000000016</v>
      </c>
      <c r="E206" s="33">
        <v>6.53</v>
      </c>
    </row>
    <row r="207" spans="1:5" x14ac:dyDescent="0.3">
      <c r="A207">
        <v>1445</v>
      </c>
      <c r="B207" t="s">
        <v>123</v>
      </c>
      <c r="C207" s="33">
        <v>10.890000000000002</v>
      </c>
      <c r="D207" s="33">
        <v>6.5340000000000016</v>
      </c>
      <c r="E207" s="33">
        <v>6.53</v>
      </c>
    </row>
    <row r="208" spans="1:5" x14ac:dyDescent="0.3">
      <c r="A208">
        <v>1449</v>
      </c>
      <c r="B208" t="s">
        <v>227</v>
      </c>
      <c r="C208" s="33">
        <v>10.890000000000002</v>
      </c>
      <c r="D208" s="33">
        <v>6.5340000000000016</v>
      </c>
      <c r="E208" s="33">
        <v>6.53</v>
      </c>
    </row>
    <row r="209" spans="1:5" x14ac:dyDescent="0.3">
      <c r="A209">
        <v>1451</v>
      </c>
      <c r="B209" t="s">
        <v>124</v>
      </c>
      <c r="C209" s="33">
        <v>10.890000000000002</v>
      </c>
      <c r="D209" s="33">
        <v>6.5340000000000016</v>
      </c>
      <c r="E209" s="33">
        <v>6.53</v>
      </c>
    </row>
    <row r="210" spans="1:5" x14ac:dyDescent="0.3">
      <c r="A210">
        <v>1454</v>
      </c>
      <c r="B210" t="s">
        <v>125</v>
      </c>
      <c r="C210" s="33">
        <v>10.890000000000002</v>
      </c>
      <c r="D210" s="33">
        <v>6.5340000000000016</v>
      </c>
      <c r="E210" s="33">
        <v>6.53</v>
      </c>
    </row>
    <row r="211" spans="1:5" x14ac:dyDescent="0.3">
      <c r="A211">
        <v>1448</v>
      </c>
      <c r="B211" t="s">
        <v>126</v>
      </c>
      <c r="C211" s="33">
        <v>10.890000000000002</v>
      </c>
      <c r="D211" s="33">
        <v>6.5340000000000016</v>
      </c>
      <c r="E211" s="33">
        <v>6.53</v>
      </c>
    </row>
    <row r="212" spans="1:5" x14ac:dyDescent="0.3">
      <c r="A212">
        <v>1446</v>
      </c>
      <c r="B212" t="s">
        <v>127</v>
      </c>
      <c r="C212" s="33">
        <v>10.890000000000002</v>
      </c>
      <c r="D212" s="33">
        <v>6.5340000000000016</v>
      </c>
      <c r="E212" s="33">
        <v>6.5339999999999998</v>
      </c>
    </row>
    <row r="213" spans="1:5" x14ac:dyDescent="0.3">
      <c r="A213">
        <v>1452</v>
      </c>
      <c r="B213" t="s">
        <v>128</v>
      </c>
      <c r="C213" s="33">
        <v>10.890000000000002</v>
      </c>
      <c r="D213" s="33">
        <v>6.5340000000000016</v>
      </c>
      <c r="E213" s="33">
        <v>6.53</v>
      </c>
    </row>
    <row r="214" spans="1:5" x14ac:dyDescent="0.3">
      <c r="A214">
        <v>1450</v>
      </c>
      <c r="B214" t="s">
        <v>129</v>
      </c>
      <c r="C214" s="33">
        <v>10.890000000000002</v>
      </c>
      <c r="D214" s="33">
        <v>6.5340000000000016</v>
      </c>
      <c r="E214" s="33">
        <v>6.53</v>
      </c>
    </row>
    <row r="215" spans="1:5" x14ac:dyDescent="0.3">
      <c r="A215">
        <v>1453</v>
      </c>
      <c r="B215" t="s">
        <v>130</v>
      </c>
      <c r="C215" s="33">
        <v>10.890000000000002</v>
      </c>
      <c r="D215" s="33">
        <v>6.5340000000000016</v>
      </c>
      <c r="E215" s="33">
        <v>6.53</v>
      </c>
    </row>
    <row r="216" spans="1:5" x14ac:dyDescent="0.3">
      <c r="A216">
        <v>1443</v>
      </c>
      <c r="B216" t="s">
        <v>131</v>
      </c>
      <c r="C216" s="33">
        <v>10.890000000000002</v>
      </c>
      <c r="D216" s="33">
        <v>6.5340000000000016</v>
      </c>
      <c r="E216" s="33">
        <v>6.53</v>
      </c>
    </row>
    <row r="217" spans="1:5" x14ac:dyDescent="0.3">
      <c r="A217">
        <v>1447</v>
      </c>
      <c r="B217" t="s">
        <v>132</v>
      </c>
      <c r="C217" s="33">
        <v>10.890000000000002</v>
      </c>
      <c r="D217" s="33">
        <v>6.5340000000000016</v>
      </c>
      <c r="E217" s="33">
        <v>6.53</v>
      </c>
    </row>
    <row r="218" spans="1:5" x14ac:dyDescent="0.3">
      <c r="A218">
        <v>1552</v>
      </c>
      <c r="B218" t="s">
        <v>222</v>
      </c>
      <c r="C218" s="33">
        <v>10.890000000000002</v>
      </c>
      <c r="D218" s="33">
        <v>6.5340000000000016</v>
      </c>
      <c r="E218" s="33">
        <v>6.5339999999999998</v>
      </c>
    </row>
    <row r="219" spans="1:5" x14ac:dyDescent="0.3">
      <c r="A219">
        <v>1554</v>
      </c>
      <c r="B219" t="s">
        <v>223</v>
      </c>
      <c r="C219" s="33">
        <v>10.890000000000002</v>
      </c>
      <c r="D219" s="33">
        <v>6.5340000000000016</v>
      </c>
      <c r="E219" s="33">
        <v>6.5339999999999998</v>
      </c>
    </row>
    <row r="220" spans="1:5" x14ac:dyDescent="0.3">
      <c r="A220">
        <v>1555</v>
      </c>
      <c r="B220" t="s">
        <v>224</v>
      </c>
      <c r="C220" s="33">
        <v>10.890000000000002</v>
      </c>
      <c r="D220" s="33">
        <v>6.5340000000000016</v>
      </c>
      <c r="E220" s="33">
        <v>6.5339999999999998</v>
      </c>
    </row>
    <row r="221" spans="1:5" x14ac:dyDescent="0.3">
      <c r="A221">
        <v>1567</v>
      </c>
      <c r="B221" t="s">
        <v>225</v>
      </c>
      <c r="C221" s="33">
        <v>10.890000000000002</v>
      </c>
      <c r="D221" s="33">
        <v>6.5340000000000016</v>
      </c>
      <c r="E221" s="33">
        <v>6.5339999999999998</v>
      </c>
    </row>
    <row r="222" spans="1:5" x14ac:dyDescent="0.3">
      <c r="A222">
        <v>1553</v>
      </c>
      <c r="B222" t="s">
        <v>226</v>
      </c>
      <c r="C222" s="33">
        <v>10.890000000000002</v>
      </c>
      <c r="D222" s="33">
        <v>6.5340000000000016</v>
      </c>
      <c r="E222" s="33">
        <v>6.5339999999999998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 de Pedidos</vt:lpstr>
      <vt:lpstr>&gt;&gt;Matriz Importação Pedido&lt;&lt;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Aurélio Abregaus Schweitzer Junior</dc:creator>
  <cp:lastModifiedBy>Djouhany Sacal</cp:lastModifiedBy>
  <cp:lastPrinted>2026-02-20T21:38:41Z</cp:lastPrinted>
  <dcterms:created xsi:type="dcterms:W3CDTF">2022-12-22T20:39:44Z</dcterms:created>
  <dcterms:modified xsi:type="dcterms:W3CDTF">2026-07-07T13:52:14Z</dcterms:modified>
</cp:coreProperties>
</file>